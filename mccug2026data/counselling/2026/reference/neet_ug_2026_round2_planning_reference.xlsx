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276ed08604b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bc87eadabc64732"/>
    <x:sheet xmlns:r="http://schemas.openxmlformats.org/officeDocument/2006/relationships" name="Quota Summary" sheetId="2" r:id="Rb903aa961c3b4c8e"/>
    <x:sheet xmlns:r="http://schemas.openxmlformats.org/officeDocument/2006/relationships" name="State Summary" sheetId="3" r:id="R71921e600d78400c"/>
    <x:sheet xmlns:r="http://schemas.openxmlformats.org/officeDocument/2006/relationships" name="College Round2 Planner" sheetId="4" r:id="R8b0adf78c86741d1"/>
    <x:sheet xmlns:r="http://schemas.openxmlformats.org/officeDocument/2006/relationships" name="Quota-Category Detail" sheetId="5" r:id="Reef10574284a410a"/>
    <x:sheet xmlns:r="http://schemas.openxmlformats.org/officeDocument/2006/relationships" name="Methodology" sheetId="6" r:id="R5317535f894c49e3"/>
    <x:sheet xmlns:r="http://schemas.openxmlformats.org/officeDocument/2006/relationships" name="State Student Planner" sheetId="7" r:id="Rb612977c48f747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16e57ddcd424a" /><Relationship Type="http://schemas.openxmlformats.org/officeDocument/2006/relationships/theme" Target="/xl/theme/theme1.xml" Id="R015a5bdfefbf4bd1" /><Relationship Type="http://schemas.openxmlformats.org/officeDocument/2006/relationships/sharedStrings" Target="/xl/sharedStrings.xml" Id="Rfad3b5bbb4614bc5" /><Relationship Type="http://schemas.openxmlformats.org/officeDocument/2006/relationships/worksheet" Target="/xl/worksheets/sheet1.xml" Id="R4bc87eadabc64732" /><Relationship Type="http://schemas.openxmlformats.org/officeDocument/2006/relationships/worksheet" Target="/xl/worksheets/sheet2.xml" Id="Rb903aa961c3b4c8e" /><Relationship Type="http://schemas.openxmlformats.org/officeDocument/2006/relationships/worksheet" Target="/xl/worksheets/sheet3.xml" Id="R71921e600d78400c" /><Relationship Type="http://schemas.openxmlformats.org/officeDocument/2006/relationships/worksheet" Target="/xl/worksheets/sheet4.xml" Id="R8b0adf78c86741d1" /><Relationship Type="http://schemas.openxmlformats.org/officeDocument/2006/relationships/worksheet" Target="/xl/worksheets/sheet5.xml" Id="Reef10574284a410a" /><Relationship Type="http://schemas.openxmlformats.org/officeDocument/2006/relationships/worksheet" Target="/xl/worksheets/sheet6.xml" Id="R5317535f894c49e3" /><Relationship Type="http://schemas.openxmlformats.org/officeDocument/2006/relationships/worksheet" Target="/xl/worksheets/sheet7.xml" Id="Rb612977c48f747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e04aece05c47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MCC Round-1 MBBS Seats: Offered vs Allotted by Pathway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R1 Seats Offered</c:v>
          </c:tx>
          <c:cat>
            <c:strRef>
              <c:f>'Quota Summary'!$A$2:$A$15</c:f>
              <c:strCache>
                <c:ptCount val="0"/>
              </c:strCache>
            </c:strRef>
          </c:cat>
          <c:val>
            <c:numRef>
              <c:f>'Quota Summary'!$B$2:$B$15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R1 Seats Allotted</c:v>
          </c:tx>
          <c:cat>
            <c:strRef>
              <c:f>'Quota Summary'!$A$2:$A$15</c:f>
              <c:strCache>
                <c:ptCount val="0"/>
              </c:strCache>
            </c:strRef>
          </c:cat>
          <c:val>
            <c:numRef>
              <c:f>'Quota Summary'!$C$2:$C$15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e04aece05c47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QuotaSummaryTable" displayName="QuotaSummaryTable" ref="A1:E15" headerRowCount="1" totalsRowCount="0" totalsRowShown="0">
  <x:tableColumns count="5">
    <x:tableColumn id="1" name="Quota Pathway"/>
    <x:tableColumn id="2" name="R1 Seats Offered"/>
    <x:tableColumn id="3" name="R1 Seats Allotted"/>
    <x:tableColumn id="4" name="Net R1 Difference"/>
    <x:tableColumn id="5" name="Fill R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teRound2Summary" displayName="StateRound2Summary" ref="A1:R40" headerRowCount="1" totalsRowCount="0" totalsRowShown="0">
  <x:tableColumns count="18">
    <x:tableColumn id="1" name="State"/>
    <x:tableColumn id="2" name="NMC Non-INI Total Seats"/>
    <x:tableColumn id="3" name="NMC Government Seats"/>
    <x:tableColumn id="4" name="NMC Private Seats"/>
    <x:tableColumn id="5" name="MCC R1 Offered All Pathways"/>
    <x:tableColumn id="6" name="R1 Allotted All Pathways"/>
    <x:tableColumn id="7" name="Net R1 Difference"/>
    <x:tableColumn id="8" name="R1 Fill Rate"/>
    <x:tableColumn id="9" name="Regular AIQ Offered"/>
    <x:tableColumn id="10" name="Regular AIQ Allotted"/>
    <x:tableColumn id="11" name="Regular AIQ Net Difference"/>
    <x:tableColumn id="12" name="INI Open-Seat Offered"/>
    <x:tableColumn id="13" name="INI Open-Seat Allotted"/>
    <x:tableColumn id="14" name="Self-Financed Offered"/>
    <x:tableColumn id="15" name="Self-Financed Allotted"/>
    <x:tableColumn id="16" name="NRI Offered"/>
    <x:tableColumn id="17" name="NRI Allotted"/>
    <x:tableColumn id="18" name="Approx Seats Outside MCC Matri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llegeRound2Planner" displayName="CollegeRound2Planner" ref="A1:AM516" headerRowCount="1" totalsRowCount="0" totalsRowShown="0">
  <x:tableColumns count="39">
    <x:tableColumn id="1" name="State"/>
    <x:tableColumn id="2" name="Institute Type"/>
    <x:tableColumn id="3" name="MCC Code"/>
    <x:tableColumn id="4" name="College"/>
    <x:tableColumn id="5" name="NMC College Code"/>
    <x:tableColumn id="6" name="NMC Management"/>
    <x:tableColumn id="7" name="NMC 2026 Total Seats"/>
    <x:tableColumn id="8" name="NMC Match Score"/>
    <x:tableColumn id="9" name="NMC Match Status"/>
    <x:tableColumn id="10" name="MCC R1 Seats Offered"/>
    <x:tableColumn id="11" name="R1 Seats Allotted"/>
    <x:tableColumn id="12" name="Net R1 Difference"/>
    <x:tableColumn id="13" name="R1 Fill Rate"/>
    <x:tableColumn id="14" name="Regular Central Offered"/>
    <x:tableColumn id="15" name="Regular Central Allotted"/>
    <x:tableColumn id="16" name="Regular Central Net Difference"/>
    <x:tableColumn id="17" name="Private/Special Offered"/>
    <x:tableColumn id="18" name="Private/Special Allotted"/>
    <x:tableColumn id="19" name="Private/Special Net Difference"/>
    <x:tableColumn id="20" name="All India Offered"/>
    <x:tableColumn id="21" name="All India Allotted"/>
    <x:tableColumn id="22" name="Open Seat Quota Offered"/>
    <x:tableColumn id="23" name="Open Seat Quota Allotted"/>
    <x:tableColumn id="24" name="Self-Financed Offered"/>
    <x:tableColumn id="25" name="Self-Financed Allotted"/>
    <x:tableColumn id="26" name="NRI Offered"/>
    <x:tableColumn id="27" name="NRI Allotted"/>
    <x:tableColumn id="28" name="Approx Seats Outside MCC Matrix"/>
    <x:tableColumn id="29" name="Open Median AIR"/>
    <x:tableColumn id="30" name="Open Highest AIR"/>
    <x:tableColumn id="31" name="OBC Median AIR"/>
    <x:tableColumn id="32" name="OBC Highest AIR"/>
    <x:tableColumn id="33" name="EWS Median AIR"/>
    <x:tableColumn id="34" name="EWS Highest AIR"/>
    <x:tableColumn id="35" name="SC Median AIR"/>
    <x:tableColumn id="36" name="SC Highest AIR"/>
    <x:tableColumn id="37" name="ST Median AIR"/>
    <x:tableColumn id="38" name="ST Highest AIR"/>
    <x:tableColumn id="39" name="Round-2 Planning Sign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otaCategoryReconciliation" displayName="QuotaCategoryReconciliation" ref="A1:O3094" headerRowCount="1" totalsRowCount="0" totalsRowShown="0">
  <x:tableColumns count="15">
    <x:tableColumn id="1" name="State"/>
    <x:tableColumn id="2" name="Institute Type"/>
    <x:tableColumn id="3" name="MCC Code"/>
    <x:tableColumn id="4" name="College"/>
    <x:tableColumn id="5" name="Quota"/>
    <x:tableColumn id="6" name="Seat Category"/>
    <x:tableColumn id="7" name="R1 Seats Offered"/>
    <x:tableColumn id="8" name="R1 Seats Allotted"/>
    <x:tableColumn id="9" name="Net Difference"/>
    <x:tableColumn id="10" name="Fill Rate"/>
    <x:tableColumn id="11" name="Best AIR"/>
    <x:tableColumn id="12" name="Q1 AIR"/>
    <x:tableColumn id="13" name="Median AIR"/>
    <x:tableColumn id="14" name="Q3 AIR"/>
    <x:tableColumn id="15" name="Highest AI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teStudentPlannerTable" displayName="StateStudentPlannerTable" ref="A1:U859" headerRowCount="1" totalsRowCount="0" totalsRowShown="0">
  <x:tableColumns count="21">
    <x:tableColumn id="1" name="State"/>
    <x:tableColumn id="2" name="NMC College Code"/>
    <x:tableColumn id="3" name="College"/>
    <x:tableColumn id="4" name="Management"/>
    <x:tableColumn id="5" name="Seats Renewed"/>
    <x:tableColumn id="6" name="Seats Increased 2026"/>
    <x:tableColumn id="7" name="Total MBBS Seats 2026"/>
    <x:tableColumn id="8" name="MCC Code"/>
    <x:tableColumn id="9" name="MCC R1 Seats Offered"/>
    <x:tableColumn id="10" name="MCC R1 Seats Allotted"/>
    <x:tableColumn id="11" name="Approx Non-MCC / State-Relevant Pool"/>
    <x:tableColumn id="12" name="Approx Non-MCC Share"/>
    <x:tableColumn id="13" name="State Counselling Relevance"/>
    <x:tableColumn id="14" name="Pool Interpretation"/>
    <x:tableColumn id="15" name="State Opportunity Signal"/>
    <x:tableColumn id="16" name="MCC R1 Open Median AIR*"/>
    <x:tableColumn id="17" name="MCC R1 OBC Median AIR*"/>
    <x:tableColumn id="18" name="MCC R1 EWS Median AIR*"/>
    <x:tableColumn id="19" name="MCC R1 SC Median AIR*"/>
    <x:tableColumn id="20" name="MCC R1 ST Median AIR*"/>
    <x:tableColumn id="21" name="State R1 Rank Dat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teStudentPlannerTable2" displayName="StateStudentPlannerTable2" ref="A1:U824" headerRowCount="1" totalsRowCount="0" totalsRowShown="0">
  <x:tableColumns count="21">
    <x:tableColumn id="1" name="State"/>
    <x:tableColumn id="2" name="NMC College Code"/>
    <x:tableColumn id="3" name="College"/>
    <x:tableColumn id="4" name="Management"/>
    <x:tableColumn id="5" name="Seats Renewed"/>
    <x:tableColumn id="6" name="Seats Increased 2026"/>
    <x:tableColumn id="7" name="Total MBBS Seats 2026"/>
    <x:tableColumn id="8" name="MCC Code"/>
    <x:tableColumn id="9" name="MCC R1 Seats Offered"/>
    <x:tableColumn id="10" name="MCC R1 Seats Allotted"/>
    <x:tableColumn id="11" name="Approx Non-MCC / State-Relevant Pool"/>
    <x:tableColumn id="12" name="Approx Non-MCC Share"/>
    <x:tableColumn id="13" name="State Counselling Relevance"/>
    <x:tableColumn id="14" name="Pool Interpretation"/>
    <x:tableColumn id="15" name="State Opportunity Signal"/>
    <x:tableColumn id="16" name="MCC R1 Open Median AIR*"/>
    <x:tableColumn id="17" name="MCC R1 OBC Median AIR*"/>
    <x:tableColumn id="18" name="MCC R1 EWS Median AIR*"/>
    <x:tableColumn id="19" name="MCC R1 SC Median AIR*"/>
    <x:tableColumn id="20" name="MCC R1 ST Median AIR*"/>
    <x:tableColumn id="21" name="State R1 Rank D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166171f824a4d3f" /><Relationship Type="http://schemas.openxmlformats.org/officeDocument/2006/relationships/table" Target="/xl/tables/table1.xml" Id="R1994ad576d844f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b018b8db55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460f14c0db4b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017c6f5de243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dd5e2ef1d254ed8" /><Relationship Type="http://schemas.openxmlformats.org/officeDocument/2006/relationships/table" Target="/xl/tables/table6.xml" Id="R0810a48a19194fd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8" hidden="0" customWidth="1"/>
    <x:col min="5" max="5" width="74" hidden="0" customWidth="1"/>
  </x:cols>
  <x:sheetData>
    <x:row r="1">
      <x:c r="A1" s="22" t="str">
        <x:v>NEET-UG 2026 Round-2 Planning Base — MCC Round-1 Reconciliation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</x:row>
    <x:row r="3">
      <x:c r="A3" s="14" t="str">
        <x:v>Metric</x:v>
      </x:c>
      <x:c r="B3" s="14" t="str">
        <x:v>Value</x:v>
      </x:c>
      <x:c r="D3" s="14" t="str">
        <x:v>Planning interpretation</x:v>
      </x:c>
      <x:c r="E3" s="14" t="str">
        <x:v>Meaning</x:v>
      </x:c>
    </x:row>
    <x:row r="4">
      <x:c r="A4" t="str">
        <x:v>MCC Round-1 MBBS seats offered</x:v>
      </x:c>
      <x:c r="B4" t="n">
        <x:f>SUM('Quota Summary'!B2:B20)</x:f>
        <x:v>27292</x:v>
      </x:c>
      <x:c r="D4" t="str">
        <x:v>Net R1 difference</x:v>
      </x:c>
      <x:c r="E4" t="str">
        <x:v>Seats present in the MCC Round-1 matrix but not represented in the Round-1 allotment result. This is not yet an official Round-2 vacancy count.</x:v>
      </x:c>
    </x:row>
    <x:row r="5">
      <x:c r="A5" t="str">
        <x:v>Round-1 MBBS seats allotted</x:v>
      </x:c>
      <x:c r="B5" t="n">
        <x:f>SUM('Quota Summary'!C2:C20)</x:f>
        <x:v>25635</x:v>
      </x:c>
      <x:c r="D5" t="str">
        <x:v>Movement-dependent</x:v>
      </x:c>
      <x:c r="E5" t="str">
        <x:v>College was fully allotted in Round 1; Round-2 opportunity depends on non-joining, resignation, upgradation or later seat changes.</x:v>
      </x:c>
    </x:row>
    <x:row r="6">
      <x:c r="A6" t="str">
        <x:v>Net difference: offered − allotted</x:v>
      </x:c>
      <x:c r="B6" t="n">
        <x:f>B4-B5</x:f>
        <x:v>1657</x:v>
      </x:c>
      <x:c r="D6" t="str">
        <x:v>Approx seats outside MCC matrix</x:v>
      </x:c>
      <x:c r="E6" t="str">
        <x:v>For a high-confidence NMC match: NMC total intake minus MCC Round-1 offered seats. This is an approximate non-MCC pool, not a confirmed state-quota matrix.</x:v>
      </x:c>
    </x:row>
    <x:row r="7">
      <x:c r="A7" t="str">
        <x:v>Overall Round-1 fill rate</x:v>
      </x:c>
      <x:c r="B7" s="20" t="n">
        <x:f>IFERROR(B5/B4,0)</x:f>
        <x:v>0.9392862377253408</x:v>
      </x:c>
      <x:c r="D7" t="str">
        <x:v>INI handling</x:v>
      </x:c>
      <x:c r="E7" t="str">
        <x:v>AIIMS/JIPMER are excluded from the supplied NMC denominator; their MCC matrix is treated as the central seat pool.</x:v>
      </x:c>
    </x:row>
    <x:row r="8">
      <x:c r="A8" t="str">
        <x:v>Regular All India seats offered</x:v>
      </x:c>
      <x:c r="B8" t="n">
        <x:f>SUMIF('Quota Summary'!A:A,"All India",'Quota Summary'!B:B)</x:f>
        <x:v>9198</x:v>
      </x:c>
      <x:c r="D8" t="str">
        <x:v>Update rule</x:v>
      </x:c>
      <x:c r="E8" t="str">
        <x:v>When official Round-2 vacancy matrices are released, replace the estimated/observed gap layer with actual vacancy figures without changing the Round-1 AIR profiles.</x:v>
      </x:c>
    </x:row>
    <x:row r="9">
      <x:c r="A9" t="str">
        <x:v>Regular All India seats allotted</x:v>
      </x:c>
      <x:c r="B9" t="n">
        <x:f>SUMIF('Quota Summary'!A:A,"All India",'Quota Summary'!C:C)</x:f>
        <x:v>9178</x:v>
      </x:c>
    </x:row>
    <x:row r="10">
      <x:c r="A10" t="str">
        <x:v>Regular All India net difference</x:v>
      </x:c>
      <x:c r="B10" t="n">
        <x:f>B8-B9</x:f>
        <x:v>20</x:v>
      </x:c>
    </x:row>
  </x:sheetData>
  <x:mergeCells>
    <x:mergeCell ref="A1:N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Quota Pathway</x:v>
      </x:c>
      <x:c r="B1" s="23" t="str">
        <x:v>R1 Seats Offered</x:v>
      </x:c>
      <x:c r="C1" s="23" t="str">
        <x:v>R1 Seats Allotted</x:v>
      </x:c>
      <x:c r="D1" s="23" t="str">
        <x:v>Net R1 Difference</x:v>
      </x:c>
      <x:c r="E1" s="23" t="str">
        <x:v>Fill Rate</x:v>
      </x:c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</x:row>
    <x:row r="2">
      <x:c r="A2" t="str">
        <x:v>Self-Financed Merit</x:v>
      </x:c>
      <x:c r="B2" t="n">
        <x:v>11930</x:v>
      </x:c>
      <x:c r="C2" t="n">
        <x:v>11627</x:v>
      </x:c>
      <x:c r="D2" t="n">
        <x:f>B2-C2</x:f>
        <x:v>303</x:v>
      </x:c>
      <x:c r="E2" s="20" t="n">
        <x:f>IFERROR(C2/B2,0)</x:f>
        <x:v>0.9746018440905281</x:v>
      </x:c>
    </x:row>
    <x:row r="3">
      <x:c r="A3" t="str">
        <x:v>All India</x:v>
      </x:c>
      <x:c r="B3" t="n">
        <x:v>9198</x:v>
      </x:c>
      <x:c r="C3" t="n">
        <x:v>9178</x:v>
      </x:c>
      <x:c r="D3" t="n">
        <x:f>B3-C3</x:f>
        <x:v>20</x:v>
      </x:c>
      <x:c r="E3" s="20" t="n">
        <x:f>IFERROR(C3/B3,0)</x:f>
        <x:v>0.9978256142639704</x:v>
      </x:c>
    </x:row>
    <x:row r="4">
      <x:c r="A4" t="str">
        <x:v>Open Seat Quota</x:v>
      </x:c>
      <x:c r="B4" t="n">
        <x:v>2751</x:v>
      </x:c>
      <x:c r="C4" t="n">
        <x:v>2751</x:v>
      </x:c>
      <x:c r="D4" t="n">
        <x:f>B4-C4</x:f>
        <x:v>0</x:v>
      </x:c>
      <x:c r="E4" s="20" t="n">
        <x:f>IFERROR(C4/B4,0)</x:f>
        <x:v>1</x:v>
      </x:c>
    </x:row>
    <x:row r="5">
      <x:c r="A5" t="str">
        <x:v>NRI</x:v>
      </x:c>
      <x:c r="B5" t="n">
        <x:v>1509</x:v>
      </x:c>
      <x:c r="C5" t="n">
        <x:v>249</x:v>
      </x:c>
      <x:c r="D5" t="n">
        <x:f>B5-C5</x:f>
        <x:v>1260</x:v>
      </x:c>
      <x:c r="E5" s="20" t="n">
        <x:f>IFERROR(C5/B5,0)</x:f>
        <x:v>0.16500994035785288</x:v>
      </x:c>
    </x:row>
    <x:row r="6">
      <x:c r="A6" t="str">
        <x:v>ESI</x:v>
      </x:c>
      <x:c r="B6" t="n">
        <x:v>701</x:v>
      </x:c>
      <x:c r="C6" t="n">
        <x:v>675</x:v>
      </x:c>
      <x:c r="D6" t="n">
        <x:f>B6-C6</x:f>
        <x:v>26</x:v>
      </x:c>
      <x:c r="E6" s="20" t="n">
        <x:f>IFERROR(C6/B6,0)</x:f>
        <x:v>0.9629101283880172</x:v>
      </x:c>
    </x:row>
    <x:row r="7">
      <x:c r="A7" t="str">
        <x:v>Delhi University Quota</x:v>
      </x:c>
      <x:c r="B7" t="n">
        <x:v>514</x:v>
      </x:c>
      <x:c r="C7" t="n">
        <x:v>509</x:v>
      </x:c>
      <x:c r="D7" t="n">
        <x:f>B7-C7</x:f>
        <x:v>5</x:v>
      </x:c>
      <x:c r="E7" s="20" t="n">
        <x:f>IFERROR(C7/B7,0)</x:f>
        <x:v>0.9902723735408561</x:v>
      </x:c>
    </x:row>
    <x:row r="8">
      <x:c r="A8" t="str">
        <x:v>IP University Quota</x:v>
      </x:c>
      <x:c r="B8" t="n">
        <x:v>256</x:v>
      </x:c>
      <x:c r="C8" t="n">
        <x:v>251</x:v>
      </x:c>
      <x:c r="D8" t="n">
        <x:f>B8-C8</x:f>
        <x:v>5</x:v>
      </x:c>
      <x:c r="E8" s="20" t="n">
        <x:f>IFERROR(C8/B8,0)</x:f>
        <x:v>0.98046875</x:v>
      </x:c>
    </x:row>
    <x:row r="9">
      <x:c r="A9" t="str">
        <x:v>Muslim Minority</x:v>
      </x:c>
      <x:c r="B9" t="n">
        <x:v>140</x:v>
      </x:c>
      <x:c r="C9" t="n">
        <x:v>140</x:v>
      </x:c>
      <x:c r="D9" t="n">
        <x:f>B9-C9</x:f>
        <x:v>0</x:v>
      </x:c>
      <x:c r="E9" s="20" t="n">
        <x:f>IFERROR(C9/B9,0)</x:f>
        <x:v>1</x:v>
      </x:c>
    </x:row>
    <x:row r="10">
      <x:c r="A10" t="str">
        <x:v>Jain Minority Quota</x:v>
      </x:c>
      <x:c r="B10" t="n">
        <x:v>106</x:v>
      </x:c>
      <x:c r="C10" t="n">
        <x:v>78</x:v>
      </x:c>
      <x:c r="D10" t="n">
        <x:f>B10-C10</x:f>
        <x:v>28</x:v>
      </x:c>
      <x:c r="E10" s="20" t="n">
        <x:f>IFERROR(C10/B10,0)</x:f>
        <x:v>0.7358490566037735</x:v>
      </x:c>
    </x:row>
    <x:row r="11">
      <x:c r="A11" t="str">
        <x:v>AMU Quota</x:v>
      </x:c>
      <x:c r="B11" t="n">
        <x:v>73</x:v>
      </x:c>
      <x:c r="C11" t="n">
        <x:v>73</x:v>
      </x:c>
      <x:c r="D11" t="n">
        <x:f>B11-C11</x:f>
        <x:v>0</x:v>
      </x:c>
      <x:c r="E11" s="20" t="n">
        <x:f>IFERROR(C11/B11,0)</x:f>
        <x:v>1</x:v>
      </x:c>
    </x:row>
    <x:row r="12">
      <x:c r="A12" t="str">
        <x:v>Internal -Puducherry</x:v>
      </x:c>
      <x:c r="B12" t="n">
        <x:v>64</x:v>
      </x:c>
      <x:c r="C12" t="n">
        <x:v>55</x:v>
      </x:c>
      <x:c r="D12" t="n">
        <x:f>B12-C12</x:f>
        <x:v>9</x:v>
      </x:c>
      <x:c r="E12" s="20" t="n">
        <x:f>IFERROR(C12/B12,0)</x:f>
        <x:v>0.859375</x:v>
      </x:c>
    </x:row>
    <x:row r="13">
      <x:c r="A13" t="str">
        <x:v>Delhi NCR CW</x:v>
      </x:c>
      <x:c r="B13" t="n">
        <x:v>38</x:v>
      </x:c>
      <x:c r="C13" t="n">
        <x:v>37</x:v>
      </x:c>
      <x:c r="D13" t="n">
        <x:f>B13-C13</x:f>
        <x:v>1</x:v>
      </x:c>
      <x:c r="E13" s="20" t="n">
        <x:f>IFERROR(C13/B13,0)</x:f>
        <x:v>0.9736842105263158</x:v>
      </x:c>
    </x:row>
    <x:row r="14">
      <x:c r="A14" t="str">
        <x:v>Foreign Country Quota</x:v>
      </x:c>
      <x:c r="B14" t="n">
        <x:v>7</x:v>
      </x:c>
      <x:c r="C14" t="n">
        <x:v>7</x:v>
      </x:c>
      <x:c r="D14" t="n">
        <x:f>B14-C14</x:f>
        <x:v>0</x:v>
      </x:c>
      <x:c r="E14" s="20" t="n">
        <x:f>IFERROR(C14/B14,0)</x:f>
        <x:v>1</x:v>
      </x:c>
    </x:row>
    <x:row r="15">
      <x:c r="A15" t="str">
        <x:v>NRI-AMU</x:v>
      </x:c>
      <x:c r="B15" t="n">
        <x:v>5</x:v>
      </x:c>
      <x:c r="C15" t="n">
        <x:v>5</x:v>
      </x:c>
      <x:c r="D15" t="n">
        <x:f>B15-C15</x:f>
        <x:v>0</x:v>
      </x:c>
      <x:c r="E15" s="20" t="n">
        <x:f>IFERROR(C15/B15,0)</x:f>
        <x:v>1</x:v>
      </x:c>
    </x:row>
  </x:sheetData>
  <x:conditionalFormatting sqref="D2:D1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{559067EC-30F5-250A-228D-F1FB9E443EA5}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166171f824a4d3f"/>
  <x:tableParts count="1">
    <x:tablePart xmlns:r="http://schemas.openxmlformats.org/officeDocument/2006/relationships" r:id="R1994ad576d844fc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59067EC-30F5-250A-228D-F1FB9E443EA5}">
            <x14:dataBar gradient="1">
              <x14:cfvo type="min"/>
              <x14:cfvo type="max"/>
              <x14:fillColor rgb="FFA02B93"/>
            </x14:dataBar>
          </x14:cfRule>
          <xm:sqref>D2:D15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</x:cols>
  <x:sheetData>
    <x:row r="1">
      <x:c r="A1" s="14" t="str">
        <x:v>State</x:v>
      </x:c>
      <x:c r="B1" s="23" t="str">
        <x:v>NMC Non-INI Total Seats</x:v>
      </x:c>
      <x:c r="C1" s="23" t="str">
        <x:v>NMC Government Seats</x:v>
      </x:c>
      <x:c r="D1" s="23" t="str">
        <x:v>NMC Private Seats</x:v>
      </x:c>
      <x:c r="E1" s="23" t="str">
        <x:v>MCC R1 Offered All Pathways</x:v>
      </x:c>
      <x:c r="F1" s="23" t="str">
        <x:v>R1 Allotted All Pathways</x:v>
      </x:c>
      <x:c r="G1" s="23" t="str">
        <x:v>Net R1 Difference</x:v>
      </x:c>
      <x:c r="H1" s="23" t="str">
        <x:v>R1 Fill Rate</x:v>
      </x:c>
      <x:c r="I1" s="23" t="str">
        <x:v>Regular AIQ Offered</x:v>
      </x:c>
      <x:c r="J1" s="23" t="str">
        <x:v>Regular AIQ Allotted</x:v>
      </x:c>
      <x:c r="K1" s="23" t="str">
        <x:v>Regular AIQ Net Difference</x:v>
      </x:c>
      <x:c r="L1" s="23" t="str">
        <x:v>INI Open-Seat Offered</x:v>
      </x:c>
      <x:c r="M1" s="23" t="str">
        <x:v>INI Open-Seat Allotted</x:v>
      </x:c>
      <x:c r="N1" s="23" t="str">
        <x:v>Self-Financed Offered</x:v>
      </x:c>
      <x:c r="O1" s="23" t="str">
        <x:v>Self-Financed Allotted</x:v>
      </x:c>
      <x:c r="P1" s="23" t="str">
        <x:v>NRI Offered</x:v>
      </x:c>
      <x:c r="Q1" s="23" t="str">
        <x:v>NRI Allotted</x:v>
      </x:c>
      <x:c r="R1" s="23" t="str">
        <x:v>Approx Seats Outside MCC Matrix</x:v>
      </x:c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</x:row>
    <x:row r="2">
      <x:c r="A2" t="str">
        <x:v>Andaman &amp; Nicobar</x:v>
      </x:c>
      <x:c r="B2" t="n">
        <x:v>114</x:v>
      </x:c>
      <x:c r="C2" t="n">
        <x:v>114</x:v>
      </x:c>
      <x:c r="D2" t="n">
        <x:v>0</x:v>
      </x:c>
      <x:c r="E2" t="n">
        <x:v>0</x:v>
      </x:c>
      <x:c r="F2" t="n">
        <x:v>0</x:v>
      </x:c>
      <x:c r="G2" t="n">
        <x:f>E2-F2</x:f>
        <x:v>0</x:v>
      </x:c>
      <x:c r="H2" s="20" t="n">
        <x:f>IFERROR(F2/E2,0)</x:f>
        <x:v>0</x:v>
      </x:c>
      <x:c r="I2" t="n">
        <x:v>0</x:v>
      </x:c>
      <x:c r="J2" t="n">
        <x:v>0</x:v>
      </x:c>
      <x:c r="K2" t="n">
        <x:f>I2-J2</x:f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f>MAX(0,B2-(E2-L2))</x:f>
        <x:v>114</x:v>
      </x:c>
    </x:row>
    <x:row r="3">
      <x:c r="A3" t="str">
        <x:v>Andaman And Nicobar Islands</x:v>
      </x:c>
      <x:c r="B3" t="n">
        <x:v>114</x:v>
      </x:c>
      <x:c r="C3" t="n">
        <x:v>114</x:v>
      </x:c>
      <x:c r="D3" t="n">
        <x:v>0</x:v>
      </x:c>
      <x:c r="E3" t="n">
        <x:v>17</x:v>
      </x:c>
      <x:c r="F3" t="n">
        <x:v>17</x:v>
      </x:c>
      <x:c r="G3" t="n">
        <x:f>E3-F3</x:f>
        <x:v>0</x:v>
      </x:c>
      <x:c r="H3" s="20" t="n">
        <x:f>IFERROR(F3/E3,0)</x:f>
        <x:v>1</x:v>
      </x:c>
      <x:c r="I3" t="n">
        <x:v>17</x:v>
      </x:c>
      <x:c r="J3" t="n">
        <x:v>17</x:v>
      </x:c>
      <x:c r="K3" t="n">
        <x:f>I3-J3</x:f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f>MAX(0,B3-(E3-L3))</x:f>
        <x:v>97</x:v>
      </x:c>
    </x:row>
    <x:row r="4">
      <x:c r="A4" t="str">
        <x:v>Andhra Pradesh</x:v>
      </x:c>
      <x:c r="B4" t="n">
        <x:v>11265</x:v>
      </x:c>
      <x:c r="C4" t="n">
        <x:v>3515</x:v>
      </x:c>
      <x:c r="D4" t="n">
        <x:v>3950</x:v>
      </x:c>
      <x:c r="E4" t="n">
        <x:v>803</x:v>
      </x:c>
      <x:c r="F4" t="n">
        <x:v>779</x:v>
      </x:c>
      <x:c r="G4" t="n">
        <x:f>E4-F4</x:f>
        <x:v>24</x:v>
      </x:c>
      <x:c r="H4" s="20" t="n">
        <x:f>IFERROR(F4/E4,0)</x:f>
        <x:v>0.9701120797011208</x:v>
      </x:c>
      <x:c r="I4" t="n">
        <x:v>528</x:v>
      </x:c>
      <x:c r="J4" t="n">
        <x:v>527</x:v>
      </x:c>
      <x:c r="K4" t="n">
        <x:f>I4-J4</x:f>
        <x:v>1</x:v>
      </x:c>
      <x:c r="L4" t="n">
        <x:v>125</x:v>
      </x:c>
      <x:c r="M4" t="n">
        <x:v>125</x:v>
      </x:c>
      <x:c r="N4" t="n">
        <x:v>127</x:v>
      </x:c>
      <x:c r="O4" t="n">
        <x:v>127</x:v>
      </x:c>
      <x:c r="P4" t="n">
        <x:v>23</x:v>
      </x:c>
      <x:c r="Q4" t="n">
        <x:v>0</x:v>
      </x:c>
      <x:c r="R4" t="n">
        <x:f>MAX(0,B4-(E4-L4))</x:f>
        <x:v>10587</x:v>
      </x:c>
    </x:row>
    <x:row r="5">
      <x:c r="A5" t="str">
        <x:v>Arunachal Pradesh</x:v>
      </x:c>
      <x:c r="B5" t="n">
        <x:v>100</x:v>
      </x:c>
      <x:c r="C5" t="n">
        <x:v>100</x:v>
      </x:c>
      <x:c r="D5" t="n">
        <x:v>0</x:v>
      </x:c>
      <x:c r="E5" t="n">
        <x:v>0</x:v>
      </x:c>
      <x:c r="F5" t="n">
        <x:v>0</x:v>
      </x:c>
      <x:c r="G5" t="n">
        <x:f>E5-F5</x:f>
        <x:v>0</x:v>
      </x:c>
      <x:c r="H5" s="20" t="n">
        <x:f>IFERROR(F5/E5,0)</x:f>
        <x:v>0</x:v>
      </x:c>
      <x:c r="I5" t="n">
        <x:v>0</x:v>
      </x:c>
      <x:c r="J5" t="n">
        <x:v>0</x:v>
      </x:c>
      <x:c r="K5" t="n">
        <x:f>I5-J5</x:f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f>MAX(0,B5-(E5-L5))</x:f>
        <x:v>100</x:v>
      </x:c>
    </x:row>
    <x:row r="6">
      <x:c r="A6" t="str">
        <x:v>Assam</x:v>
      </x:c>
      <x:c r="B6" t="n">
        <x:v>1875</x:v>
      </x:c>
      <x:c r="C6" t="n">
        <x:v>1875</x:v>
      </x:c>
      <x:c r="D6" t="n">
        <x:v>0</x:v>
      </x:c>
      <x:c r="E6" t="n">
        <x:v>407</x:v>
      </x:c>
      <x:c r="F6" t="n">
        <x:v>407</x:v>
      </x:c>
      <x:c r="G6" t="n">
        <x:f>E6-F6</x:f>
        <x:v>0</x:v>
      </x:c>
      <x:c r="H6" s="20" t="n">
        <x:f>IFERROR(F6/E6,0)</x:f>
        <x:v>1</x:v>
      </x:c>
      <x:c r="I6" t="n">
        <x:v>282</x:v>
      </x:c>
      <x:c r="J6" t="n">
        <x:v>282</x:v>
      </x:c>
      <x:c r="K6" t="n">
        <x:f>I6-J6</x:f>
        <x:v>0</x:v>
      </x:c>
      <x:c r="L6" t="n">
        <x:v>100</x:v>
      </x:c>
      <x:c r="M6" t="n">
        <x:v>100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f>MAX(0,B6-(E6-L6))</x:f>
        <x:v>1568</x:v>
      </x:c>
    </x:row>
    <x:row r="7">
      <x:c r="A7" t="str">
        <x:v>Bihar</x:v>
      </x:c>
      <x:c r="B7" t="n">
        <x:v>6060</x:v>
      </x:c>
      <x:c r="C7" t="n">
        <x:v>1710</x:v>
      </x:c>
      <x:c r="D7" t="n">
        <x:v>2450</x:v>
      </x:c>
      <x:c r="E7" t="n">
        <x:v>417</x:v>
      </x:c>
      <x:c r="F7" t="n">
        <x:v>414</x:v>
      </x:c>
      <x:c r="G7" t="n">
        <x:f>E7-F7</x:f>
        <x:v>3</x:v>
      </x:c>
      <x:c r="H7" s="20" t="n">
        <x:f>IFERROR(F7/E7,0)</x:f>
        <x:v>0.9928057553956835</x:v>
      </x:c>
      <x:c r="I7" t="n">
        <x:v>257</x:v>
      </x:c>
      <x:c r="J7" t="n">
        <x:v>256</x:v>
      </x:c>
      <x:c r="K7" t="n">
        <x:f>I7-J7</x:f>
        <x:v>1</x:v>
      </x:c>
      <x:c r="L7" t="n">
        <x:v>125</x:v>
      </x:c>
      <x:c r="M7" t="n">
        <x:v>125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f>MAX(0,B7-(E7-L7))</x:f>
        <x:v>5768</x:v>
      </x:c>
    </x:row>
    <x:row r="8">
      <x:c r="A8" t="str">
        <x:v>Chandigarh</x:v>
      </x:c>
      <x:c r="B8" t="n">
        <x:v>200</x:v>
      </x:c>
      <x:c r="C8" t="n">
        <x:v>200</x:v>
      </x:c>
      <x:c r="D8" t="n">
        <x:v>0</x:v>
      </x:c>
      <x:c r="E8" t="n">
        <x:v>30</x:v>
      </x:c>
      <x:c r="F8" t="n">
        <x:v>30</x:v>
      </x:c>
      <x:c r="G8" t="n">
        <x:f>E8-F8</x:f>
        <x:v>0</x:v>
      </x:c>
      <x:c r="H8" s="20" t="n">
        <x:f>IFERROR(F8/E8,0)</x:f>
        <x:v>1</x:v>
      </x:c>
      <x:c r="I8" t="n">
        <x:v>30</x:v>
      </x:c>
      <x:c r="J8" t="n">
        <x:v>30</x:v>
      </x:c>
      <x:c r="K8" t="n">
        <x:f>I8-J8</x:f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f>MAX(0,B8-(E8-L8))</x:f>
        <x:v>170</x:v>
      </x:c>
    </x:row>
    <x:row r="9">
      <x:c r="A9" t="str">
        <x:v>Chattisgarh</x:v>
      </x:c>
      <x:c r="B9" t="n">
        <x:v>350</x:v>
      </x:c>
      <x:c r="C9" t="n">
        <x:v>250</x:v>
      </x:c>
      <x:c r="D9" t="n">
        <x:v>100</x:v>
      </x:c>
      <x:c r="E9" t="n">
        <x:v>0</x:v>
      </x:c>
      <x:c r="F9" t="n">
        <x:v>0</x:v>
      </x:c>
      <x:c r="G9" t="n">
        <x:f>E9-F9</x:f>
        <x:v>0</x:v>
      </x:c>
      <x:c r="H9" s="20" t="n">
        <x:f>IFERROR(F9/E9,0)</x:f>
        <x:v>0</x:v>
      </x:c>
      <x:c r="I9" t="n">
        <x:v>0</x:v>
      </x:c>
      <x:c r="J9" t="n">
        <x:v>0</x:v>
      </x:c>
      <x:c r="K9" t="n">
        <x:f>I9-J9</x:f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f>MAX(0,B9-(E9-L9))</x:f>
        <x:v>350</x:v>
      </x:c>
    </x:row>
    <x:row r="10">
      <x:c r="A10" t="str">
        <x:v>Chhattisgarh</x:v>
      </x:c>
      <x:c r="B10" t="n">
        <x:v>350</x:v>
      </x:c>
      <x:c r="C10" t="n">
        <x:v>250</x:v>
      </x:c>
      <x:c r="D10" t="n">
        <x:v>100</x:v>
      </x:c>
      <x:c r="E10" t="n">
        <x:v>377</x:v>
      </x:c>
      <x:c r="F10" t="n">
        <x:v>377</x:v>
      </x:c>
      <x:c r="G10" t="n">
        <x:f>E10-F10</x:f>
        <x:v>0</x:v>
      </x:c>
      <x:c r="H10" s="20" t="n">
        <x:f>IFERROR(F10/E10,0)</x:f>
        <x:v>1</x:v>
      </x:c>
      <x:c r="I10" t="n">
        <x:v>252</x:v>
      </x:c>
      <x:c r="J10" t="n">
        <x:v>252</x:v>
      </x:c>
      <x:c r="K10" t="n">
        <x:f>I10-J10</x:f>
        <x:v>0</x:v>
      </x:c>
      <x:c r="L10" t="n">
        <x:v>125</x:v>
      </x:c>
      <x:c r="M10" t="n">
        <x:v>125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f>MAX(0,B10-(E10-L10))</x:f>
        <x:v>98</x:v>
      </x:c>
    </x:row>
    <x:row r="11">
      <x:c r="A11" t="str">
        <x:v>Dadar &amp; Nagar Haveli</x:v>
      </x:c>
      <x:c r="B11" t="n">
        <x:v>177</x:v>
      </x:c>
      <x:c r="C11" t="n">
        <x:v>177</x:v>
      </x:c>
      <x:c r="D11" t="n">
        <x:v>0</x:v>
      </x:c>
      <x:c r="E11" t="n">
        <x:v>0</x:v>
      </x:c>
      <x:c r="F11" t="n">
        <x:v>0</x:v>
      </x:c>
      <x:c r="G11" t="n">
        <x:f>E11-F11</x:f>
        <x:v>0</x:v>
      </x:c>
      <x:c r="H11" s="20" t="n">
        <x:f>IFERROR(F11/E11,0)</x:f>
        <x:v>0</x:v>
      </x:c>
      <x:c r="I11" t="n">
        <x:v>0</x:v>
      </x:c>
      <x:c r="J11" t="n">
        <x:v>0</x:v>
      </x:c>
      <x:c r="K11" t="n">
        <x:f>I11-J11</x:f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f>MAX(0,B11-(E11-L11))</x:f>
        <x:v>177</x:v>
      </x:c>
    </x:row>
    <x:row r="12">
      <x:c r="A12" t="str">
        <x:v>Delhi</x:v>
      </x:c>
      <x:c r="B12" t="n">
        <x:v>1665</x:v>
      </x:c>
      <x:c r="C12" t="n">
        <x:v>1165</x:v>
      </x:c>
      <x:c r="D12" t="n">
        <x:v>250</x:v>
      </x:c>
      <x:c r="E12" t="n">
        <x:v>1363</x:v>
      </x:c>
      <x:c r="F12" t="n">
        <x:v>1334</x:v>
      </x:c>
      <x:c r="G12" t="n">
        <x:f>E12-F12</x:f>
        <x:v>29</x:v>
      </x:c>
      <x:c r="H12" s="20" t="n">
        <x:f>IFERROR(F12/E12,0)</x:f>
        <x:v>0.9787234042553191</x:v>
      </x:c>
      <x:c r="I12" t="n">
        <x:v>273</x:v>
      </x:c>
      <x:c r="J12" t="n">
        <x:v>273</x:v>
      </x:c>
      <x:c r="K12" t="n">
        <x:f>I12-J12</x:f>
        <x:v>0</x:v>
      </x:c>
      <x:c r="L12" t="n">
        <x:v>125</x:v>
      </x:c>
      <x:c r="M12" t="n">
        <x:v>125</x:v>
      </x:c>
      <x:c r="N12" t="n">
        <x:v>52</x:v>
      </x:c>
      <x:c r="O12" t="n">
        <x:v>52</x:v>
      </x:c>
      <x:c r="P12" t="n">
        <x:v>23</x:v>
      </x:c>
      <x:c r="Q12" t="n">
        <x:v>5</x:v>
      </x:c>
      <x:c r="R12" t="n">
        <x:f>MAX(0,B12-(E12-L12))</x:f>
        <x:v>427</x:v>
      </x:c>
    </x:row>
    <x:row r="13">
      <x:c r="A13" t="str">
        <x:v>Goa</x:v>
      </x:c>
      <x:c r="B13" t="n">
        <x:v>250</x:v>
      </x:c>
      <x:c r="C13" t="n">
        <x:v>250</x:v>
      </x:c>
      <x:c r="D13" t="n">
        <x:v>0</x:v>
      </x:c>
      <x:c r="E13" t="n">
        <x:v>37</x:v>
      </x:c>
      <x:c r="F13" t="n">
        <x:v>37</x:v>
      </x:c>
      <x:c r="G13" t="n">
        <x:f>E13-F13</x:f>
        <x:v>0</x:v>
      </x:c>
      <x:c r="H13" s="20" t="n">
        <x:f>IFERROR(F13/E13,0)</x:f>
        <x:v>1</x:v>
      </x:c>
      <x:c r="I13" t="n">
        <x:v>37</x:v>
      </x:c>
      <x:c r="J13" t="n">
        <x:v>37</x:v>
      </x:c>
      <x:c r="K13" t="n">
        <x:f>I13-J13</x:f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f>MAX(0,B13-(E13-L13))</x:f>
        <x:v>213</x:v>
      </x:c>
    </x:row>
    <x:row r="14">
      <x:c r="A14" t="str">
        <x:v>Gujarat</x:v>
      </x:c>
      <x:c r="B14" t="n">
        <x:v>11050</x:v>
      </x:c>
      <x:c r="C14" t="n">
        <x:v>4250</x:v>
      </x:c>
      <x:c r="D14" t="n">
        <x:v>3500</x:v>
      </x:c>
      <x:c r="E14" t="n">
        <x:v>642</x:v>
      </x:c>
      <x:c r="F14" t="n">
        <x:v>574</x:v>
      </x:c>
      <x:c r="G14" t="n">
        <x:f>E14-F14</x:f>
        <x:v>68</x:v>
      </x:c>
      <x:c r="H14" s="20" t="n">
        <x:f>IFERROR(F14/E14,0)</x:f>
        <x:v>0.8940809968847352</x:v>
      </x:c>
      <x:c r="I14" t="n">
        <x:v>292</x:v>
      </x:c>
      <x:c r="J14" t="n">
        <x:v>290</x:v>
      </x:c>
      <x:c r="K14" t="n">
        <x:f>I14-J14</x:f>
        <x:v>2</x:v>
      </x:c>
      <x:c r="L14" t="n">
        <x:v>75</x:v>
      </x:c>
      <x:c r="M14" t="n">
        <x:v>75</x:v>
      </x:c>
      <x:c r="N14" t="n">
        <x:v>107</x:v>
      </x:c>
      <x:c r="O14" t="n">
        <x:v>107</x:v>
      </x:c>
      <x:c r="P14" t="n">
        <x:v>37</x:v>
      </x:c>
      <x:c r="Q14" t="n">
        <x:v>0</x:v>
      </x:c>
      <x:c r="R14" t="n">
        <x:f>MAX(0,B14-(E14-L14))</x:f>
        <x:v>10483</x:v>
      </x:c>
    </x:row>
    <x:row r="15">
      <x:c r="A15" t="str">
        <x:v>HARYANA</x:v>
      </x:c>
      <x:c r="B15" t="n">
        <x:v>100</x:v>
      </x:c>
      <x:c r="C15" t="n">
        <x:v>0</x:v>
      </x:c>
      <x:c r="D15" t="n">
        <x:v>100</x:v>
      </x:c>
      <x:c r="E15" t="n">
        <x:v>0</x:v>
      </x:c>
      <x:c r="F15" t="n">
        <x:v>0</x:v>
      </x:c>
      <x:c r="G15" t="n">
        <x:f>E15-F15</x:f>
        <x:v>0</x:v>
      </x:c>
      <x:c r="H15" s="20" t="n">
        <x:f>IFERROR(F15/E15,0)</x:f>
        <x:v>0</x:v>
      </x:c>
      <x:c r="I15" t="n">
        <x:v>0</x:v>
      </x:c>
      <x:c r="J15" t="n">
        <x:v>0</x:v>
      </x:c>
      <x:c r="K15" t="n">
        <x:f>I15-J15</x:f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f>MAX(0,B15-(E15-L15))</x:f>
        <x:v>100</x:v>
      </x:c>
    </x:row>
    <x:row r="16">
      <x:c r="A16" t="str">
        <x:v>Haryana</x:v>
      </x:c>
      <x:c r="B16" t="n">
        <x:v>4510</x:v>
      </x:c>
      <x:c r="C16" t="n">
        <x:v>1060</x:v>
      </x:c>
      <x:c r="D16" t="n">
        <x:v>1800</x:v>
      </x:c>
      <x:c r="E16" t="n">
        <x:v>661</x:v>
      </x:c>
      <x:c r="F16" t="n">
        <x:v>608</x:v>
      </x:c>
      <x:c r="G16" t="n">
        <x:f>E16-F16</x:f>
        <x:v>53</x:v>
      </x:c>
      <x:c r="H16" s="20" t="n">
        <x:f>IFERROR(F16/E16,0)</x:f>
        <x:v>0.9198184568835098</x:v>
      </x:c>
      <x:c r="I16" t="n">
        <x:v>158</x:v>
      </x:c>
      <x:c r="J16" t="n">
        <x:v>158</x:v>
      </x:c>
      <x:c r="K16" t="n">
        <x:f>I16-J16</x:f>
        <x:v>0</x:v>
      </x:c>
      <x:c r="L16" t="n">
        <x:v>50</x:v>
      </x:c>
      <x:c r="M16" t="n">
        <x:v>50</x:v>
      </x:c>
      <x:c r="N16" t="n">
        <x:v>348</x:v>
      </x:c>
      <x:c r="O16" t="n">
        <x:v>348</x:v>
      </x:c>
      <x:c r="P16" t="n">
        <x:v>52</x:v>
      </x:c>
      <x:c r="Q16" t="n">
        <x:v>1</x:v>
      </x:c>
      <x:c r="R16" t="n">
        <x:f>MAX(0,B16-(E16-L16))</x:f>
        <x:v>3899</x:v>
      </x:c>
    </x:row>
    <x:row r="17">
      <x:c r="A17" t="str">
        <x:v>Himachal Pradesh</x:v>
      </x:c>
      <x:c r="B17" t="n">
        <x:v>1021</x:v>
      </x:c>
      <x:c r="C17" t="n">
        <x:v>721</x:v>
      </x:c>
      <x:c r="D17" t="n">
        <x:v>150</x:v>
      </x:c>
      <x:c r="E17" t="n">
        <x:v>269</x:v>
      </x:c>
      <x:c r="F17" t="n">
        <x:v>269</x:v>
      </x:c>
      <x:c r="G17" t="n">
        <x:f>E17-F17</x:f>
        <x:v>0</x:v>
      </x:c>
      <x:c r="H17" s="20" t="n">
        <x:f>IFERROR(F17/E17,0)</x:f>
        <x:v>1</x:v>
      </x:c>
      <x:c r="I17" t="n">
        <x:v>108</x:v>
      </x:c>
      <x:c r="J17" t="n">
        <x:v>108</x:v>
      </x:c>
      <x:c r="K17" t="n">
        <x:f>I17-J17</x:f>
        <x:v>0</x:v>
      </x:c>
      <x:c r="L17" t="n">
        <x:v>125</x:v>
      </x:c>
      <x:c r="M17" t="n">
        <x:v>125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f>MAX(0,B17-(E17-L17))</x:f>
        <x:v>877</x:v>
      </x:c>
    </x:row>
    <x:row r="18">
      <x:c r="A18" t="str">
        <x:v>Jammu And Kashmir</x:v>
      </x:c>
      <x:c r="B18" t="n">
        <x:v>1825</x:v>
      </x:c>
      <x:c r="C18" t="n">
        <x:v>1525</x:v>
      </x:c>
      <x:c r="D18" t="n">
        <x:v>150</x:v>
      </x:c>
      <x:c r="E18" t="n">
        <x:v>363</x:v>
      </x:c>
      <x:c r="F18" t="n">
        <x:v>363</x:v>
      </x:c>
      <x:c r="G18" t="n">
        <x:f>E18-F18</x:f>
        <x:v>0</x:v>
      </x:c>
      <x:c r="H18" s="20" t="n">
        <x:f>IFERROR(F18/E18,0)</x:f>
        <x:v>1</x:v>
      </x:c>
      <x:c r="I18" t="n">
        <x:v>238</x:v>
      </x:c>
      <x:c r="J18" t="n">
        <x:v>238</x:v>
      </x:c>
      <x:c r="K18" t="n">
        <x:f>I18-J18</x:f>
        <x:v>0</x:v>
      </x:c>
      <x:c r="L18" t="n">
        <x:v>125</x:v>
      </x:c>
      <x:c r="M18" t="n">
        <x:v>125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f>MAX(0,B18-(E18-L18))</x:f>
        <x:v>1587</x:v>
      </x:c>
    </x:row>
    <x:row r="19">
      <x:c r="A19" t="str">
        <x:v>Jammu and Kashmir</x:v>
      </x:c>
      <x:c r="B19" t="n">
        <x:v>1825</x:v>
      </x:c>
      <x:c r="C19" t="n">
        <x:v>1525</x:v>
      </x:c>
      <x:c r="D19" t="n">
        <x:v>150</x:v>
      </x:c>
      <x:c r="E19" t="n">
        <x:v>0</x:v>
      </x:c>
      <x:c r="F19" t="n">
        <x:v>0</x:v>
      </x:c>
      <x:c r="G19" t="n">
        <x:f>E19-F19</x:f>
        <x:v>0</x:v>
      </x:c>
      <x:c r="H19" s="20" t="n">
        <x:f>IFERROR(F19/E19,0)</x:f>
        <x:v>0</x:v>
      </x:c>
      <x:c r="I19" t="n">
        <x:v>0</x:v>
      </x:c>
      <x:c r="J19" t="n">
        <x:v>0</x:v>
      </x:c>
      <x:c r="K19" t="n">
        <x:f>I19-J19</x:f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f>MAX(0,B19-(E19-L19))</x:f>
        <x:v>1825</x:v>
      </x:c>
    </x:row>
    <x:row r="20">
      <x:c r="A20" t="str">
        <x:v>Jharkhand</x:v>
      </x:c>
      <x:c r="B20" t="n">
        <x:v>1900</x:v>
      </x:c>
      <x:c r="C20" t="n">
        <x:v>800</x:v>
      </x:c>
      <x:c r="D20" t="n">
        <x:v>700</x:v>
      </x:c>
      <x:c r="E20" t="n">
        <x:v>470</x:v>
      </x:c>
      <x:c r="F20" t="n">
        <x:v>459</x:v>
      </x:c>
      <x:c r="G20" t="n">
        <x:f>E20-F20</x:f>
        <x:v>11</x:v>
      </x:c>
      <x:c r="H20" s="20" t="n">
        <x:f>IFERROR(F20/E20,0)</x:f>
        <x:v>0.9765957446808511</x:v>
      </x:c>
      <x:c r="I20" t="n">
        <x:v>120</x:v>
      </x:c>
      <x:c r="J20" t="n">
        <x:v>120</x:v>
      </x:c>
      <x:c r="K20" t="n">
        <x:f>I20-J20</x:f>
        <x:v>0</x:v>
      </x:c>
      <x:c r="L20" t="n">
        <x:v>125</x:v>
      </x:c>
      <x:c r="M20" t="n">
        <x:v>125</x:v>
      </x:c>
      <x:c r="N20" t="n">
        <x:v>210</x:v>
      </x:c>
      <x:c r="O20" t="n">
        <x:v>210</x:v>
      </x:c>
      <x:c r="P20" t="n">
        <x:v>15</x:v>
      </x:c>
      <x:c r="Q20" t="n">
        <x:v>4</x:v>
      </x:c>
      <x:c r="R20" t="n">
        <x:f>MAX(0,B20-(E20-L20))</x:f>
        <x:v>1555</x:v>
      </x:c>
    </x:row>
    <x:row r="21">
      <x:c r="A21" t="str">
        <x:v>Karnataka</x:v>
      </x:c>
      <x:c r="B21" t="n">
        <x:v>25240</x:v>
      </x:c>
      <x:c r="C21" t="n">
        <x:v>4400</x:v>
      </x:c>
      <x:c r="D21" t="n">
        <x:v>10995</x:v>
      </x:c>
      <x:c r="E21" t="n">
        <x:v>3720</x:v>
      </x:c>
      <x:c r="F21" t="n">
        <x:v>3421</x:v>
      </x:c>
      <x:c r="G21" t="n">
        <x:f>E21-F21</x:f>
        <x:v>299</x:v>
      </x:c>
      <x:c r="H21" s="20" t="n">
        <x:f>IFERROR(F21/E21,0)</x:f>
        <x:v>0.9196236559139785</x:v>
      </x:c>
      <x:c r="I21" t="n">
        <x:v>673</x:v>
      </x:c>
      <x:c r="J21" t="n">
        <x:v>671</x:v>
      </x:c>
      <x:c r="K21" t="n">
        <x:f>I21-J21</x:f>
        <x:v>2</x:v>
      </x:c>
      <x:c r="L21" t="n">
        <x:v>0</x:v>
      </x:c>
      <x:c r="M21" t="n">
        <x:v>0</x:v>
      </x:c>
      <x:c r="N21" t="n">
        <x:v>2411</x:v>
      </x:c>
      <x:c r="O21" t="n">
        <x:v>2411</x:v>
      </x:c>
      <x:c r="P21" t="n">
        <x:v>435</x:v>
      </x:c>
      <x:c r="Q21" t="n">
        <x:v>144</x:v>
      </x:c>
      <x:c r="R21" t="n">
        <x:f>MAX(0,B21-(E21-L21))</x:f>
        <x:v>21520</x:v>
      </x:c>
    </x:row>
    <x:row r="22">
      <x:c r="A22" t="str">
        <x:v>Kerala</x:v>
      </x:c>
      <x:c r="B22" t="n">
        <x:v>9303</x:v>
      </x:c>
      <x:c r="C22" t="n">
        <x:v>1855</x:v>
      </x:c>
      <x:c r="D22" t="n">
        <x:v>3849</x:v>
      </x:c>
      <x:c r="E22" t="n">
        <x:v>465</x:v>
      </x:c>
      <x:c r="F22" t="n">
        <x:v>448</x:v>
      </x:c>
      <x:c r="G22" t="n">
        <x:f>E22-F22</x:f>
        <x:v>17</x:v>
      </x:c>
      <x:c r="H22" s="20" t="n">
        <x:f>IFERROR(F22/E22,0)</x:f>
        <x:v>0.9634408602150538</x:v>
      </x:c>
      <x:c r="I22" t="n">
        <x:v>277</x:v>
      </x:c>
      <x:c r="J22" t="n">
        <x:v>276</x:v>
      </x:c>
      <x:c r="K22" t="n">
        <x:f>I22-J22</x:f>
        <x:v>1</x:v>
      </x:c>
      <x:c r="L22" t="n">
        <x:v>0</x:v>
      </x:c>
      <x:c r="M22" t="n">
        <x:v>0</x:v>
      </x:c>
      <x:c r="N22" t="n">
        <x:v>126</x:v>
      </x:c>
      <x:c r="O22" t="n">
        <x:v>126</x:v>
      </x:c>
      <x:c r="P22" t="n">
        <x:v>23</x:v>
      </x:c>
      <x:c r="Q22" t="n">
        <x:v>10</x:v>
      </x:c>
      <x:c r="R22" t="n">
        <x:f>MAX(0,B22-(E22-L22))</x:f>
        <x:v>8838</x:v>
      </x:c>
    </x:row>
    <x:row r="23">
      <x:c r="A23" t="str">
        <x:v>Madhya Pradesh</x:v>
      </x:c>
      <x:c r="B23" t="n">
        <x:v>8720</x:v>
      </x:c>
      <x:c r="C23" t="n">
        <x:v>3020</x:v>
      </x:c>
      <x:c r="D23" t="n">
        <x:v>3000</x:v>
      </x:c>
      <x:c r="E23" t="n">
        <x:v>594</x:v>
      </x:c>
      <x:c r="F23" t="n">
        <x:v>594</x:v>
      </x:c>
      <x:c r="G23" t="n">
        <x:f>E23-F23</x:f>
        <x:v>0</x:v>
      </x:c>
      <x:c r="H23" s="20" t="n">
        <x:f>IFERROR(F23/E23,0)</x:f>
        <x:v>1</x:v>
      </x:c>
      <x:c r="I23" t="n">
        <x:v>451</x:v>
      </x:c>
      <x:c r="J23" t="n">
        <x:v>451</x:v>
      </x:c>
      <x:c r="K23" t="n">
        <x:f>I23-J23</x:f>
        <x:v>0</x:v>
      </x:c>
      <x:c r="L23" t="n">
        <x:v>125</x:v>
      </x:c>
      <x:c r="M23" t="n">
        <x:v>125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f>MAX(0,B23-(E23-L23))</x:f>
        <x:v>8251</x:v>
      </x:c>
    </x:row>
    <x:row r="24">
      <x:c r="A24" t="str">
        <x:v>Maharashtra</x:v>
      </x:c>
      <x:c r="B24" t="n">
        <x:v>19848</x:v>
      </x:c>
      <x:c r="C24" t="n">
        <x:v>6000</x:v>
      </x:c>
      <x:c r="D24" t="n">
        <x:v>7099</x:v>
      </x:c>
      <x:c r="E24" t="n">
        <x:v>4225</x:v>
      </x:c>
      <x:c r="F24" t="n">
        <x:v>3798</x:v>
      </x:c>
      <x:c r="G24" t="n">
        <x:f>E24-F24</x:f>
        <x:v>427</x:v>
      </x:c>
      <x:c r="H24" s="20" t="n">
        <x:f>IFERROR(F24/E24,0)</x:f>
        <x:v>0.8989349112426035</x:v>
      </x:c>
      <x:c r="I24" t="n">
        <x:v>925</x:v>
      </x:c>
      <x:c r="J24" t="n">
        <x:v>924</x:v>
      </x:c>
      <x:c r="K24" t="n">
        <x:f>I24-J24</x:f>
        <x:v>1</x:v>
      </x:c>
      <x:c r="L24" t="n">
        <x:v>125</x:v>
      </x:c>
      <x:c r="M24" t="n">
        <x:v>125</x:v>
      </x:c>
      <x:c r="N24" t="n">
        <x:v>2677</x:v>
      </x:c>
      <x:c r="O24" t="n">
        <x:v>2677</x:v>
      </x:c>
      <x:c r="P24" t="n">
        <x:v>473</x:v>
      </x:c>
      <x:c r="Q24" t="n">
        <x:v>48</x:v>
      </x:c>
      <x:c r="R24" t="n">
        <x:f>MAX(0,B24-(E24-L24))</x:f>
        <x:v>15748</x:v>
      </x:c>
    </x:row>
    <x:row r="25">
      <x:c r="A25" t="str">
        <x:v>Manipur</x:v>
      </x:c>
      <x:c r="B25" t="n">
        <x:v>700</x:v>
      </x:c>
      <x:c r="C25" t="n">
        <x:v>400</x:v>
      </x:c>
      <x:c r="D25" t="n">
        <x:v>150</x:v>
      </x:c>
      <x:c r="E25" t="n">
        <x:v>60</x:v>
      </x:c>
      <x:c r="F25" t="n">
        <x:v>59</x:v>
      </x:c>
      <x:c r="G25" t="n">
        <x:f>E25-F25</x:f>
        <x:v>1</x:v>
      </x:c>
      <x:c r="H25" s="20" t="n">
        <x:f>IFERROR(F25/E25,0)</x:f>
        <x:v>0.9833333333333333</x:v>
      </x:c>
      <x:c r="I25" t="n">
        <x:v>60</x:v>
      </x:c>
      <x:c r="J25" t="n">
        <x:v>59</x:v>
      </x:c>
      <x:c r="K25" t="n">
        <x:f>I25-J25</x:f>
        <x:v>1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f>MAX(0,B25-(E25-L25))</x:f>
        <x:v>640</x:v>
      </x:c>
    </x:row>
    <x:row r="26">
      <x:c r="A26" t="str">
        <x:v>Meghalaya</x:v>
      </x:c>
      <x:c r="B26" t="n">
        <x:v>400</x:v>
      </x:c>
      <x:c r="C26" t="n">
        <x:v>100</x:v>
      </x:c>
      <x:c r="D26" t="n">
        <x:v>150</x:v>
      </x:c>
      <x:c r="E26" t="n">
        <x:v>16</x:v>
      </x:c>
      <x:c r="F26" t="n">
        <x:v>16</x:v>
      </x:c>
      <x:c r="G26" t="n">
        <x:f>E26-F26</x:f>
        <x:v>0</x:v>
      </x:c>
      <x:c r="H26" s="20" t="n">
        <x:f>IFERROR(F26/E26,0)</x:f>
        <x:v>1</x:v>
      </x:c>
      <x:c r="I26" t="n">
        <x:v>16</x:v>
      </x:c>
      <x:c r="J26" t="n">
        <x:v>16</x:v>
      </x:c>
      <x:c r="K26" t="n">
        <x:f>I26-J26</x:f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f>MAX(0,B26-(E26-L26))</x:f>
        <x:v>384</x:v>
      </x:c>
    </x:row>
    <x:row r="27">
      <x:c r="A27" t="str">
        <x:v>Mizoram</x:v>
      </x:c>
      <x:c r="B27" t="n">
        <x:v>100</x:v>
      </x:c>
      <x:c r="C27" t="n">
        <x:v>100</x:v>
      </x:c>
      <x:c r="D27" t="n">
        <x:v>0</x:v>
      </x:c>
      <x:c r="E27" t="n">
        <x:v>15</x:v>
      </x:c>
      <x:c r="F27" t="n">
        <x:v>15</x:v>
      </x:c>
      <x:c r="G27" t="n">
        <x:f>E27-F27</x:f>
        <x:v>0</x:v>
      </x:c>
      <x:c r="H27" s="20" t="n">
        <x:f>IFERROR(F27/E27,0)</x:f>
        <x:v>1</x:v>
      </x:c>
      <x:c r="I27" t="n">
        <x:v>15</x:v>
      </x:c>
      <x:c r="J27" t="n">
        <x:v>15</x:v>
      </x:c>
      <x:c r="K27" t="n">
        <x:f>I27-J27</x:f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f>MAX(0,B27-(E27-L27))</x:f>
        <x:v>85</x:v>
      </x:c>
    </x:row>
    <x:row r="28">
      <x:c r="A28" t="str">
        <x:v>Nagaland</x:v>
      </x:c>
      <x:c r="B28" t="n">
        <x:v>100</x:v>
      </x:c>
      <x:c r="C28" t="n">
        <x:v>100</x:v>
      </x:c>
      <x:c r="D28" t="n">
        <x:v>0</x:v>
      </x:c>
      <x:c r="E28" t="n">
        <x:v>15</x:v>
      </x:c>
      <x:c r="F28" t="n">
        <x:v>15</x:v>
      </x:c>
      <x:c r="G28" t="n">
        <x:f>E28-F28</x:f>
        <x:v>0</x:v>
      </x:c>
      <x:c r="H28" s="20" t="n">
        <x:f>IFERROR(F28/E28,0)</x:f>
        <x:v>1</x:v>
      </x:c>
      <x:c r="I28" t="n">
        <x:v>15</x:v>
      </x:c>
      <x:c r="J28" t="n">
        <x:v>15</x:v>
      </x:c>
      <x:c r="K28" t="n">
        <x:f>I28-J28</x:f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f>MAX(0,B28-(E28-L28))</x:f>
        <x:v>85</x:v>
      </x:c>
    </x:row>
    <x:row r="29">
      <x:c r="A29" t="str">
        <x:v>Odisha</x:v>
      </x:c>
      <x:c r="B29" t="n">
        <x:v>4050</x:v>
      </x:c>
      <x:c r="C29" t="n">
        <x:v>1850</x:v>
      </x:c>
      <x:c r="D29" t="n">
        <x:v>1100</x:v>
      </x:c>
      <x:c r="E29" t="n">
        <x:v>1153</x:v>
      </x:c>
      <x:c r="F29" t="n">
        <x:v>1107</x:v>
      </x:c>
      <x:c r="G29" t="n">
        <x:f>E29-F29</x:f>
        <x:v>46</x:v>
      </x:c>
      <x:c r="H29" s="20" t="n">
        <x:f>IFERROR(F29/E29,0)</x:f>
        <x:v>0.9601040763226366</x:v>
      </x:c>
      <x:c r="I29" t="n">
        <x:v>278</x:v>
      </x:c>
      <x:c r="J29" t="n">
        <x:v>277</x:v>
      </x:c>
      <x:c r="K29" t="n">
        <x:f>I29-J29</x:f>
        <x:v>1</x:v>
      </x:c>
      <x:c r="L29" t="n">
        <x:v>125</x:v>
      </x:c>
      <x:c r="M29" t="n">
        <x:v>125</x:v>
      </x:c>
      <x:c r="N29" t="n">
        <x:v>698</x:v>
      </x:c>
      <x:c r="O29" t="n">
        <x:v>698</x:v>
      </x:c>
      <x:c r="P29" t="n">
        <x:v>52</x:v>
      </x:c>
      <x:c r="Q29" t="n">
        <x:v>7</x:v>
      </x:c>
      <x:c r="R29" t="n">
        <x:f>MAX(0,B29-(E29-L29))</x:f>
        <x:v>3022</x:v>
      </x:c>
    </x:row>
    <x:row r="30">
      <x:c r="A30" t="str">
        <x:v>Puducherry</x:v>
      </x:c>
      <x:c r="B30" t="n">
        <x:v>3230</x:v>
      </x:c>
      <x:c r="C30" t="n">
        <x:v>180</x:v>
      </x:c>
      <x:c r="D30" t="n">
        <x:v>1600</x:v>
      </x:c>
      <x:c r="E30" t="n">
        <x:v>1120</x:v>
      </x:c>
      <x:c r="F30" t="n">
        <x:v>967</x:v>
      </x:c>
      <x:c r="G30" t="n">
        <x:f>E30-F30</x:f>
        <x:v>153</x:v>
      </x:c>
      <x:c r="H30" s="20" t="n">
        <x:f>IFERROR(F30/E30,0)</x:f>
        <x:v>0.8633928571428572</x:v>
      </x:c>
      <x:c r="I30" t="n">
        <x:v>27</x:v>
      </x:c>
      <x:c r="J30" t="n">
        <x:v>27</x:v>
      </x:c>
      <x:c r="K30" t="n">
        <x:f>I30-J30</x:f>
        <x:v>0</x:v>
      </x:c>
      <x:c r="L30" t="n">
        <x:v>179</x:v>
      </x:c>
      <x:c r="M30" t="n">
        <x:v>179</x:v>
      </x:c>
      <x:c r="N30" t="n">
        <x:v>835</x:v>
      </x:c>
      <x:c r="O30" t="n">
        <x:v>705</x:v>
      </x:c>
      <x:c r="P30" t="n">
        <x:v>15</x:v>
      </x:c>
      <x:c r="Q30" t="n">
        <x:v>1</x:v>
      </x:c>
      <x:c r="R30" t="n">
        <x:f>MAX(0,B30-(E30-L30))</x:f>
        <x:v>2289</x:v>
      </x:c>
    </x:row>
    <x:row r="31">
      <x:c r="A31" t="str">
        <x:v>Punjab</x:v>
      </x:c>
      <x:c r="B31" t="n">
        <x:v>2750</x:v>
      </x:c>
      <x:c r="C31" t="n">
        <x:v>900</x:v>
      </x:c>
      <x:c r="D31" t="n">
        <x:v>950</x:v>
      </x:c>
      <x:c r="E31" t="n">
        <x:v>284</x:v>
      </x:c>
      <x:c r="F31" t="n">
        <x:v>283</x:v>
      </x:c>
      <x:c r="G31" t="n">
        <x:f>E31-F31</x:f>
        <x:v>1</x:v>
      </x:c>
      <x:c r="H31" s="20" t="n">
        <x:f>IFERROR(F31/E31,0)</x:f>
        <x:v>0.9964788732394366</x:v>
      </x:c>
      <x:c r="I31" t="n">
        <x:v>134</x:v>
      </x:c>
      <x:c r="J31" t="n">
        <x:v>134</x:v>
      </x:c>
      <x:c r="K31" t="n">
        <x:f>I31-J31</x:f>
        <x:v>0</x:v>
      </x:c>
      <x:c r="L31" t="n">
        <x:v>125</x:v>
      </x:c>
      <x:c r="M31" t="n">
        <x:v>125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f>MAX(0,B31-(E31-L31))</x:f>
        <x:v>2591</x:v>
      </x:c>
    </x:row>
    <x:row r="32">
      <x:c r="A32" t="str">
        <x:v>Rajasthan</x:v>
      </x:c>
      <x:c r="B32" t="n">
        <x:v>10780</x:v>
      </x:c>
      <x:c r="C32" t="n">
        <x:v>4480</x:v>
      </x:c>
      <x:c r="D32" t="n">
        <x:v>3600</x:v>
      </x:c>
      <x:c r="E32" t="n">
        <x:v>873</x:v>
      </x:c>
      <x:c r="F32" t="n">
        <x:v>869</x:v>
      </x:c>
      <x:c r="G32" t="n">
        <x:f>E32-F32</x:f>
        <x:v>4</x:v>
      </x:c>
      <x:c r="H32" s="20" t="n">
        <x:f>IFERROR(F32/E32,0)</x:f>
        <x:v>0.995418098510882</x:v>
      </x:c>
      <x:c r="I32" t="n">
        <x:v>670</x:v>
      </x:c>
      <x:c r="J32" t="n">
        <x:v>669</x:v>
      </x:c>
      <x:c r="K32" t="n">
        <x:f>I32-J32</x:f>
        <x:v>1</x:v>
      </x:c>
      <x:c r="L32" t="n">
        <x:v>150</x:v>
      </x:c>
      <x:c r="M32" t="n">
        <x:v>150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f>MAX(0,B32-(E32-L32))</x:f>
        <x:v>10057</x:v>
      </x:c>
    </x:row>
    <x:row r="33">
      <x:c r="A33" t="str">
        <x:v>Sikkim</x:v>
      </x:c>
      <x:c r="B33" t="n">
        <x:v>300</x:v>
      </x:c>
      <x:c r="C33" t="n">
        <x:v>100</x:v>
      </x:c>
      <x:c r="D33" t="n">
        <x:v>100</x:v>
      </x:c>
      <x:c r="E33" t="n">
        <x:v>15</x:v>
      </x:c>
      <x:c r="F33" t="n">
        <x:v>15</x:v>
      </x:c>
      <x:c r="G33" t="n">
        <x:f>E33-F33</x:f>
        <x:v>0</x:v>
      </x:c>
      <x:c r="H33" s="20" t="n">
        <x:f>IFERROR(F33/E33,0)</x:f>
        <x:v>1</x:v>
      </x:c>
      <x:c r="I33" t="n">
        <x:v>15</x:v>
      </x:c>
      <x:c r="J33" t="n">
        <x:v>15</x:v>
      </x:c>
      <x:c r="K33" t="n">
        <x:f>I33-J33</x:f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f>MAX(0,B33-(E33-L33))</x:f>
        <x:v>285</x:v>
      </x:c>
    </x:row>
    <x:row r="34">
      <x:c r="A34" t="str">
        <x:v>Tamil Nadu</x:v>
      </x:c>
      <x:c r="B34" t="n">
        <x:v>21849</x:v>
      </x:c>
      <x:c r="C34" t="n">
        <x:v>5349</x:v>
      </x:c>
      <x:c r="D34" t="n">
        <x:v>8650</x:v>
      </x:c>
      <x:c r="E34" t="n">
        <x:v>4746</x:v>
      </x:c>
      <x:c r="F34" t="n">
        <x:v>4346</x:v>
      </x:c>
      <x:c r="G34" t="n">
        <x:f>E34-F34</x:f>
        <x:v>400</x:v>
      </x:c>
      <x:c r="H34" s="20" t="n">
        <x:f>IFERROR(F34/E34,0)</x:f>
        <x:v>0.9157184997892962</x:v>
      </x:c>
      <x:c r="I34" t="n">
        <x:v>796</x:v>
      </x:c>
      <x:c r="J34" t="n">
        <x:v>794</x:v>
      </x:c>
      <x:c r="K34" t="n">
        <x:f>I34-J34</x:f>
        <x:v>2</x:v>
      </x:c>
      <x:c r="L34" t="n">
        <x:v>50</x:v>
      </x:c>
      <x:c r="M34" t="n">
        <x:v>50</x:v>
      </x:c>
      <x:c r="N34" t="n">
        <x:v>3604</x:v>
      </x:c>
      <x:c r="O34" t="n">
        <x:v>3431</x:v>
      </x:c>
      <x:c r="P34" t="n">
        <x:v>246</x:v>
      </x:c>
      <x:c r="Q34" t="n">
        <x:v>23</x:v>
      </x:c>
      <x:c r="R34" t="n">
        <x:f>MAX(0,B34-(E34-L34))</x:f>
        <x:v>17153</x:v>
      </x:c>
    </x:row>
    <x:row r="35">
      <x:c r="A35" t="str">
        <x:v>Telangana</x:v>
      </x:c>
      <x:c r="B35" t="n">
        <x:v>15400</x:v>
      </x:c>
      <x:c r="C35" t="n">
        <x:v>4400</x:v>
      </x:c>
      <x:c r="D35" t="n">
        <x:v>5850</x:v>
      </x:c>
      <x:c r="E35" t="n">
        <x:v>1277</x:v>
      </x:c>
      <x:c r="F35" t="n">
        <x:v>1215</x:v>
      </x:c>
      <x:c r="G35" t="n">
        <x:f>E35-F35</x:f>
        <x:v>62</x:v>
      </x:c>
      <x:c r="H35" s="20" t="n">
        <x:f>IFERROR(F35/E35,0)</x:f>
        <x:v>0.9514487079091621</x:v>
      </x:c>
      <x:c r="I35" t="n">
        <x:v>624</x:v>
      </x:c>
      <x:c r="J35" t="n">
        <x:v>624</x:v>
      </x:c>
      <x:c r="K35" t="n">
        <x:f>I35-J35</x:f>
        <x:v>0</x:v>
      </x:c>
      <x:c r="L35" t="n">
        <x:v>100</x:v>
      </x:c>
      <x:c r="M35" t="n">
        <x:v>100</x:v>
      </x:c>
      <x:c r="N35" t="n">
        <x:v>438</x:v>
      </x:c>
      <x:c r="O35" t="n">
        <x:v>438</x:v>
      </x:c>
      <x:c r="P35" t="n">
        <x:v>62</x:v>
      </x:c>
      <x:c r="Q35" t="n">
        <x:v>1</x:v>
      </x:c>
      <x:c r="R35" t="n">
        <x:f>MAX(0,B35-(E35-L35))</x:f>
        <x:v>14223</x:v>
      </x:c>
    </x:row>
    <x:row r="36">
      <x:c r="A36" t="str">
        <x:v>The Dadra And Nagar Haveli And Daman And Diu</x:v>
      </x:c>
      <x:c r="B36" t="n">
        <x:v>177</x:v>
      </x:c>
      <x:c r="C36" t="n">
        <x:v>177</x:v>
      </x:c>
      <x:c r="D36" t="n">
        <x:v>0</x:v>
      </x:c>
      <x:c r="E36" t="n">
        <x:v>27</x:v>
      </x:c>
      <x:c r="F36" t="n">
        <x:v>27</x:v>
      </x:c>
      <x:c r="G36" t="n">
        <x:f>E36-F36</x:f>
        <x:v>0</x:v>
      </x:c>
      <x:c r="H36" s="20" t="n">
        <x:f>IFERROR(F36/E36,0)</x:f>
        <x:v>1</x:v>
      </x:c>
      <x:c r="I36" t="n">
        <x:v>27</x:v>
      </x:c>
      <x:c r="J36" t="n">
        <x:v>27</x:v>
      </x:c>
      <x:c r="K36" t="n">
        <x:f>I36-J36</x:f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f>MAX(0,B36-(E36-L36))</x:f>
        <x:v>150</x:v>
      </x:c>
    </x:row>
    <x:row r="37">
      <x:c r="A37" t="str">
        <x:v>Tripura</x:v>
      </x:c>
      <x:c r="B37" t="n">
        <x:v>800</x:v>
      </x:c>
      <x:c r="C37" t="n">
        <x:v>200</x:v>
      </x:c>
      <x:c r="D37" t="n">
        <x:v>300</x:v>
      </x:c>
      <x:c r="E37" t="n">
        <x:v>30</x:v>
      </x:c>
      <x:c r="F37" t="n">
        <x:v>28</x:v>
      </x:c>
      <x:c r="G37" t="n">
        <x:f>E37-F37</x:f>
        <x:v>2</x:v>
      </x:c>
      <x:c r="H37" s="20" t="n">
        <x:f>IFERROR(F37/E37,0)</x:f>
        <x:v>0.9333333333333333</x:v>
      </x:c>
      <x:c r="I37" t="n">
        <x:v>30</x:v>
      </x:c>
      <x:c r="J37" t="n">
        <x:v>28</x:v>
      </x:c>
      <x:c r="K37" t="n">
        <x:f>I37-J37</x:f>
        <x:v>2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f>MAX(0,B37-(E37-L37))</x:f>
        <x:v>770</x:v>
      </x:c>
    </x:row>
    <x:row r="38">
      <x:c r="A38" t="str">
        <x:v>Uttar Pradesh</x:v>
      </x:c>
      <x:c r="B38" t="n">
        <x:v>21500</x:v>
      </x:c>
      <x:c r="C38" t="n">
        <x:v>5700</x:v>
      </x:c>
      <x:c r="D38" t="n">
        <x:v>8300</x:v>
      </x:c>
      <x:c r="E38" t="n">
        <x:v>1500</x:v>
      </x:c>
      <x:c r="F38" t="n">
        <x:v>1479</x:v>
      </x:c>
      <x:c r="G38" t="n">
        <x:f>E38-F38</x:f>
        <x:v>21</x:v>
      </x:c>
      <x:c r="H38" s="20" t="n">
        <x:f>IFERROR(F38/E38,0)</x:f>
        <x:v>0.986</x:v>
      </x:c>
      <x:c r="I38" t="n">
        <x:v>800</x:v>
      </x:c>
      <x:c r="J38" t="n">
        <x:v>798</x:v>
      </x:c>
      <x:c r="K38" t="n">
        <x:f>I38-J38</x:f>
        <x:v>2</x:v>
      </x:c>
      <x:c r="L38" t="n">
        <x:v>422</x:v>
      </x:c>
      <x:c r="M38" t="n">
        <x:v>422</x:v>
      </x:c>
      <x:c r="N38" t="n">
        <x:v>127</x:v>
      </x:c>
      <x:c r="O38" t="n">
        <x:v>127</x:v>
      </x:c>
      <x:c r="P38" t="n">
        <x:v>23</x:v>
      </x:c>
      <x:c r="Q38" t="n">
        <x:v>5</x:v>
      </x:c>
      <x:c r="R38" t="n">
        <x:f>MAX(0,B38-(E38-L38))</x:f>
        <x:v>20422</x:v>
      </x:c>
    </x:row>
    <x:row r="39">
      <x:c r="A39" t="str">
        <x:v>Uttarakhand</x:v>
      </x:c>
      <x:c r="B39" t="n">
        <x:v>2175</x:v>
      </x:c>
      <x:c r="C39" t="n">
        <x:v>625</x:v>
      </x:c>
      <x:c r="D39" t="n">
        <x:v>850</x:v>
      </x:c>
      <x:c r="E39" t="n">
        <x:v>420</x:v>
      </x:c>
      <x:c r="F39" t="n">
        <x:v>390</x:v>
      </x:c>
      <x:c r="G39" t="n">
        <x:f>E39-F39</x:f>
        <x:v>30</x:v>
      </x:c>
      <x:c r="H39" s="20" t="n">
        <x:f>IFERROR(F39/E39,0)</x:f>
        <x:v>0.9285714285714286</x:v>
      </x:c>
      <x:c r="I39" t="n">
        <x:v>95</x:v>
      </x:c>
      <x:c r="J39" t="n">
        <x:v>95</x:v>
      </x:c>
      <x:c r="K39" t="n">
        <x:f>I39-J39</x:f>
        <x:v>0</x:v>
      </x:c>
      <x:c r="L39" t="n">
        <x:v>125</x:v>
      </x:c>
      <x:c r="M39" t="n">
        <x:v>125</x:v>
      </x:c>
      <x:c r="N39" t="n">
        <x:v>170</x:v>
      </x:c>
      <x:c r="O39" t="n">
        <x:v>170</x:v>
      </x:c>
      <x:c r="P39" t="n">
        <x:v>30</x:v>
      </x:c>
      <x:c r="Q39" t="n">
        <x:v>0</x:v>
      </x:c>
      <x:c r="R39" t="n">
        <x:f>MAX(0,B39-(E39-L39))</x:f>
        <x:v>1880</x:v>
      </x:c>
    </x:row>
    <x:row r="40">
      <x:c r="A40" t="str">
        <x:v>West Bengal</x:v>
      </x:c>
      <x:c r="B40" t="n">
        <x:v>9550</x:v>
      </x:c>
      <x:c r="C40" t="n">
        <x:v>4350</x:v>
      </x:c>
      <x:c r="D40" t="n">
        <x:v>2850</x:v>
      </x:c>
      <x:c r="E40" t="n">
        <x:v>881</x:v>
      </x:c>
      <x:c r="F40" t="n">
        <x:v>875</x:v>
      </x:c>
      <x:c r="G40" t="n">
        <x:f>E40-F40</x:f>
        <x:v>6</x:v>
      </x:c>
      <x:c r="H40" s="20" t="n">
        <x:f>IFERROR(F40/E40,0)</x:f>
        <x:v>0.9931895573212258</x:v>
      </x:c>
      <x:c r="I40" t="n">
        <x:v>678</x:v>
      </x:c>
      <x:c r="J40" t="n">
        <x:v>675</x:v>
      </x:c>
      <x:c r="K40" t="n">
        <x:f>I40-J40</x:f>
        <x:v>3</x:v>
      </x:c>
      <x:c r="L40" t="n">
        <x:v>125</x:v>
      </x:c>
      <x:c r="M40" t="n">
        <x:v>125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f>MAX(0,B40-(E40-L40))</x:f>
        <x:v>8794</x:v>
      </x:c>
    </x:row>
  </x:sheetData>
  <x:conditionalFormatting sqref="G2:G4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{8F71232B-D5AE-AAA7-A4B2-DE8BC9E2BE92}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cb018b8db5548f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F71232B-D5AE-AAA7-A4B2-DE8BC9E2BE92}">
            <x14:dataBar gradient="1">
              <x14:cfvo type="min"/>
              <x14:cfvo type="max"/>
              <x14:fillColor rgb="FFA02B93"/>
            </x14:dataBar>
          </x14:cfRule>
          <xm:sqref>G2:G40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48" hidden="0" customWidth="1"/>
  </x:cols>
  <x:sheetData>
    <x:row r="1">
      <x:c r="A1" s="14" t="str">
        <x:v>State</x:v>
      </x:c>
      <x:c r="B1" s="23" t="str">
        <x:v>Institute Type</x:v>
      </x:c>
      <x:c r="C1" s="23" t="str">
        <x:v>MCC Code</x:v>
      </x:c>
      <x:c r="D1" s="23" t="str">
        <x:v>College</x:v>
      </x:c>
      <x:c r="E1" s="23" t="str">
        <x:v>NMC College Code</x:v>
      </x:c>
      <x:c r="F1" s="23" t="str">
        <x:v>NMC Management</x:v>
      </x:c>
      <x:c r="G1" s="23" t="str">
        <x:v>NMC 2026 Total Seats</x:v>
      </x:c>
      <x:c r="H1" s="23" t="str">
        <x:v>NMC Match Score</x:v>
      </x:c>
      <x:c r="I1" s="23" t="str">
        <x:v>NMC Match Status</x:v>
      </x:c>
      <x:c r="J1" s="23" t="str">
        <x:v>MCC R1 Seats Offered</x:v>
      </x:c>
      <x:c r="K1" s="23" t="str">
        <x:v>R1 Seats Allotted</x:v>
      </x:c>
      <x:c r="L1" s="23" t="str">
        <x:v>Net R1 Difference</x:v>
      </x:c>
      <x:c r="M1" s="23" t="str">
        <x:v>R1 Fill Rate</x:v>
      </x:c>
      <x:c r="N1" s="23" t="str">
        <x:v>Regular Central Offered</x:v>
      </x:c>
      <x:c r="O1" s="23" t="str">
        <x:v>Regular Central Allotted</x:v>
      </x:c>
      <x:c r="P1" s="23" t="str">
        <x:v>Regular Central Net Difference</x:v>
      </x:c>
      <x:c r="Q1" s="23" t="str">
        <x:v>Private/Special Offered</x:v>
      </x:c>
      <x:c r="R1" s="23" t="str">
        <x:v>Private/Special Allotted</x:v>
      </x:c>
      <x:c r="S1" s="23" t="str">
        <x:v>Private/Special Net Difference</x:v>
      </x:c>
      <x:c r="T1" s="23" t="str">
        <x:v>All India Offered</x:v>
      </x:c>
      <x:c r="U1" s="23" t="str">
        <x:v>All India Allotted</x:v>
      </x:c>
      <x:c r="V1" s="23" t="str">
        <x:v>Open Seat Quota Offered</x:v>
      </x:c>
      <x:c r="W1" s="23" t="str">
        <x:v>Open Seat Quota Allotted</x:v>
      </x:c>
      <x:c r="X1" s="23" t="str">
        <x:v>Self-Financed Offered</x:v>
      </x:c>
      <x:c r="Y1" s="23" t="str">
        <x:v>Self-Financed Allotted</x:v>
      </x:c>
      <x:c r="Z1" s="23" t="str">
        <x:v>NRI Offered</x:v>
      </x:c>
      <x:c r="AA1" s="23" t="str">
        <x:v>NRI Allotted</x:v>
      </x:c>
      <x:c r="AB1" s="23" t="str">
        <x:v>Approx Seats Outside MCC Matrix</x:v>
      </x:c>
      <x:c r="AC1" s="23" t="str">
        <x:v>Open Median AIR</x:v>
      </x:c>
      <x:c r="AD1" s="23" t="str">
        <x:v>Open Highest AIR</x:v>
      </x:c>
      <x:c r="AE1" s="23" t="str">
        <x:v>OBC Median AIR</x:v>
      </x:c>
      <x:c r="AF1" s="23" t="str">
        <x:v>OBC Highest AIR</x:v>
      </x:c>
      <x:c r="AG1" s="23" t="str">
        <x:v>EWS Median AIR</x:v>
      </x:c>
      <x:c r="AH1" s="23" t="str">
        <x:v>EWS Highest AIR</x:v>
      </x:c>
      <x:c r="AI1" s="23" t="str">
        <x:v>SC Median AIR</x:v>
      </x:c>
      <x:c r="AJ1" s="23" t="str">
        <x:v>SC Highest AIR</x:v>
      </x:c>
      <x:c r="AK1" s="23" t="str">
        <x:v>ST Median AIR</x:v>
      </x:c>
      <x:c r="AL1" s="23" t="str">
        <x:v>ST Highest AIR</x:v>
      </x:c>
      <x:c r="AM1" s="23" t="str">
        <x:v>Round-2 Planning Signal</x:v>
      </x:c>
    </x:row>
    <x:row r="2">
      <x:c r="A2" t="str">
        <x:v>Andaman And Nicobar Islands</x:v>
      </x:c>
      <x:c r="B2" t="str">
        <x:v>All India except Central University</x:v>
      </x:c>
      <x:c r="C2" t="str">
        <x:v>200101</x:v>
      </x:c>
      <x:c r="D2" t="str">
        <x:v>Andaman &amp; Nicobar Islands Institute of Medical Sciences, Port Blair, Director ANIIMS, DHS Annexe Building, Atlanta Point, Port Blair-744104</x:v>
      </x:c>
      <x:c r="E2" t="str">
        <x:v>AN/001/G/1</x:v>
      </x:c>
      <x:c r="F2" t="str">
        <x:v>Government</x:v>
      </x:c>
      <x:c r="G2" t="n">
        <x:v>114</x:v>
      </x:c>
      <x:c r="H2" t="n">
        <x:v>100</x:v>
      </x:c>
      <x:c r="I2" t="str">
        <x:v>High-confidence fuzzy</x:v>
      </x:c>
      <x:c r="J2" t="n">
        <x:v>17</x:v>
      </x:c>
      <x:c r="K2" t="n">
        <x:v>17</x:v>
      </x:c>
      <x:c r="L2" t="n">
        <x:f>J2-K2</x:f>
        <x:v>0</x:v>
      </x:c>
      <x:c r="M2" s="20" t="n">
        <x:f>IFERROR(K2/J2,0)</x:f>
        <x:v>1</x:v>
      </x:c>
      <x:c r="N2" t="n">
        <x:v>17</x:v>
      </x:c>
      <x:c r="O2" t="n">
        <x:v>17</x:v>
      </x:c>
      <x:c r="P2" t="n">
        <x:f>N2-O2</x:f>
        <x:v>0</x:v>
      </x:c>
      <x:c r="Q2" t="n">
        <x:v>0</x:v>
      </x:c>
      <x:c r="R2" t="n">
        <x:v>0</x:v>
      </x:c>
      <x:c r="S2" t="n">
        <x:f>Q2-R2</x:f>
        <x:v>0</x:v>
      </x:c>
      <x:c r="T2" t="n">
        <x:v>17</x:v>
      </x:c>
      <x:c r="U2" t="n">
        <x:v>17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f>IF(AND(ISNUMBER(G2),I2&lt;&gt;"Excluded INI"),MAX(0,G2-J2),"")</x:f>
        <x:v>97</x:v>
      </x:c>
      <x:c r="AC2" t="n">
        <x:v>14652</x:v>
      </x:c>
      <x:c r="AD2" t="n">
        <x:v>16206</x:v>
      </x:c>
      <x:c r="AE2" t="n">
        <x:v>19368</x:v>
      </x:c>
      <x:c r="AF2" t="n">
        <x:v>19997</x:v>
      </x:c>
      <x:c r="AG2" t="n">
        <x:v>21526</x:v>
      </x:c>
      <x:c r="AH2" t="n">
        <x:v>23881</x:v>
      </x:c>
      <x:c r="AI2" t="n">
        <x:v>58318</x:v>
      </x:c>
      <x:c r="AJ2" t="n">
        <x:v>89023</x:v>
      </x:c>
      <x:c r="AK2" t="n">
        <x:v>116475</x:v>
      </x:c>
      <x:c r="AL2" t="n">
        <x:v>116475</x:v>
      </x:c>
      <x:c r="AM2" t="str">
        <x:v>Fully allotted in R1; R2 opportunity depends on upgrade/non-joining</x:v>
      </x:c>
    </x:row>
    <x:row r="3">
      <x:c r="A3" t="str">
        <x:v>Andhra Pradesh</x:v>
      </x:c>
      <x:c r="B3" t="str">
        <x:v>All India except Central University</x:v>
      </x:c>
      <x:c r="C3" t="str">
        <x:v>200446</x:v>
      </x:c>
      <x:c r="D3" t="str">
        <x:v>ACSR Government Medical College, OPP. TO AC SUBBA REDDY STADIUM DARGAMITTA NELLORE SPSR NELLORE DISTRICT, ANDHRA PRADESH</x:v>
      </x:c>
      <x:c r="E3" t="str">
        <x:v>AP/001/G/1</x:v>
      </x:c>
      <x:c r="F3" t="str">
        <x:v>Government</x:v>
      </x:c>
      <x:c r="G3" t="n">
        <x:v>200</x:v>
      </x:c>
      <x:c r="H3" t="n">
        <x:v>100</x:v>
      </x:c>
      <x:c r="I3" t="str">
        <x:v>High-confidence fuzzy</x:v>
      </x:c>
      <x:c r="J3" t="n">
        <x:v>30</x:v>
      </x:c>
      <x:c r="K3" t="n">
        <x:v>30</x:v>
      </x:c>
      <x:c r="L3" t="n">
        <x:f>J3-K3</x:f>
        <x:v>0</x:v>
      </x:c>
      <x:c r="M3" s="20" t="n">
        <x:f>IFERROR(K3/J3,0)</x:f>
        <x:v>1</x:v>
      </x:c>
      <x:c r="N3" t="n">
        <x:v>30</x:v>
      </x:c>
      <x:c r="O3" t="n">
        <x:v>30</x:v>
      </x:c>
      <x:c r="P3" t="n">
        <x:f>N3-O3</x:f>
        <x:v>0</x:v>
      </x:c>
      <x:c r="Q3" t="n">
        <x:v>0</x:v>
      </x:c>
      <x:c r="R3" t="n">
        <x:v>0</x:v>
      </x:c>
      <x:c r="S3" t="n">
        <x:f>Q3-R3</x:f>
        <x:v>0</x:v>
      </x:c>
      <x:c r="T3" t="n">
        <x:v>30</x:v>
      </x:c>
      <x:c r="U3" t="n">
        <x:v>30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f>IF(AND(ISNUMBER(G3),I3&lt;&gt;"Excluded INI"),MAX(0,G3-J3),"")</x:f>
        <x:v>170</x:v>
      </x:c>
      <x:c r="AC3" t="n">
        <x:v>12609</x:v>
      </x:c>
      <x:c r="AD3" t="n">
        <x:v>14322</x:v>
      </x:c>
      <x:c r="AE3" t="n">
        <x:v>14908</x:v>
      </x:c>
      <x:c r="AF3" t="n">
        <x:v>15293</x:v>
      </x:c>
      <x:c r="AG3" t="n">
        <x:v>19844</x:v>
      </x:c>
      <x:c r="AH3" t="n">
        <x:v>19932</x:v>
      </x:c>
      <x:c r="AI3" t="n">
        <x:v>57614</x:v>
      </x:c>
      <x:c r="AJ3" t="n">
        <x:v>59484</x:v>
      </x:c>
      <x:c r="AK3" t="n">
        <x:v>104329</x:v>
      </x:c>
      <x:c r="AL3" t="n">
        <x:v>104835</x:v>
      </x:c>
      <x:c r="AM3" t="str">
        <x:v>Fully allotted in R1; R2 opportunity depends on upgrade/non-joining</x:v>
      </x:c>
    </x:row>
    <x:row r="4">
      <x:c r="A4" t="str">
        <x:v>Andhra Pradesh</x:v>
      </x:c>
      <x:c r="B4" t="str">
        <x:v>All India Institute Of Medical Science(AIIMS)</x:v>
      </x:c>
      <x:c r="C4" t="str">
        <x:v>200510</x:v>
      </x:c>
      <x:c r="D4" t="str">
        <x:v>AIIMS Mangalagiri , ALL INDIA INSTITUTE OF MEDICAL SCIENCES NEAR TADEPALLI MANGALAGIRI GUNTUR (Dt) ANDHRA PRADESH</x:v>
      </x:c>
      <x:c r="E4" t="str"/>
      <x:c r="F4" t="str"/>
      <x:c r="G4"/>
      <x:c r="H4" t="n">
        <x:v>100</x:v>
      </x:c>
      <x:c r="I4" t="str">
        <x:v>Excluded INI</x:v>
      </x:c>
      <x:c r="J4" t="n">
        <x:v>125</x:v>
      </x:c>
      <x:c r="K4" t="n">
        <x:v>125</x:v>
      </x:c>
      <x:c r="L4" t="n">
        <x:f>J4-K4</x:f>
        <x:v>0</x:v>
      </x:c>
      <x:c r="M4" s="20" t="n">
        <x:f>IFERROR(K4/J4,0)</x:f>
        <x:v>1</x:v>
      </x:c>
      <x:c r="N4" t="n">
        <x:v>125</x:v>
      </x:c>
      <x:c r="O4" t="n">
        <x:v>125</x:v>
      </x:c>
      <x:c r="P4" t="n">
        <x:f>N4-O4</x:f>
        <x:v>0</x:v>
      </x:c>
      <x:c r="Q4" t="n">
        <x:v>0</x:v>
      </x:c>
      <x:c r="R4" t="n">
        <x:v>0</x:v>
      </x:c>
      <x:c r="S4" t="n">
        <x:f>Q4-R4</x:f>
        <x:v>0</x:v>
      </x:c>
      <x:c r="T4" t="n">
        <x:v>0</x:v>
      </x:c>
      <x:c r="U4" t="n">
        <x:v>0</x:v>
      </x:c>
      <x:c r="V4" t="n">
        <x:v>125</x:v>
      </x:c>
      <x:c r="W4" t="n">
        <x:v>125</x:v>
      </x:c>
      <x:c r="X4" t="n">
        <x:v>0</x:v>
      </x:c>
      <x:c r="Y4" t="n">
        <x:v>0</x:v>
      </x:c>
      <x:c r="Z4" t="n">
        <x:v>0</x:v>
      </x:c>
      <x:c r="AA4" t="n">
        <x:v>0</x:v>
      </x:c>
      <x:c r="AB4" t="str">
        <x:f>IF(AND(ISNUMBER(G4),I4&lt;&gt;"Excluded INI"),MAX(0,G4-J4),"")</x:f>
      </x:c>
      <x:c r="AC4" t="n">
        <x:v>1010</x:v>
      </x:c>
      <x:c r="AD4" t="n">
        <x:v>1314</x:v>
      </x:c>
      <x:c r="AE4" t="n">
        <x:v>1844</x:v>
      </x:c>
      <x:c r="AF4" t="n">
        <x:v>2079</x:v>
      </x:c>
      <x:c r="AG4" t="n">
        <x:v>2388</x:v>
      </x:c>
      <x:c r="AH4" t="n">
        <x:v>3021</x:v>
      </x:c>
      <x:c r="AI4" t="n">
        <x:v>9486</x:v>
      </x:c>
      <x:c r="AJ4" t="n">
        <x:v>16901</x:v>
      </x:c>
      <x:c r="AK4" t="n">
        <x:v>20333</x:v>
      </x:c>
      <x:c r="AL4" t="n">
        <x:v>21776</x:v>
      </x:c>
      <x:c r="AM4" t="str">
        <x:v>Fully allotted in R1; R2 opportunity depends on upgrade/non-joining</x:v>
      </x:c>
    </x:row>
    <x:row r="5">
      <x:c r="A5" t="str">
        <x:v>Andhra Pradesh</x:v>
      </x:c>
      <x:c r="B5" t="str">
        <x:v>All India except Central University</x:v>
      </x:c>
      <x:c r="C5" t="str">
        <x:v>200421</x:v>
      </x:c>
      <x:c r="D5" t="str">
        <x:v>Andhra Medical College, Visakhapatnam, MAHARANI PETA NEAR COLLECTORATE KGH CAMPUS VISAKHAPATNAM</x:v>
      </x:c>
      <x:c r="E5" t="str">
        <x:v>AP/003/G/1</x:v>
      </x:c>
      <x:c r="F5" t="str">
        <x:v>Government</x:v>
      </x:c>
      <x:c r="G5" t="n">
        <x:v>250</x:v>
      </x:c>
      <x:c r="H5" t="n">
        <x:v>100</x:v>
      </x:c>
      <x:c r="I5" t="str">
        <x:v>High-confidence fuzzy</x:v>
      </x:c>
      <x:c r="J5" t="n">
        <x:v>37</x:v>
      </x:c>
      <x:c r="K5" t="n">
        <x:v>37</x:v>
      </x:c>
      <x:c r="L5" t="n">
        <x:f>J5-K5</x:f>
        <x:v>0</x:v>
      </x:c>
      <x:c r="M5" s="20" t="n">
        <x:f>IFERROR(K5/J5,0)</x:f>
        <x:v>1</x:v>
      </x:c>
      <x:c r="N5" t="n">
        <x:v>37</x:v>
      </x:c>
      <x:c r="O5" t="n">
        <x:v>37</x:v>
      </x:c>
      <x:c r="P5" t="n">
        <x:f>N5-O5</x:f>
        <x:v>0</x:v>
      </x:c>
      <x:c r="Q5" t="n">
        <x:v>0</x:v>
      </x:c>
      <x:c r="R5" t="n">
        <x:v>0</x:v>
      </x:c>
      <x:c r="S5" t="n">
        <x:f>Q5-R5</x:f>
        <x:v>0</x:v>
      </x:c>
      <x:c r="T5" t="n">
        <x:v>37</x:v>
      </x:c>
      <x:c r="U5" t="n">
        <x:v>37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f>IF(AND(ISNUMBER(G5),I5&lt;&gt;"Excluded INI"),MAX(0,G5-J5),"")</x:f>
        <x:v>213</x:v>
      </x:c>
      <x:c r="AC5" t="n">
        <x:v>4274</x:v>
      </x:c>
      <x:c r="AD5" t="n">
        <x:v>4443</x:v>
      </x:c>
      <x:c r="AE5" t="n">
        <x:v>4696</x:v>
      </x:c>
      <x:c r="AF5" t="n">
        <x:v>5016</x:v>
      </x:c>
      <x:c r="AG5" t="n">
        <x:v>5569</x:v>
      </x:c>
      <x:c r="AH5" t="n">
        <x:v>5900</x:v>
      </x:c>
      <x:c r="AI5" t="n">
        <x:v>29637</x:v>
      </x:c>
      <x:c r="AJ5" t="n">
        <x:v>33997</x:v>
      </x:c>
      <x:c r="AK5" t="n">
        <x:v>45012</x:v>
      </x:c>
      <x:c r="AL5" t="n">
        <x:v>45345</x:v>
      </x:c>
      <x:c r="AM5" t="str">
        <x:v>Fully allotted in R1; R2 opportunity depends on upgrade/non-joining</x:v>
      </x:c>
    </x:row>
    <x:row r="6">
      <x:c r="A6" t="str">
        <x:v>Andhra Pradesh</x:v>
      </x:c>
      <x:c r="B6" t="str">
        <x:v>Deemed University</x:v>
      </x:c>
      <x:c r="C6" t="str">
        <x:v>200324</x:v>
      </x:c>
      <x:c r="D6" t="str">
        <x:v>GITAM Institute of Medical Sciences and Research, Visakhapatnam, Gandhi Institute of Technology and Management (GITAM), Rushikonda, Visakhapatnam</x:v>
      </x:c>
      <x:c r="E6" t="str">
        <x:v>AP/009/P/4</x:v>
      </x:c>
      <x:c r="F6" t="str">
        <x:v>Private</x:v>
      </x:c>
      <x:c r="G6" t="n">
        <x:v>150</x:v>
      </x:c>
      <x:c r="H6" t="n">
        <x:v>100</x:v>
      </x:c>
      <x:c r="I6" t="str">
        <x:v>High-confidence fuzzy</x:v>
      </x:c>
      <x:c r="J6" t="n">
        <x:v>150</x:v>
      </x:c>
      <x:c r="K6" t="n">
        <x:v>127</x:v>
      </x:c>
      <x:c r="L6" t="n">
        <x:f>J6-K6</x:f>
        <x:v>23</x:v>
      </x:c>
      <x:c r="M6" s="20" t="n">
        <x:f>IFERROR(K6/J6,0)</x:f>
        <x:v>0.8466666666666667</x:v>
      </x:c>
      <x:c r="N6" t="n">
        <x:v>0</x:v>
      </x:c>
      <x:c r="O6" t="n">
        <x:v>0</x:v>
      </x:c>
      <x:c r="P6" t="n">
        <x:f>N6-O6</x:f>
        <x:v>0</x:v>
      </x:c>
      <x:c r="Q6" t="n">
        <x:v>150</x:v>
      </x:c>
      <x:c r="R6" t="n">
        <x:v>127</x:v>
      </x:c>
      <x:c r="S6" t="n">
        <x:f>Q6-R6</x:f>
        <x:v>23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127</x:v>
      </x:c>
      <x:c r="Y6" t="n">
        <x:v>127</x:v>
      </x:c>
      <x:c r="Z6" t="n">
        <x:v>23</x:v>
      </x:c>
      <x:c r="AA6" t="n">
        <x:v>0</x:v>
      </x:c>
      <x:c r="AB6" t="n">
        <x:f>IF(AND(ISNUMBER(G6),I6&lt;&gt;"Excluded INI"),MAX(0,G6-J6),"")</x:f>
        <x:v>0</x:v>
      </x:c>
      <x:c r="AC6" t="n">
        <x:v>501240</x:v>
      </x:c>
      <x:c r="AD6" t="n">
        <x:v>604120</x:v>
      </x:c>
      <x:c r="AE6"/>
      <x:c r="AF6"/>
      <x:c r="AG6"/>
      <x:c r="AH6"/>
      <x:c r="AI6"/>
      <x:c r="AJ6"/>
      <x:c r="AK6"/>
      <x:c r="AL6"/>
      <x:c r="AM6" t="str">
        <x:v>Unfilled mainly private/NRI/minority; regular R2 depends on movement</x:v>
      </x:c>
    </x:row>
    <x:row r="7">
      <x:c r="A7" t="str">
        <x:v>Andhra Pradesh</x:v>
      </x:c>
      <x:c r="B7" t="str">
        <x:v>All India except Central University</x:v>
      </x:c>
      <x:c r="C7" t="str">
        <x:v>200460</x:v>
      </x:c>
      <x:c r="D7" t="str">
        <x:v>Government Medical College, Ananthapuram, GOVERNMENT MEDICAL COLLEGE ANANTHAPURAMU</x:v>
      </x:c>
      <x:c r="E7" t="str">
        <x:v>AP/010/G/1</x:v>
      </x:c>
      <x:c r="F7" t="str">
        <x:v>Government</x:v>
      </x:c>
      <x:c r="G7" t="n">
        <x:v>200</x:v>
      </x:c>
      <x:c r="H7" t="n">
        <x:v>100</x:v>
      </x:c>
      <x:c r="I7" t="str">
        <x:v>High-confidence fuzzy</x:v>
      </x:c>
      <x:c r="J7" t="n">
        <x:v>30</x:v>
      </x:c>
      <x:c r="K7" t="n">
        <x:v>30</x:v>
      </x:c>
      <x:c r="L7" t="n">
        <x:f>J7-K7</x:f>
        <x:v>0</x:v>
      </x:c>
      <x:c r="M7" s="20" t="n">
        <x:f>IFERROR(K7/J7,0)</x:f>
        <x:v>1</x:v>
      </x:c>
      <x:c r="N7" t="n">
        <x:v>30</x:v>
      </x:c>
      <x:c r="O7" t="n">
        <x:v>30</x:v>
      </x:c>
      <x:c r="P7" t="n">
        <x:f>N7-O7</x:f>
        <x:v>0</x:v>
      </x:c>
      <x:c r="Q7" t="n">
        <x:v>0</x:v>
      </x:c>
      <x:c r="R7" t="n">
        <x:v>0</x:v>
      </x:c>
      <x:c r="S7" t="n">
        <x:f>Q7-R7</x:f>
        <x:v>0</x:v>
      </x:c>
      <x:c r="T7" t="n">
        <x:v>30</x:v>
      </x:c>
      <x:c r="U7" t="n">
        <x:v>30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f>IF(AND(ISNUMBER(G7),I7&lt;&gt;"Excluded INI"),MAX(0,G7-J7),"")</x:f>
        <x:v>170</x:v>
      </x:c>
      <x:c r="AC7" t="n">
        <x:v>13514</x:v>
      </x:c>
      <x:c r="AD7" t="n">
        <x:v>15393</x:v>
      </x:c>
      <x:c r="AE7" t="n">
        <x:v>16190</x:v>
      </x:c>
      <x:c r="AF7" t="n">
        <x:v>16649</x:v>
      </x:c>
      <x:c r="AG7" t="n">
        <x:v>21642</x:v>
      </x:c>
      <x:c r="AH7" t="n">
        <x:v>23175</x:v>
      </x:c>
      <x:c r="AI7" t="n">
        <x:v>71855</x:v>
      </x:c>
      <x:c r="AJ7" t="n">
        <x:v>72917</x:v>
      </x:c>
      <x:c r="AK7" t="n">
        <x:v>86156</x:v>
      </x:c>
      <x:c r="AL7" t="n">
        <x:v>98810</x:v>
      </x:c>
      <x:c r="AM7" t="str">
        <x:v>Fully allotted in R1; R2 opportunity depends on upgrade/non-joining</x:v>
      </x:c>
    </x:row>
    <x:row r="8">
      <x:c r="A8" t="str">
        <x:v>Andhra Pradesh</x:v>
      </x:c>
      <x:c r="B8" t="str">
        <x:v>All India except Central University</x:v>
      </x:c>
      <x:c r="C8" t="str">
        <x:v>200672</x:v>
      </x:c>
      <x:c r="D8" t="str">
        <x:v>Government Medical College, Eluru, SURVEY NO 60, BEHIND OLD BUS STAND, ELURU</x:v>
      </x:c>
      <x:c r="E8" t="str">
        <x:v>AP/011/G/1</x:v>
      </x:c>
      <x:c r="F8" t="str">
        <x:v>Government</x:v>
      </x:c>
      <x:c r="G8" t="n">
        <x:v>150</x:v>
      </x:c>
      <x:c r="H8" t="n">
        <x:v>100</x:v>
      </x:c>
      <x:c r="I8" t="str">
        <x:v>High-confidence fuzzy</x:v>
      </x:c>
      <x:c r="J8" t="n">
        <x:v>22</x:v>
      </x:c>
      <x:c r="K8" t="n">
        <x:v>22</x:v>
      </x:c>
      <x:c r="L8" t="n">
        <x:f>J8-K8</x:f>
        <x:v>0</x:v>
      </x:c>
      <x:c r="M8" s="20" t="n">
        <x:f>IFERROR(K8/J8,0)</x:f>
        <x:v>1</x:v>
      </x:c>
      <x:c r="N8" t="n">
        <x:v>22</x:v>
      </x:c>
      <x:c r="O8" t="n">
        <x:v>22</x:v>
      </x:c>
      <x:c r="P8" t="n">
        <x:f>N8-O8</x:f>
        <x:v>0</x:v>
      </x:c>
      <x:c r="Q8" t="n">
        <x:v>0</x:v>
      </x:c>
      <x:c r="R8" t="n">
        <x:v>0</x:v>
      </x:c>
      <x:c r="S8" t="n">
        <x:f>Q8-R8</x:f>
        <x:v>0</x:v>
      </x:c>
      <x:c r="T8" t="n">
        <x:v>22</x:v>
      </x:c>
      <x:c r="U8" t="n">
        <x:v>22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f>IF(AND(ISNUMBER(G8),I8&lt;&gt;"Excluded INI"),MAX(0,G8-J8),"")</x:f>
        <x:v>128</x:v>
      </x:c>
      <x:c r="AC8" t="n">
        <x:v>18708</x:v>
      </x:c>
      <x:c r="AD8" t="n">
        <x:v>19957</x:v>
      </x:c>
      <x:c r="AE8" t="n">
        <x:v>20572</x:v>
      </x:c>
      <x:c r="AF8" t="n">
        <x:v>21108</x:v>
      </x:c>
      <x:c r="AG8" t="n">
        <x:v>23731</x:v>
      </x:c>
      <x:c r="AH8" t="n">
        <x:v>23731</x:v>
      </x:c>
      <x:c r="AI8" t="n">
        <x:v>65791</x:v>
      </x:c>
      <x:c r="AJ8" t="n">
        <x:v>71322</x:v>
      </x:c>
      <x:c r="AK8"/>
      <x:c r="AL8"/>
      <x:c r="AM8" t="str">
        <x:v>Fully allotted in R1; R2 opportunity depends on upgrade/non-joining</x:v>
      </x:c>
    </x:row>
    <x:row r="9">
      <x:c r="A9" t="str">
        <x:v>Andhra Pradesh</x:v>
      </x:c>
      <x:c r="B9" t="str">
        <x:v>All India except Central University</x:v>
      </x:c>
      <x:c r="C9" t="str">
        <x:v>200441</x:v>
      </x:c>
      <x:c r="D9" t="str">
        <x:v>Government Medical College, Kadapa ( previously Rajiv Gandhi Institute of Medical Sciences, Kadapa), GOVERNMENT MEDICAL COLLEGE RIMS PUTLAMPALLI, YSR KADAPA DIST. G.M.C.,KADAPA.,A.P</x:v>
      </x:c>
      <x:c r="E9" t="str">
        <x:v>AP/030/G/1</x:v>
      </x:c>
      <x:c r="F9" t="str">
        <x:v>Government</x:v>
      </x:c>
      <x:c r="G9" t="n">
        <x:v>250</x:v>
      </x:c>
      <x:c r="H9" t="n">
        <x:v>100</x:v>
      </x:c>
      <x:c r="I9" t="str">
        <x:v>High-confidence fuzzy</x:v>
      </x:c>
      <x:c r="J9" t="n">
        <x:v>37</x:v>
      </x:c>
      <x:c r="K9" t="n">
        <x:v>37</x:v>
      </x:c>
      <x:c r="L9" t="n">
        <x:f>J9-K9</x:f>
        <x:v>0</x:v>
      </x:c>
      <x:c r="M9" s="20" t="n">
        <x:f>IFERROR(K9/J9,0)</x:f>
        <x:v>1</x:v>
      </x:c>
      <x:c r="N9" t="n">
        <x:v>37</x:v>
      </x:c>
      <x:c r="O9" t="n">
        <x:v>37</x:v>
      </x:c>
      <x:c r="P9" t="n">
        <x:f>N9-O9</x:f>
        <x:v>0</x:v>
      </x:c>
      <x:c r="Q9" t="n">
        <x:v>0</x:v>
      </x:c>
      <x:c r="R9" t="n">
        <x:v>0</x:v>
      </x:c>
      <x:c r="S9" t="n">
        <x:f>Q9-R9</x:f>
        <x:v>0</x:v>
      </x:c>
      <x:c r="T9" t="n">
        <x:v>37</x:v>
      </x:c>
      <x:c r="U9" t="n">
        <x:v>37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f>IF(AND(ISNUMBER(G9),I9&lt;&gt;"Excluded INI"),MAX(0,G9-J9),"")</x:f>
        <x:v>213</x:v>
      </x:c>
      <x:c r="AC9" t="n">
        <x:v>15398</x:v>
      </x:c>
      <x:c r="AD9" t="n">
        <x:v>17064</x:v>
      </x:c>
      <x:c r="AE9" t="n">
        <x:v>17301</x:v>
      </x:c>
      <x:c r="AF9" t="n">
        <x:v>17801</x:v>
      </x:c>
      <x:c r="AG9" t="n">
        <x:v>21861</x:v>
      </x:c>
      <x:c r="AH9" t="n">
        <x:v>23006</x:v>
      </x:c>
      <x:c r="AI9" t="n">
        <x:v>79175</x:v>
      </x:c>
      <x:c r="AJ9" t="n">
        <x:v>81826</x:v>
      </x:c>
      <x:c r="AK9" t="n">
        <x:v>102962</x:v>
      </x:c>
      <x:c r="AL9" t="n">
        <x:v>104394</x:v>
      </x:c>
      <x:c r="AM9" t="str">
        <x:v>Fully allotted in R1; R2 opportunity depends on upgrade/non-joining</x:v>
      </x:c>
    </x:row>
    <x:row r="10">
      <x:c r="A10" t="str">
        <x:v>Andhra Pradesh</x:v>
      </x:c>
      <x:c r="B10" t="str">
        <x:v>All India except Central University</x:v>
      </x:c>
      <x:c r="C10" t="str">
        <x:v>200673</x:v>
      </x:c>
      <x:c r="D10" t="str">
        <x:v>Government Medical College, Machilipatnam, KARA AGRAHARAM, NEAR RADAR STATION, MACHILIPATNAM, KRISHNA DISTRICT, ANDHRA PRADESH -521002</x:v>
      </x:c>
      <x:c r="E10" t="str">
        <x:v>AP/012/G/1</x:v>
      </x:c>
      <x:c r="F10" t="str">
        <x:v>Government</x:v>
      </x:c>
      <x:c r="G10" t="n">
        <x:v>150</x:v>
      </x:c>
      <x:c r="H10" t="n">
        <x:v>100</x:v>
      </x:c>
      <x:c r="I10" t="str">
        <x:v>High-confidence fuzzy</x:v>
      </x:c>
      <x:c r="J10" t="n">
        <x:v>22</x:v>
      </x:c>
      <x:c r="K10" t="n">
        <x:v>22</x:v>
      </x:c>
      <x:c r="L10" t="n">
        <x:f>J10-K10</x:f>
        <x:v>0</x:v>
      </x:c>
      <x:c r="M10" s="20" t="n">
        <x:f>IFERROR(K10/J10,0)</x:f>
        <x:v>1</x:v>
      </x:c>
      <x:c r="N10" t="n">
        <x:v>22</x:v>
      </x:c>
      <x:c r="O10" t="n">
        <x:v>22</x:v>
      </x:c>
      <x:c r="P10" t="n">
        <x:f>N10-O10</x:f>
        <x:v>0</x:v>
      </x:c>
      <x:c r="Q10" t="n">
        <x:v>0</x:v>
      </x:c>
      <x:c r="R10" t="n">
        <x:v>0</x:v>
      </x:c>
      <x:c r="S10" t="n">
        <x:f>Q10-R10</x:f>
        <x:v>0</x:v>
      </x:c>
      <x:c r="T10" t="n">
        <x:v>22</x:v>
      </x:c>
      <x:c r="U10" t="n">
        <x:v>22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f>IF(AND(ISNUMBER(G10),I10&lt;&gt;"Excluded INI"),MAX(0,G10-J10),"")</x:f>
        <x:v>128</x:v>
      </x:c>
      <x:c r="AC10" t="n">
        <x:v>20554</x:v>
      </x:c>
      <x:c r="AD10" t="n">
        <x:v>20637</x:v>
      </x:c>
      <x:c r="AE10" t="n">
        <x:v>21150</x:v>
      </x:c>
      <x:c r="AF10" t="n">
        <x:v>21516</x:v>
      </x:c>
      <x:c r="AG10" t="n">
        <x:v>26177</x:v>
      </x:c>
      <x:c r="AH10" t="n">
        <x:v>26462</x:v>
      </x:c>
      <x:c r="AI10" t="n">
        <x:v>84702</x:v>
      </x:c>
      <x:c r="AJ10" t="n">
        <x:v>85975</x:v>
      </x:c>
      <x:c r="AK10" t="n">
        <x:v>116472</x:v>
      </x:c>
      <x:c r="AL10" t="n">
        <x:v>124557</x:v>
      </x:c>
      <x:c r="AM10" t="str">
        <x:v>Fully allotted in R1; R2 opportunity depends on upgrade/non-joining</x:v>
      </x:c>
    </x:row>
    <x:row r="11">
      <x:c r="A11" t="str">
        <x:v>Andhra Pradesh</x:v>
      </x:c>
      <x:c r="B11" t="str">
        <x:v>All India except Central University</x:v>
      </x:c>
      <x:c r="C11" t="str">
        <x:v>200674</x:v>
      </x:c>
      <x:c r="D11" t="str">
        <x:v>Government Medical College, Nandyal, principalgmcnandyala@gmail.com</x:v>
      </x:c>
      <x:c r="E11" t="str">
        <x:v>AP/013/G/1</x:v>
      </x:c>
      <x:c r="F11" t="str">
        <x:v>Government</x:v>
      </x:c>
      <x:c r="G11" t="n">
        <x:v>150</x:v>
      </x:c>
      <x:c r="H11" t="n">
        <x:v>100</x:v>
      </x:c>
      <x:c r="I11" t="str">
        <x:v>High-confidence fuzzy</x:v>
      </x:c>
      <x:c r="J11" t="n">
        <x:v>22</x:v>
      </x:c>
      <x:c r="K11" t="n">
        <x:v>22</x:v>
      </x:c>
      <x:c r="L11" t="n">
        <x:f>J11-K11</x:f>
        <x:v>0</x:v>
      </x:c>
      <x:c r="M11" s="20" t="n">
        <x:f>IFERROR(K11/J11,0)</x:f>
        <x:v>1</x:v>
      </x:c>
      <x:c r="N11" t="n">
        <x:v>22</x:v>
      </x:c>
      <x:c r="O11" t="n">
        <x:v>22</x:v>
      </x:c>
      <x:c r="P11" t="n">
        <x:f>N11-O11</x:f>
        <x:v>0</x:v>
      </x:c>
      <x:c r="Q11" t="n">
        <x:v>0</x:v>
      </x:c>
      <x:c r="R11" t="n">
        <x:v>0</x:v>
      </x:c>
      <x:c r="S11" t="n">
        <x:f>Q11-R11</x:f>
        <x:v>0</x:v>
      </x:c>
      <x:c r="T11" t="n">
        <x:v>22</x:v>
      </x:c>
      <x:c r="U11" t="n">
        <x:v>22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f>IF(AND(ISNUMBER(G11),I11&lt;&gt;"Excluded INI"),MAX(0,G11-J11),"")</x:f>
        <x:v>128</x:v>
      </x:c>
      <x:c r="AC11" t="n">
        <x:v>19461</x:v>
      </x:c>
      <x:c r="AD11" t="n">
        <x:v>19947</x:v>
      </x:c>
      <x:c r="AE11" t="n">
        <x:v>21118</x:v>
      </x:c>
      <x:c r="AF11" t="n">
        <x:v>21356</x:v>
      </x:c>
      <x:c r="AG11" t="n">
        <x:v>23136</x:v>
      </x:c>
      <x:c r="AH11" t="n">
        <x:v>23326</x:v>
      </x:c>
      <x:c r="AI11" t="n">
        <x:v>87398</x:v>
      </x:c>
      <x:c r="AJ11" t="n">
        <x:v>89892</x:v>
      </x:c>
      <x:c r="AK11" t="n">
        <x:v>117359</x:v>
      </x:c>
      <x:c r="AL11" t="n">
        <x:v>117359</x:v>
      </x:c>
      <x:c r="AM11" t="str">
        <x:v>Fully allotted in R1; R2 opportunity depends on upgrade/non-joining</x:v>
      </x:c>
    </x:row>
    <x:row r="12">
      <x:c r="A12" t="str">
        <x:v>Andhra Pradesh</x:v>
      </x:c>
      <x:c r="B12" t="str">
        <x:v>All India except Central University</x:v>
      </x:c>
      <x:c r="C12" t="str">
        <x:v>200443</x:v>
      </x:c>
      <x:c r="D12" t="str">
        <x:v>Government Medical College, Ongole (previously Rajiv Gandhi Institute of Medical Sciences, Ongole), BHAGYANAGAR 5TH LANE, RIMS, ONGOLE, PRAKASAM DISTRICT, ANDHRA PRADESH</x:v>
      </x:c>
      <x:c r="E12" t="str">
        <x:v>AP/031/G/1</x:v>
      </x:c>
      <x:c r="F12" t="str">
        <x:v>Government</x:v>
      </x:c>
      <x:c r="G12" t="n">
        <x:v>150</x:v>
      </x:c>
      <x:c r="H12" t="n">
        <x:v>100</x:v>
      </x:c>
      <x:c r="I12" t="str">
        <x:v>High-confidence fuzzy</x:v>
      </x:c>
      <x:c r="J12" t="n">
        <x:v>22</x:v>
      </x:c>
      <x:c r="K12" t="n">
        <x:v>22</x:v>
      </x:c>
      <x:c r="L12" t="n">
        <x:f>J12-K12</x:f>
        <x:v>0</x:v>
      </x:c>
      <x:c r="M12" s="20" t="n">
        <x:f>IFERROR(K12/J12,0)</x:f>
        <x:v>1</x:v>
      </x:c>
      <x:c r="N12" t="n">
        <x:v>22</x:v>
      </x:c>
      <x:c r="O12" t="n">
        <x:v>22</x:v>
      </x:c>
      <x:c r="P12" t="n">
        <x:f>N12-O12</x:f>
        <x:v>0</x:v>
      </x:c>
      <x:c r="Q12" t="n">
        <x:v>0</x:v>
      </x:c>
      <x:c r="R12" t="n">
        <x:v>0</x:v>
      </x:c>
      <x:c r="S12" t="n">
        <x:f>Q12-R12</x:f>
        <x:v>0</x:v>
      </x:c>
      <x:c r="T12" t="n">
        <x:v>22</x:v>
      </x:c>
      <x:c r="U12" t="n">
        <x:v>22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f>IF(AND(ISNUMBER(G12),I12&lt;&gt;"Excluded INI"),MAX(0,G12-J12),"")</x:f>
        <x:v>128</x:v>
      </x:c>
      <x:c r="AC12" t="n">
        <x:v>15776</x:v>
      </x:c>
      <x:c r="AD12" t="n">
        <x:v>17108</x:v>
      </x:c>
      <x:c r="AE12" t="n">
        <x:v>18688</x:v>
      </x:c>
      <x:c r="AF12" t="n">
        <x:v>18773</x:v>
      </x:c>
      <x:c r="AG12" t="n">
        <x:v>19636</x:v>
      </x:c>
      <x:c r="AH12" t="n">
        <x:v>20871</x:v>
      </x:c>
      <x:c r="AI12" t="n">
        <x:v>65998</x:v>
      </x:c>
      <x:c r="AJ12" t="n">
        <x:v>71165</x:v>
      </x:c>
      <x:c r="AK12" t="n">
        <x:v>106800</x:v>
      </x:c>
      <x:c r="AL12" t="n">
        <x:v>110556</x:v>
      </x:c>
      <x:c r="AM12" t="str">
        <x:v>Fully allotted in R1; R2 opportunity depends on upgrade/non-joining</x:v>
      </x:c>
    </x:row>
    <x:row r="13">
      <x:c r="A13" t="str">
        <x:v>Andhra Pradesh</x:v>
      </x:c>
      <x:c r="B13" t="str">
        <x:v>All India except Central University</x:v>
      </x:c>
      <x:c r="C13" t="str">
        <x:v>902841</x:v>
      </x:c>
      <x:c r="D13" t="str">
        <x:v>Government Medical College, Paderu, TALARASINGI VILLAGE,PADERU, ASR DISTRICT</x:v>
      </x:c>
      <x:c r="E13" t="str">
        <x:v>AP/014/G/1</x:v>
      </x:c>
      <x:c r="F13" t="str">
        <x:v>Government</x:v>
      </x:c>
      <x:c r="G13" t="n">
        <x:v>50</x:v>
      </x:c>
      <x:c r="H13" t="n">
        <x:v>100</x:v>
      </x:c>
      <x:c r="I13" t="str">
        <x:v>High-confidence fuzzy</x:v>
      </x:c>
      <x:c r="J13" t="n">
        <x:v>15</x:v>
      </x:c>
      <x:c r="K13" t="n">
        <x:v>15</x:v>
      </x:c>
      <x:c r="L13" t="n">
        <x:f>J13-K13</x:f>
        <x:v>0</x:v>
      </x:c>
      <x:c r="M13" s="20" t="n">
        <x:f>IFERROR(K13/J13,0)</x:f>
        <x:v>1</x:v>
      </x:c>
      <x:c r="N13" t="n">
        <x:v>15</x:v>
      </x:c>
      <x:c r="O13" t="n">
        <x:v>15</x:v>
      </x:c>
      <x:c r="P13" t="n">
        <x:f>N13-O13</x:f>
        <x:v>0</x:v>
      </x:c>
      <x:c r="Q13" t="n">
        <x:v>0</x:v>
      </x:c>
      <x:c r="R13" t="n">
        <x:v>0</x:v>
      </x:c>
      <x:c r="S13" t="n">
        <x:f>Q13-R13</x:f>
        <x:v>0</x:v>
      </x:c>
      <x:c r="T13" t="n">
        <x:v>15</x:v>
      </x:c>
      <x:c r="U13" t="n">
        <x:v>15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f>IF(AND(ISNUMBER(G13),I13&lt;&gt;"Excluded INI"),MAX(0,G13-J13),"")</x:f>
        <x:v>35</x:v>
      </x:c>
      <x:c r="AC13" t="n">
        <x:v>19466</x:v>
      </x:c>
      <x:c r="AD13" t="n">
        <x:v>20481</x:v>
      </x:c>
      <x:c r="AE13" t="n">
        <x:v>21524</x:v>
      </x:c>
      <x:c r="AF13" t="n">
        <x:v>21803</x:v>
      </x:c>
      <x:c r="AG13" t="n">
        <x:v>26680</x:v>
      </x:c>
      <x:c r="AH13" t="n">
        <x:v>26699</x:v>
      </x:c>
      <x:c r="AI13" t="n">
        <x:v>80038</x:v>
      </x:c>
      <x:c r="AJ13" t="n">
        <x:v>87812</x:v>
      </x:c>
      <x:c r="AK13" t="n">
        <x:v>118869</x:v>
      </x:c>
      <x:c r="AL13" t="n">
        <x:v>118869</x:v>
      </x:c>
      <x:c r="AM13" t="str">
        <x:v>Fully allotted in R1; R2 opportunity depends on upgrade/non-joining</x:v>
      </x:c>
    </x:row>
    <x:row r="14">
      <x:c r="A14" t="str">
        <x:v>Andhra Pradesh</x:v>
      </x:c>
      <x:c r="B14" t="str">
        <x:v>All India except Central University</x:v>
      </x:c>
      <x:c r="C14" t="str">
        <x:v>904737</x:v>
      </x:c>
      <x:c r="D14" t="str">
        <x:v>Government Medical College, Piduguralla, BRAHMMANAPALLE VILLAGE, STATE HIGHWAY-2,PIDUGURALLA MANDAL , PALNADU DISTRICT</x:v>
      </x:c>
      <x:c r="E14" t="str">
        <x:v>New Establishment</x:v>
      </x:c>
      <x:c r="F14" t="str">
        <x:v>Government</x:v>
      </x:c>
      <x:c r="G14" t="n">
        <x:v>50</x:v>
      </x:c>
      <x:c r="H14" t="n">
        <x:v>100</x:v>
      </x:c>
      <x:c r="I14" t="str">
        <x:v>High-confidence fuzzy</x:v>
      </x:c>
      <x:c r="J14" t="n">
        <x:v>7</x:v>
      </x:c>
      <x:c r="K14" t="n">
        <x:v>7</x:v>
      </x:c>
      <x:c r="L14" t="n">
        <x:f>J14-K14</x:f>
        <x:v>0</x:v>
      </x:c>
      <x:c r="M14" s="20" t="n">
        <x:f>IFERROR(K14/J14,0)</x:f>
        <x:v>1</x:v>
      </x:c>
      <x:c r="N14" t="n">
        <x:v>7</x:v>
      </x:c>
      <x:c r="O14" t="n">
        <x:v>7</x:v>
      </x:c>
      <x:c r="P14" t="n">
        <x:f>N14-O14</x:f>
        <x:v>0</x:v>
      </x:c>
      <x:c r="Q14" t="n">
        <x:v>0</x:v>
      </x:c>
      <x:c r="R14" t="n">
        <x:v>0</x:v>
      </x:c>
      <x:c r="S14" t="n">
        <x:f>Q14-R14</x:f>
        <x:v>0</x:v>
      </x:c>
      <x:c r="T14" t="n">
        <x:v>7</x:v>
      </x:c>
      <x:c r="U14" t="n">
        <x:v>7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f>IF(AND(ISNUMBER(G14),I14&lt;&gt;"Excluded INI"),MAX(0,G14-J14),"")</x:f>
        <x:v>43</x:v>
      </x:c>
      <x:c r="AC14" t="n">
        <x:v>17768</x:v>
      </x:c>
      <x:c r="AD14" t="n">
        <x:v>22342</x:v>
      </x:c>
      <x:c r="AE14" t="n">
        <x:v>22488</x:v>
      </x:c>
      <x:c r="AF14" t="n">
        <x:v>22536</x:v>
      </x:c>
      <x:c r="AG14"/>
      <x:c r="AH14"/>
      <x:c r="AI14"/>
      <x:c r="AJ14"/>
      <x:c r="AK14" t="n">
        <x:v>131363</x:v>
      </x:c>
      <x:c r="AL14" t="n">
        <x:v>131363</x:v>
      </x:c>
      <x:c r="AM14" t="str">
        <x:v>Fully allotted in R1; R2 opportunity depends on upgrade/non-joining</x:v>
      </x:c>
    </x:row>
    <x:row r="15">
      <x:c r="A15" t="str">
        <x:v>Andhra Pradesh</x:v>
      </x:c>
      <x:c r="B15" t="str">
        <x:v>All India except Central University</x:v>
      </x:c>
      <x:c r="C15" t="str">
        <x:v>200662</x:v>
      </x:c>
      <x:c r="D15" t="str">
        <x:v>Government Medical College, Rajamahendravaram, Government Medical College,D.No.55-4-1,Central Jail Road ,Near CTRI, Rajamahendravaram.</x:v>
      </x:c>
      <x:c r="E15" t="str">
        <x:v>AP/015/G/1</x:v>
      </x:c>
      <x:c r="F15" t="str">
        <x:v>Government</x:v>
      </x:c>
      <x:c r="G15" t="n">
        <x:v>150</x:v>
      </x:c>
      <x:c r="H15" t="n">
        <x:v>100</x:v>
      </x:c>
      <x:c r="I15" t="str">
        <x:v>High-confidence fuzzy</x:v>
      </x:c>
      <x:c r="J15" t="n">
        <x:v>22</x:v>
      </x:c>
      <x:c r="K15" t="n">
        <x:v>22</x:v>
      </x:c>
      <x:c r="L15" t="n">
        <x:f>J15-K15</x:f>
        <x:v>0</x:v>
      </x:c>
      <x:c r="M15" s="20" t="n">
        <x:f>IFERROR(K15/J15,0)</x:f>
        <x:v>1</x:v>
      </x:c>
      <x:c r="N15" t="n">
        <x:v>22</x:v>
      </x:c>
      <x:c r="O15" t="n">
        <x:v>22</x:v>
      </x:c>
      <x:c r="P15" t="n">
        <x:f>N15-O15</x:f>
        <x:v>0</x:v>
      </x:c>
      <x:c r="Q15" t="n">
        <x:v>0</x:v>
      </x:c>
      <x:c r="R15" t="n">
        <x:v>0</x:v>
      </x:c>
      <x:c r="S15" t="n">
        <x:f>Q15-R15</x:f>
        <x:v>0</x:v>
      </x:c>
      <x:c r="T15" t="n">
        <x:v>22</x:v>
      </x:c>
      <x:c r="U15" t="n">
        <x:v>22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f>IF(AND(ISNUMBER(G15),I15&lt;&gt;"Excluded INI"),MAX(0,G15-J15),"")</x:f>
        <x:v>128</x:v>
      </x:c>
      <x:c r="AC15" t="n">
        <x:v>19446</x:v>
      </x:c>
      <x:c r="AD15" t="n">
        <x:v>19765</x:v>
      </x:c>
      <x:c r="AE15" t="n">
        <x:v>20930</x:v>
      </x:c>
      <x:c r="AF15" t="n">
        <x:v>21444</x:v>
      </x:c>
      <x:c r="AG15" t="n">
        <x:v>25489</x:v>
      </x:c>
      <x:c r="AH15" t="n">
        <x:v>25829</x:v>
      </x:c>
      <x:c r="AI15" t="n">
        <x:v>57263</x:v>
      </x:c>
      <x:c r="AJ15" t="n">
        <x:v>71621</x:v>
      </x:c>
      <x:c r="AK15" t="n">
        <x:v>93337</x:v>
      </x:c>
      <x:c r="AL15" t="n">
        <x:v>93337</x:v>
      </x:c>
      <x:c r="AM15" t="str">
        <x:v>Fully allotted in R1; R2 opportunity depends on upgrade/non-joining</x:v>
      </x:c>
    </x:row>
    <x:row r="16">
      <x:c r="A16" t="str">
        <x:v>Andhra Pradesh</x:v>
      </x:c>
      <x:c r="B16" t="str">
        <x:v>All India except Central University</x:v>
      </x:c>
      <x:c r="C16" t="str">
        <x:v>200442</x:v>
      </x:c>
      <x:c r="D16" t="str">
        <x:v>Government Siddhartha Medical College, Vijaywada, Beside New Government General Hospital Gunadala Vijayawada</x:v>
      </x:c>
      <x:c r="E16" t="str">
        <x:v>AP/017/G/1</x:v>
      </x:c>
      <x:c r="F16" t="str">
        <x:v>Government</x:v>
      </x:c>
      <x:c r="G16" t="n">
        <x:v>250</x:v>
      </x:c>
      <x:c r="H16" t="n">
        <x:v>100</x:v>
      </x:c>
      <x:c r="I16" t="str">
        <x:v>High-confidence fuzzy</x:v>
      </x:c>
      <x:c r="J16" t="n">
        <x:v>37</x:v>
      </x:c>
      <x:c r="K16" t="n">
        <x:v>37</x:v>
      </x:c>
      <x:c r="L16" t="n">
        <x:f>J16-K16</x:f>
        <x:v>0</x:v>
      </x:c>
      <x:c r="M16" s="20" t="n">
        <x:f>IFERROR(K16/J16,0)</x:f>
        <x:v>1</x:v>
      </x:c>
      <x:c r="N16" t="n">
        <x:v>37</x:v>
      </x:c>
      <x:c r="O16" t="n">
        <x:v>37</x:v>
      </x:c>
      <x:c r="P16" t="n">
        <x:f>N16-O16</x:f>
        <x:v>0</x:v>
      </x:c>
      <x:c r="Q16" t="n">
        <x:v>0</x:v>
      </x:c>
      <x:c r="R16" t="n">
        <x:v>0</x:v>
      </x:c>
      <x:c r="S16" t="n">
        <x:f>Q16-R16</x:f>
        <x:v>0</x:v>
      </x:c>
      <x:c r="T16" t="n">
        <x:v>37</x:v>
      </x:c>
      <x:c r="U16" t="n">
        <x:v>37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f>IF(AND(ISNUMBER(G16),I16&lt;&gt;"Excluded INI"),MAX(0,G16-J16),"")</x:f>
        <x:v>213</x:v>
      </x:c>
      <x:c r="AC16" t="n">
        <x:v>8668</x:v>
      </x:c>
      <x:c r="AD16" t="n">
        <x:v>10122</x:v>
      </x:c>
      <x:c r="AE16" t="n">
        <x:v>12587</x:v>
      </x:c>
      <x:c r="AF16" t="n">
        <x:v>14333</x:v>
      </x:c>
      <x:c r="AG16" t="n">
        <x:v>13174</x:v>
      </x:c>
      <x:c r="AH16" t="n">
        <x:v>13233</x:v>
      </x:c>
      <x:c r="AI16" t="n">
        <x:v>47251</x:v>
      </x:c>
      <x:c r="AJ16" t="n">
        <x:v>51615</x:v>
      </x:c>
      <x:c r="AK16" t="n">
        <x:v>94892</x:v>
      </x:c>
      <x:c r="AL16" t="n">
        <x:v>96507</x:v>
      </x:c>
      <x:c r="AM16" t="str">
        <x:v>Fully allotted in R1; R2 opportunity depends on upgrade/non-joining</x:v>
      </x:c>
    </x:row>
    <x:row r="17">
      <x:c r="A17" t="str">
        <x:v>Andhra Pradesh</x:v>
      </x:c>
      <x:c r="B17" t="str">
        <x:v>All India except Central University</x:v>
      </x:c>
      <x:c r="C17" t="str">
        <x:v>200668</x:v>
      </x:c>
      <x:c r="D17" t="str">
        <x:v>Government medical college, vizianagaram, Opposite Central Tribal University , Near JNTU Gajularega, Vizianagaram, Andhra Pradesh, 535003</x:v>
      </x:c>
      <x:c r="E17" t="str">
        <x:v>AP/016/G/1</x:v>
      </x:c>
      <x:c r="F17" t="str">
        <x:v>Government</x:v>
      </x:c>
      <x:c r="G17" t="n">
        <x:v>150</x:v>
      </x:c>
      <x:c r="H17" t="n">
        <x:v>100</x:v>
      </x:c>
      <x:c r="I17" t="str">
        <x:v>High-confidence fuzzy</x:v>
      </x:c>
      <x:c r="J17" t="n">
        <x:v>22</x:v>
      </x:c>
      <x:c r="K17" t="n">
        <x:v>22</x:v>
      </x:c>
      <x:c r="L17" t="n">
        <x:f>J17-K17</x:f>
        <x:v>0</x:v>
      </x:c>
      <x:c r="M17" s="20" t="n">
        <x:f>IFERROR(K17/J17,0)</x:f>
        <x:v>1</x:v>
      </x:c>
      <x:c r="N17" t="n">
        <x:v>22</x:v>
      </x:c>
      <x:c r="O17" t="n">
        <x:v>22</x:v>
      </x:c>
      <x:c r="P17" t="n">
        <x:f>N17-O17</x:f>
        <x:v>0</x:v>
      </x:c>
      <x:c r="Q17" t="n">
        <x:v>0</x:v>
      </x:c>
      <x:c r="R17" t="n">
        <x:v>0</x:v>
      </x:c>
      <x:c r="S17" t="n">
        <x:f>Q17-R17</x:f>
        <x:v>0</x:v>
      </x:c>
      <x:c r="T17" t="n">
        <x:v>22</x:v>
      </x:c>
      <x:c r="U17" t="n">
        <x:v>22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f>IF(AND(ISNUMBER(G17),I17&lt;&gt;"Excluded INI"),MAX(0,G17-J17),"")</x:f>
        <x:v>128</x:v>
      </x:c>
      <x:c r="AC17" t="n">
        <x:v>17920</x:v>
      </x:c>
      <x:c r="AD17" t="n">
        <x:v>19642</x:v>
      </x:c>
      <x:c r="AE17" t="n">
        <x:v>21588</x:v>
      </x:c>
      <x:c r="AF17" t="n">
        <x:v>21696</x:v>
      </x:c>
      <x:c r="AG17" t="n">
        <x:v>23979</x:v>
      </x:c>
      <x:c r="AH17" t="n">
        <x:v>25536</x:v>
      </x:c>
      <x:c r="AI17" t="n">
        <x:v>73472</x:v>
      </x:c>
      <x:c r="AJ17" t="n">
        <x:v>86071</x:v>
      </x:c>
      <x:c r="AK17" t="n">
        <x:v>126288</x:v>
      </x:c>
      <x:c r="AL17" t="n">
        <x:v>126843</x:v>
      </x:c>
      <x:c r="AM17" t="str">
        <x:v>Fully allotted in R1; R2 opportunity depends on upgrade/non-joining</x:v>
      </x:c>
    </x:row>
    <x:row r="18">
      <x:c r="A18" t="str">
        <x:v>Andhra Pradesh</x:v>
      </x:c>
      <x:c r="B18" t="str">
        <x:v>All India except Central University</x:v>
      </x:c>
      <x:c r="C18" t="str">
        <x:v>200423</x:v>
      </x:c>
      <x:c r="D18" t="str">
        <x:v>Guntur Medical College, Guntur, Kannavarithoa Opp. NGOs Association Building</x:v>
      </x:c>
      <x:c r="E18" t="str">
        <x:v>AP/020/G/1</x:v>
      </x:c>
      <x:c r="F18" t="str">
        <x:v>Government</x:v>
      </x:c>
      <x:c r="G18" t="n">
        <x:v>250</x:v>
      </x:c>
      <x:c r="H18" t="n">
        <x:v>100</x:v>
      </x:c>
      <x:c r="I18" t="str">
        <x:v>High-confidence fuzzy</x:v>
      </x:c>
      <x:c r="J18" t="n">
        <x:v>37</x:v>
      </x:c>
      <x:c r="K18" t="n">
        <x:v>37</x:v>
      </x:c>
      <x:c r="L18" t="n">
        <x:f>J18-K18</x:f>
        <x:v>0</x:v>
      </x:c>
      <x:c r="M18" s="20" t="n">
        <x:f>IFERROR(K18/J18,0)</x:f>
        <x:v>1</x:v>
      </x:c>
      <x:c r="N18" t="n">
        <x:v>37</x:v>
      </x:c>
      <x:c r="O18" t="n">
        <x:v>37</x:v>
      </x:c>
      <x:c r="P18" t="n">
        <x:f>N18-O18</x:f>
        <x:v>0</x:v>
      </x:c>
      <x:c r="Q18" t="n">
        <x:v>0</x:v>
      </x:c>
      <x:c r="R18" t="n">
        <x:v>0</x:v>
      </x:c>
      <x:c r="S18" t="n">
        <x:f>Q18-R18</x:f>
        <x:v>0</x:v>
      </x:c>
      <x:c r="T18" t="n">
        <x:v>37</x:v>
      </x:c>
      <x:c r="U18" t="n">
        <x:v>37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f>IF(AND(ISNUMBER(G18),I18&lt;&gt;"Excluded INI"),MAX(0,G18-J18),"")</x:f>
        <x:v>213</x:v>
      </x:c>
      <x:c r="AC18" t="n">
        <x:v>5190</x:v>
      </x:c>
      <x:c r="AD18" t="n">
        <x:v>5572</x:v>
      </x:c>
      <x:c r="AE18" t="n">
        <x:v>7425</x:v>
      </x:c>
      <x:c r="AF18" t="n">
        <x:v>8513</x:v>
      </x:c>
      <x:c r="AG18" t="n">
        <x:v>7558</x:v>
      </x:c>
      <x:c r="AH18" t="n">
        <x:v>8401</x:v>
      </x:c>
      <x:c r="AI18" t="n">
        <x:v>31786</x:v>
      </x:c>
      <x:c r="AJ18" t="n">
        <x:v>38649</x:v>
      </x:c>
      <x:c r="AK18" t="n">
        <x:v>57806</x:v>
      </x:c>
      <x:c r="AL18" t="n">
        <x:v>62547</x:v>
      </x:c>
      <x:c r="AM18" t="str">
        <x:v>Fully allotted in R1; R2 opportunity depends on upgrade/non-joining</x:v>
      </x:c>
    </x:row>
    <x:row r="19">
      <x:c r="A19" t="str">
        <x:v>Andhra Pradesh</x:v>
      </x:c>
      <x:c r="B19" t="str">
        <x:v>All India except Central University</x:v>
      </x:c>
      <x:c r="C19" t="str">
        <x:v>200424</x:v>
      </x:c>
      <x:c r="D19" t="str">
        <x:v>Kurnool Medical College, Kurnool, BUDHAWARPET, KURNOOL.</x:v>
      </x:c>
      <x:c r="E19" t="str">
        <x:v>AP/023/G/1</x:v>
      </x:c>
      <x:c r="F19" t="str">
        <x:v>Government</x:v>
      </x:c>
      <x:c r="G19" t="n">
        <x:v>250</x:v>
      </x:c>
      <x:c r="H19" t="n">
        <x:v>100</x:v>
      </x:c>
      <x:c r="I19" t="str">
        <x:v>High-confidence fuzzy</x:v>
      </x:c>
      <x:c r="J19" t="n">
        <x:v>37</x:v>
      </x:c>
      <x:c r="K19" t="n">
        <x:v>37</x:v>
      </x:c>
      <x:c r="L19" t="n">
        <x:f>J19-K19</x:f>
        <x:v>0</x:v>
      </x:c>
      <x:c r="M19" s="20" t="n">
        <x:f>IFERROR(K19/J19,0)</x:f>
        <x:v>1</x:v>
      </x:c>
      <x:c r="N19" t="n">
        <x:v>37</x:v>
      </x:c>
      <x:c r="O19" t="n">
        <x:v>37</x:v>
      </x:c>
      <x:c r="P19" t="n">
        <x:f>N19-O19</x:f>
        <x:v>0</x:v>
      </x:c>
      <x:c r="Q19" t="n">
        <x:v>0</x:v>
      </x:c>
      <x:c r="R19" t="n">
        <x:v>0</x:v>
      </x:c>
      <x:c r="S19" t="n">
        <x:f>Q19-R19</x:f>
        <x:v>0</x:v>
      </x:c>
      <x:c r="T19" t="n">
        <x:v>37</x:v>
      </x:c>
      <x:c r="U19" t="n">
        <x:v>37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f>IF(AND(ISNUMBER(G19),I19&lt;&gt;"Excluded INI"),MAX(0,G19-J19),"")</x:f>
        <x:v>213</x:v>
      </x:c>
      <x:c r="AC19" t="n">
        <x:v>6730</x:v>
      </x:c>
      <x:c r="AD19" t="n">
        <x:v>8311</x:v>
      </x:c>
      <x:c r="AE19" t="n">
        <x:v>9561</x:v>
      </x:c>
      <x:c r="AF19" t="n">
        <x:v>11197</x:v>
      </x:c>
      <x:c r="AG19" t="n">
        <x:v>12582</x:v>
      </x:c>
      <x:c r="AH19" t="n">
        <x:v>13817</x:v>
      </x:c>
      <x:c r="AI19" t="n">
        <x:v>40758</x:v>
      </x:c>
      <x:c r="AJ19" t="n">
        <x:v>46275</x:v>
      </x:c>
      <x:c r="AK19" t="n">
        <x:v>46474</x:v>
      </x:c>
      <x:c r="AL19" t="n">
        <x:v>46474</x:v>
      </x:c>
      <x:c r="AM19" t="str">
        <x:v>Fully allotted in R1; R2 opportunity depends on upgrade/non-joining</x:v>
      </x:c>
    </x:row>
    <x:row r="20">
      <x:c r="A20" t="str">
        <x:v>Andhra Pradesh</x:v>
      </x:c>
      <x:c r="B20" t="str">
        <x:v>All India except Central University</x:v>
      </x:c>
      <x:c r="C20" t="str">
        <x:v>200444</x:v>
      </x:c>
      <x:c r="D20" t="str">
        <x:v>Rajiv Gandhi Institute of Medical Sciences, Srikakulam, Balaga Srikakulam</x:v>
      </x:c>
      <x:c r="E20" t="str">
        <x:v>AP/032/G/1</x:v>
      </x:c>
      <x:c r="F20" t="str">
        <x:v>Government</x:v>
      </x:c>
      <x:c r="G20" t="n">
        <x:v>200</x:v>
      </x:c>
      <x:c r="H20" t="n">
        <x:v>100</x:v>
      </x:c>
      <x:c r="I20" t="str">
        <x:v>High-confidence fuzzy</x:v>
      </x:c>
      <x:c r="J20" t="n">
        <x:v>30</x:v>
      </x:c>
      <x:c r="K20" t="n">
        <x:v>30</x:v>
      </x:c>
      <x:c r="L20" t="n">
        <x:f>J20-K20</x:f>
        <x:v>0</x:v>
      </x:c>
      <x:c r="M20" s="20" t="n">
        <x:f>IFERROR(K20/J20,0)</x:f>
        <x:v>1</x:v>
      </x:c>
      <x:c r="N20" t="n">
        <x:v>30</x:v>
      </x:c>
      <x:c r="O20" t="n">
        <x:v>30</x:v>
      </x:c>
      <x:c r="P20" t="n">
        <x:f>N20-O20</x:f>
        <x:v>0</x:v>
      </x:c>
      <x:c r="Q20" t="n">
        <x:v>0</x:v>
      </x:c>
      <x:c r="R20" t="n">
        <x:v>0</x:v>
      </x:c>
      <x:c r="S20" t="n">
        <x:f>Q20-R20</x:f>
        <x:v>0</x:v>
      </x:c>
      <x:c r="T20" t="n">
        <x:v>30</x:v>
      </x:c>
      <x:c r="U20" t="n">
        <x:v>30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f>IF(AND(ISNUMBER(G20),I20&lt;&gt;"Excluded INI"),MAX(0,G20-J20),"")</x:f>
        <x:v>170</x:v>
      </x:c>
      <x:c r="AC20" t="n">
        <x:v>16814</x:v>
      </x:c>
      <x:c r="AD20" t="n">
        <x:v>17825</x:v>
      </x:c>
      <x:c r="AE20" t="n">
        <x:v>18714</x:v>
      </x:c>
      <x:c r="AF20" t="n">
        <x:v>18961</x:v>
      </x:c>
      <x:c r="AG20" t="n">
        <x:v>23181</x:v>
      </x:c>
      <x:c r="AH20" t="n">
        <x:v>23344</x:v>
      </x:c>
      <x:c r="AI20" t="n">
        <x:v>71446</x:v>
      </x:c>
      <x:c r="AJ20" t="n">
        <x:v>83582</x:v>
      </x:c>
      <x:c r="AK20" t="n">
        <x:v>91710</x:v>
      </x:c>
      <x:c r="AL20" t="n">
        <x:v>109186</x:v>
      </x:c>
      <x:c r="AM20" t="str">
        <x:v>Fully allotted in R1; R2 opportunity depends on upgrade/non-joining</x:v>
      </x:c>
    </x:row>
    <x:row r="21">
      <x:c r="A21" t="str">
        <x:v>Andhra Pradesh</x:v>
      </x:c>
      <x:c r="B21" t="str">
        <x:v>All India except Central University</x:v>
      </x:c>
      <x:c r="C21" t="str">
        <x:v>200420</x:v>
      </x:c>
      <x:c r="D21" t="str">
        <x:v>Rangaraya Medical College, Kakinada, PITHAPURAM ROAD, KAKINADA</x:v>
      </x:c>
      <x:c r="E21" t="str">
        <x:v>AP/033/G/1</x:v>
      </x:c>
      <x:c r="F21" t="str">
        <x:v>Government</x:v>
      </x:c>
      <x:c r="G21" t="n">
        <x:v>250</x:v>
      </x:c>
      <x:c r="H21" t="n">
        <x:v>100</x:v>
      </x:c>
      <x:c r="I21" t="str">
        <x:v>High-confidence fuzzy</x:v>
      </x:c>
      <x:c r="J21" t="n">
        <x:v>37</x:v>
      </x:c>
      <x:c r="K21" t="n">
        <x:v>37</x:v>
      </x:c>
      <x:c r="L21" t="n">
        <x:f>J21-K21</x:f>
        <x:v>0</x:v>
      </x:c>
      <x:c r="M21" s="20" t="n">
        <x:f>IFERROR(K21/J21,0)</x:f>
        <x:v>1</x:v>
      </x:c>
      <x:c r="N21" t="n">
        <x:v>37</x:v>
      </x:c>
      <x:c r="O21" t="n">
        <x:v>37</x:v>
      </x:c>
      <x:c r="P21" t="n">
        <x:f>N21-O21</x:f>
        <x:v>0</x:v>
      </x:c>
      <x:c r="Q21" t="n">
        <x:v>0</x:v>
      </x:c>
      <x:c r="R21" t="n">
        <x:v>0</x:v>
      </x:c>
      <x:c r="S21" t="n">
        <x:f>Q21-R21</x:f>
        <x:v>0</x:v>
      </x:c>
      <x:c r="T21" t="n">
        <x:v>37</x:v>
      </x:c>
      <x:c r="U21" t="n">
        <x:v>37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f>IF(AND(ISNUMBER(G21),I21&lt;&gt;"Excluded INI"),MAX(0,G21-J21),"")</x:f>
        <x:v>213</x:v>
      </x:c>
      <x:c r="AC21" t="n">
        <x:v>7002</x:v>
      </x:c>
      <x:c r="AD21" t="n">
        <x:v>9316</x:v>
      </x:c>
      <x:c r="AE21" t="n">
        <x:v>9847</x:v>
      </x:c>
      <x:c r="AF21" t="n">
        <x:v>10900</x:v>
      </x:c>
      <x:c r="AG21" t="n">
        <x:v>14525</x:v>
      </x:c>
      <x:c r="AH21" t="n">
        <x:v>14629</x:v>
      </x:c>
      <x:c r="AI21" t="n">
        <x:v>41776</x:v>
      </x:c>
      <x:c r="AJ21" t="n">
        <x:v>45246</x:v>
      </x:c>
      <x:c r="AK21" t="n">
        <x:v>70490</x:v>
      </x:c>
      <x:c r="AL21" t="n">
        <x:v>76669</x:v>
      </x:c>
      <x:c r="AM21" t="str">
        <x:v>Fully allotted in R1; R2 opportunity depends on upgrade/non-joining</x:v>
      </x:c>
    </x:row>
    <x:row r="22">
      <x:c r="A22" t="str">
        <x:v>Andhra Pradesh</x:v>
      </x:c>
      <x:c r="B22" t="str">
        <x:v>All India except Central University</x:v>
      </x:c>
      <x:c r="C22" t="str">
        <x:v>200426</x:v>
      </x:c>
      <x:c r="D22" t="str">
        <x:v>S V Medical College, Tirupati, NEAR VIVEKANDANDA CIRCLE, ALIPIRI ROAD TIRUPATI</x:v>
      </x:c>
      <x:c r="E22" t="str">
        <x:v>AP/034/G/1</x:v>
      </x:c>
      <x:c r="F22" t="str">
        <x:v>Government</x:v>
      </x:c>
      <x:c r="G22" t="n">
        <x:v>240</x:v>
      </x:c>
      <x:c r="H22" t="n">
        <x:v>100</x:v>
      </x:c>
      <x:c r="I22" t="str">
        <x:v>High-confidence fuzzy</x:v>
      </x:c>
      <x:c r="J22" t="n">
        <x:v>36</x:v>
      </x:c>
      <x:c r="K22" t="n">
        <x:v>36</x:v>
      </x:c>
      <x:c r="L22" t="n">
        <x:f>J22-K22</x:f>
        <x:v>0</x:v>
      </x:c>
      <x:c r="M22" s="20" t="n">
        <x:f>IFERROR(K22/J22,0)</x:f>
        <x:v>1</x:v>
      </x:c>
      <x:c r="N22" t="n">
        <x:v>36</x:v>
      </x:c>
      <x:c r="O22" t="n">
        <x:v>36</x:v>
      </x:c>
      <x:c r="P22" t="n">
        <x:f>N22-O22</x:f>
        <x:v>0</x:v>
      </x:c>
      <x:c r="Q22" t="n">
        <x:v>0</x:v>
      </x:c>
      <x:c r="R22" t="n">
        <x:v>0</x:v>
      </x:c>
      <x:c r="S22" t="n">
        <x:f>Q22-R22</x:f>
        <x:v>0</x:v>
      </x:c>
      <x:c r="T22" t="n">
        <x:v>36</x:v>
      </x:c>
      <x:c r="U22" t="n">
        <x:v>36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f>IF(AND(ISNUMBER(G22),I22&lt;&gt;"Excluded INI"),MAX(0,G22-J22),"")</x:f>
        <x:v>204</x:v>
      </x:c>
      <x:c r="AC22" t="n">
        <x:v>8271</x:v>
      </x:c>
      <x:c r="AD22" t="n">
        <x:v>9385</x:v>
      </x:c>
      <x:c r="AE22" t="n">
        <x:v>12444</x:v>
      </x:c>
      <x:c r="AF22" t="n">
        <x:v>13947</x:v>
      </x:c>
      <x:c r="AG22" t="n">
        <x:v>11774</x:v>
      </x:c>
      <x:c r="AH22" t="n">
        <x:v>13041</x:v>
      </x:c>
      <x:c r="AI22" t="n">
        <x:v>49741</x:v>
      </x:c>
      <x:c r="AJ22" t="n">
        <x:v>54062</x:v>
      </x:c>
      <x:c r="AK22" t="n">
        <x:v>88282</x:v>
      </x:c>
      <x:c r="AL22" t="n">
        <x:v>94627</x:v>
      </x:c>
      <x:c r="AM22" t="str">
        <x:v>Fully allotted in R1; R2 opportunity depends on upgrade/non-joining</x:v>
      </x:c>
    </x:row>
    <x:row r="23">
      <x:c r="A23" t="str">
        <x:v>Andhra Pradesh</x:v>
      </x:c>
      <x:c r="B23" t="str">
        <x:v>All India except Central University</x:v>
      </x:c>
      <x:c r="C23" t="str">
        <x:v>200434</x:v>
      </x:c>
      <x:c r="D23" t="str">
        <x:v>SVIMS - Sri Padmavathi Medical College for Women, Alipiri Road, Tirupati, SVIMS, ALIPIRI ROAD, TIRUPATI</x:v>
      </x:c>
      <x:c r="E23" t="str">
        <x:v>AP/037/G/1</x:v>
      </x:c>
      <x:c r="F23" t="str">
        <x:v>Government</x:v>
      </x:c>
      <x:c r="G23" t="n">
        <x:v>175</x:v>
      </x:c>
      <x:c r="H23" t="n">
        <x:v>100</x:v>
      </x:c>
      <x:c r="I23" t="str">
        <x:v>High-confidence fuzzy</x:v>
      </x:c>
      <x:c r="J23" t="n">
        <x:v>26</x:v>
      </x:c>
      <x:c r="K23" t="n">
        <x:v>25</x:v>
      </x:c>
      <x:c r="L23" t="n">
        <x:f>J23-K23</x:f>
        <x:v>1</x:v>
      </x:c>
      <x:c r="M23" s="20" t="n">
        <x:f>IFERROR(K23/J23,0)</x:f>
        <x:v>0.9615384615384616</x:v>
      </x:c>
      <x:c r="N23" t="n">
        <x:v>26</x:v>
      </x:c>
      <x:c r="O23" t="n">
        <x:v>25</x:v>
      </x:c>
      <x:c r="P23" t="n">
        <x:f>N23-O23</x:f>
        <x:v>1</x:v>
      </x:c>
      <x:c r="Q23" t="n">
        <x:v>0</x:v>
      </x:c>
      <x:c r="R23" t="n">
        <x:v>0</x:v>
      </x:c>
      <x:c r="S23" t="n">
        <x:f>Q23-R23</x:f>
        <x:v>0</x:v>
      </x:c>
      <x:c r="T23" t="n">
        <x:v>26</x:v>
      </x:c>
      <x:c r="U23" t="n">
        <x:v>25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f>IF(AND(ISNUMBER(G23),I23&lt;&gt;"Excluded INI"),MAX(0,G23-J23),"")</x:f>
        <x:v>149</x:v>
      </x:c>
      <x:c r="AC23" t="n">
        <x:v>12530</x:v>
      </x:c>
      <x:c r="AD23" t="n">
        <x:v>13858</x:v>
      </x:c>
      <x:c r="AE23" t="n">
        <x:v>15848</x:v>
      </x:c>
      <x:c r="AF23" t="n">
        <x:v>16408</x:v>
      </x:c>
      <x:c r="AG23" t="n">
        <x:v>23584</x:v>
      </x:c>
      <x:c r="AH23" t="n">
        <x:v>24710</x:v>
      </x:c>
      <x:c r="AI23" t="n">
        <x:v>76486</x:v>
      </x:c>
      <x:c r="AJ23" t="n">
        <x:v>81742</x:v>
      </x:c>
      <x:c r="AK23" t="n">
        <x:v>110072</x:v>
      </x:c>
      <x:c r="AL23" t="n">
        <x:v>115770</x:v>
      </x:c>
      <x:c r="AM23" t="str">
        <x:v>R1 regular-central gap visible; verify in official R2 matrix</x:v>
      </x:c>
    </x:row>
    <x:row r="24">
      <x:c r="A24" t="str">
        <x:v>Assam</x:v>
      </x:c>
      <x:c r="B24" t="str">
        <x:v>All India Institute Of Medical Science(AIIMS)</x:v>
      </x:c>
      <x:c r="C24" t="str">
        <x:v>200519</x:v>
      </x:c>
      <x:c r="D24" t="str">
        <x:v>AIIMS Guwahati, PO-CHANGSARI, DISTRICT-KAMRUP</x:v>
      </x:c>
      <x:c r="E24" t="str"/>
      <x:c r="F24" t="str"/>
      <x:c r="G24"/>
      <x:c r="H24" t="n">
        <x:v>100</x:v>
      </x:c>
      <x:c r="I24" t="str">
        <x:v>Excluded INI</x:v>
      </x:c>
      <x:c r="J24" t="n">
        <x:v>100</x:v>
      </x:c>
      <x:c r="K24" t="n">
        <x:v>100</x:v>
      </x:c>
      <x:c r="L24" t="n">
        <x:f>J24-K24</x:f>
        <x:v>0</x:v>
      </x:c>
      <x:c r="M24" s="20" t="n">
        <x:f>IFERROR(K24/J24,0)</x:f>
        <x:v>1</x:v>
      </x:c>
      <x:c r="N24" t="n">
        <x:v>100</x:v>
      </x:c>
      <x:c r="O24" t="n">
        <x:v>100</x:v>
      </x:c>
      <x:c r="P24" t="n">
        <x:f>N24-O24</x:f>
        <x:v>0</x:v>
      </x:c>
      <x:c r="Q24" t="n">
        <x:v>0</x:v>
      </x:c>
      <x:c r="R24" t="n">
        <x:v>0</x:v>
      </x:c>
      <x:c r="S24" t="n">
        <x:f>Q24-R24</x:f>
        <x:v>0</x:v>
      </x:c>
      <x:c r="T24" t="n">
        <x:v>0</x:v>
      </x:c>
      <x:c r="U24" t="n">
        <x:v>0</x:v>
      </x:c>
      <x:c r="V24" t="n">
        <x:v>100</x:v>
      </x:c>
      <x:c r="W24" t="n">
        <x:v>100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str">
        <x:f>IF(AND(ISNUMBER(G24),I24&lt;&gt;"Excluded INI"),MAX(0,G24-J24),"")</x:f>
      </x:c>
      <x:c r="AC24" t="n">
        <x:v>2706</x:v>
      </x:c>
      <x:c r="AD24" t="n">
        <x:v>2997</x:v>
      </x:c>
      <x:c r="AE24" t="n">
        <x:v>3506</x:v>
      </x:c>
      <x:c r="AF24" t="n">
        <x:v>3823</x:v>
      </x:c>
      <x:c r="AG24" t="n">
        <x:v>4678</x:v>
      </x:c>
      <x:c r="AH24" t="n">
        <x:v>4802</x:v>
      </x:c>
      <x:c r="AI24" t="n">
        <x:v>24030</x:v>
      </x:c>
      <x:c r="AJ24" t="n">
        <x:v>27539</x:v>
      </x:c>
      <x:c r="AK24" t="n">
        <x:v>31722</x:v>
      </x:c>
      <x:c r="AL24" t="n">
        <x:v>37116</x:v>
      </x:c>
      <x:c r="AM24" t="str">
        <x:v>Fully allotted in R1; R2 opportunity depends on upgrade/non-joining</x:v>
      </x:c>
    </x:row>
    <x:row r="25">
      <x:c r="A25" t="str">
        <x:v>Assam</x:v>
      </x:c>
      <x:c r="B25" t="str">
        <x:v>All India except Central University</x:v>
      </x:c>
      <x:c r="C25" t="str">
        <x:v>200102</x:v>
      </x:c>
      <x:c r="D25" t="str">
        <x:v>Assam Medial College, Dibrugarh, Borbari, Dibrugarh</x:v>
      </x:c>
      <x:c r="E25" t="str">
        <x:v>AS/001/G/1</x:v>
      </x:c>
      <x:c r="F25" t="str">
        <x:v>Government</x:v>
      </x:c>
      <x:c r="G25" t="n">
        <x:v>250</x:v>
      </x:c>
      <x:c r="H25" t="n">
        <x:v>100</x:v>
      </x:c>
      <x:c r="I25" t="str">
        <x:v>High-confidence fuzzy</x:v>
      </x:c>
      <x:c r="J25" t="n">
        <x:v>38</x:v>
      </x:c>
      <x:c r="K25" t="n">
        <x:v>38</x:v>
      </x:c>
      <x:c r="L25" t="n">
        <x:f>J25-K25</x:f>
        <x:v>0</x:v>
      </x:c>
      <x:c r="M25" s="20" t="n">
        <x:f>IFERROR(K25/J25,0)</x:f>
        <x:v>1</x:v>
      </x:c>
      <x:c r="N25" t="n">
        <x:v>38</x:v>
      </x:c>
      <x:c r="O25" t="n">
        <x:v>38</x:v>
      </x:c>
      <x:c r="P25" t="n">
        <x:f>N25-O25</x:f>
        <x:v>0</x:v>
      </x:c>
      <x:c r="Q25" t="n">
        <x:v>0</x:v>
      </x:c>
      <x:c r="R25" t="n">
        <x:v>0</x:v>
      </x:c>
      <x:c r="S25" t="n">
        <x:f>Q25-R25</x:f>
        <x:v>0</x:v>
      </x:c>
      <x:c r="T25" t="n">
        <x:v>38</x:v>
      </x:c>
      <x:c r="U25" t="n">
        <x:v>38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f>IF(AND(ISNUMBER(G25),I25&lt;&gt;"Excluded INI"),MAX(0,G25-J25),"")</x:f>
        <x:v>212</x:v>
      </x:c>
      <x:c r="AC25" t="n">
        <x:v>11412</x:v>
      </x:c>
      <x:c r="AD25" t="n">
        <x:v>12707</x:v>
      </x:c>
      <x:c r="AE25" t="n">
        <x:v>16314</x:v>
      </x:c>
      <x:c r="AF25" t="n">
        <x:v>17613</x:v>
      </x:c>
      <x:c r="AG25" t="n">
        <x:v>16791</x:v>
      </x:c>
      <x:c r="AH25" t="n">
        <x:v>17351</x:v>
      </x:c>
      <x:c r="AI25" t="n">
        <x:v>69727</x:v>
      </x:c>
      <x:c r="AJ25" t="n">
        <x:v>71105</x:v>
      </x:c>
      <x:c r="AK25" t="n">
        <x:v>53839</x:v>
      </x:c>
      <x:c r="AL25" t="n">
        <x:v>56907</x:v>
      </x:c>
      <x:c r="AM25" t="str">
        <x:v>Fully allotted in R1; R2 opportunity depends on upgrade/non-joining</x:v>
      </x:c>
    </x:row>
    <x:row r="26">
      <x:c r="A26" t="str">
        <x:v>Assam</x:v>
      </x:c>
      <x:c r="B26" t="str">
        <x:v>All India except Central University</x:v>
      </x:c>
      <x:c r="C26" t="str">
        <x:v>200642</x:v>
      </x:c>
      <x:c r="D26" t="str">
        <x:v>Dhubri Medical College, Dhubri, P.O. Jhagrarpar SPO, Dhubri, Assam, PIN - 783325</x:v>
      </x:c>
      <x:c r="E26" t="str">
        <x:v>AS/002/G/1</x:v>
      </x:c>
      <x:c r="F26" t="str">
        <x:v>Government</x:v>
      </x:c>
      <x:c r="G26" t="n">
        <x:v>100</x:v>
      </x:c>
      <x:c r="H26" t="n">
        <x:v>100</x:v>
      </x:c>
      <x:c r="I26" t="str">
        <x:v>High-confidence fuzzy</x:v>
      </x:c>
      <x:c r="J26" t="n">
        <x:v>15</x:v>
      </x:c>
      <x:c r="K26" t="n">
        <x:v>15</x:v>
      </x:c>
      <x:c r="L26" t="n">
        <x:f>J26-K26</x:f>
        <x:v>0</x:v>
      </x:c>
      <x:c r="M26" s="20" t="n">
        <x:f>IFERROR(K26/J26,0)</x:f>
        <x:v>1</x:v>
      </x:c>
      <x:c r="N26" t="n">
        <x:v>15</x:v>
      </x:c>
      <x:c r="O26" t="n">
        <x:v>15</x:v>
      </x:c>
      <x:c r="P26" t="n">
        <x:f>N26-O26</x:f>
        <x:v>0</x:v>
      </x:c>
      <x:c r="Q26" t="n">
        <x:v>0</x:v>
      </x:c>
      <x:c r="R26" t="n">
        <x:v>0</x:v>
      </x:c>
      <x:c r="S26" t="n">
        <x:f>Q26-R26</x:f>
        <x:v>0</x:v>
      </x:c>
      <x:c r="T26" t="n">
        <x:v>15</x:v>
      </x:c>
      <x:c r="U26" t="n">
        <x:v>15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f>IF(AND(ISNUMBER(G26),I26&lt;&gt;"Excluded INI"),MAX(0,G26-J26),"")</x:f>
        <x:v>85</x:v>
      </x:c>
      <x:c r="AC26" t="n">
        <x:v>19930</x:v>
      </x:c>
      <x:c r="AD26" t="n">
        <x:v>20280</x:v>
      </x:c>
      <x:c r="AE26" t="n">
        <x:v>21832</x:v>
      </x:c>
      <x:c r="AF26" t="n">
        <x:v>22044</x:v>
      </x:c>
      <x:c r="AG26" t="n">
        <x:v>24431</x:v>
      </x:c>
      <x:c r="AH26" t="n">
        <x:v>24444</x:v>
      </x:c>
      <x:c r="AI26" t="n">
        <x:v>94532</x:v>
      </x:c>
      <x:c r="AJ26" t="n">
        <x:v>97622</x:v>
      </x:c>
      <x:c r="AK26" t="n">
        <x:v>108848</x:v>
      </x:c>
      <x:c r="AL26" t="n">
        <x:v>108848</x:v>
      </x:c>
      <x:c r="AM26" t="str">
        <x:v>Fully allotted in R1; R2 opportunity depends on upgrade/non-joining</x:v>
      </x:c>
    </x:row>
    <x:row r="27">
      <x:c r="A27" t="str">
        <x:v>Assam</x:v>
      </x:c>
      <x:c r="B27" t="str">
        <x:v>All India except Central University</x:v>
      </x:c>
      <x:c r="C27" t="str">
        <x:v>200578</x:v>
      </x:c>
      <x:c r="D27" t="str">
        <x:v>Diphu Medical College &amp; Hospital, Diphu, Assam, principaldiphu@gmail.com</x:v>
      </x:c>
      <x:c r="E27" t="str">
        <x:v>AS/003/G/1</x:v>
      </x:c>
      <x:c r="F27" t="str">
        <x:v>Government</x:v>
      </x:c>
      <x:c r="G27" t="n">
        <x:v>100</x:v>
      </x:c>
      <x:c r="H27" t="n">
        <x:v>100</x:v>
      </x:c>
      <x:c r="I27" t="str">
        <x:v>High-confidence fuzzy</x:v>
      </x:c>
      <x:c r="J27" t="n">
        <x:v>15</x:v>
      </x:c>
      <x:c r="K27" t="n">
        <x:v>15</x:v>
      </x:c>
      <x:c r="L27" t="n">
        <x:f>J27-K27</x:f>
        <x:v>0</x:v>
      </x:c>
      <x:c r="M27" s="20" t="n">
        <x:f>IFERROR(K27/J27,0)</x:f>
        <x:v>1</x:v>
      </x:c>
      <x:c r="N27" t="n">
        <x:v>15</x:v>
      </x:c>
      <x:c r="O27" t="n">
        <x:v>15</x:v>
      </x:c>
      <x:c r="P27" t="n">
        <x:f>N27-O27</x:f>
        <x:v>0</x:v>
      </x:c>
      <x:c r="Q27" t="n">
        <x:v>0</x:v>
      </x:c>
      <x:c r="R27" t="n">
        <x:v>0</x:v>
      </x:c>
      <x:c r="S27" t="n">
        <x:f>Q27-R27</x:f>
        <x:v>0</x:v>
      </x:c>
      <x:c r="T27" t="n">
        <x:v>15</x:v>
      </x:c>
      <x:c r="U27" t="n">
        <x:v>15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f>IF(AND(ISNUMBER(G27),I27&lt;&gt;"Excluded INI"),MAX(0,G27-J27),"")</x:f>
        <x:v>85</x:v>
      </x:c>
      <x:c r="AC27" t="n">
        <x:v>19996</x:v>
      </x:c>
      <x:c r="AD27" t="n">
        <x:v>20292</x:v>
      </x:c>
      <x:c r="AE27" t="n">
        <x:v>22234</x:v>
      </x:c>
      <x:c r="AF27" t="n">
        <x:v>22361</x:v>
      </x:c>
      <x:c r="AG27" t="n">
        <x:v>23585</x:v>
      </x:c>
      <x:c r="AH27" t="n">
        <x:v>24264</x:v>
      </x:c>
      <x:c r="AI27" t="n">
        <x:v>100120</x:v>
      </x:c>
      <x:c r="AJ27" t="n">
        <x:v>100947</x:v>
      </x:c>
      <x:c r="AK27" t="n">
        <x:v>114961</x:v>
      </x:c>
      <x:c r="AL27" t="n">
        <x:v>114961</x:v>
      </x:c>
      <x:c r="AM27" t="str">
        <x:v>Fully allotted in R1; R2 opportunity depends on upgrade/non-joining</x:v>
      </x:c>
    </x:row>
    <x:row r="28">
      <x:c r="A28" t="str">
        <x:v>Assam</x:v>
      </x:c>
      <x:c r="B28" t="str">
        <x:v>All India except Central University</x:v>
      </x:c>
      <x:c r="C28" t="str">
        <x:v>904552</x:v>
      </x:c>
      <x:c r="D28" t="str">
        <x:v>ESIC Medical College and Hospital, Beltola, No. 242, Pir Ajan Fakir Road, Beltola, Guwahati, Assam-781022</x:v>
      </x:c>
      <x:c r="E28" t="str">
        <x:v>AS/004/G/1</x:v>
      </x:c>
      <x:c r="F28" t="str">
        <x:v>Government</x:v>
      </x:c>
      <x:c r="G28" t="n">
        <x:v>50</x:v>
      </x:c>
      <x:c r="H28" t="n">
        <x:v>100</x:v>
      </x:c>
      <x:c r="I28" t="str">
        <x:v>High-confidence fuzzy</x:v>
      </x:c>
      <x:c r="J28" t="n">
        <x:v>32</x:v>
      </x:c>
      <x:c r="K28" t="n">
        <x:v>32</x:v>
      </x:c>
      <x:c r="L28" t="n">
        <x:f>J28-K28</x:f>
        <x:v>0</x:v>
      </x:c>
      <x:c r="M28" s="20" t="n">
        <x:f>IFERROR(K28/J28,0)</x:f>
        <x:v>1</x:v>
      </x:c>
      <x:c r="N28" t="n">
        <x:v>32</x:v>
      </x:c>
      <x:c r="O28" t="n">
        <x:v>32</x:v>
      </x:c>
      <x:c r="P28" t="n">
        <x:f>N28-O28</x:f>
        <x:v>0</x:v>
      </x:c>
      <x:c r="Q28" t="n">
        <x:v>0</x:v>
      </x:c>
      <x:c r="R28" t="n">
        <x:v>0</x:v>
      </x:c>
      <x:c r="S28" t="n">
        <x:f>Q28-R28</x:f>
        <x:v>0</x:v>
      </x:c>
      <x:c r="T28" t="n">
        <x:v>7</x:v>
      </x:c>
      <x:c r="U28" t="n">
        <x:v>7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f>IF(AND(ISNUMBER(G28),I28&lt;&gt;"Excluded INI"),MAX(0,G28-J28),"")</x:f>
        <x:v>18</x:v>
      </x:c>
      <x:c r="AC28" t="n">
        <x:v>37860</x:v>
      </x:c>
      <x:c r="AD28" t="n">
        <x:v>47374</x:v>
      </x:c>
      <x:c r="AE28" t="n">
        <x:v>45956</x:v>
      </x:c>
      <x:c r="AF28" t="n">
        <x:v>50728</x:v>
      </x:c>
      <x:c r="AG28" t="n">
        <x:v>50012</x:v>
      </x:c>
      <x:c r="AH28" t="n">
        <x:v>50536</x:v>
      </x:c>
      <x:c r="AI28" t="n">
        <x:v>173986</x:v>
      </x:c>
      <x:c r="AJ28" t="n">
        <x:v>197490</x:v>
      </x:c>
      <x:c r="AK28" t="n">
        <x:v>269777</x:v>
      </x:c>
      <x:c r="AL28" t="n">
        <x:v>374314</x:v>
      </x:c>
      <x:c r="AM28" t="str">
        <x:v>Fully allotted in R1; R2 opportunity depends on upgrade/non-joining</x:v>
      </x:c>
    </x:row>
    <x:row r="29">
      <x:c r="A29" t="str">
        <x:v>Assam</x:v>
      </x:c>
      <x:c r="B29" t="str">
        <x:v>All India except Central University</x:v>
      </x:c>
      <x:c r="C29" t="str">
        <x:v>200103</x:v>
      </x:c>
      <x:c r="D29" t="str">
        <x:v>Fakhruddin Ali Ahmed Medical College, Barpeta, Assam, Jania Road, Jotigaon, Barpeta, Assam</x:v>
      </x:c>
      <x:c r="E29" t="str">
        <x:v>AS/005/G/1</x:v>
      </x:c>
      <x:c r="F29" t="str">
        <x:v>Government</x:v>
      </x:c>
      <x:c r="G29" t="n">
        <x:v>125</x:v>
      </x:c>
      <x:c r="H29" t="n">
        <x:v>100</x:v>
      </x:c>
      <x:c r="I29" t="str">
        <x:v>High-confidence fuzzy</x:v>
      </x:c>
      <x:c r="J29" t="n">
        <x:v>19</x:v>
      </x:c>
      <x:c r="K29" t="n">
        <x:v>19</x:v>
      </x:c>
      <x:c r="L29" t="n">
        <x:f>J29-K29</x:f>
        <x:v>0</x:v>
      </x:c>
      <x:c r="M29" s="20" t="n">
        <x:f>IFERROR(K29/J29,0)</x:f>
        <x:v>1</x:v>
      </x:c>
      <x:c r="N29" t="n">
        <x:v>19</x:v>
      </x:c>
      <x:c r="O29" t="n">
        <x:v>19</x:v>
      </x:c>
      <x:c r="P29" t="n">
        <x:f>N29-O29</x:f>
        <x:v>0</x:v>
      </x:c>
      <x:c r="Q29" t="n">
        <x:v>0</x:v>
      </x:c>
      <x:c r="R29" t="n">
        <x:v>0</x:v>
      </x:c>
      <x:c r="S29" t="n">
        <x:f>Q29-R29</x:f>
        <x:v>0</x:v>
      </x:c>
      <x:c r="T29" t="n">
        <x:v>19</x:v>
      </x:c>
      <x:c r="U29" t="n">
        <x:v>19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f>IF(AND(ISNUMBER(G29),I29&lt;&gt;"Excluded INI"),MAX(0,G29-J29),"")</x:f>
        <x:v>106</x:v>
      </x:c>
      <x:c r="AC29" t="n">
        <x:v>19202</x:v>
      </x:c>
      <x:c r="AD29" t="n">
        <x:v>19442</x:v>
      </x:c>
      <x:c r="AE29" t="n">
        <x:v>20680</x:v>
      </x:c>
      <x:c r="AF29" t="n">
        <x:v>21443</x:v>
      </x:c>
      <x:c r="AG29" t="n">
        <x:v>20734</x:v>
      </x:c>
      <x:c r="AH29" t="n">
        <x:v>22019</x:v>
      </x:c>
      <x:c r="AI29" t="n">
        <x:v>99077</x:v>
      </x:c>
      <x:c r="AJ29" t="n">
        <x:v>100559</x:v>
      </x:c>
      <x:c r="AK29" t="n">
        <x:v>102050</x:v>
      </x:c>
      <x:c r="AL29" t="n">
        <x:v>102050</x:v>
      </x:c>
      <x:c r="AM29" t="str">
        <x:v>Fully allotted in R1; R2 opportunity depends on upgrade/non-joining</x:v>
      </x:c>
    </x:row>
    <x:row r="30">
      <x:c r="A30" t="str">
        <x:v>Assam</x:v>
      </x:c>
      <x:c r="B30" t="str">
        <x:v>All India except Central University</x:v>
      </x:c>
      <x:c r="C30" t="str">
        <x:v>200104</x:v>
      </x:c>
      <x:c r="D30" t="str">
        <x:v>Gauhati Medical College, Guwahati, 7th, Floor Mother &amp; Child Hospital (MCH) Bhangagarh, Guwahati-781032, Assam.</x:v>
      </x:c>
      <x:c r="E30" t="str">
        <x:v>AS/006/G/1</x:v>
      </x:c>
      <x:c r="F30" t="str">
        <x:v>Government</x:v>
      </x:c>
      <x:c r="G30" t="n">
        <x:v>250</x:v>
      </x:c>
      <x:c r="H30" t="n">
        <x:v>100</x:v>
      </x:c>
      <x:c r="I30" t="str">
        <x:v>High-confidence fuzzy</x:v>
      </x:c>
      <x:c r="J30" t="n">
        <x:v>37</x:v>
      </x:c>
      <x:c r="K30" t="n">
        <x:v>37</x:v>
      </x:c>
      <x:c r="L30" t="n">
        <x:f>J30-K30</x:f>
        <x:v>0</x:v>
      </x:c>
      <x:c r="M30" s="20" t="n">
        <x:f>IFERROR(K30/J30,0)</x:f>
        <x:v>1</x:v>
      </x:c>
      <x:c r="N30" t="n">
        <x:v>37</x:v>
      </x:c>
      <x:c r="O30" t="n">
        <x:v>37</x:v>
      </x:c>
      <x:c r="P30" t="n">
        <x:f>N30-O30</x:f>
        <x:v>0</x:v>
      </x:c>
      <x:c r="Q30" t="n">
        <x:v>0</x:v>
      </x:c>
      <x:c r="R30" t="n">
        <x:v>0</x:v>
      </x:c>
      <x:c r="S30" t="n">
        <x:f>Q30-R30</x:f>
        <x:v>0</x:v>
      </x:c>
      <x:c r="T30" t="n">
        <x:v>37</x:v>
      </x:c>
      <x:c r="U30" t="n">
        <x:v>37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f>IF(AND(ISNUMBER(G30),I30&lt;&gt;"Excluded INI"),MAX(0,G30-J30),"")</x:f>
        <x:v>213</x:v>
      </x:c>
      <x:c r="AC30" t="n">
        <x:v>4891</x:v>
      </x:c>
      <x:c r="AD30" t="n">
        <x:v>6445</x:v>
      </x:c>
      <x:c r="AE30" t="n">
        <x:v>8754</x:v>
      </x:c>
      <x:c r="AF30" t="n">
        <x:v>11617</x:v>
      </x:c>
      <x:c r="AG30" t="n">
        <x:v>9542</x:v>
      </x:c>
      <x:c r="AH30" t="n">
        <x:v>10474</x:v>
      </x:c>
      <x:c r="AI30" t="n">
        <x:v>33552</x:v>
      </x:c>
      <x:c r="AJ30" t="n">
        <x:v>38604</x:v>
      </x:c>
      <x:c r="AK30" t="n">
        <x:v>46540</x:v>
      </x:c>
      <x:c r="AL30" t="n">
        <x:v>47489</x:v>
      </x:c>
      <x:c r="AM30" t="str">
        <x:v>Fully allotted in R1; R2 opportunity depends on upgrade/non-joining</x:v>
      </x:c>
    </x:row>
    <x:row r="31">
      <x:c r="A31" t="str">
        <x:v>Assam</x:v>
      </x:c>
      <x:c r="B31" t="str">
        <x:v>All India except Central University</x:v>
      </x:c>
      <x:c r="C31" t="str">
        <x:v>200105</x:v>
      </x:c>
      <x:c r="D31" t="str">
        <x:v>Jorhat Medical College &amp; Hospital , Jorhat, Kushal Konwar Path, Barbheta, Jorhat, Assam, 785001</x:v>
      </x:c>
      <x:c r="E31" t="str">
        <x:v>AS/007/G/1</x:v>
      </x:c>
      <x:c r="F31" t="str">
        <x:v>Government</x:v>
      </x:c>
      <x:c r="G31" t="n">
        <x:v>125</x:v>
      </x:c>
      <x:c r="H31" t="n">
        <x:v>100</x:v>
      </x:c>
      <x:c r="I31" t="str">
        <x:v>High-confidence fuzzy</x:v>
      </x:c>
      <x:c r="J31" t="n">
        <x:v>19</x:v>
      </x:c>
      <x:c r="K31" t="n">
        <x:v>19</x:v>
      </x:c>
      <x:c r="L31" t="n">
        <x:f>J31-K31</x:f>
        <x:v>0</x:v>
      </x:c>
      <x:c r="M31" s="20" t="n">
        <x:f>IFERROR(K31/J31,0)</x:f>
        <x:v>1</x:v>
      </x:c>
      <x:c r="N31" t="n">
        <x:v>19</x:v>
      </x:c>
      <x:c r="O31" t="n">
        <x:v>19</x:v>
      </x:c>
      <x:c r="P31" t="n">
        <x:f>N31-O31</x:f>
        <x:v>0</x:v>
      </x:c>
      <x:c r="Q31" t="n">
        <x:v>0</x:v>
      </x:c>
      <x:c r="R31" t="n">
        <x:v>0</x:v>
      </x:c>
      <x:c r="S31" t="n">
        <x:f>Q31-R31</x:f>
        <x:v>0</x:v>
      </x:c>
      <x:c r="T31" t="n">
        <x:v>19</x:v>
      </x:c>
      <x:c r="U31" t="n">
        <x:v>19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f>IF(AND(ISNUMBER(G31),I31&lt;&gt;"Excluded INI"),MAX(0,G31-J31),"")</x:f>
        <x:v>106</x:v>
      </x:c>
      <x:c r="AC31" t="n">
        <x:v>16813</x:v>
      </x:c>
      <x:c r="AD31" t="n">
        <x:v>17646</x:v>
      </x:c>
      <x:c r="AE31" t="n">
        <x:v>18958</x:v>
      </x:c>
      <x:c r="AF31" t="n">
        <x:v>19581</x:v>
      </x:c>
      <x:c r="AG31" t="n">
        <x:v>22724</x:v>
      </x:c>
      <x:c r="AH31" t="n">
        <x:v>22801</x:v>
      </x:c>
      <x:c r="AI31" t="n">
        <x:v>84177</x:v>
      </x:c>
      <x:c r="AJ31" t="n">
        <x:v>88605</x:v>
      </x:c>
      <x:c r="AK31" t="n">
        <x:v>77281</x:v>
      </x:c>
      <x:c r="AL31" t="n">
        <x:v>77281</x:v>
      </x:c>
      <x:c r="AM31" t="str">
        <x:v>Fully allotted in R1; R2 opportunity depends on upgrade/non-joining</x:v>
      </x:c>
    </x:row>
    <x:row r="32">
      <x:c r="A32" t="str">
        <x:v>Assam</x:v>
      </x:c>
      <x:c r="B32" t="str">
        <x:v>All India except Central University</x:v>
      </x:c>
      <x:c r="C32" t="str">
        <x:v>200652</x:v>
      </x:c>
      <x:c r="D32" t="str">
        <x:v>Kokrajhar Medical College, Rangalikhata Pt.-1, Kokrajhar</x:v>
      </x:c>
      <x:c r="E32" t="str">
        <x:v>AS/008/G/1</x:v>
      </x:c>
      <x:c r="F32" t="str">
        <x:v>Government</x:v>
      </x:c>
      <x:c r="G32" t="n">
        <x:v>100</x:v>
      </x:c>
      <x:c r="H32" t="n">
        <x:v>100</x:v>
      </x:c>
      <x:c r="I32" t="str">
        <x:v>High-confidence fuzzy</x:v>
      </x:c>
      <x:c r="J32" t="n">
        <x:v>15</x:v>
      </x:c>
      <x:c r="K32" t="n">
        <x:v>15</x:v>
      </x:c>
      <x:c r="L32" t="n">
        <x:f>J32-K32</x:f>
        <x:v>0</x:v>
      </x:c>
      <x:c r="M32" s="20" t="n">
        <x:f>IFERROR(K32/J32,0)</x:f>
        <x:v>1</x:v>
      </x:c>
      <x:c r="N32" t="n">
        <x:v>15</x:v>
      </x:c>
      <x:c r="O32" t="n">
        <x:v>15</x:v>
      </x:c>
      <x:c r="P32" t="n">
        <x:f>N32-O32</x:f>
        <x:v>0</x:v>
      </x:c>
      <x:c r="Q32" t="n">
        <x:v>0</x:v>
      </x:c>
      <x:c r="R32" t="n">
        <x:v>0</x:v>
      </x:c>
      <x:c r="S32" t="n">
        <x:f>Q32-R32</x:f>
        <x:v>0</x:v>
      </x:c>
      <x:c r="T32" t="n">
        <x:v>15</x:v>
      </x:c>
      <x:c r="U32" t="n">
        <x:v>15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f>IF(AND(ISNUMBER(G32),I32&lt;&gt;"Excluded INI"),MAX(0,G32-J32),"")</x:f>
        <x:v>85</x:v>
      </x:c>
      <x:c r="AC32" t="n">
        <x:v>21540</x:v>
      </x:c>
      <x:c r="AD32" t="n">
        <x:v>21929</x:v>
      </x:c>
      <x:c r="AE32" t="n">
        <x:v>22779</x:v>
      </x:c>
      <x:c r="AF32" t="n">
        <x:v>22935</x:v>
      </x:c>
      <x:c r="AG32" t="n">
        <x:v>25203</x:v>
      </x:c>
      <x:c r="AH32" t="n">
        <x:v>25203</x:v>
      </x:c>
      <x:c r="AI32" t="n">
        <x:v>104687</x:v>
      </x:c>
      <x:c r="AJ32" t="n">
        <x:v>104787</x:v>
      </x:c>
      <x:c r="AK32" t="n">
        <x:v>117339</x:v>
      </x:c>
      <x:c r="AL32" t="n">
        <x:v>117339</x:v>
      </x:c>
      <x:c r="AM32" t="str">
        <x:v>Fully allotted in R1; R2 opportunity depends on upgrade/non-joining</x:v>
      </x:c>
    </x:row>
    <x:row r="33">
      <x:c r="A33" t="str">
        <x:v>Assam</x:v>
      </x:c>
      <x:c r="B33" t="str">
        <x:v>All India except Central University</x:v>
      </x:c>
      <x:c r="C33" t="str">
        <x:v>200588</x:v>
      </x:c>
      <x:c r="D33" t="str">
        <x:v>Lakhimpur Medical College, Chowkham Saboti North Lakhimpur Lakhimpur</x:v>
      </x:c>
      <x:c r="E33" t="str">
        <x:v>AS/009/G/1</x:v>
      </x:c>
      <x:c r="F33" t="str">
        <x:v>Government</x:v>
      </x:c>
      <x:c r="G33" t="n">
        <x:v>100</x:v>
      </x:c>
      <x:c r="H33" t="n">
        <x:v>100</x:v>
      </x:c>
      <x:c r="I33" t="str">
        <x:v>High-confidence fuzzy</x:v>
      </x:c>
      <x:c r="J33" t="n">
        <x:v>15</x:v>
      </x:c>
      <x:c r="K33" t="n">
        <x:v>15</x:v>
      </x:c>
      <x:c r="L33" t="n">
        <x:f>J33-K33</x:f>
        <x:v>0</x:v>
      </x:c>
      <x:c r="M33" s="20" t="n">
        <x:f>IFERROR(K33/J33,0)</x:f>
        <x:v>1</x:v>
      </x:c>
      <x:c r="N33" t="n">
        <x:v>15</x:v>
      </x:c>
      <x:c r="O33" t="n">
        <x:v>15</x:v>
      </x:c>
      <x:c r="P33" t="n">
        <x:f>N33-O33</x:f>
        <x:v>0</x:v>
      </x:c>
      <x:c r="Q33" t="n">
        <x:v>0</x:v>
      </x:c>
      <x:c r="R33" t="n">
        <x:v>0</x:v>
      </x:c>
      <x:c r="S33" t="n">
        <x:f>Q33-R33</x:f>
        <x:v>0</x:v>
      </x:c>
      <x:c r="T33" t="n">
        <x:v>15</x:v>
      </x:c>
      <x:c r="U33" t="n">
        <x:v>15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f>IF(AND(ISNUMBER(G33),I33&lt;&gt;"Excluded INI"),MAX(0,G33-J33),"")</x:f>
        <x:v>85</x:v>
      </x:c>
      <x:c r="AC33" t="n">
        <x:v>17370</x:v>
      </x:c>
      <x:c r="AD33" t="n">
        <x:v>17451</x:v>
      </x:c>
      <x:c r="AE33" t="n">
        <x:v>17817</x:v>
      </x:c>
      <x:c r="AF33" t="n">
        <x:v>18163</x:v>
      </x:c>
      <x:c r="AG33" t="n">
        <x:v>18771</x:v>
      </x:c>
      <x:c r="AH33" t="n">
        <x:v>18771</x:v>
      </x:c>
      <x:c r="AI33" t="n">
        <x:v>86110</x:v>
      </x:c>
      <x:c r="AJ33" t="n">
        <x:v>87138</x:v>
      </x:c>
      <x:c r="AK33" t="n">
        <x:v>94055</x:v>
      </x:c>
      <x:c r="AL33" t="n">
        <x:v>108400</x:v>
      </x:c>
      <x:c r="AM33" t="str">
        <x:v>Fully allotted in R1; R2 opportunity depends on upgrade/non-joining</x:v>
      </x:c>
    </x:row>
    <x:row r="34">
      <x:c r="A34" t="str">
        <x:v>Assam</x:v>
      </x:c>
      <x:c r="B34" t="str">
        <x:v>All India except Central University</x:v>
      </x:c>
      <x:c r="C34" t="str">
        <x:v>200649</x:v>
      </x:c>
      <x:c r="D34" t="str">
        <x:v>Nagaon Medical College, Dipholu, Mohkhuli Chariali, Laokhua Road, Nagaon</x:v>
      </x:c>
      <x:c r="E34" t="str">
        <x:v>AS/010/G/1</x:v>
      </x:c>
      <x:c r="F34" t="str">
        <x:v>Government</x:v>
      </x:c>
      <x:c r="G34" t="n">
        <x:v>100</x:v>
      </x:c>
      <x:c r="H34" t="n">
        <x:v>100</x:v>
      </x:c>
      <x:c r="I34" t="str">
        <x:v>High-confidence fuzzy</x:v>
      </x:c>
      <x:c r="J34" t="n">
        <x:v>15</x:v>
      </x:c>
      <x:c r="K34" t="n">
        <x:v>15</x:v>
      </x:c>
      <x:c r="L34" t="n">
        <x:f>J34-K34</x:f>
        <x:v>0</x:v>
      </x:c>
      <x:c r="M34" s="20" t="n">
        <x:f>IFERROR(K34/J34,0)</x:f>
        <x:v>1</x:v>
      </x:c>
      <x:c r="N34" t="n">
        <x:v>15</x:v>
      </x:c>
      <x:c r="O34" t="n">
        <x:v>15</x:v>
      </x:c>
      <x:c r="P34" t="n">
        <x:f>N34-O34</x:f>
        <x:v>0</x:v>
      </x:c>
      <x:c r="Q34" t="n">
        <x:v>0</x:v>
      </x:c>
      <x:c r="R34" t="n">
        <x:v>0</x:v>
      </x:c>
      <x:c r="S34" t="n">
        <x:f>Q34-R34</x:f>
        <x:v>0</x:v>
      </x:c>
      <x:c r="T34" t="n">
        <x:v>15</x:v>
      </x:c>
      <x:c r="U34" t="n">
        <x:v>15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f>IF(AND(ISNUMBER(G34),I34&lt;&gt;"Excluded INI"),MAX(0,G34-J34),"")</x:f>
        <x:v>85</x:v>
      </x:c>
      <x:c r="AC34" t="n">
        <x:v>20272</x:v>
      </x:c>
      <x:c r="AD34" t="n">
        <x:v>20981</x:v>
      </x:c>
      <x:c r="AE34" t="n">
        <x:v>22620</x:v>
      </x:c>
      <x:c r="AF34" t="n">
        <x:v>22694</x:v>
      </x:c>
      <x:c r="AG34" t="n">
        <x:v>25134</x:v>
      </x:c>
      <x:c r="AH34" t="n">
        <x:v>25134</x:v>
      </x:c>
      <x:c r="AI34" t="n">
        <x:v>104038</x:v>
      </x:c>
      <x:c r="AJ34" t="n">
        <x:v>104921</x:v>
      </x:c>
      <x:c r="AK34" t="n">
        <x:v>128312</x:v>
      </x:c>
      <x:c r="AL34" t="n">
        <x:v>128312</x:v>
      </x:c>
      <x:c r="AM34" t="str">
        <x:v>Fully allotted in R1; R2 opportunity depends on upgrade/non-joining</x:v>
      </x:c>
    </x:row>
    <x:row r="35">
      <x:c r="A35" t="str">
        <x:v>Assam</x:v>
      </x:c>
      <x:c r="B35" t="str">
        <x:v>All India except Central University</x:v>
      </x:c>
      <x:c r="C35" t="str">
        <x:v>200658</x:v>
      </x:c>
      <x:c r="D35" t="str">
        <x:v>Nalbari Medical College, Nalbari, PO Dakhingaon Dist Nalbari PS Ghograpar</x:v>
      </x:c>
      <x:c r="E35" t="str">
        <x:v>AS/011/G/1</x:v>
      </x:c>
      <x:c r="F35" t="str">
        <x:v>Government</x:v>
      </x:c>
      <x:c r="G35" t="n">
        <x:v>100</x:v>
      </x:c>
      <x:c r="H35" t="n">
        <x:v>100</x:v>
      </x:c>
      <x:c r="I35" t="str">
        <x:v>High-confidence fuzzy</x:v>
      </x:c>
      <x:c r="J35" t="n">
        <x:v>15</x:v>
      </x:c>
      <x:c r="K35" t="n">
        <x:v>15</x:v>
      </x:c>
      <x:c r="L35" t="n">
        <x:f>J35-K35</x:f>
        <x:v>0</x:v>
      </x:c>
      <x:c r="M35" s="20" t="n">
        <x:f>IFERROR(K35/J35,0)</x:f>
        <x:v>1</x:v>
      </x:c>
      <x:c r="N35" t="n">
        <x:v>15</x:v>
      </x:c>
      <x:c r="O35" t="n">
        <x:v>15</x:v>
      </x:c>
      <x:c r="P35" t="n">
        <x:f>N35-O35</x:f>
        <x:v>0</x:v>
      </x:c>
      <x:c r="Q35" t="n">
        <x:v>0</x:v>
      </x:c>
      <x:c r="R35" t="n">
        <x:v>0</x:v>
      </x:c>
      <x:c r="S35" t="n">
        <x:f>Q35-R35</x:f>
        <x:v>0</x:v>
      </x:c>
      <x:c r="T35" t="n">
        <x:v>15</x:v>
      </x:c>
      <x:c r="U35" t="n">
        <x:v>15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f>IF(AND(ISNUMBER(G35),I35&lt;&gt;"Excluded INI"),MAX(0,G35-J35),"")</x:f>
        <x:v>85</x:v>
      </x:c>
      <x:c r="AC35" t="n">
        <x:v>20696</x:v>
      </x:c>
      <x:c r="AD35" t="n">
        <x:v>21185</x:v>
      </x:c>
      <x:c r="AE35" t="n">
        <x:v>22952</x:v>
      </x:c>
      <x:c r="AF35" t="n">
        <x:v>23020</x:v>
      </x:c>
      <x:c r="AG35" t="n">
        <x:v>25886</x:v>
      </x:c>
      <x:c r="AH35" t="n">
        <x:v>26272</x:v>
      </x:c>
      <x:c r="AI35" t="n">
        <x:v>100516</x:v>
      </x:c>
      <x:c r="AJ35" t="n">
        <x:v>102416</x:v>
      </x:c>
      <x:c r="AK35" t="n">
        <x:v>126398</x:v>
      </x:c>
      <x:c r="AL35" t="n">
        <x:v>126398</x:v>
      </x:c>
      <x:c r="AM35" t="str">
        <x:v>Fully allotted in R1; R2 opportunity depends on upgrade/non-joining</x:v>
      </x:c>
    </x:row>
    <x:row r="36">
      <x:c r="A36" t="str">
        <x:v>Assam</x:v>
      </x:c>
      <x:c r="B36" t="str">
        <x:v>All India except Central University</x:v>
      </x:c>
      <x:c r="C36" t="str">
        <x:v>904359</x:v>
      </x:c>
      <x:c r="D36" t="str">
        <x:v>Pragjyotishpur Medical College, Office of the Principal-Cum-Chief Superintendent, Pragjyotishpur Medical College &amp; Hospital, Guwahat</x:v>
      </x:c>
      <x:c r="E36" t="str">
        <x:v>AS/012/G/1</x:v>
      </x:c>
      <x:c r="F36" t="str">
        <x:v>Government</x:v>
      </x:c>
      <x:c r="G36" t="n">
        <x:v>100</x:v>
      </x:c>
      <x:c r="H36" t="n">
        <x:v>100</x:v>
      </x:c>
      <x:c r="I36" t="str">
        <x:v>High-confidence fuzzy</x:v>
      </x:c>
      <x:c r="J36" t="n">
        <x:v>15</x:v>
      </x:c>
      <x:c r="K36" t="n">
        <x:v>15</x:v>
      </x:c>
      <x:c r="L36" t="n">
        <x:f>J36-K36</x:f>
        <x:v>0</x:v>
      </x:c>
      <x:c r="M36" s="20" t="n">
        <x:f>IFERROR(K36/J36,0)</x:f>
        <x:v>1</x:v>
      </x:c>
      <x:c r="N36" t="n">
        <x:v>15</x:v>
      </x:c>
      <x:c r="O36" t="n">
        <x:v>15</x:v>
      </x:c>
      <x:c r="P36" t="n">
        <x:f>N36-O36</x:f>
        <x:v>0</x:v>
      </x:c>
      <x:c r="Q36" t="n">
        <x:v>0</x:v>
      </x:c>
      <x:c r="R36" t="n">
        <x:v>0</x:v>
      </x:c>
      <x:c r="S36" t="n">
        <x:f>Q36-R36</x:f>
        <x:v>0</x:v>
      </x:c>
      <x:c r="T36" t="n">
        <x:v>15</x:v>
      </x:c>
      <x:c r="U36" t="n">
        <x:v>15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f>IF(AND(ISNUMBER(G36),I36&lt;&gt;"Excluded INI"),MAX(0,G36-J36),"")</x:f>
        <x:v>85</x:v>
      </x:c>
      <x:c r="AC36" t="n">
        <x:v>17534</x:v>
      </x:c>
      <x:c r="AD36" t="n">
        <x:v>19256</x:v>
      </x:c>
      <x:c r="AE36" t="n">
        <x:v>20085</x:v>
      </x:c>
      <x:c r="AF36" t="n">
        <x:v>20851</x:v>
      </x:c>
      <x:c r="AG36" t="n">
        <x:v>24563</x:v>
      </x:c>
      <x:c r="AH36" t="n">
        <x:v>24563</x:v>
      </x:c>
      <x:c r="AI36" t="n">
        <x:v>95903</x:v>
      </x:c>
      <x:c r="AJ36" t="n">
        <x:v>99293</x:v>
      </x:c>
      <x:c r="AK36" t="n">
        <x:v>68821</x:v>
      </x:c>
      <x:c r="AL36" t="n">
        <x:v>68821</x:v>
      </x:c>
      <x:c r="AM36" t="str">
        <x:v>Fully allotted in R1; R2 opportunity depends on upgrade/non-joining</x:v>
      </x:c>
    </x:row>
    <x:row r="37">
      <x:c r="A37" t="str">
        <x:v>Assam</x:v>
      </x:c>
      <x:c r="B37" t="str">
        <x:v>All India except Central University</x:v>
      </x:c>
      <x:c r="C37" t="str">
        <x:v>200107</x:v>
      </x:c>
      <x:c r="D37" t="str">
        <x:v>Silchar Medical College, Silchar, PO Silchar Medical College, Silchar</x:v>
      </x:c>
      <x:c r="E37" t="str">
        <x:v>AS/013/G/1</x:v>
      </x:c>
      <x:c r="F37" t="str">
        <x:v>Government</x:v>
      </x:c>
      <x:c r="G37" t="n">
        <x:v>150</x:v>
      </x:c>
      <x:c r="H37" t="n">
        <x:v>100</x:v>
      </x:c>
      <x:c r="I37" t="str">
        <x:v>High-confidence fuzzy</x:v>
      </x:c>
      <x:c r="J37" t="n">
        <x:v>23</x:v>
      </x:c>
      <x:c r="K37" t="n">
        <x:v>23</x:v>
      </x:c>
      <x:c r="L37" t="n">
        <x:f>J37-K37</x:f>
        <x:v>0</x:v>
      </x:c>
      <x:c r="M37" s="20" t="n">
        <x:f>IFERROR(K37/J37,0)</x:f>
        <x:v>1</x:v>
      </x:c>
      <x:c r="N37" t="n">
        <x:v>23</x:v>
      </x:c>
      <x:c r="O37" t="n">
        <x:v>23</x:v>
      </x:c>
      <x:c r="P37" t="n">
        <x:f>N37-O37</x:f>
        <x:v>0</x:v>
      </x:c>
      <x:c r="Q37" t="n">
        <x:v>0</x:v>
      </x:c>
      <x:c r="R37" t="n">
        <x:v>0</x:v>
      </x:c>
      <x:c r="S37" t="n">
        <x:f>Q37-R37</x:f>
        <x:v>0</x:v>
      </x:c>
      <x:c r="T37" t="n">
        <x:v>23</x:v>
      </x:c>
      <x:c r="U37" t="n">
        <x:v>23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f>IF(AND(ISNUMBER(G37),I37&lt;&gt;"Excluded INI"),MAX(0,G37-J37),"")</x:f>
        <x:v>127</x:v>
      </x:c>
      <x:c r="AC37" t="n">
        <x:v>15646</x:v>
      </x:c>
      <x:c r="AD37" t="n">
        <x:v>15984</x:v>
      </x:c>
      <x:c r="AE37" t="n">
        <x:v>17474</x:v>
      </x:c>
      <x:c r="AF37" t="n">
        <x:v>18139</x:v>
      </x:c>
      <x:c r="AG37" t="n">
        <x:v>20939</x:v>
      </x:c>
      <x:c r="AH37" t="n">
        <x:v>21252</x:v>
      </x:c>
      <x:c r="AI37" t="n">
        <x:v>58720</x:v>
      </x:c>
      <x:c r="AJ37" t="n">
        <x:v>65696</x:v>
      </x:c>
      <x:c r="AK37" t="n">
        <x:v>77862</x:v>
      </x:c>
      <x:c r="AL37" t="n">
        <x:v>84636</x:v>
      </x:c>
      <x:c r="AM37" t="str">
        <x:v>Fully allotted in R1; R2 opportunity depends on upgrade/non-joining</x:v>
      </x:c>
    </x:row>
    <x:row r="38">
      <x:c r="A38" t="str">
        <x:v>Assam</x:v>
      </x:c>
      <x:c r="B38" t="str">
        <x:v>All India except Central University</x:v>
      </x:c>
      <x:c r="C38" t="str">
        <x:v>200108</x:v>
      </x:c>
      <x:c r="D38" t="str">
        <x:v>Tezpur Medical College &amp; Hospital, Tezpur, Tezpur Medical College and Hospital Bihaguri Tezpur 784010 Dist Sonitpur Assam, Assam, 784010</x:v>
      </x:c>
      <x:c r="E38" t="str">
        <x:v>AS/014/G/1</x:v>
      </x:c>
      <x:c r="F38" t="str">
        <x:v>Government</x:v>
      </x:c>
      <x:c r="G38" t="n">
        <x:v>125</x:v>
      </x:c>
      <x:c r="H38" t="n">
        <x:v>100</x:v>
      </x:c>
      <x:c r="I38" t="str">
        <x:v>High-confidence fuzzy</x:v>
      </x:c>
      <x:c r="J38" t="n">
        <x:v>19</x:v>
      </x:c>
      <x:c r="K38" t="n">
        <x:v>19</x:v>
      </x:c>
      <x:c r="L38" t="n">
        <x:f>J38-K38</x:f>
        <x:v>0</x:v>
      </x:c>
      <x:c r="M38" s="20" t="n">
        <x:f>IFERROR(K38/J38,0)</x:f>
        <x:v>1</x:v>
      </x:c>
      <x:c r="N38" t="n">
        <x:v>19</x:v>
      </x:c>
      <x:c r="O38" t="n">
        <x:v>19</x:v>
      </x:c>
      <x:c r="P38" t="n">
        <x:f>N38-O38</x:f>
        <x:v>0</x:v>
      </x:c>
      <x:c r="Q38" t="n">
        <x:v>0</x:v>
      </x:c>
      <x:c r="R38" t="n">
        <x:v>0</x:v>
      </x:c>
      <x:c r="S38" t="n">
        <x:f>Q38-R38</x:f>
        <x:v>0</x:v>
      </x:c>
      <x:c r="T38" t="n">
        <x:v>19</x:v>
      </x:c>
      <x:c r="U38" t="n">
        <x:v>19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f>IF(AND(ISNUMBER(G38),I38&lt;&gt;"Excluded INI"),MAX(0,G38-J38),"")</x:f>
        <x:v>106</x:v>
      </x:c>
      <x:c r="AC38" t="n">
        <x:v>18656</x:v>
      </x:c>
      <x:c r="AD38" t="n">
        <x:v>19118</x:v>
      </x:c>
      <x:c r="AE38" t="n">
        <x:v>21244</x:v>
      </x:c>
      <x:c r="AF38" t="n">
        <x:v>22041</x:v>
      </x:c>
      <x:c r="AG38" t="n">
        <x:v>21779</x:v>
      </x:c>
      <x:c r="AH38" t="n">
        <x:v>21779</x:v>
      </x:c>
      <x:c r="AI38" t="n">
        <x:v>91212</x:v>
      </x:c>
      <x:c r="AJ38" t="n">
        <x:v>100490</x:v>
      </x:c>
      <x:c r="AK38" t="n">
        <x:v>63232</x:v>
      </x:c>
      <x:c r="AL38" t="n">
        <x:v>63232</x:v>
      </x:c>
      <x:c r="AM38" t="str">
        <x:v>Fully allotted in R1; R2 opportunity depends on upgrade/non-joining</x:v>
      </x:c>
    </x:row>
    <x:row r="39">
      <x:c r="A39" t="str">
        <x:v>Assam</x:v>
      </x:c>
      <x:c r="B39" t="str">
        <x:v>All India except Central University</x:v>
      </x:c>
      <x:c r="C39" t="str">
        <x:v>902808</x:v>
      </x:c>
      <x:c r="D39" t="str">
        <x:v>Tinsukia Medical College - Assam Pin - 786146, Lohari Bangali Gaon, Tinsukia</x:v>
      </x:c>
      <x:c r="E39" t="str">
        <x:v>AS/015/G/1</x:v>
      </x:c>
      <x:c r="F39" t="str">
        <x:v>Government</x:v>
      </x:c>
      <x:c r="G39" t="n">
        <x:v>100</x:v>
      </x:c>
      <x:c r="H39" t="n">
        <x:v>100</x:v>
      </x:c>
      <x:c r="I39" t="str">
        <x:v>High-confidence fuzzy</x:v>
      </x:c>
      <x:c r="J39" t="n">
        <x:v>15</x:v>
      </x:c>
      <x:c r="K39" t="n">
        <x:v>15</x:v>
      </x:c>
      <x:c r="L39" t="n">
        <x:f>J39-K39</x:f>
        <x:v>0</x:v>
      </x:c>
      <x:c r="M39" s="20" t="n">
        <x:f>IFERROR(K39/J39,0)</x:f>
        <x:v>1</x:v>
      </x:c>
      <x:c r="N39" t="n">
        <x:v>15</x:v>
      </x:c>
      <x:c r="O39" t="n">
        <x:v>15</x:v>
      </x:c>
      <x:c r="P39" t="n">
        <x:f>N39-O39</x:f>
        <x:v>0</x:v>
      </x:c>
      <x:c r="Q39" t="n">
        <x:v>0</x:v>
      </x:c>
      <x:c r="R39" t="n">
        <x:v>0</x:v>
      </x:c>
      <x:c r="S39" t="n">
        <x:f>Q39-R39</x:f>
        <x:v>0</x:v>
      </x:c>
      <x:c r="T39" t="n">
        <x:v>15</x:v>
      </x:c>
      <x:c r="U39" t="n">
        <x:v>15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f>IF(AND(ISNUMBER(G39),I39&lt;&gt;"Excluded INI"),MAX(0,G39-J39),"")</x:f>
        <x:v>85</x:v>
      </x:c>
      <x:c r="AC39" t="n">
        <x:v>21632</x:v>
      </x:c>
      <x:c r="AD39" t="n">
        <x:v>22212</x:v>
      </x:c>
      <x:c r="AE39" t="n">
        <x:v>22974</x:v>
      </x:c>
      <x:c r="AF39" t="n">
        <x:v>23075</x:v>
      </x:c>
      <x:c r="AG39" t="n">
        <x:v>25463</x:v>
      </x:c>
      <x:c r="AH39" t="n">
        <x:v>26248</x:v>
      </x:c>
      <x:c r="AI39" t="n">
        <x:v>96746</x:v>
      </x:c>
      <x:c r="AJ39" t="n">
        <x:v>104141</x:v>
      </x:c>
      <x:c r="AK39" t="n">
        <x:v>119678</x:v>
      </x:c>
      <x:c r="AL39" t="n">
        <x:v>119678</x:v>
      </x:c>
      <x:c r="AM39" t="str">
        <x:v>Fully allotted in R1; R2 opportunity depends on upgrade/non-joining</x:v>
      </x:c>
    </x:row>
    <x:row r="40">
      <x:c r="A40" t="str">
        <x:v>Bihar</x:v>
      </x:c>
      <x:c r="B40" t="str">
        <x:v>All India Institute Of Medical Science(AIIMS)</x:v>
      </x:c>
      <x:c r="C40" t="str">
        <x:v>200508</x:v>
      </x:c>
      <x:c r="D40" t="str">
        <x:v>AIIMS, Patna, Phulwarisharif, Patna, Bihar-801507</x:v>
      </x:c>
      <x:c r="E40" t="str"/>
      <x:c r="F40" t="str"/>
      <x:c r="G40"/>
      <x:c r="H40" t="n">
        <x:v>100</x:v>
      </x:c>
      <x:c r="I40" t="str">
        <x:v>Excluded INI</x:v>
      </x:c>
      <x:c r="J40" t="n">
        <x:v>125</x:v>
      </x:c>
      <x:c r="K40" t="n">
        <x:v>125</x:v>
      </x:c>
      <x:c r="L40" t="n">
        <x:f>J40-K40</x:f>
        <x:v>0</x:v>
      </x:c>
      <x:c r="M40" s="20" t="n">
        <x:f>IFERROR(K40/J40,0)</x:f>
        <x:v>1</x:v>
      </x:c>
      <x:c r="N40" t="n">
        <x:v>125</x:v>
      </x:c>
      <x:c r="O40" t="n">
        <x:v>125</x:v>
      </x:c>
      <x:c r="P40" t="n">
        <x:f>N40-O40</x:f>
        <x:v>0</x:v>
      </x:c>
      <x:c r="Q40" t="n">
        <x:v>0</x:v>
      </x:c>
      <x:c r="R40" t="n">
        <x:v>0</x:v>
      </x:c>
      <x:c r="S40" t="n">
        <x:f>Q40-R40</x:f>
        <x:v>0</x:v>
      </x:c>
      <x:c r="T40" t="n">
        <x:v>0</x:v>
      </x:c>
      <x:c r="U40" t="n">
        <x:v>0</x:v>
      </x:c>
      <x:c r="V40" t="n">
        <x:v>125</x:v>
      </x:c>
      <x:c r="W40" t="n">
        <x:v>125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str">
        <x:f>IF(AND(ISNUMBER(G40),I40&lt;&gt;"Excluded INI"),MAX(0,G40-J40),"")</x:f>
      </x:c>
      <x:c r="AC40" t="n">
        <x:v>1398</x:v>
      </x:c>
      <x:c r="AD40" t="n">
        <x:v>1593</x:v>
      </x:c>
      <x:c r="AE40" t="n">
        <x:v>1884</x:v>
      </x:c>
      <x:c r="AF40" t="n">
        <x:v>2054</x:v>
      </x:c>
      <x:c r="AG40" t="n">
        <x:v>2251</x:v>
      </x:c>
      <x:c r="AH40" t="n">
        <x:v>2675</x:v>
      </x:c>
      <x:c r="AI40" t="n">
        <x:v>13877</x:v>
      </x:c>
      <x:c r="AJ40" t="n">
        <x:v>16709</x:v>
      </x:c>
      <x:c r="AK40" t="n">
        <x:v>22099</x:v>
      </x:c>
      <x:c r="AL40" t="n">
        <x:v>24984</x:v>
      </x:c>
      <x:c r="AM40" t="str">
        <x:v>Fully allotted in R1; R2 opportunity depends on upgrade/non-joining</x:v>
      </x:c>
    </x:row>
    <x:row r="41">
      <x:c r="A41" t="str">
        <x:v>Bihar</x:v>
      </x:c>
      <x:c r="B41" t="str">
        <x:v>All India except Central University</x:v>
      </x:c>
      <x:c r="C41" t="str">
        <x:v>200109</x:v>
      </x:c>
      <x:c r="D41" t="str">
        <x:v>Anugrah Narayan Magadh Medical College, Gaya, SHERGHATI ROAD, GAYAJI</x:v>
      </x:c>
      <x:c r="E41" t="str">
        <x:v>BR/001/G/1</x:v>
      </x:c>
      <x:c r="F41" t="str">
        <x:v>Government</x:v>
      </x:c>
      <x:c r="G41" t="n">
        <x:v>120</x:v>
      </x:c>
      <x:c r="H41" t="n">
        <x:v>100</x:v>
      </x:c>
      <x:c r="I41" t="str">
        <x:v>High-confidence fuzzy</x:v>
      </x:c>
      <x:c r="J41" t="n">
        <x:v>18</x:v>
      </x:c>
      <x:c r="K41" t="n">
        <x:v>18</x:v>
      </x:c>
      <x:c r="L41" t="n">
        <x:f>J41-K41</x:f>
        <x:v>0</x:v>
      </x:c>
      <x:c r="M41" s="20" t="n">
        <x:f>IFERROR(K41/J41,0)</x:f>
        <x:v>1</x:v>
      </x:c>
      <x:c r="N41" t="n">
        <x:v>18</x:v>
      </x:c>
      <x:c r="O41" t="n">
        <x:v>18</x:v>
      </x:c>
      <x:c r="P41" t="n">
        <x:f>N41-O41</x:f>
        <x:v>0</x:v>
      </x:c>
      <x:c r="Q41" t="n">
        <x:v>0</x:v>
      </x:c>
      <x:c r="R41" t="n">
        <x:v>0</x:v>
      </x:c>
      <x:c r="S41" t="n">
        <x:f>Q41-R41</x:f>
        <x:v>0</x:v>
      </x:c>
      <x:c r="T41" t="n">
        <x:v>18</x:v>
      </x:c>
      <x:c r="U41" t="n">
        <x:v>18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f>IF(AND(ISNUMBER(G41),I41&lt;&gt;"Excluded INI"),MAX(0,G41-J41),"")</x:f>
        <x:v>102</x:v>
      </x:c>
      <x:c r="AC41" t="n">
        <x:v>9278</x:v>
      </x:c>
      <x:c r="AD41" t="n">
        <x:v>10539</x:v>
      </x:c>
      <x:c r="AE41" t="n">
        <x:v>11701</x:v>
      </x:c>
      <x:c r="AF41" t="n">
        <x:v>12135</x:v>
      </x:c>
      <x:c r="AG41" t="n">
        <x:v>13040</x:v>
      </x:c>
      <x:c r="AH41" t="n">
        <x:v>13325</x:v>
      </x:c>
      <x:c r="AI41" t="n">
        <x:v>73855</x:v>
      </x:c>
      <x:c r="AJ41" t="n">
        <x:v>74403</x:v>
      </x:c>
      <x:c r="AK41" t="n">
        <x:v>92832</x:v>
      </x:c>
      <x:c r="AL41" t="n">
        <x:v>93345</x:v>
      </x:c>
      <x:c r="AM41" t="str">
        <x:v>Fully allotted in R1; R2 opportunity depends on upgrade/non-joining</x:v>
      </x:c>
    </x:row>
    <x:row r="42">
      <x:c r="A42" t="str">
        <x:v>Bihar</x:v>
      </x:c>
      <x:c r="B42" t="str">
        <x:v>All India except Central University</x:v>
      </x:c>
      <x:c r="C42" t="str">
        <x:v>200110</x:v>
      </x:c>
      <x:c r="D42" t="str">
        <x:v>Darbhanga Medical College, Lehriasarai, Sheetal Prasad Marg, Laheriasarai, Darbhanga</x:v>
      </x:c>
      <x:c r="E42" t="str">
        <x:v>BR/002/G/1</x:v>
      </x:c>
      <x:c r="F42" t="str">
        <x:v>Government</x:v>
      </x:c>
      <x:c r="G42" t="n">
        <x:v>150</x:v>
      </x:c>
      <x:c r="H42" t="n">
        <x:v>100</x:v>
      </x:c>
      <x:c r="I42" t="str">
        <x:v>High-confidence fuzzy</x:v>
      </x:c>
      <x:c r="J42" t="n">
        <x:v>23</x:v>
      </x:c>
      <x:c r="K42" t="n">
        <x:v>23</x:v>
      </x:c>
      <x:c r="L42" t="n">
        <x:f>J42-K42</x:f>
        <x:v>0</x:v>
      </x:c>
      <x:c r="M42" s="20" t="n">
        <x:f>IFERROR(K42/J42,0)</x:f>
        <x:v>1</x:v>
      </x:c>
      <x:c r="N42" t="n">
        <x:v>23</x:v>
      </x:c>
      <x:c r="O42" t="n">
        <x:v>23</x:v>
      </x:c>
      <x:c r="P42" t="n">
        <x:f>N42-O42</x:f>
        <x:v>0</x:v>
      </x:c>
      <x:c r="Q42" t="n">
        <x:v>0</x:v>
      </x:c>
      <x:c r="R42" t="n">
        <x:v>0</x:v>
      </x:c>
      <x:c r="S42" t="n">
        <x:f>Q42-R42</x:f>
        <x:v>0</x:v>
      </x:c>
      <x:c r="T42" t="n">
        <x:v>23</x:v>
      </x:c>
      <x:c r="U42" t="n">
        <x:v>23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f>IF(AND(ISNUMBER(G42),I42&lt;&gt;"Excluded INI"),MAX(0,G42-J42),"")</x:f>
        <x:v>127</x:v>
      </x:c>
      <x:c r="AC42" t="n">
        <x:v>7626</x:v>
      </x:c>
      <x:c r="AD42" t="n">
        <x:v>7915</x:v>
      </x:c>
      <x:c r="AE42" t="n">
        <x:v>8682</x:v>
      </x:c>
      <x:c r="AF42" t="n">
        <x:v>9259</x:v>
      </x:c>
      <x:c r="AG42" t="n">
        <x:v>8853</x:v>
      </x:c>
      <x:c r="AH42" t="n">
        <x:v>9779</x:v>
      </x:c>
      <x:c r="AI42" t="n">
        <x:v>58247</x:v>
      </x:c>
      <x:c r="AJ42" t="n">
        <x:v>59879</x:v>
      </x:c>
      <x:c r="AK42" t="n">
        <x:v>77956</x:v>
      </x:c>
      <x:c r="AL42" t="n">
        <x:v>77956</x:v>
      </x:c>
      <x:c r="AM42" t="str">
        <x:v>Fully allotted in R1; R2 opportunity depends on upgrade/non-joining</x:v>
      </x:c>
    </x:row>
    <x:row r="43">
      <x:c r="A43" t="str">
        <x:v>Bihar</x:v>
      </x:c>
      <x:c r="B43" t="str">
        <x:v>Employees State Insurance Scheme</x:v>
      </x:c>
      <x:c r="C43" t="str">
        <x:v>200573</x:v>
      </x:c>
      <x:c r="D43" t="str">
        <x:v>Employees State Insurance Corporation Medical College, Patna, ESIC Medical College and Hospital, Arrah Danapur Road, Sikandarpur, Bihta, Patna- 801103</x:v>
      </x:c>
      <x:c r="E43" t="str">
        <x:v>BR/003/G/1</x:v>
      </x:c>
      <x:c r="F43" t="str">
        <x:v>Government</x:v>
      </x:c>
      <x:c r="G43" t="n">
        <x:v>100</x:v>
      </x:c>
      <x:c r="H43" t="n">
        <x:v>100</x:v>
      </x:c>
      <x:c r="I43" t="str">
        <x:v>High-confidence fuzzy</x:v>
      </x:c>
      <x:c r="J43" t="n">
        <x:v>50</x:v>
      </x:c>
      <x:c r="K43" t="n">
        <x:v>48</x:v>
      </x:c>
      <x:c r="L43" t="n">
        <x:f>J43-K43</x:f>
        <x:v>2</x:v>
      </x:c>
      <x:c r="M43" s="20" t="n">
        <x:f>IFERROR(K43/J43,0)</x:f>
        <x:v>0.96</x:v>
      </x:c>
      <x:c r="N43" t="n">
        <x:v>50</x:v>
      </x:c>
      <x:c r="O43" t="n">
        <x:v>48</x:v>
      </x:c>
      <x:c r="P43" t="n">
        <x:f>N43-O43</x:f>
        <x:v>2</x:v>
      </x:c>
      <x:c r="Q43" t="n">
        <x:v>0</x:v>
      </x:c>
      <x:c r="R43" t="n">
        <x:v>0</x:v>
      </x:c>
      <x:c r="S43" t="n">
        <x:f>Q43-R43</x:f>
        <x:v>0</x:v>
      </x:c>
      <x:c r="T43" t="n">
        <x:v>15</x:v>
      </x:c>
      <x:c r="U43" t="n">
        <x:v>15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f>IF(AND(ISNUMBER(G43),I43&lt;&gt;"Excluded INI"),MAX(0,G43-J43),"")</x:f>
        <x:v>50</x:v>
      </x:c>
      <x:c r="AC43" t="n">
        <x:v>28144</x:v>
      </x:c>
      <x:c r="AD43" t="n">
        <x:v>39328</x:v>
      </x:c>
      <x:c r="AE43" t="n">
        <x:v>31169</x:v>
      </x:c>
      <x:c r="AF43" t="n">
        <x:v>45795</x:v>
      </x:c>
      <x:c r="AG43" t="n">
        <x:v>35680</x:v>
      </x:c>
      <x:c r="AH43" t="n">
        <x:v>46588</x:v>
      </x:c>
      <x:c r="AI43" t="n">
        <x:v>145027</x:v>
      </x:c>
      <x:c r="AJ43" t="n">
        <x:v>195643</x:v>
      </x:c>
      <x:c r="AK43" t="n">
        <x:v>231800</x:v>
      </x:c>
      <x:c r="AL43" t="n">
        <x:v>318292</x:v>
      </x:c>
      <x:c r="AM43" t="str">
        <x:v>R1 regular-central gap visible; verify in official R2 matrix</x:v>
      </x:c>
    </x:row>
    <x:row r="44">
      <x:c r="A44" t="str">
        <x:v>Bihar</x:v>
      </x:c>
      <x:c r="B44" t="str">
        <x:v>All India except Central University</x:v>
      </x:c>
      <x:c r="C44" t="str">
        <x:v>200111</x:v>
      </x:c>
      <x:c r="D44" t="str">
        <x:v>Government Medical College, Bettiah, Government Medical College Bettiah West Champaran Bihar- 845438</x:v>
      </x:c>
      <x:c r="E44" t="str">
        <x:v>BR/004/G/1</x:v>
      </x:c>
      <x:c r="F44" t="str">
        <x:v>Government</x:v>
      </x:c>
      <x:c r="G44" t="n">
        <x:v>120</x:v>
      </x:c>
      <x:c r="H44" t="n">
        <x:v>100</x:v>
      </x:c>
      <x:c r="I44" t="str">
        <x:v>High-confidence fuzzy</x:v>
      </x:c>
      <x:c r="J44" t="n">
        <x:v>18</x:v>
      </x:c>
      <x:c r="K44" t="n">
        <x:v>18</x:v>
      </x:c>
      <x:c r="L44" t="n">
        <x:f>J44-K44</x:f>
        <x:v>0</x:v>
      </x:c>
      <x:c r="M44" s="20" t="n">
        <x:f>IFERROR(K44/J44,0)</x:f>
        <x:v>1</x:v>
      </x:c>
      <x:c r="N44" t="n">
        <x:v>18</x:v>
      </x:c>
      <x:c r="O44" t="n">
        <x:v>18</x:v>
      </x:c>
      <x:c r="P44" t="n">
        <x:f>N44-O44</x:f>
        <x:v>0</x:v>
      </x:c>
      <x:c r="Q44" t="n">
        <x:v>0</x:v>
      </x:c>
      <x:c r="R44" t="n">
        <x:v>0</x:v>
      </x:c>
      <x:c r="S44" t="n">
        <x:f>Q44-R44</x:f>
        <x:v>0</x:v>
      </x:c>
      <x:c r="T44" t="n">
        <x:v>18</x:v>
      </x:c>
      <x:c r="U44" t="n">
        <x:v>18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f>IF(AND(ISNUMBER(G44),I44&lt;&gt;"Excluded INI"),MAX(0,G44-J44),"")</x:f>
        <x:v>102</x:v>
      </x:c>
      <x:c r="AC44" t="n">
        <x:v>12030</x:v>
      </x:c>
      <x:c r="AD44" t="n">
        <x:v>12736</x:v>
      </x:c>
      <x:c r="AE44" t="n">
        <x:v>13549</x:v>
      </x:c>
      <x:c r="AF44" t="n">
        <x:v>13818</x:v>
      </x:c>
      <x:c r="AG44" t="n">
        <x:v>13632</x:v>
      </x:c>
      <x:c r="AH44" t="n">
        <x:v>13890</x:v>
      </x:c>
      <x:c r="AI44" t="n">
        <x:v>71595</x:v>
      </x:c>
      <x:c r="AJ44" t="n">
        <x:v>74118</x:v>
      </x:c>
      <x:c r="AK44" t="n">
        <x:v>100660</x:v>
      </x:c>
      <x:c r="AL44" t="n">
        <x:v>105168</x:v>
      </x:c>
      <x:c r="AM44" t="str">
        <x:v>Fully allotted in R1; R2 opportunity depends on upgrade/non-joining</x:v>
      </x:c>
    </x:row>
    <x:row r="45">
      <x:c r="A45" t="str">
        <x:v>Bihar</x:v>
      </x:c>
      <x:c r="B45" t="str">
        <x:v>All India except Central University</x:v>
      </x:c>
      <x:c r="C45" t="str">
        <x:v>200677</x:v>
      </x:c>
      <x:c r="D45" t="str">
        <x:v>Government Medical College, Purnea, govt.mcpurnea@gmail.com</x:v>
      </x:c>
      <x:c r="E45" t="str">
        <x:v>BR/005/G/1</x:v>
      </x:c>
      <x:c r="F45" t="str">
        <x:v>Government</x:v>
      </x:c>
      <x:c r="G45" t="n">
        <x:v>100</x:v>
      </x:c>
      <x:c r="H45" t="n">
        <x:v>100</x:v>
      </x:c>
      <x:c r="I45" t="str">
        <x:v>High-confidence fuzzy</x:v>
      </x:c>
      <x:c r="J45" t="n">
        <x:v>15</x:v>
      </x:c>
      <x:c r="K45" t="n">
        <x:v>15</x:v>
      </x:c>
      <x:c r="L45" t="n">
        <x:f>J45-K45</x:f>
        <x:v>0</x:v>
      </x:c>
      <x:c r="M45" s="20" t="n">
        <x:f>IFERROR(K45/J45,0)</x:f>
        <x:v>1</x:v>
      </x:c>
      <x:c r="N45" t="n">
        <x:v>15</x:v>
      </x:c>
      <x:c r="O45" t="n">
        <x:v>15</x:v>
      </x:c>
      <x:c r="P45" t="n">
        <x:f>N45-O45</x:f>
        <x:v>0</x:v>
      </x:c>
      <x:c r="Q45" t="n">
        <x:v>0</x:v>
      </x:c>
      <x:c r="R45" t="n">
        <x:v>0</x:v>
      </x:c>
      <x:c r="S45" t="n">
        <x:f>Q45-R45</x:f>
        <x:v>0</x:v>
      </x:c>
      <x:c r="T45" t="n">
        <x:v>15</x:v>
      </x:c>
      <x:c r="U45" t="n">
        <x:v>15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f>IF(AND(ISNUMBER(G45),I45&lt;&gt;"Excluded INI"),MAX(0,G45-J45),"")</x:f>
        <x:v>85</x:v>
      </x:c>
      <x:c r="AC45" t="n">
        <x:v>13214</x:v>
      </x:c>
      <x:c r="AD45" t="n">
        <x:v>13799</x:v>
      </x:c>
      <x:c r="AE45" t="n">
        <x:v>14272</x:v>
      </x:c>
      <x:c r="AF45" t="n">
        <x:v>14386</x:v>
      </x:c>
      <x:c r="AG45" t="n">
        <x:v>15403</x:v>
      </x:c>
      <x:c r="AH45" t="n">
        <x:v>16036</x:v>
      </x:c>
      <x:c r="AI45" t="n">
        <x:v>77982</x:v>
      </x:c>
      <x:c r="AJ45" t="n">
        <x:v>83331</x:v>
      </x:c>
      <x:c r="AK45" t="n">
        <x:v>113289</x:v>
      </x:c>
      <x:c r="AL45" t="n">
        <x:v>113289</x:v>
      </x:c>
      <x:c r="AM45" t="str">
        <x:v>Fully allotted in R1; R2 opportunity depends on upgrade/non-joining</x:v>
      </x:c>
    </x:row>
    <x:row r="46">
      <x:c r="A46" t="str">
        <x:v>Bihar</x:v>
      </x:c>
      <x:c r="B46" t="str">
        <x:v>All India except Central University</x:v>
      </x:c>
      <x:c r="C46" t="str">
        <x:v>200112</x:v>
      </x:c>
      <x:c r="D46" t="str">
        <x:v>Indira Gandhi Institute of Medical Sciences, Sheikhpura, Patna, RAZA BAZAR, SHEIKHPURA, PATNA</x:v>
      </x:c>
      <x:c r="E46" t="str">
        <x:v>BR/007/G/1</x:v>
      </x:c>
      <x:c r="F46" t="str">
        <x:v>Government</x:v>
      </x:c>
      <x:c r="G46" t="n">
        <x:v>150</x:v>
      </x:c>
      <x:c r="H46" t="n">
        <x:v>100</x:v>
      </x:c>
      <x:c r="I46" t="str">
        <x:v>High-confidence fuzzy</x:v>
      </x:c>
      <x:c r="J46" t="n">
        <x:v>22</x:v>
      </x:c>
      <x:c r="K46" t="n">
        <x:v>21</x:v>
      </x:c>
      <x:c r="L46" t="n">
        <x:f>J46-K46</x:f>
        <x:v>1</x:v>
      </x:c>
      <x:c r="M46" s="20" t="n">
        <x:f>IFERROR(K46/J46,0)</x:f>
        <x:v>0.9545454545454546</x:v>
      </x:c>
      <x:c r="N46" t="n">
        <x:v>22</x:v>
      </x:c>
      <x:c r="O46" t="n">
        <x:v>21</x:v>
      </x:c>
      <x:c r="P46" t="n">
        <x:f>N46-O46</x:f>
        <x:v>1</x:v>
      </x:c>
      <x:c r="Q46" t="n">
        <x:v>0</x:v>
      </x:c>
      <x:c r="R46" t="n">
        <x:v>0</x:v>
      </x:c>
      <x:c r="S46" t="n">
        <x:f>Q46-R46</x:f>
        <x:v>0</x:v>
      </x:c>
      <x:c r="T46" t="n">
        <x:v>22</x:v>
      </x:c>
      <x:c r="U46" t="n">
        <x:v>21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f>IF(AND(ISNUMBER(G46),I46&lt;&gt;"Excluded INI"),MAX(0,G46-J46),"")</x:f>
        <x:v>128</x:v>
      </x:c>
      <x:c r="AC46" t="n">
        <x:v>4271</x:v>
      </x:c>
      <x:c r="AD46" t="n">
        <x:v>4461</x:v>
      </x:c>
      <x:c r="AE46" t="n">
        <x:v>4842</x:v>
      </x:c>
      <x:c r="AF46" t="n">
        <x:v>5044</x:v>
      </x:c>
      <x:c r="AG46" t="n">
        <x:v>5562</x:v>
      </x:c>
      <x:c r="AH46" t="n">
        <x:v>5562</x:v>
      </x:c>
      <x:c r="AI46" t="n">
        <x:v>37860</x:v>
      </x:c>
      <x:c r="AJ46" t="n">
        <x:v>38534</x:v>
      </x:c>
      <x:c r="AK46" t="n">
        <x:v>58641</x:v>
      </x:c>
      <x:c r="AL46" t="n">
        <x:v>58641</x:v>
      </x:c>
      <x:c r="AM46" t="str">
        <x:v>R1 regular-central gap visible; verify in official R2 matrix</x:v>
      </x:c>
    </x:row>
    <x:row r="47">
      <x:c r="A47" t="str">
        <x:v>Bihar</x:v>
      </x:c>
      <x:c r="B47" t="str">
        <x:v>All India except Central University</x:v>
      </x:c>
      <x:c r="C47" t="str">
        <x:v>200589</x:v>
      </x:c>
      <x:c r="D47" t="str">
        <x:v>Jannayak Karpoori Thakur Medical College &amp; Hospital, Madhepura, Bihar, JAJHAT SABAILA SINGHESHWAR ROAD DISTRICT MADHEPURA</x:v>
      </x:c>
      <x:c r="E47" t="str">
        <x:v>BR/008/G/1</x:v>
      </x:c>
      <x:c r="F47" t="str">
        <x:v>Government</x:v>
      </x:c>
      <x:c r="G47" t="n">
        <x:v>100</x:v>
      </x:c>
      <x:c r="H47" t="n">
        <x:v>100</x:v>
      </x:c>
      <x:c r="I47" t="str">
        <x:v>High-confidence fuzzy</x:v>
      </x:c>
      <x:c r="J47" t="n">
        <x:v>15</x:v>
      </x:c>
      <x:c r="K47" t="n">
        <x:v>15</x:v>
      </x:c>
      <x:c r="L47" t="n">
        <x:f>J47-K47</x:f>
        <x:v>0</x:v>
      </x:c>
      <x:c r="M47" s="20" t="n">
        <x:f>IFERROR(K47/J47,0)</x:f>
        <x:v>1</x:v>
      </x:c>
      <x:c r="N47" t="n">
        <x:v>15</x:v>
      </x:c>
      <x:c r="O47" t="n">
        <x:v>15</x:v>
      </x:c>
      <x:c r="P47" t="n">
        <x:f>N47-O47</x:f>
        <x:v>0</x:v>
      </x:c>
      <x:c r="Q47" t="n">
        <x:v>0</x:v>
      </x:c>
      <x:c r="R47" t="n">
        <x:v>0</x:v>
      </x:c>
      <x:c r="S47" t="n">
        <x:f>Q47-R47</x:f>
        <x:v>0</x:v>
      </x:c>
      <x:c r="T47" t="n">
        <x:v>15</x:v>
      </x:c>
      <x:c r="U47" t="n">
        <x:v>15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f>IF(AND(ISNUMBER(G47),I47&lt;&gt;"Excluded INI"),MAX(0,G47-J47),"")</x:f>
        <x:v>85</x:v>
      </x:c>
      <x:c r="AC47" t="n">
        <x:v>13410</x:v>
      </x:c>
      <x:c r="AD47" t="n">
        <x:v>14260</x:v>
      </x:c>
      <x:c r="AE47" t="n">
        <x:v>15188</x:v>
      </x:c>
      <x:c r="AF47" t="n">
        <x:v>15285</x:v>
      </x:c>
      <x:c r="AG47" t="n">
        <x:v>14440</x:v>
      </x:c>
      <x:c r="AH47" t="n">
        <x:v>14440</x:v>
      </x:c>
      <x:c r="AI47" t="n">
        <x:v>76312</x:v>
      </x:c>
      <x:c r="AJ47" t="n">
        <x:v>76822</x:v>
      </x:c>
      <x:c r="AK47" t="n">
        <x:v>113168</x:v>
      </x:c>
      <x:c r="AL47" t="n">
        <x:v>113168</x:v>
      </x:c>
      <x:c r="AM47" t="str">
        <x:v>Fully allotted in R1; R2 opportunity depends on upgrade/non-joining</x:v>
      </x:c>
    </x:row>
    <x:row r="48">
      <x:c r="A48" t="str">
        <x:v>Bihar</x:v>
      </x:c>
      <x:c r="B48" t="str">
        <x:v>All India except Central University</x:v>
      </x:c>
      <x:c r="C48" t="str">
        <x:v>200113</x:v>
      </x:c>
      <x:c r="D48" t="str">
        <x:v>Jawaharlal Nehru Medical College, Bhagalpur, SUKHRAJ RAI PATH, BHAGALPUR</x:v>
      </x:c>
      <x:c r="E48" t="str">
        <x:v>BR/009/G/1</x:v>
      </x:c>
      <x:c r="F48" t="str">
        <x:v>Government</x:v>
      </x:c>
      <x:c r="G48" t="n">
        <x:v>150</x:v>
      </x:c>
      <x:c r="H48" t="n">
        <x:v>100</x:v>
      </x:c>
      <x:c r="I48" t="str">
        <x:v>High-confidence fuzzy</x:v>
      </x:c>
      <x:c r="J48" t="n">
        <x:v>22</x:v>
      </x:c>
      <x:c r="K48" t="n">
        <x:v>22</x:v>
      </x:c>
      <x:c r="L48" t="n">
        <x:f>J48-K48</x:f>
        <x:v>0</x:v>
      </x:c>
      <x:c r="M48" s="20" t="n">
        <x:f>IFERROR(K48/J48,0)</x:f>
        <x:v>1</x:v>
      </x:c>
      <x:c r="N48" t="n">
        <x:v>22</x:v>
      </x:c>
      <x:c r="O48" t="n">
        <x:v>22</x:v>
      </x:c>
      <x:c r="P48" t="n">
        <x:f>N48-O48</x:f>
        <x:v>0</x:v>
      </x:c>
      <x:c r="Q48" t="n">
        <x:v>0</x:v>
      </x:c>
      <x:c r="R48" t="n">
        <x:v>0</x:v>
      </x:c>
      <x:c r="S48" t="n">
        <x:f>Q48-R48</x:f>
        <x:v>0</x:v>
      </x:c>
      <x:c r="T48" t="n">
        <x:v>22</x:v>
      </x:c>
      <x:c r="U48" t="n">
        <x:v>22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f>IF(AND(ISNUMBER(G48),I48&lt;&gt;"Excluded INI"),MAX(0,G48-J48),"")</x:f>
        <x:v>128</x:v>
      </x:c>
      <x:c r="AC48" t="n">
        <x:v>9732</x:v>
      </x:c>
      <x:c r="AD48" t="n">
        <x:v>10357</x:v>
      </x:c>
      <x:c r="AE48" t="n">
        <x:v>11232</x:v>
      </x:c>
      <x:c r="AF48" t="n">
        <x:v>11653</x:v>
      </x:c>
      <x:c r="AG48" t="n">
        <x:v>11365</x:v>
      </x:c>
      <x:c r="AH48" t="n">
        <x:v>12247</x:v>
      </x:c>
      <x:c r="AI48" t="n">
        <x:v>69620</x:v>
      </x:c>
      <x:c r="AJ48" t="n">
        <x:v>69802</x:v>
      </x:c>
      <x:c r="AK48" t="n">
        <x:v>87140</x:v>
      </x:c>
      <x:c r="AL48" t="n">
        <x:v>87140</x:v>
      </x:c>
      <x:c r="AM48" t="str">
        <x:v>Fully allotted in R1; R2 opportunity depends on upgrade/non-joining</x:v>
      </x:c>
    </x:row>
    <x:row r="49">
      <x:c r="A49" t="str">
        <x:v>Bihar</x:v>
      </x:c>
      <x:c r="B49" t="str">
        <x:v>All India except Central University</x:v>
      </x:c>
      <x:c r="C49" t="str">
        <x:v>200114</x:v>
      </x:c>
      <x:c r="D49" t="str">
        <x:v>Nalanda Medical College, Patna, OLD BYEPASS ROAD, KANKERBAGH, PATNA</x:v>
      </x:c>
      <x:c r="E49" t="str">
        <x:v>BR/015/G/1</x:v>
      </x:c>
      <x:c r="F49" t="str">
        <x:v>Government</x:v>
      </x:c>
      <x:c r="G49" t="n">
        <x:v>200</x:v>
      </x:c>
      <x:c r="H49" t="n">
        <x:v>100</x:v>
      </x:c>
      <x:c r="I49" t="str">
        <x:v>High-confidence fuzzy</x:v>
      </x:c>
      <x:c r="J49" t="n">
        <x:v>30</x:v>
      </x:c>
      <x:c r="K49" t="n">
        <x:v>30</x:v>
      </x:c>
      <x:c r="L49" t="n">
        <x:f>J49-K49</x:f>
        <x:v>0</x:v>
      </x:c>
      <x:c r="M49" s="20" t="n">
        <x:f>IFERROR(K49/J49,0)</x:f>
        <x:v>1</x:v>
      </x:c>
      <x:c r="N49" t="n">
        <x:v>30</x:v>
      </x:c>
      <x:c r="O49" t="n">
        <x:v>30</x:v>
      </x:c>
      <x:c r="P49" t="n">
        <x:f>N49-O49</x:f>
        <x:v>0</x:v>
      </x:c>
      <x:c r="Q49" t="n">
        <x:v>0</x:v>
      </x:c>
      <x:c r="R49" t="n">
        <x:v>0</x:v>
      </x:c>
      <x:c r="S49" t="n">
        <x:f>Q49-R49</x:f>
        <x:v>0</x:v>
      </x:c>
      <x:c r="T49" t="n">
        <x:v>30</x:v>
      </x:c>
      <x:c r="U49" t="n">
        <x:v>30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f>IF(AND(ISNUMBER(G49),I49&lt;&gt;"Excluded INI"),MAX(0,G49-J49),"")</x:f>
        <x:v>170</x:v>
      </x:c>
      <x:c r="AC49" t="n">
        <x:v>5356</x:v>
      </x:c>
      <x:c r="AD49" t="n">
        <x:v>6260</x:v>
      </x:c>
      <x:c r="AE49" t="n">
        <x:v>6849</x:v>
      </x:c>
      <x:c r="AF49" t="n">
        <x:v>7514</x:v>
      </x:c>
      <x:c r="AG49" t="n">
        <x:v>6569</x:v>
      </x:c>
      <x:c r="AH49" t="n">
        <x:v>6834</x:v>
      </x:c>
      <x:c r="AI49" t="n">
        <x:v>46913</x:v>
      </x:c>
      <x:c r="AJ49" t="n">
        <x:v>51086</x:v>
      </x:c>
      <x:c r="AK49" t="n">
        <x:v>73092</x:v>
      </x:c>
      <x:c r="AL49" t="n">
        <x:v>73673</x:v>
      </x:c>
      <x:c r="AM49" t="str">
        <x:v>Fully allotted in R1; R2 opportunity depends on upgrade/non-joining</x:v>
      </x:c>
    </x:row>
    <x:row r="50">
      <x:c r="A50" t="str">
        <x:v>Bihar</x:v>
      </x:c>
      <x:c r="B50" t="str">
        <x:v>All India except Central University</x:v>
      </x:c>
      <x:c r="C50" t="str">
        <x:v>200116</x:v>
      </x:c>
      <x:c r="D50" t="str">
        <x:v>Patna Medical College, Patna, ASHOK RAJPATH, PATNA</x:v>
      </x:c>
      <x:c r="E50" t="str">
        <x:v>BR/018/G/1</x:v>
      </x:c>
      <x:c r="F50" t="str">
        <x:v>Government</x:v>
      </x:c>
      <x:c r="G50" t="n">
        <x:v>250</x:v>
      </x:c>
      <x:c r="H50" t="n">
        <x:v>100</x:v>
      </x:c>
      <x:c r="I50" t="str">
        <x:v>High-confidence fuzzy</x:v>
      </x:c>
      <x:c r="J50" t="n">
        <x:v>38</x:v>
      </x:c>
      <x:c r="K50" t="n">
        <x:v>38</x:v>
      </x:c>
      <x:c r="L50" t="n">
        <x:f>J50-K50</x:f>
        <x:v>0</x:v>
      </x:c>
      <x:c r="M50" s="20" t="n">
        <x:f>IFERROR(K50/J50,0)</x:f>
        <x:v>1</x:v>
      </x:c>
      <x:c r="N50" t="n">
        <x:v>38</x:v>
      </x:c>
      <x:c r="O50" t="n">
        <x:v>38</x:v>
      </x:c>
      <x:c r="P50" t="n">
        <x:f>N50-O50</x:f>
        <x:v>0</x:v>
      </x:c>
      <x:c r="Q50" t="n">
        <x:v>0</x:v>
      </x:c>
      <x:c r="R50" t="n">
        <x:v>0</x:v>
      </x:c>
      <x:c r="S50" t="n">
        <x:f>Q50-R50</x:f>
        <x:v>0</x:v>
      </x:c>
      <x:c r="T50" t="n">
        <x:v>38</x:v>
      </x:c>
      <x:c r="U50" t="n">
        <x:v>38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f>IF(AND(ISNUMBER(G50),I50&lt;&gt;"Excluded INI"),MAX(0,G50-J50),"")</x:f>
        <x:v>212</x:v>
      </x:c>
      <x:c r="AC50" t="n">
        <x:v>3263</x:v>
      </x:c>
      <x:c r="AD50" t="n">
        <x:v>3570</x:v>
      </x:c>
      <x:c r="AE50" t="n">
        <x:v>3952</x:v>
      </x:c>
      <x:c r="AF50" t="n">
        <x:v>4344</x:v>
      </x:c>
      <x:c r="AG50" t="n">
        <x:v>4183</x:v>
      </x:c>
      <x:c r="AH50" t="n">
        <x:v>4685</x:v>
      </x:c>
      <x:c r="AI50" t="n">
        <x:v>32436</x:v>
      </x:c>
      <x:c r="AJ50" t="n">
        <x:v>36069</x:v>
      </x:c>
      <x:c r="AK50" t="n">
        <x:v>41426</x:v>
      </x:c>
      <x:c r="AL50" t="n">
        <x:v>41496</x:v>
      </x:c>
      <x:c r="AM50" t="str">
        <x:v>Fully allotted in R1; R2 opportunity depends on upgrade/non-joining</x:v>
      </x:c>
    </x:row>
    <x:row r="51">
      <x:c r="A51" t="str">
        <x:v>Bihar</x:v>
      </x:c>
      <x:c r="B51" t="str">
        <x:v>All India except Central University</x:v>
      </x:c>
      <x:c r="C51" t="str">
        <x:v>200117</x:v>
      </x:c>
      <x:c r="D51" t="str">
        <x:v>Shri Krishna Medical College, Muzzafarpur, UMANAGAR MUZAFFARPUR</x:v>
      </x:c>
      <x:c r="E51" t="str">
        <x:v>BR/021/G/1</x:v>
      </x:c>
      <x:c r="F51" t="str">
        <x:v>Government</x:v>
      </x:c>
      <x:c r="G51" t="n">
        <x:v>150</x:v>
      </x:c>
      <x:c r="H51" t="n">
        <x:v>100</x:v>
      </x:c>
      <x:c r="I51" t="str">
        <x:v>High-confidence fuzzy</x:v>
      </x:c>
      <x:c r="J51" t="n">
        <x:v>23</x:v>
      </x:c>
      <x:c r="K51" t="n">
        <x:v>23</x:v>
      </x:c>
      <x:c r="L51" t="n">
        <x:f>J51-K51</x:f>
        <x:v>0</x:v>
      </x:c>
      <x:c r="M51" s="20" t="n">
        <x:f>IFERROR(K51/J51,0)</x:f>
        <x:v>1</x:v>
      </x:c>
      <x:c r="N51" t="n">
        <x:v>23</x:v>
      </x:c>
      <x:c r="O51" t="n">
        <x:v>23</x:v>
      </x:c>
      <x:c r="P51" t="n">
        <x:f>N51-O51</x:f>
        <x:v>0</x:v>
      </x:c>
      <x:c r="Q51" t="n">
        <x:v>0</x:v>
      </x:c>
      <x:c r="R51" t="n">
        <x:v>0</x:v>
      </x:c>
      <x:c r="S51" t="n">
        <x:f>Q51-R51</x:f>
        <x:v>0</x:v>
      </x:c>
      <x:c r="T51" t="n">
        <x:v>23</x:v>
      </x:c>
      <x:c r="U51" t="n">
        <x:v>23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f>IF(AND(ISNUMBER(G51),I51&lt;&gt;"Excluded INI"),MAX(0,G51-J51),"")</x:f>
        <x:v>127</x:v>
      </x:c>
      <x:c r="AC51" t="n">
        <x:v>9792</x:v>
      </x:c>
      <x:c r="AD51" t="n">
        <x:v>10092</x:v>
      </x:c>
      <x:c r="AE51" t="n">
        <x:v>10532</x:v>
      </x:c>
      <x:c r="AF51" t="n">
        <x:v>11171</x:v>
      </x:c>
      <x:c r="AG51" t="n">
        <x:v>13030</x:v>
      </x:c>
      <x:c r="AH51" t="n">
        <x:v>13051</x:v>
      </x:c>
      <x:c r="AI51" t="n">
        <x:v>60004</x:v>
      </x:c>
      <x:c r="AJ51" t="n">
        <x:v>61985</x:v>
      </x:c>
      <x:c r="AK51" t="n">
        <x:v>88460</x:v>
      </x:c>
      <x:c r="AL51" t="n">
        <x:v>90103</x:v>
      </x:c>
      <x:c r="AM51" t="str">
        <x:v>Fully allotted in R1; R2 opportunity depends on upgrade/non-joining</x:v>
      </x:c>
    </x:row>
    <x:row r="52">
      <x:c r="A52" t="str">
        <x:v>Bihar</x:v>
      </x:c>
      <x:c r="B52" t="str">
        <x:v>All India except Central University</x:v>
      </x:c>
      <x:c r="C52" t="str">
        <x:v>200118</x:v>
      </x:c>
      <x:c r="D52" t="str">
        <x:v>VARDHMAN INSTITUTE OF MEDICAL SCIENCES, NALANDA, BMIMS, PAWAPURI NALNADA</x:v>
      </x:c>
      <x:c r="E52" t="str">
        <x:v>BR/023/G/1</x:v>
      </x:c>
      <x:c r="F52" t="str">
        <x:v>Government</x:v>
      </x:c>
      <x:c r="G52" t="n">
        <x:v>120</x:v>
      </x:c>
      <x:c r="H52" t="n">
        <x:v>100</x:v>
      </x:c>
      <x:c r="I52" t="str">
        <x:v>Manual/high-confidence alias</x:v>
      </x:c>
      <x:c r="J52" t="n">
        <x:v>18</x:v>
      </x:c>
      <x:c r="K52" t="n">
        <x:v>18</x:v>
      </x:c>
      <x:c r="L52" t="n">
        <x:f>J52-K52</x:f>
        <x:v>0</x:v>
      </x:c>
      <x:c r="M52" s="20" t="n">
        <x:f>IFERROR(K52/J52,0)</x:f>
        <x:v>1</x:v>
      </x:c>
      <x:c r="N52" t="n">
        <x:v>18</x:v>
      </x:c>
      <x:c r="O52" t="n">
        <x:v>18</x:v>
      </x:c>
      <x:c r="P52" t="n">
        <x:f>N52-O52</x:f>
        <x:v>0</x:v>
      </x:c>
      <x:c r="Q52" t="n">
        <x:v>0</x:v>
      </x:c>
      <x:c r="R52" t="n">
        <x:v>0</x:v>
      </x:c>
      <x:c r="S52" t="n">
        <x:f>Q52-R52</x:f>
        <x:v>0</x:v>
      </x:c>
      <x:c r="T52" t="n">
        <x:v>18</x:v>
      </x:c>
      <x:c r="U52" t="n">
        <x:v>18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f>IF(AND(ISNUMBER(G52),I52&lt;&gt;"Excluded INI"),MAX(0,G52-J52),"")</x:f>
        <x:v>102</x:v>
      </x:c>
      <x:c r="AC52" t="n">
        <x:v>8032</x:v>
      </x:c>
      <x:c r="AD52" t="n">
        <x:v>8727</x:v>
      </x:c>
      <x:c r="AE52" t="n">
        <x:v>9611</x:v>
      </x:c>
      <x:c r="AF52" t="n">
        <x:v>10389</x:v>
      </x:c>
      <x:c r="AG52" t="n">
        <x:v>12152</x:v>
      </x:c>
      <x:c r="AH52" t="n">
        <x:v>12152</x:v>
      </x:c>
      <x:c r="AI52" t="n">
        <x:v>64725</x:v>
      </x:c>
      <x:c r="AJ52" t="n">
        <x:v>69176</x:v>
      </x:c>
      <x:c r="AK52" t="n">
        <x:v>34211</x:v>
      </x:c>
      <x:c r="AL52" t="n">
        <x:v>34211</x:v>
      </x:c>
      <x:c r="AM52" t="str">
        <x:v>Fully allotted in R1; R2 opportunity depends on upgrade/non-joining</x:v>
      </x:c>
    </x:row>
    <x:row r="53">
      <x:c r="A53" t="str">
        <x:v>Chandigarh</x:v>
      </x:c>
      <x:c r="B53" t="str">
        <x:v>All India except Central University</x:v>
      </x:c>
      <x:c r="C53" t="str">
        <x:v>200119</x:v>
      </x:c>
      <x:c r="D53" t="str">
        <x:v>Government Medical College, Chandigarh, GOVERNMENT MEDICAL COLLEGE AND HOSPITAL, SECTOR 32, CHANDIGARH</x:v>
      </x:c>
      <x:c r="E53" t="str">
        <x:v>CH/001/G/1</x:v>
      </x:c>
      <x:c r="F53" t="str">
        <x:v>Government</x:v>
      </x:c>
      <x:c r="G53" t="n">
        <x:v>200</x:v>
      </x:c>
      <x:c r="H53" t="n">
        <x:v>100</x:v>
      </x:c>
      <x:c r="I53" t="str">
        <x:v>High-confidence fuzzy</x:v>
      </x:c>
      <x:c r="J53" t="n">
        <x:v>30</x:v>
      </x:c>
      <x:c r="K53" t="n">
        <x:v>30</x:v>
      </x:c>
      <x:c r="L53" t="n">
        <x:f>J53-K53</x:f>
        <x:v>0</x:v>
      </x:c>
      <x:c r="M53" s="20" t="n">
        <x:f>IFERROR(K53/J53,0)</x:f>
        <x:v>1</x:v>
      </x:c>
      <x:c r="N53" t="n">
        <x:v>30</x:v>
      </x:c>
      <x:c r="O53" t="n">
        <x:v>30</x:v>
      </x:c>
      <x:c r="P53" t="n">
        <x:f>N53-O53</x:f>
        <x:v>0</x:v>
      </x:c>
      <x:c r="Q53" t="n">
        <x:v>0</x:v>
      </x:c>
      <x:c r="R53" t="n">
        <x:v>0</x:v>
      </x:c>
      <x:c r="S53" t="n">
        <x:f>Q53-R53</x:f>
        <x:v>0</x:v>
      </x:c>
      <x:c r="T53" t="n">
        <x:v>30</x:v>
      </x:c>
      <x:c r="U53" t="n">
        <x:v>30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f>IF(AND(ISNUMBER(G53),I53&lt;&gt;"Excluded INI"),MAX(0,G53-J53),"")</x:f>
        <x:v>170</x:v>
      </x:c>
      <x:c r="AC53" t="n">
        <x:v>529</x:v>
      </x:c>
      <x:c r="AD53" t="n">
        <x:v>704</x:v>
      </x:c>
      <x:c r="AE53" t="n">
        <x:v>2270</x:v>
      </x:c>
      <x:c r="AF53" t="n">
        <x:v>2476</x:v>
      </x:c>
      <x:c r="AG53" t="n">
        <x:v>1506</x:v>
      </x:c>
      <x:c r="AH53" t="n">
        <x:v>2070</x:v>
      </x:c>
      <x:c r="AI53" t="n">
        <x:v>10984</x:v>
      </x:c>
      <x:c r="AJ53" t="n">
        <x:v>16574</x:v>
      </x:c>
      <x:c r="AK53" t="n">
        <x:v>25235</x:v>
      </x:c>
      <x:c r="AL53" t="n">
        <x:v>30863</x:v>
      </x:c>
      <x:c r="AM53" t="str">
        <x:v>Fully allotted in R1; R2 opportunity depends on upgrade/non-joining</x:v>
      </x:c>
    </x:row>
    <x:row r="54">
      <x:c r="A54" t="str">
        <x:v>Chhattisgarh</x:v>
      </x:c>
      <x:c r="B54" t="str">
        <x:v>All India Institute Of Medical Science(AIIMS)</x:v>
      </x:c>
      <x:c r="C54" t="str">
        <x:v>200506</x:v>
      </x:c>
      <x:c r="D54" t="str">
        <x:v>AIIMS, Raipur, Tatibandh, G E Road, Raipur Chhattisgarh, Pin - 492099</x:v>
      </x:c>
      <x:c r="E54" t="str"/>
      <x:c r="F54" t="str"/>
      <x:c r="G54"/>
      <x:c r="H54" t="n">
        <x:v>100</x:v>
      </x:c>
      <x:c r="I54" t="str">
        <x:v>Excluded INI</x:v>
      </x:c>
      <x:c r="J54" t="n">
        <x:v>125</x:v>
      </x:c>
      <x:c r="K54" t="n">
        <x:v>125</x:v>
      </x:c>
      <x:c r="L54" t="n">
        <x:f>J54-K54</x:f>
        <x:v>0</x:v>
      </x:c>
      <x:c r="M54" s="20" t="n">
        <x:f>IFERROR(K54/J54,0)</x:f>
        <x:v>1</x:v>
      </x:c>
      <x:c r="N54" t="n">
        <x:v>125</x:v>
      </x:c>
      <x:c r="O54" t="n">
        <x:v>125</x:v>
      </x:c>
      <x:c r="P54" t="n">
        <x:f>N54-O54</x:f>
        <x:v>0</x:v>
      </x:c>
      <x:c r="Q54" t="n">
        <x:v>0</x:v>
      </x:c>
      <x:c r="R54" t="n">
        <x:v>0</x:v>
      </x:c>
      <x:c r="S54" t="n">
        <x:f>Q54-R54</x:f>
        <x:v>0</x:v>
      </x:c>
      <x:c r="T54" t="n">
        <x:v>0</x:v>
      </x:c>
      <x:c r="U54" t="n">
        <x:v>0</x:v>
      </x:c>
      <x:c r="V54" t="n">
        <x:v>125</x:v>
      </x:c>
      <x:c r="W54" t="n">
        <x:v>125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str">
        <x:f>IF(AND(ISNUMBER(G54),I54&lt;&gt;"Excluded INI"),MAX(0,G54-J54),"")</x:f>
      </x:c>
      <x:c r="AC54" t="n">
        <x:v>878</x:v>
      </x:c>
      <x:c r="AD54" t="n">
        <x:v>1008</x:v>
      </x:c>
      <x:c r="AE54" t="n">
        <x:v>1465</x:v>
      </x:c>
      <x:c r="AF54" t="n">
        <x:v>1683</x:v>
      </x:c>
      <x:c r="AG54" t="n">
        <x:v>2154</x:v>
      </x:c>
      <x:c r="AH54" t="n">
        <x:v>2323</x:v>
      </x:c>
      <x:c r="AI54" t="n">
        <x:v>10612</x:v>
      </x:c>
      <x:c r="AJ54" t="n">
        <x:v>12796</x:v>
      </x:c>
      <x:c r="AK54" t="n">
        <x:v>15301</x:v>
      </x:c>
      <x:c r="AL54" t="n">
        <x:v>16950</x:v>
      </x:c>
      <x:c r="AM54" t="str">
        <x:v>Fully allotted in R1; R2 opportunity depends on upgrade/non-joining</x:v>
      </x:c>
    </x:row>
    <x:row r="55">
      <x:c r="A55" t="str">
        <x:v>Chhattisgarh</x:v>
      </x:c>
      <x:c r="B55" t="str">
        <x:v>All India except Central University</x:v>
      </x:c>
      <x:c r="C55" t="str">
        <x:v>200612</x:v>
      </x:c>
      <x:c r="D55" t="str">
        <x:v>Chandulal Chandrakar Memorial Govt. Medical College, Durg, Chandulal Chandrakar Memorial Government Medical College, Kurud Road, Near Rungta College, Kachandur</x:v>
      </x:c>
      <x:c r="E55" t="str"/>
      <x:c r="F55" t="str"/>
      <x:c r="G55"/>
      <x:c r="H55" t="n">
        <x:v>83.9</x:v>
      </x:c>
      <x:c r="I55" t="str">
        <x:v>Needs verification</x:v>
      </x:c>
      <x:c r="J55" t="n">
        <x:v>30</x:v>
      </x:c>
      <x:c r="K55" t="n">
        <x:v>30</x:v>
      </x:c>
      <x:c r="L55" t="n">
        <x:f>J55-K55</x:f>
        <x:v>0</x:v>
      </x:c>
      <x:c r="M55" s="20" t="n">
        <x:f>IFERROR(K55/J55,0)</x:f>
        <x:v>1</x:v>
      </x:c>
      <x:c r="N55" t="n">
        <x:v>30</x:v>
      </x:c>
      <x:c r="O55" t="n">
        <x:v>30</x:v>
      </x:c>
      <x:c r="P55" t="n">
        <x:f>N55-O55</x:f>
        <x:v>0</x:v>
      </x:c>
      <x:c r="Q55" t="n">
        <x:v>0</x:v>
      </x:c>
      <x:c r="R55" t="n">
        <x:v>0</x:v>
      </x:c>
      <x:c r="S55" t="n">
        <x:f>Q55-R55</x:f>
        <x:v>0</x:v>
      </x:c>
      <x:c r="T55" t="n">
        <x:v>30</x:v>
      </x:c>
      <x:c r="U55" t="n">
        <x:v>30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str">
        <x:f>IF(AND(ISNUMBER(G55),I55&lt;&gt;"Excluded INI"),MAX(0,G55-J55),"")</x:f>
      </x:c>
      <x:c r="AC55" t="n">
        <x:v>15827</x:v>
      </x:c>
      <x:c r="AD55" t="n">
        <x:v>16701</x:v>
      </x:c>
      <x:c r="AE55" t="n">
        <x:v>17317</x:v>
      </x:c>
      <x:c r="AF55" t="n">
        <x:v>17912</x:v>
      </x:c>
      <x:c r="AG55" t="n">
        <x:v>19408</x:v>
      </x:c>
      <x:c r="AH55" t="n">
        <x:v>19522</x:v>
      </x:c>
      <x:c r="AI55" t="n">
        <x:v>90693</x:v>
      </x:c>
      <x:c r="AJ55" t="n">
        <x:v>93081</x:v>
      </x:c>
      <x:c r="AK55" t="n">
        <x:v>95201</x:v>
      </x:c>
      <x:c r="AL55" t="n">
        <x:v>101536</x:v>
      </x:c>
      <x:c r="AM55" t="str">
        <x:v>Fully allotted in R1; R2 opportunity depends on upgrade/non-joining</x:v>
      </x:c>
    </x:row>
    <x:row r="56">
      <x:c r="A56" t="str">
        <x:v>Chhattisgarh</x:v>
      </x:c>
      <x:c r="B56" t="str">
        <x:v>All India except Central University</x:v>
      </x:c>
      <x:c r="C56" t="str">
        <x:v>200120</x:v>
      </x:c>
      <x:c r="D56" t="str">
        <x:v>Chhattisgarh Institute of Medical Sciences, Bilaspur, GOND PARA, SADAR BAZAAR BILASPUR - 495001 (CG)</x:v>
      </x:c>
      <x:c r="E56" t="str"/>
      <x:c r="F56" t="str"/>
      <x:c r="G56"/>
      <x:c r="H56" t="n">
        <x:v>80.6</x:v>
      </x:c>
      <x:c r="I56" t="str">
        <x:v>Needs verification</x:v>
      </x:c>
      <x:c r="J56" t="n">
        <x:v>22</x:v>
      </x:c>
      <x:c r="K56" t="n">
        <x:v>22</x:v>
      </x:c>
      <x:c r="L56" t="n">
        <x:f>J56-K56</x:f>
        <x:v>0</x:v>
      </x:c>
      <x:c r="M56" s="20" t="n">
        <x:f>IFERROR(K56/J56,0)</x:f>
        <x:v>1</x:v>
      </x:c>
      <x:c r="N56" t="n">
        <x:v>22</x:v>
      </x:c>
      <x:c r="O56" t="n">
        <x:v>22</x:v>
      </x:c>
      <x:c r="P56" t="n">
        <x:f>N56-O56</x:f>
        <x:v>0</x:v>
      </x:c>
      <x:c r="Q56" t="n">
        <x:v>0</x:v>
      </x:c>
      <x:c r="R56" t="n">
        <x:v>0</x:v>
      </x:c>
      <x:c r="S56" t="n">
        <x:f>Q56-R56</x:f>
        <x:v>0</x:v>
      </x:c>
      <x:c r="T56" t="n">
        <x:v>22</x:v>
      </x:c>
      <x:c r="U56" t="n">
        <x:v>22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str">
        <x:f>IF(AND(ISNUMBER(G56),I56&lt;&gt;"Excluded INI"),MAX(0,G56-J56),"")</x:f>
      </x:c>
      <x:c r="AC56" t="n">
        <x:v>9189</x:v>
      </x:c>
      <x:c r="AD56" t="n">
        <x:v>9771</x:v>
      </x:c>
      <x:c r="AE56" t="n">
        <x:v>11167</x:v>
      </x:c>
      <x:c r="AF56" t="n">
        <x:v>11711</x:v>
      </x:c>
      <x:c r="AG56" t="n">
        <x:v>11884</x:v>
      </x:c>
      <x:c r="AH56" t="n">
        <x:v>11917</x:v>
      </x:c>
      <x:c r="AI56" t="n">
        <x:v>51324</x:v>
      </x:c>
      <x:c r="AJ56" t="n">
        <x:v>56710</x:v>
      </x:c>
      <x:c r="AK56" t="n">
        <x:v>92920</x:v>
      </x:c>
      <x:c r="AL56" t="n">
        <x:v>94804</x:v>
      </x:c>
      <x:c r="AM56" t="str">
        <x:v>Fully allotted in R1; R2 opportunity depends on upgrade/non-joining</x:v>
      </x:c>
    </x:row>
    <x:row r="57">
      <x:c r="A57" t="str">
        <x:v>Chhattisgarh</x:v>
      </x:c>
      <x:c r="B57" t="str">
        <x:v>All India except Central University</x:v>
      </x:c>
      <x:c r="C57" t="str">
        <x:v>200122</x:v>
      </x:c>
      <x:c r="D57" t="str">
        <x:v>Government Medical College (Bharat Ratna Shri Atal Bihari Vajpyee Memorial Med. Col.), Rajnandgaon, Bharat Ratna Late Shri Atal Bihari Vajpayee Memorial Medical College, Pendri, Rajnandgaon. Chhattisg</x:v>
      </x:c>
      <x:c r="E57" t="str"/>
      <x:c r="F57" t="str"/>
      <x:c r="G57"/>
      <x:c r="H57" t="n">
        <x:v>83.9</x:v>
      </x:c>
      <x:c r="I57" t="str">
        <x:v>Needs verification</x:v>
      </x:c>
      <x:c r="J57" t="n">
        <x:v>18</x:v>
      </x:c>
      <x:c r="K57" t="n">
        <x:v>18</x:v>
      </x:c>
      <x:c r="L57" t="n">
        <x:f>J57-K57</x:f>
        <x:v>0</x:v>
      </x:c>
      <x:c r="M57" s="20" t="n">
        <x:f>IFERROR(K57/J57,0)</x:f>
        <x:v>1</x:v>
      </x:c>
      <x:c r="N57" t="n">
        <x:v>18</x:v>
      </x:c>
      <x:c r="O57" t="n">
        <x:v>18</x:v>
      </x:c>
      <x:c r="P57" t="n">
        <x:f>N57-O57</x:f>
        <x:v>0</x:v>
      </x:c>
      <x:c r="Q57" t="n">
        <x:v>0</x:v>
      </x:c>
      <x:c r="R57" t="n">
        <x:v>0</x:v>
      </x:c>
      <x:c r="S57" t="n">
        <x:f>Q57-R57</x:f>
        <x:v>0</x:v>
      </x:c>
      <x:c r="T57" t="n">
        <x:v>18</x:v>
      </x:c>
      <x:c r="U57" t="n">
        <x:v>18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str">
        <x:f>IF(AND(ISNUMBER(G57),I57&lt;&gt;"Excluded INI"),MAX(0,G57-J57),"")</x:f>
      </x:c>
      <x:c r="AC57" t="n">
        <x:v>13941</x:v>
      </x:c>
      <x:c r="AD57" t="n">
        <x:v>14555</x:v>
      </x:c>
      <x:c r="AE57" t="n">
        <x:v>15408</x:v>
      </x:c>
      <x:c r="AF57" t="n">
        <x:v>15638</x:v>
      </x:c>
      <x:c r="AG57" t="n">
        <x:v>17277</x:v>
      </x:c>
      <x:c r="AH57" t="n">
        <x:v>17277</x:v>
      </x:c>
      <x:c r="AI57" t="n">
        <x:v>80719</x:v>
      </x:c>
      <x:c r="AJ57" t="n">
        <x:v>85951</x:v>
      </x:c>
      <x:c r="AK57" t="n">
        <x:v>111088</x:v>
      </x:c>
      <x:c r="AL57" t="n">
        <x:v>111088</x:v>
      </x:c>
      <x:c r="AM57" t="str">
        <x:v>Fully allotted in R1; R2 opportunity depends on upgrade/non-joining</x:v>
      </x:c>
    </x:row>
    <x:row r="58">
      <x:c r="A58" t="str">
        <x:v>Chhattisgarh</x:v>
      </x:c>
      <x:c r="B58" t="str">
        <x:v>All India except Central University</x:v>
      </x:c>
      <x:c r="C58" t="str">
        <x:v>904738</x:v>
      </x:c>
      <x:c r="D58" t="str">
        <x:v>Government Medical College Dantewada, NA</x:v>
      </x:c>
      <x:c r="E58" t="str">
        <x:v>New Establishment</x:v>
      </x:c>
      <x:c r="F58" t="str">
        <x:v>Government</x:v>
      </x:c>
      <x:c r="G58" t="n">
        <x:v>50</x:v>
      </x:c>
      <x:c r="H58" t="n">
        <x:v>100</x:v>
      </x:c>
      <x:c r="I58" t="str">
        <x:v>Manual/high-confidence alias</x:v>
      </x:c>
      <x:c r="J58" t="n">
        <x:v>7</x:v>
      </x:c>
      <x:c r="K58" t="n">
        <x:v>7</x:v>
      </x:c>
      <x:c r="L58" t="n">
        <x:f>J58-K58</x:f>
        <x:v>0</x:v>
      </x:c>
      <x:c r="M58" s="20" t="n">
        <x:f>IFERROR(K58/J58,0)</x:f>
        <x:v>1</x:v>
      </x:c>
      <x:c r="N58" t="n">
        <x:v>7</x:v>
      </x:c>
      <x:c r="O58" t="n">
        <x:v>7</x:v>
      </x:c>
      <x:c r="P58" t="n">
        <x:f>N58-O58</x:f>
        <x:v>0</x:v>
      </x:c>
      <x:c r="Q58" t="n">
        <x:v>0</x:v>
      </x:c>
      <x:c r="R58" t="n">
        <x:v>0</x:v>
      </x:c>
      <x:c r="S58" t="n">
        <x:f>Q58-R58</x:f>
        <x:v>0</x:v>
      </x:c>
      <x:c r="T58" t="n">
        <x:v>7</x:v>
      </x:c>
      <x:c r="U58" t="n">
        <x:v>7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f>IF(AND(ISNUMBER(G58),I58&lt;&gt;"Excluded INI"),MAX(0,G58-J58),"")</x:f>
        <x:v>43</x:v>
      </x:c>
      <x:c r="AC58" t="n">
        <x:v>18275</x:v>
      </x:c>
      <x:c r="AD58" t="n">
        <x:v>20173</x:v>
      </x:c>
      <x:c r="AE58" t="n">
        <x:v>20694</x:v>
      </x:c>
      <x:c r="AF58" t="n">
        <x:v>20905</x:v>
      </x:c>
      <x:c r="AG58" t="n">
        <x:v>23536</x:v>
      </x:c>
      <x:c r="AH58" t="n">
        <x:v>23536</x:v>
      </x:c>
      <x:c r="AI58"/>
      <x:c r="AJ58"/>
      <x:c r="AK58"/>
      <x:c r="AL58"/>
      <x:c r="AM58" t="str">
        <x:v>Fully allotted in R1; R2 opportunity depends on upgrade/non-joining</x:v>
      </x:c>
    </x:row>
    <x:row r="59">
      <x:c r="A59" t="str">
        <x:v>Chhattisgarh</x:v>
      </x:c>
      <x:c r="B59" t="str">
        <x:v>All India except Central University</x:v>
      </x:c>
      <x:c r="C59" t="str">
        <x:v>904739</x:v>
      </x:c>
      <x:c r="D59" t="str">
        <x:v>Government Medical College Janjgir, Champa, government medical college janjgir champa, village- pendri, dist- janjgir champa. C.G</x:v>
      </x:c>
      <x:c r="E59" t="str">
        <x:v>New Establishment</x:v>
      </x:c>
      <x:c r="F59" t="str">
        <x:v>Government</x:v>
      </x:c>
      <x:c r="G59" t="n">
        <x:v>50</x:v>
      </x:c>
      <x:c r="H59" t="n">
        <x:v>100</x:v>
      </x:c>
      <x:c r="I59" t="str">
        <x:v>Manual/high-confidence alias</x:v>
      </x:c>
      <x:c r="J59" t="n">
        <x:v>7</x:v>
      </x:c>
      <x:c r="K59" t="n">
        <x:v>7</x:v>
      </x:c>
      <x:c r="L59" t="n">
        <x:f>J59-K59</x:f>
        <x:v>0</x:v>
      </x:c>
      <x:c r="M59" s="20" t="n">
        <x:f>IFERROR(K59/J59,0)</x:f>
        <x:v>1</x:v>
      </x:c>
      <x:c r="N59" t="n">
        <x:v>7</x:v>
      </x:c>
      <x:c r="O59" t="n">
        <x:v>7</x:v>
      </x:c>
      <x:c r="P59" t="n">
        <x:f>N59-O59</x:f>
        <x:v>0</x:v>
      </x:c>
      <x:c r="Q59" t="n">
        <x:v>0</x:v>
      </x:c>
      <x:c r="R59" t="n">
        <x:v>0</x:v>
      </x:c>
      <x:c r="S59" t="n">
        <x:f>Q59-R59</x:f>
        <x:v>0</x:v>
      </x:c>
      <x:c r="T59" t="n">
        <x:v>7</x:v>
      </x:c>
      <x:c r="U59" t="n">
        <x:v>7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f>IF(AND(ISNUMBER(G59),I59&lt;&gt;"Excluded INI"),MAX(0,G59-J59),"")</x:f>
        <x:v>43</x:v>
      </x:c>
      <x:c r="AC59" t="n">
        <x:v>13260</x:v>
      </x:c>
      <x:c r="AD59" t="n">
        <x:v>13748</x:v>
      </x:c>
      <x:c r="AE59" t="n">
        <x:v>15166</x:v>
      </x:c>
      <x:c r="AF59" t="n">
        <x:v>15213</x:v>
      </x:c>
      <x:c r="AG59" t="n">
        <x:v>23222</x:v>
      </x:c>
      <x:c r="AH59" t="n">
        <x:v>23222</x:v>
      </x:c>
      <x:c r="AI59" t="n">
        <x:v>70958</x:v>
      </x:c>
      <x:c r="AJ59" t="n">
        <x:v>70958</x:v>
      </x:c>
      <x:c r="AK59"/>
      <x:c r="AL59"/>
      <x:c r="AM59" t="str">
        <x:v>Fully allotted in R1; R2 opportunity depends on upgrade/non-joining</x:v>
      </x:c>
    </x:row>
    <x:row r="60">
      <x:c r="A60" t="str">
        <x:v>Chhattisgarh</x:v>
      </x:c>
      <x:c r="B60" t="str">
        <x:v>All India except Central University</x:v>
      </x:c>
      <x:c r="C60" t="str">
        <x:v>200602</x:v>
      </x:c>
      <x:c r="D60" t="str">
        <x:v>Government Medical College, Korba, Govt. Medical College, Village Jhagrha, Balco-urga Road, City Korba C.G.</x:v>
      </x:c>
      <x:c r="E60" t="str"/>
      <x:c r="F60" t="str"/>
      <x:c r="G60"/>
      <x:c r="H60" t="n">
        <x:v>83.9</x:v>
      </x:c>
      <x:c r="I60" t="str">
        <x:v>Needs verification</x:v>
      </x:c>
      <x:c r="J60" t="n">
        <x:v>18</x:v>
      </x:c>
      <x:c r="K60" t="n">
        <x:v>18</x:v>
      </x:c>
      <x:c r="L60" t="n">
        <x:f>J60-K60</x:f>
        <x:v>0</x:v>
      </x:c>
      <x:c r="M60" s="20" t="n">
        <x:f>IFERROR(K60/J60,0)</x:f>
        <x:v>1</x:v>
      </x:c>
      <x:c r="N60" t="n">
        <x:v>18</x:v>
      </x:c>
      <x:c r="O60" t="n">
        <x:v>18</x:v>
      </x:c>
      <x:c r="P60" t="n">
        <x:f>N60-O60</x:f>
        <x:v>0</x:v>
      </x:c>
      <x:c r="Q60" t="n">
        <x:v>0</x:v>
      </x:c>
      <x:c r="R60" t="n">
        <x:v>0</x:v>
      </x:c>
      <x:c r="S60" t="n">
        <x:f>Q60-R60</x:f>
        <x:v>0</x:v>
      </x:c>
      <x:c r="T60" t="n">
        <x:v>18</x:v>
      </x:c>
      <x:c r="U60" t="n">
        <x:v>18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str">
        <x:f>IF(AND(ISNUMBER(G60),I60&lt;&gt;"Excluded INI"),MAX(0,G60-J60),"")</x:f>
      </x:c>
      <x:c r="AC60" t="n">
        <x:v>18830</x:v>
      </x:c>
      <x:c r="AD60" t="n">
        <x:v>18929</x:v>
      </x:c>
      <x:c r="AE60" t="n">
        <x:v>19262</x:v>
      </x:c>
      <x:c r="AF60" t="n">
        <x:v>19523</x:v>
      </x:c>
      <x:c r="AG60" t="n">
        <x:v>20888</x:v>
      </x:c>
      <x:c r="AH60" t="n">
        <x:v>23522</x:v>
      </x:c>
      <x:c r="AI60" t="n">
        <x:v>95373</x:v>
      </x:c>
      <x:c r="AJ60" t="n">
        <x:v>96660</x:v>
      </x:c>
      <x:c r="AK60" t="n">
        <x:v>114231</x:v>
      </x:c>
      <x:c r="AL60" t="n">
        <x:v>114231</x:v>
      </x:c>
      <x:c r="AM60" t="str">
        <x:v>Fully allotted in R1; R2 opportunity depends on upgrade/non-joining</x:v>
      </x:c>
    </x:row>
    <x:row r="61">
      <x:c r="A61" t="str">
        <x:v>Chhattisgarh</x:v>
      </x:c>
      <x:c r="B61" t="str">
        <x:v>All India except Central University</x:v>
      </x:c>
      <x:c r="C61" t="str">
        <x:v>200596</x:v>
      </x:c>
      <x:c r="D61" t="str">
        <x:v>Government Medical College, Mahasamund, In front of Sai temple raipur road village kharora Mahasamund</x:v>
      </x:c>
      <x:c r="E61" t="str"/>
      <x:c r="F61" t="str"/>
      <x:c r="G61"/>
      <x:c r="H61" t="n">
        <x:v>83.9</x:v>
      </x:c>
      <x:c r="I61" t="str">
        <x:v>Needs verification</x:v>
      </x:c>
      <x:c r="J61" t="n">
        <x:v>18</x:v>
      </x:c>
      <x:c r="K61" t="n">
        <x:v>18</x:v>
      </x:c>
      <x:c r="L61" t="n">
        <x:f>J61-K61</x:f>
        <x:v>0</x:v>
      </x:c>
      <x:c r="M61" s="20" t="n">
        <x:f>IFERROR(K61/J61,0)</x:f>
        <x:v>1</x:v>
      </x:c>
      <x:c r="N61" t="n">
        <x:v>18</x:v>
      </x:c>
      <x:c r="O61" t="n">
        <x:v>18</x:v>
      </x:c>
      <x:c r="P61" t="n">
        <x:f>N61-O61</x:f>
        <x:v>0</x:v>
      </x:c>
      <x:c r="Q61" t="n">
        <x:v>0</x:v>
      </x:c>
      <x:c r="R61" t="n">
        <x:v>0</x:v>
      </x:c>
      <x:c r="S61" t="n">
        <x:f>Q61-R61</x:f>
        <x:v>0</x:v>
      </x:c>
      <x:c r="T61" t="n">
        <x:v>18</x:v>
      </x:c>
      <x:c r="U61" t="n">
        <x:v>18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str">
        <x:f>IF(AND(ISNUMBER(G61),I61&lt;&gt;"Excluded INI"),MAX(0,G61-J61),"")</x:f>
      </x:c>
      <x:c r="AC61" t="n">
        <x:v>17990</x:v>
      </x:c>
      <x:c r="AD61" t="n">
        <x:v>19104</x:v>
      </x:c>
      <x:c r="AE61" t="n">
        <x:v>19664</x:v>
      </x:c>
      <x:c r="AF61" t="n">
        <x:v>19904</x:v>
      </x:c>
      <x:c r="AG61" t="n">
        <x:v>20131</x:v>
      </x:c>
      <x:c r="AH61" t="n">
        <x:v>20131</x:v>
      </x:c>
      <x:c r="AI61" t="n">
        <x:v>97123</x:v>
      </x:c>
      <x:c r="AJ61" t="n">
        <x:v>98905</x:v>
      </x:c>
      <x:c r="AK61" t="n">
        <x:v>120726</x:v>
      </x:c>
      <x:c r="AL61" t="n">
        <x:v>120726</x:v>
      </x:c>
      <x:c r="AM61" t="str">
        <x:v>Fully allotted in R1; R2 opportunity depends on upgrade/non-joining</x:v>
      </x:c>
    </x:row>
    <x:row r="62">
      <x:c r="A62" t="str">
        <x:v>Chhattisgarh</x:v>
      </x:c>
      <x:c r="B62" t="str">
        <x:v>All India except Central University</x:v>
      </x:c>
      <x:c r="C62" t="str">
        <x:v>904740</x:v>
      </x:c>
      <x:c r="D62" t="str">
        <x:v>Government medical college, jashpur-kunkuri, Government medical college, Jashpur-Kunkuri, Jhargaon, Jila-Jashpur (C.G.) Pin No. - 496331</x:v>
      </x:c>
      <x:c r="E62" t="str">
        <x:v>New Establishment</x:v>
      </x:c>
      <x:c r="F62" t="str">
        <x:v>Government</x:v>
      </x:c>
      <x:c r="G62" t="n">
        <x:v>50</x:v>
      </x:c>
      <x:c r="H62" t="n">
        <x:v>100</x:v>
      </x:c>
      <x:c r="I62" t="str">
        <x:v>Manual/high-confidence alias</x:v>
      </x:c>
      <x:c r="J62" t="n">
        <x:v>7</x:v>
      </x:c>
      <x:c r="K62" t="n">
        <x:v>7</x:v>
      </x:c>
      <x:c r="L62" t="n">
        <x:f>J62-K62</x:f>
        <x:v>0</x:v>
      </x:c>
      <x:c r="M62" s="20" t="n">
        <x:f>IFERROR(K62/J62,0)</x:f>
        <x:v>1</x:v>
      </x:c>
      <x:c r="N62" t="n">
        <x:v>7</x:v>
      </x:c>
      <x:c r="O62" t="n">
        <x:v>7</x:v>
      </x:c>
      <x:c r="P62" t="n">
        <x:f>N62-O62</x:f>
        <x:v>0</x:v>
      </x:c>
      <x:c r="Q62" t="n">
        <x:v>0</x:v>
      </x:c>
      <x:c r="R62" t="n">
        <x:v>0</x:v>
      </x:c>
      <x:c r="S62" t="n">
        <x:f>Q62-R62</x:f>
        <x:v>0</x:v>
      </x:c>
      <x:c r="T62" t="n">
        <x:v>7</x:v>
      </x:c>
      <x:c r="U62" t="n">
        <x:v>7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f>IF(AND(ISNUMBER(G62),I62&lt;&gt;"Excluded INI"),MAX(0,G62-J62),"")</x:f>
        <x:v>43</x:v>
      </x:c>
      <x:c r="AC62" t="n">
        <x:v>20269</x:v>
      </x:c>
      <x:c r="AD62" t="n">
        <x:v>20908</x:v>
      </x:c>
      <x:c r="AE62" t="n">
        <x:v>21834</x:v>
      </x:c>
      <x:c r="AF62" t="n">
        <x:v>21914</x:v>
      </x:c>
      <x:c r="AG62"/>
      <x:c r="AH62"/>
      <x:c r="AI62" t="n">
        <x:v>101268</x:v>
      </x:c>
      <x:c r="AJ62" t="n">
        <x:v>101268</x:v>
      </x:c>
      <x:c r="AK62" t="n">
        <x:v>127702</x:v>
      </x:c>
      <x:c r="AL62" t="n">
        <x:v>127702</x:v>
      </x:c>
      <x:c r="AM62" t="str">
        <x:v>Fully allotted in R1; R2 opportunity depends on upgrade/non-joining</x:v>
      </x:c>
    </x:row>
    <x:row r="63">
      <x:c r="A63" t="str">
        <x:v>Chhattisgarh</x:v>
      </x:c>
      <x:c r="B63" t="str">
        <x:v>All India except Central University</x:v>
      </x:c>
      <x:c r="C63" t="str">
        <x:v>904741</x:v>
      </x:c>
      <x:c r="D63" t="str">
        <x:v>Govt. Medical College, Kabeerdham , DISTRICT COURT ROAD, NEAR COLLECTORATE, KAWARDHA, DISTRICT KABIRDHAM PIN 491995</x:v>
      </x:c>
      <x:c r="E63" t="str">
        <x:v>New Establishment</x:v>
      </x:c>
      <x:c r="F63" t="str">
        <x:v>Government</x:v>
      </x:c>
      <x:c r="G63" t="n">
        <x:v>50</x:v>
      </x:c>
      <x:c r="H63" t="n">
        <x:v>100</x:v>
      </x:c>
      <x:c r="I63" t="str">
        <x:v>Manual/high-confidence alias</x:v>
      </x:c>
      <x:c r="J63" t="n">
        <x:v>7</x:v>
      </x:c>
      <x:c r="K63" t="n">
        <x:v>7</x:v>
      </x:c>
      <x:c r="L63" t="n">
        <x:f>J63-K63</x:f>
        <x:v>0</x:v>
      </x:c>
      <x:c r="M63" s="20" t="n">
        <x:f>IFERROR(K63/J63,0)</x:f>
        <x:v>1</x:v>
      </x:c>
      <x:c r="N63" t="n">
        <x:v>7</x:v>
      </x:c>
      <x:c r="O63" t="n">
        <x:v>7</x:v>
      </x:c>
      <x:c r="P63" t="n">
        <x:f>N63-O63</x:f>
        <x:v>0</x:v>
      </x:c>
      <x:c r="Q63" t="n">
        <x:v>0</x:v>
      </x:c>
      <x:c r="R63" t="n">
        <x:v>0</x:v>
      </x:c>
      <x:c r="S63" t="n">
        <x:f>Q63-R63</x:f>
        <x:v>0</x:v>
      </x:c>
      <x:c r="T63" t="n">
        <x:v>7</x:v>
      </x:c>
      <x:c r="U63" t="n">
        <x:v>7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f>IF(AND(ISNUMBER(G63),I63&lt;&gt;"Excluded INI"),MAX(0,G63-J63),"")</x:f>
        <x:v>43</x:v>
      </x:c>
      <x:c r="AC63" t="n">
        <x:v>19566</x:v>
      </x:c>
      <x:c r="AD63" t="n">
        <x:v>19946</x:v>
      </x:c>
      <x:c r="AE63" t="n">
        <x:v>21464</x:v>
      </x:c>
      <x:c r="AF63" t="n">
        <x:v>22405</x:v>
      </x:c>
      <x:c r="AG63" t="n">
        <x:v>24490</x:v>
      </x:c>
      <x:c r="AH63" t="n">
        <x:v>24490</x:v>
      </x:c>
      <x:c r="AI63" t="n">
        <x:v>95823</x:v>
      </x:c>
      <x:c r="AJ63" t="n">
        <x:v>95823</x:v>
      </x:c>
      <x:c r="AK63" t="n">
        <x:v>126608</x:v>
      </x:c>
      <x:c r="AL63" t="n">
        <x:v>126608</x:v>
      </x:c>
      <x:c r="AM63" t="str">
        <x:v>Fully allotted in R1; R2 opportunity depends on upgrade/non-joining</x:v>
      </x:c>
    </x:row>
    <x:row r="64">
      <x:c r="A64" t="str">
        <x:v>Chhattisgarh</x:v>
      </x:c>
      <x:c r="B64" t="str">
        <x:v>All India except Central University</x:v>
      </x:c>
      <x:c r="C64" t="str">
        <x:v>904742</x:v>
      </x:c>
      <x:c r="D64" t="str">
        <x:v>Govt.Medical Collage Manendragarh, Govt. Medical College Manendragarh, Jhagrakhand Road, Dist- MCB C.G.</x:v>
      </x:c>
      <x:c r="E64" t="str">
        <x:v>New Establishment</x:v>
      </x:c>
      <x:c r="F64" t="str">
        <x:v>Government</x:v>
      </x:c>
      <x:c r="G64" t="n">
        <x:v>50</x:v>
      </x:c>
      <x:c r="H64" t="n">
        <x:v>100</x:v>
      </x:c>
      <x:c r="I64" t="str">
        <x:v>High-confidence fuzzy</x:v>
      </x:c>
      <x:c r="J64" t="n">
        <x:v>7</x:v>
      </x:c>
      <x:c r="K64" t="n">
        <x:v>7</x:v>
      </x:c>
      <x:c r="L64" t="n">
        <x:f>J64-K64</x:f>
        <x:v>0</x:v>
      </x:c>
      <x:c r="M64" s="20" t="n">
        <x:f>IFERROR(K64/J64,0)</x:f>
        <x:v>1</x:v>
      </x:c>
      <x:c r="N64" t="n">
        <x:v>7</x:v>
      </x:c>
      <x:c r="O64" t="n">
        <x:v>7</x:v>
      </x:c>
      <x:c r="P64" t="n">
        <x:f>N64-O64</x:f>
        <x:v>0</x:v>
      </x:c>
      <x:c r="Q64" t="n">
        <x:v>0</x:v>
      </x:c>
      <x:c r="R64" t="n">
        <x:v>0</x:v>
      </x:c>
      <x:c r="S64" t="n">
        <x:f>Q64-R64</x:f>
        <x:v>0</x:v>
      </x:c>
      <x:c r="T64" t="n">
        <x:v>7</x:v>
      </x:c>
      <x:c r="U64" t="n">
        <x:v>7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f>IF(AND(ISNUMBER(G64),I64&lt;&gt;"Excluded INI"),MAX(0,G64-J64),"")</x:f>
        <x:v>43</x:v>
      </x:c>
      <x:c r="AC64" t="n">
        <x:v>17572</x:v>
      </x:c>
      <x:c r="AD64" t="n">
        <x:v>19763</x:v>
      </x:c>
      <x:c r="AE64" t="n">
        <x:v>20651</x:v>
      </x:c>
      <x:c r="AF64" t="n">
        <x:v>20734</x:v>
      </x:c>
      <x:c r="AG64" t="n">
        <x:v>24542</x:v>
      </x:c>
      <x:c r="AH64" t="n">
        <x:v>24542</x:v>
      </x:c>
      <x:c r="AI64" t="n">
        <x:v>97534</x:v>
      </x:c>
      <x:c r="AJ64" t="n">
        <x:v>97534</x:v>
      </x:c>
      <x:c r="AK64"/>
      <x:c r="AL64"/>
      <x:c r="AM64" t="str">
        <x:v>Fully allotted in R1; R2 opportunity depends on upgrade/non-joining</x:v>
      </x:c>
    </x:row>
    <x:row r="65">
      <x:c r="A65" t="str">
        <x:v>Chhattisgarh</x:v>
      </x:c>
      <x:c r="B65" t="str">
        <x:v>All India except Central University</x:v>
      </x:c>
      <x:c r="C65" t="str">
        <x:v>200124</x:v>
      </x:c>
      <x:c r="D65" t="str">
        <x:v>Late Shri Baliram Kashyap Memorial NDMC Govt. Medical College, Jagdalpur, LATE BALIRAM KASHYAP MEMORIAL GOVT. MEDICAL COLLEGE, DIMRAPAL GEEDAM ROAD , JAGDALPUR DIST-BASTAR</x:v>
      </x:c>
      <x:c r="E65" t="str"/>
      <x:c r="F65" t="str"/>
      <x:c r="G65"/>
      <x:c r="H65" t="n">
        <x:v>83.9</x:v>
      </x:c>
      <x:c r="I65" t="str">
        <x:v>Needs verification</x:v>
      </x:c>
      <x:c r="J65" t="n">
        <x:v>23</x:v>
      </x:c>
      <x:c r="K65" t="n">
        <x:v>23</x:v>
      </x:c>
      <x:c r="L65" t="n">
        <x:f>J65-K65</x:f>
        <x:v>0</x:v>
      </x:c>
      <x:c r="M65" s="20" t="n">
        <x:f>IFERROR(K65/J65,0)</x:f>
        <x:v>1</x:v>
      </x:c>
      <x:c r="N65" t="n">
        <x:v>23</x:v>
      </x:c>
      <x:c r="O65" t="n">
        <x:v>23</x:v>
      </x:c>
      <x:c r="P65" t="n">
        <x:f>N65-O65</x:f>
        <x:v>0</x:v>
      </x:c>
      <x:c r="Q65" t="n">
        <x:v>0</x:v>
      </x:c>
      <x:c r="R65" t="n">
        <x:v>0</x:v>
      </x:c>
      <x:c r="S65" t="n">
        <x:f>Q65-R65</x:f>
        <x:v>0</x:v>
      </x:c>
      <x:c r="T65" t="n">
        <x:v>23</x:v>
      </x:c>
      <x:c r="U65" t="n">
        <x:v>23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str">
        <x:f>IF(AND(ISNUMBER(G65),I65&lt;&gt;"Excluded INI"),MAX(0,G65-J65),"")</x:f>
      </x:c>
      <x:c r="AC65" t="n">
        <x:v>10430</x:v>
      </x:c>
      <x:c r="AD65" t="n">
        <x:v>12312</x:v>
      </x:c>
      <x:c r="AE65" t="n">
        <x:v>13001</x:v>
      </x:c>
      <x:c r="AF65" t="n">
        <x:v>13290</x:v>
      </x:c>
      <x:c r="AG65" t="n">
        <x:v>17234</x:v>
      </x:c>
      <x:c r="AH65" t="n">
        <x:v>18146</x:v>
      </x:c>
      <x:c r="AI65" t="n">
        <x:v>83953</x:v>
      </x:c>
      <x:c r="AJ65" t="n">
        <x:v>85225</x:v>
      </x:c>
      <x:c r="AK65" t="n">
        <x:v>104399</x:v>
      </x:c>
      <x:c r="AL65" t="n">
        <x:v>105041</x:v>
      </x:c>
      <x:c r="AM65" t="str">
        <x:v>Fully allotted in R1; R2 opportunity depends on upgrade/non-joining</x:v>
      </x:c>
    </x:row>
    <x:row r="66">
      <x:c r="A66" t="str">
        <x:v>Chhattisgarh</x:v>
      </x:c>
      <x:c r="B66" t="str">
        <x:v>All India except Central University</x:v>
      </x:c>
      <x:c r="C66" t="str">
        <x:v>200125</x:v>
      </x:c>
      <x:c r="D66" t="str">
        <x:v>Late Shri Lakhi Ram Agrawal Memorial Govt. Medical College, Raigarh, T.V.Tower road, Bendrachua, Raigarh</x:v>
      </x:c>
      <x:c r="E66" t="str"/>
      <x:c r="F66" t="str"/>
      <x:c r="G66"/>
      <x:c r="H66" t="n">
        <x:v>83.9</x:v>
      </x:c>
      <x:c r="I66" t="str">
        <x:v>Needs verification</x:v>
      </x:c>
      <x:c r="J66" t="n">
        <x:v>15</x:v>
      </x:c>
      <x:c r="K66" t="n">
        <x:v>15</x:v>
      </x:c>
      <x:c r="L66" t="n">
        <x:f>J66-K66</x:f>
        <x:v>0</x:v>
      </x:c>
      <x:c r="M66" s="20" t="n">
        <x:f>IFERROR(K66/J66,0)</x:f>
        <x:v>1</x:v>
      </x:c>
      <x:c r="N66" t="n">
        <x:v>15</x:v>
      </x:c>
      <x:c r="O66" t="n">
        <x:v>15</x:v>
      </x:c>
      <x:c r="P66" t="n">
        <x:f>N66-O66</x:f>
        <x:v>0</x:v>
      </x:c>
      <x:c r="Q66" t="n">
        <x:v>0</x:v>
      </x:c>
      <x:c r="R66" t="n">
        <x:v>0</x:v>
      </x:c>
      <x:c r="S66" t="n">
        <x:f>Q66-R66</x:f>
        <x:v>0</x:v>
      </x:c>
      <x:c r="T66" t="n">
        <x:v>15</x:v>
      </x:c>
      <x:c r="U66" t="n">
        <x:v>15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str">
        <x:f>IF(AND(ISNUMBER(G66),I66&lt;&gt;"Excluded INI"),MAX(0,G66-J66),"")</x:f>
      </x:c>
      <x:c r="AC66" t="n">
        <x:v>13107</x:v>
      </x:c>
      <x:c r="AD66" t="n">
        <x:v>13813</x:v>
      </x:c>
      <x:c r="AE66" t="n">
        <x:v>15063</x:v>
      </x:c>
      <x:c r="AF66" t="n">
        <x:v>16013</x:v>
      </x:c>
      <x:c r="AG66" t="n">
        <x:v>16014</x:v>
      </x:c>
      <x:c r="AH66" t="n">
        <x:v>16252</x:v>
      </x:c>
      <x:c r="AI66" t="n">
        <x:v>84680</x:v>
      </x:c>
      <x:c r="AJ66" t="n">
        <x:v>85226</x:v>
      </x:c>
      <x:c r="AK66" t="n">
        <x:v>105291</x:v>
      </x:c>
      <x:c r="AL66" t="n">
        <x:v>105291</x:v>
      </x:c>
      <x:c r="AM66" t="str">
        <x:v>Fully allotted in R1; R2 opportunity depends on upgrade/non-joining</x:v>
      </x:c>
    </x:row>
    <x:row r="67">
      <x:c r="A67" t="str">
        <x:v>Chhattisgarh</x:v>
      </x:c>
      <x:c r="B67" t="str">
        <x:v>All India except Central University</x:v>
      </x:c>
      <x:c r="C67" t="str">
        <x:v>200126</x:v>
      </x:c>
      <x:c r="D67" t="str">
        <x:v>Pt. J N M Medical College, Raipur, In front of Central Jail, Jail Road Raipur C.G.</x:v>
      </x:c>
      <x:c r="E67" t="str"/>
      <x:c r="F67" t="str"/>
      <x:c r="G67"/>
      <x:c r="H67" t="n">
        <x:v>58.8</x:v>
      </x:c>
      <x:c r="I67" t="str">
        <x:v>Needs verification</x:v>
      </x:c>
      <x:c r="J67" t="n">
        <x:v>37</x:v>
      </x:c>
      <x:c r="K67" t="n">
        <x:v>37</x:v>
      </x:c>
      <x:c r="L67" t="n">
        <x:f>J67-K67</x:f>
        <x:v>0</x:v>
      </x:c>
      <x:c r="M67" s="20" t="n">
        <x:f>IFERROR(K67/J67,0)</x:f>
        <x:v>1</x:v>
      </x:c>
      <x:c r="N67" t="n">
        <x:v>37</x:v>
      </x:c>
      <x:c r="O67" t="n">
        <x:v>37</x:v>
      </x:c>
      <x:c r="P67" t="n">
        <x:f>N67-O67</x:f>
        <x:v>0</x:v>
      </x:c>
      <x:c r="Q67" t="n">
        <x:v>0</x:v>
      </x:c>
      <x:c r="R67" t="n">
        <x:v>0</x:v>
      </x:c>
      <x:c r="S67" t="n">
        <x:f>Q67-R67</x:f>
        <x:v>0</x:v>
      </x:c>
      <x:c r="T67" t="n">
        <x:v>37</x:v>
      </x:c>
      <x:c r="U67" t="n">
        <x:v>37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str">
        <x:f>IF(AND(ISNUMBER(G67),I67&lt;&gt;"Excluded INI"),MAX(0,G67-J67),"")</x:f>
      </x:c>
      <x:c r="AC67" t="n">
        <x:v>6117</x:v>
      </x:c>
      <x:c r="AD67" t="n">
        <x:v>7525</x:v>
      </x:c>
      <x:c r="AE67" t="n">
        <x:v>8117</x:v>
      </x:c>
      <x:c r="AF67" t="n">
        <x:v>8544</x:v>
      </x:c>
      <x:c r="AG67" t="n">
        <x:v>10970</x:v>
      </x:c>
      <x:c r="AH67" t="n">
        <x:v>11034</x:v>
      </x:c>
      <x:c r="AI67" t="n">
        <x:v>48042</x:v>
      </x:c>
      <x:c r="AJ67" t="n">
        <x:v>53548</x:v>
      </x:c>
      <x:c r="AK67" t="n">
        <x:v>82621</x:v>
      </x:c>
      <x:c r="AL67" t="n">
        <x:v>82741</x:v>
      </x:c>
      <x:c r="AM67" t="str">
        <x:v>Fully allotted in R1; R2 opportunity depends on upgrade/non-joining</x:v>
      </x:c>
    </x:row>
    <x:row r="68">
      <x:c r="A68" t="str">
        <x:v>Chhattisgarh</x:v>
      </x:c>
      <x:c r="B68" t="str">
        <x:v>All India except Central University</x:v>
      </x:c>
      <x:c r="C68" t="str">
        <x:v>200121</x:v>
      </x:c>
      <x:c r="D68" t="str">
        <x:v>Rajmata Shrimata Devendra Kumari Singhdeo Government Medical College, Ambikapur (Surguja), Chhattisgarh, Kanyaparisar Road Gangapur Ambikapur District Surguja</x:v>
      </x:c>
      <x:c r="E68" t="str"/>
      <x:c r="F68" t="str"/>
      <x:c r="G68"/>
      <x:c r="H68" t="n">
        <x:v>83.9</x:v>
      </x:c>
      <x:c r="I68" t="str">
        <x:v>Needs verification</x:v>
      </x:c>
      <x:c r="J68" t="n">
        <x:v>18</x:v>
      </x:c>
      <x:c r="K68" t="n">
        <x:v>18</x:v>
      </x:c>
      <x:c r="L68" t="n">
        <x:f>J68-K68</x:f>
        <x:v>0</x:v>
      </x:c>
      <x:c r="M68" s="20" t="n">
        <x:f>IFERROR(K68/J68,0)</x:f>
        <x:v>1</x:v>
      </x:c>
      <x:c r="N68" t="n">
        <x:v>18</x:v>
      </x:c>
      <x:c r="O68" t="n">
        <x:v>18</x:v>
      </x:c>
      <x:c r="P68" t="n">
        <x:f>N68-O68</x:f>
        <x:v>0</x:v>
      </x:c>
      <x:c r="Q68" t="n">
        <x:v>0</x:v>
      </x:c>
      <x:c r="R68" t="n">
        <x:v>0</x:v>
      </x:c>
      <x:c r="S68" t="n">
        <x:f>Q68-R68</x:f>
        <x:v>0</x:v>
      </x:c>
      <x:c r="T68" t="n">
        <x:v>18</x:v>
      </x:c>
      <x:c r="U68" t="n">
        <x:v>18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str">
        <x:f>IF(AND(ISNUMBER(G68),I68&lt;&gt;"Excluded INI"),MAX(0,G68-J68),"")</x:f>
      </x:c>
      <x:c r="AC68" t="n">
        <x:v>16763</x:v>
      </x:c>
      <x:c r="AD68" t="n">
        <x:v>17155</x:v>
      </x:c>
      <x:c r="AE68" t="n">
        <x:v>18102</x:v>
      </x:c>
      <x:c r="AF68" t="n">
        <x:v>18294</x:v>
      </x:c>
      <x:c r="AG68" t="n">
        <x:v>17720</x:v>
      </x:c>
      <x:c r="AH68" t="n">
        <x:v>17856</x:v>
      </x:c>
      <x:c r="AI68" t="n">
        <x:v>76116</x:v>
      </x:c>
      <x:c r="AJ68" t="n">
        <x:v>76830</x:v>
      </x:c>
      <x:c r="AK68" t="n">
        <x:v>111286</x:v>
      </x:c>
      <x:c r="AL68" t="n">
        <x:v>111286</x:v>
      </x:c>
      <x:c r="AM68" t="str">
        <x:v>Fully allotted in R1; R2 opportunity depends on upgrade/non-joining</x:v>
      </x:c>
    </x:row>
    <x:row r="69">
      <x:c r="A69" t="str">
        <x:v>Chhattisgarh</x:v>
      </x:c>
      <x:c r="B69" t="str">
        <x:v>All India except Central University</x:v>
      </x:c>
      <x:c r="C69" t="str">
        <x:v>200577</x:v>
      </x:c>
      <x:c r="D69" t="str">
        <x:v>Shrimati Indira Gandhi Memorial Govt. Medical College, Kanker, Chattisgarh (previously Government Medical College, Kanker), Late Smt. Indira Gandhi Memorial Government Medical College, Kanker, Chhattisgarh</x:v>
      </x:c>
      <x:c r="E69" t="str"/>
      <x:c r="F69" t="str"/>
      <x:c r="G69"/>
      <x:c r="H69" t="n">
        <x:v>83.9</x:v>
      </x:c>
      <x:c r="I69" t="str">
        <x:v>Needs verification</x:v>
      </x:c>
      <x:c r="J69" t="n">
        <x:v>18</x:v>
      </x:c>
      <x:c r="K69" t="n">
        <x:v>18</x:v>
      </x:c>
      <x:c r="L69" t="n">
        <x:f>J69-K69</x:f>
        <x:v>0</x:v>
      </x:c>
      <x:c r="M69" s="20" t="n">
        <x:f>IFERROR(K69/J69,0)</x:f>
        <x:v>1</x:v>
      </x:c>
      <x:c r="N69" t="n">
        <x:v>18</x:v>
      </x:c>
      <x:c r="O69" t="n">
        <x:v>18</x:v>
      </x:c>
      <x:c r="P69" t="n">
        <x:f>N69-O69</x:f>
        <x:v>0</x:v>
      </x:c>
      <x:c r="Q69" t="n">
        <x:v>0</x:v>
      </x:c>
      <x:c r="R69" t="n">
        <x:v>0</x:v>
      </x:c>
      <x:c r="S69" t="n">
        <x:f>Q69-R69</x:f>
        <x:v>0</x:v>
      </x:c>
      <x:c r="T69" t="n">
        <x:v>18</x:v>
      </x:c>
      <x:c r="U69" t="n">
        <x:v>18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str">
        <x:f>IF(AND(ISNUMBER(G69),I69&lt;&gt;"Excluded INI"),MAX(0,G69-J69),"")</x:f>
      </x:c>
      <x:c r="AC69" t="n">
        <x:v>14757</x:v>
      </x:c>
      <x:c r="AD69" t="n">
        <x:v>17440</x:v>
      </x:c>
      <x:c r="AE69" t="n">
        <x:v>19047</x:v>
      </x:c>
      <x:c r="AF69" t="n">
        <x:v>19891</x:v>
      </x:c>
      <x:c r="AG69" t="n">
        <x:v>22638</x:v>
      </x:c>
      <x:c r="AH69" t="n">
        <x:v>23818</x:v>
      </x:c>
      <x:c r="AI69" t="n">
        <x:v>94028</x:v>
      </x:c>
      <x:c r="AJ69" t="n">
        <x:v>96975</x:v>
      </x:c>
      <x:c r="AK69" t="n">
        <x:v>115806</x:v>
      </x:c>
      <x:c r="AL69" t="n">
        <x:v>117399</x:v>
      </x:c>
      <x:c r="AM69" t="str">
        <x:v>Fully allotted in R1; R2 opportunity depends on upgrade/non-joining</x:v>
      </x:c>
    </x:row>
    <x:row r="70">
      <x:c r="A70" t="str">
        <x:v>Delhi</x:v>
      </x:c>
      <x:c r="B70" t="str">
        <x:v>All India Institute Of Medical Science(AIIMS)</x:v>
      </x:c>
      <x:c r="C70" t="str">
        <x:v>200502</x:v>
      </x:c>
      <x:c r="D70" t="str">
        <x:v>AIIMS, New Delhi, ANSARI NAGAR EAST, AUROBINDO MARG, NEW DELHI 110029</x:v>
      </x:c>
      <x:c r="E70" t="str"/>
      <x:c r="F70" t="str"/>
      <x:c r="G70"/>
      <x:c r="H70" t="n">
        <x:v>100</x:v>
      </x:c>
      <x:c r="I70" t="str">
        <x:v>Excluded INI</x:v>
      </x:c>
      <x:c r="J70" t="n">
        <x:v>132</x:v>
      </x:c>
      <x:c r="K70" t="n">
        <x:v>132</x:v>
      </x:c>
      <x:c r="L70" t="n">
        <x:f>J70-K70</x:f>
        <x:v>0</x:v>
      </x:c>
      <x:c r="M70" s="20" t="n">
        <x:f>IFERROR(K70/J70,0)</x:f>
        <x:v>1</x:v>
      </x:c>
      <x:c r="N70" t="n">
        <x:v>132</x:v>
      </x:c>
      <x:c r="O70" t="n">
        <x:v>132</x:v>
      </x:c>
      <x:c r="P70" t="n">
        <x:f>N70-O70</x:f>
        <x:v>0</x:v>
      </x:c>
      <x:c r="Q70" t="n">
        <x:v>0</x:v>
      </x:c>
      <x:c r="R70" t="n">
        <x:v>0</x:v>
      </x:c>
      <x:c r="S70" t="n">
        <x:f>Q70-R70</x:f>
        <x:v>0</x:v>
      </x:c>
      <x:c r="T70" t="n">
        <x:v>0</x:v>
      </x:c>
      <x:c r="U70" t="n">
        <x:v>0</x:v>
      </x:c>
      <x:c r="V70" t="n">
        <x:v>125</x:v>
      </x:c>
      <x:c r="W70" t="n">
        <x:v>125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str">
        <x:f>IF(AND(ISNUMBER(G70),I70&lt;&gt;"Excluded INI"),MAX(0,G70-J70),"")</x:f>
      </x:c>
      <x:c r="AC70" t="n">
        <x:v>1134</x:v>
      </x:c>
      <x:c r="AD70" t="n">
        <x:v>13969</x:v>
      </x:c>
      <x:c r="AE70" t="n">
        <x:v>134</x:v>
      </x:c>
      <x:c r="AF70" t="n">
        <x:v>192</x:v>
      </x:c>
      <x:c r="AG70" t="n">
        <x:v>208</x:v>
      </x:c>
      <x:c r="AH70" t="n">
        <x:v>292</x:v>
      </x:c>
      <x:c r="AI70" t="n">
        <x:v>595</x:v>
      </x:c>
      <x:c r="AJ70" t="n">
        <x:v>793</x:v>
      </x:c>
      <x:c r="AK70" t="n">
        <x:v>850</x:v>
      </x:c>
      <x:c r="AL70" t="n">
        <x:v>987</x:v>
      </x:c>
      <x:c r="AM70" t="str">
        <x:v>Fully allotted in R1; R2 opportunity depends on upgrade/non-joining</x:v>
      </x:c>
    </x:row>
    <x:row r="71">
      <x:c r="A71" t="str">
        <x:v>Delhi</x:v>
      </x:c>
      <x:c r="B71" t="str">
        <x:v>Central University</x:v>
      </x:c>
      <x:c r="C71" t="str">
        <x:v>200498</x:v>
      </x:c>
      <x:c r="D71" t="str">
        <x:v>Atal Bihari Vajpayee Institute of Medical Sciences and Dr. RML Hospital, New Delhi, ABVIMS, Dr. RML Hospital, B.K.S. Marg, New Delhi</x:v>
      </x:c>
      <x:c r="E71" t="str">
        <x:v>DL/007/G/1</x:v>
      </x:c>
      <x:c r="F71" t="str">
        <x:v>Government</x:v>
      </x:c>
      <x:c r="G71" t="n">
        <x:v>100</x:v>
      </x:c>
      <x:c r="H71" t="n">
        <x:v>100</x:v>
      </x:c>
      <x:c r="I71" t="str">
        <x:v>High-confidence fuzzy</x:v>
      </x:c>
      <x:c r="J71" t="n">
        <x:v>100</x:v>
      </x:c>
      <x:c r="K71" t="n">
        <x:v>99</x:v>
      </x:c>
      <x:c r="L71" t="n">
        <x:f>J71-K71</x:f>
        <x:v>1</x:v>
      </x:c>
      <x:c r="M71" s="20" t="n">
        <x:f>IFERROR(K71/J71,0)</x:f>
        <x:v>0.99</x:v>
      </x:c>
      <x:c r="N71" t="n">
        <x:v>100</x:v>
      </x:c>
      <x:c r="O71" t="n">
        <x:v>99</x:v>
      </x:c>
      <x:c r="P71" t="n">
        <x:f>N71-O71</x:f>
        <x:v>1</x:v>
      </x:c>
      <x:c r="Q71" t="n">
        <x:v>0</x:v>
      </x:c>
      <x:c r="R71" t="n">
        <x:v>0</x:v>
      </x:c>
      <x:c r="S71" t="n">
        <x:f>Q71-R71</x:f>
        <x:v>0</x:v>
      </x:c>
      <x:c r="T71" t="n">
        <x:v>15</x:v>
      </x:c>
      <x:c r="U71" t="n">
        <x:v>15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f>IF(AND(ISNUMBER(G71),I71&lt;&gt;"Excluded INI"),MAX(0,G71-J71),"")</x:f>
        <x:v>0</x:v>
      </x:c>
      <x:c r="AC71" t="n">
        <x:v>11424</x:v>
      </x:c>
      <x:c r="AD71" t="n">
        <x:v>232173</x:v>
      </x:c>
      <x:c r="AE71" t="n">
        <x:v>25275</x:v>
      </x:c>
      <x:c r="AF71" t="n">
        <x:v>484948</x:v>
      </x:c>
      <x:c r="AG71" t="n">
        <x:v>31514</x:v>
      </x:c>
      <x:c r="AH71" t="n">
        <x:v>249509</x:v>
      </x:c>
      <x:c r="AI71" t="n">
        <x:v>38182</x:v>
      </x:c>
      <x:c r="AJ71" t="n">
        <x:v>49620</x:v>
      </x:c>
      <x:c r="AK71" t="n">
        <x:v>67083</x:v>
      </x:c>
      <x:c r="AL71" t="n">
        <x:v>80375</x:v>
      </x:c>
      <x:c r="AM71" t="str">
        <x:v>R1 regular-central gap visible; verify in official R2 matrix</x:v>
      </x:c>
    </x:row>
    <x:row r="72">
      <x:c r="A72" t="str">
        <x:v>Delhi</x:v>
      </x:c>
      <x:c r="B72" t="str">
        <x:v>All India except Central University</x:v>
      </x:c>
      <x:c r="C72" t="str">
        <x:v>904764</x:v>
      </x:c>
      <x:c r="D72" t="str">
        <x:v>Central Armed Police Forces Institute of Medical Sciences Maidangarhi (AIIMS CAPFIMS) Asola Delhi, AIIMS-CAPFIMS, Asola, Maidan Garhi, New Delhi</x:v>
      </x:c>
      <x:c r="E72" t="str"/>
      <x:c r="F72" t="str"/>
      <x:c r="G72"/>
      <x:c r="H72" t="n">
        <x:v>81.7</x:v>
      </x:c>
      <x:c r="I72" t="str">
        <x:v>Needs verification</x:v>
      </x:c>
      <x:c r="J72" t="n">
        <x:v>100</x:v>
      </x:c>
      <x:c r="K72" t="n">
        <x:v>100</x:v>
      </x:c>
      <x:c r="L72" t="n">
        <x:f>J72-K72</x:f>
        <x:v>0</x:v>
      </x:c>
      <x:c r="M72" s="20" t="n">
        <x:f>IFERROR(K72/J72,0)</x:f>
        <x:v>1</x:v>
      </x:c>
      <x:c r="N72" t="n">
        <x:v>100</x:v>
      </x:c>
      <x:c r="O72" t="n">
        <x:v>100</x:v>
      </x:c>
      <x:c r="P72" t="n">
        <x:f>N72-O72</x:f>
        <x:v>0</x:v>
      </x:c>
      <x:c r="Q72" t="n">
        <x:v>0</x:v>
      </x:c>
      <x:c r="R72" t="n">
        <x:v>0</x:v>
      </x:c>
      <x:c r="S72" t="n">
        <x:f>Q72-R72</x:f>
        <x:v>0</x:v>
      </x:c>
      <x:c r="T72" t="n">
        <x:v>100</x:v>
      </x:c>
      <x:c r="U72" t="n">
        <x:v>100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str">
        <x:f>IF(AND(ISNUMBER(G72),I72&lt;&gt;"Excluded INI"),MAX(0,G72-J72),"")</x:f>
      </x:c>
      <x:c r="AC72" t="n">
        <x:v>1928</x:v>
      </x:c>
      <x:c r="AD72" t="n">
        <x:v>2513</x:v>
      </x:c>
      <x:c r="AE72" t="n">
        <x:v>3580</x:v>
      </x:c>
      <x:c r="AF72" t="n">
        <x:v>3989</x:v>
      </x:c>
      <x:c r="AG72" t="n">
        <x:v>3927</x:v>
      </x:c>
      <x:c r="AH72" t="n">
        <x:v>4299</x:v>
      </x:c>
      <x:c r="AI72" t="n">
        <x:v>23236</x:v>
      </x:c>
      <x:c r="AJ72" t="n">
        <x:v>28392</x:v>
      </x:c>
      <x:c r="AK72" t="n">
        <x:v>32710</x:v>
      </x:c>
      <x:c r="AL72" t="n">
        <x:v>38615</x:v>
      </x:c>
      <x:c r="AM72" t="str">
        <x:v>Fully allotted in R1; R2 opportunity depends on upgrade/non-joining</x:v>
      </x:c>
    </x:row>
    <x:row r="73">
      <x:c r="A73" t="str">
        <x:v>Delhi</x:v>
      </x:c>
      <x:c r="B73" t="str">
        <x:v>All India except Central University</x:v>
      </x:c>
      <x:c r="C73" t="str">
        <x:v>200127</x:v>
      </x:c>
      <x:c r="D73" t="str">
        <x:v>Dr. Baba Saheb Ambedkar Medical College, Rohini, Delhi, DR.BABA SAHEB AMBEDKAR MEDICAL COLLEGE AND HOSPITAL, ROHINI SEC-6, DELHI-110085</x:v>
      </x:c>
      <x:c r="E73" t="str">
        <x:v>DL/002/G/1</x:v>
      </x:c>
      <x:c r="F73" t="str">
        <x:v>Government</x:v>
      </x:c>
      <x:c r="G73" t="n">
        <x:v>125</x:v>
      </x:c>
      <x:c r="H73" t="n">
        <x:v>100</x:v>
      </x:c>
      <x:c r="I73" t="str">
        <x:v>High-confidence fuzzy</x:v>
      </x:c>
      <x:c r="J73" t="n">
        <x:v>19</x:v>
      </x:c>
      <x:c r="K73" t="n">
        <x:v>19</x:v>
      </x:c>
      <x:c r="L73" t="n">
        <x:f>J73-K73</x:f>
        <x:v>0</x:v>
      </x:c>
      <x:c r="M73" s="20" t="n">
        <x:f>IFERROR(K73/J73,0)</x:f>
        <x:v>1</x:v>
      </x:c>
      <x:c r="N73" t="n">
        <x:v>19</x:v>
      </x:c>
      <x:c r="O73" t="n">
        <x:v>19</x:v>
      </x:c>
      <x:c r="P73" t="n">
        <x:f>N73-O73</x:f>
        <x:v>0</x:v>
      </x:c>
      <x:c r="Q73" t="n">
        <x:v>0</x:v>
      </x:c>
      <x:c r="R73" t="n">
        <x:v>0</x:v>
      </x:c>
      <x:c r="S73" t="n">
        <x:f>Q73-R73</x:f>
        <x:v>0</x:v>
      </x:c>
      <x:c r="T73" t="n">
        <x:v>19</x:v>
      </x:c>
      <x:c r="U73" t="n">
        <x:v>19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f>IF(AND(ISNUMBER(G73),I73&lt;&gt;"Excluded INI"),MAX(0,G73-J73),"")</x:f>
        <x:v>106</x:v>
      </x:c>
      <x:c r="AC73" t="n">
        <x:v>1093</x:v>
      </x:c>
      <x:c r="AD73" t="n">
        <x:v>1357</x:v>
      </x:c>
      <x:c r="AE73" t="n">
        <x:v>2169</x:v>
      </x:c>
      <x:c r="AF73" t="n">
        <x:v>2195</x:v>
      </x:c>
      <x:c r="AG73" t="n">
        <x:v>2540</x:v>
      </x:c>
      <x:c r="AH73" t="n">
        <x:v>2556</x:v>
      </x:c>
      <x:c r="AI73" t="n">
        <x:v>13249</x:v>
      </x:c>
      <x:c r="AJ73" t="n">
        <x:v>13534</x:v>
      </x:c>
      <x:c r="AK73" t="n">
        <x:v>25121</x:v>
      </x:c>
      <x:c r="AL73" t="n">
        <x:v>27301</x:v>
      </x:c>
      <x:c r="AM73" t="str">
        <x:v>Fully allotted in R1; R2 opportunity depends on upgrade/non-joining</x:v>
      </x:c>
    </x:row>
    <x:row r="74">
      <x:c r="A74" t="str">
        <x:v>Delhi</x:v>
      </x:c>
      <x:c r="B74" t="str">
        <x:v>All India except Central University</x:v>
      </x:c>
      <x:c r="C74" t="str">
        <x:v>904361</x:v>
      </x:c>
      <x:c r="D74" t="str">
        <x:v>ESIC Medical College &amp; Hospital, Basaidarapur, New Delhi, BASAIDARAPUR, NEW DELHI</x:v>
      </x:c>
      <x:c r="E74" t="str">
        <x:v>DL/003/G/1</x:v>
      </x:c>
      <x:c r="F74" t="str">
        <x:v>Government</x:v>
      </x:c>
      <x:c r="G74" t="n">
        <x:v>50</x:v>
      </x:c>
      <x:c r="H74" t="n">
        <x:v>100</x:v>
      </x:c>
      <x:c r="I74" t="str">
        <x:v>High-confidence fuzzy</x:v>
      </x:c>
      <x:c r="J74" t="n">
        <x:v>50</x:v>
      </x:c>
      <x:c r="K74" t="n">
        <x:v>48</x:v>
      </x:c>
      <x:c r="L74" t="n">
        <x:f>J74-K74</x:f>
        <x:v>2</x:v>
      </x:c>
      <x:c r="M74" s="20" t="n">
        <x:f>IFERROR(K74/J74,0)</x:f>
        <x:v>0.96</x:v>
      </x:c>
      <x:c r="N74" t="n">
        <x:v>50</x:v>
      </x:c>
      <x:c r="O74" t="n">
        <x:v>48</x:v>
      </x:c>
      <x:c r="P74" t="n">
        <x:f>N74-O74</x:f>
        <x:v>2</x:v>
      </x:c>
      <x:c r="Q74" t="n">
        <x:v>0</x:v>
      </x:c>
      <x:c r="R74" t="n">
        <x:v>0</x:v>
      </x:c>
      <x:c r="S74" t="n">
        <x:f>Q74-R74</x:f>
        <x:v>0</x:v>
      </x:c>
      <x:c r="T74" t="n">
        <x:v>7</x:v>
      </x:c>
      <x:c r="U74" t="n">
        <x:v>7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f>IF(AND(ISNUMBER(G74),I74&lt;&gt;"Excluded INI"),MAX(0,G74-J74),"")</x:f>
        <x:v>0</x:v>
      </x:c>
      <x:c r="AC74" t="n">
        <x:v>24756</x:v>
      </x:c>
      <x:c r="AD74" t="n">
        <x:v>397393</x:v>
      </x:c>
      <x:c r="AE74" t="n">
        <x:v>10871</x:v>
      </x:c>
      <x:c r="AF74" t="n">
        <x:v>13512</x:v>
      </x:c>
      <x:c r="AG74" t="n">
        <x:v>8000</x:v>
      </x:c>
      <x:c r="AH74" t="n">
        <x:v>9902</x:v>
      </x:c>
      <x:c r="AI74" t="n">
        <x:v>83102</x:v>
      </x:c>
      <x:c r="AJ74" t="n">
        <x:v>255252</x:v>
      </x:c>
      <x:c r="AK74" t="n">
        <x:v>122839</x:v>
      </x:c>
      <x:c r="AL74" t="n">
        <x:v>124759</x:v>
      </x:c>
      <x:c r="AM74" t="str">
        <x:v>R1 regular-central gap visible; verify in official R2 matrix</x:v>
      </x:c>
    </x:row>
    <x:row r="75">
      <x:c r="A75" t="str">
        <x:v>Delhi</x:v>
      </x:c>
      <x:c r="B75" t="str">
        <x:v>Deemed University</x:v>
      </x:c>
      <x:c r="C75" t="str">
        <x:v>200326</x:v>
      </x:c>
      <x:c r="D75" t="str">
        <x:v>Hamdard Institute of Medical Sciences &amp; Research, New Delhi, HIMSR, Guru Ravidas Marg, Hamdard Nagar, New Delhi</x:v>
      </x:c>
      <x:c r="E75" t="str">
        <x:v>DL/004/P/3</x:v>
      </x:c>
      <x:c r="F75" t="str">
        <x:v>Private</x:v>
      </x:c>
      <x:c r="G75" t="n">
        <x:v>150</x:v>
      </x:c>
      <x:c r="H75" t="n">
        <x:v>100</x:v>
      </x:c>
      <x:c r="I75" t="str">
        <x:v>High-confidence fuzzy</x:v>
      </x:c>
      <x:c r="J75" t="n">
        <x:v>150</x:v>
      </x:c>
      <x:c r="K75" t="n">
        <x:v>132</x:v>
      </x:c>
      <x:c r="L75" t="n">
        <x:f>J75-K75</x:f>
        <x:v>18</x:v>
      </x:c>
      <x:c r="M75" s="20" t="n">
        <x:f>IFERROR(K75/J75,0)</x:f>
        <x:v>0.88</x:v>
      </x:c>
      <x:c r="N75" t="n">
        <x:v>0</x:v>
      </x:c>
      <x:c r="O75" t="n">
        <x:v>0</x:v>
      </x:c>
      <x:c r="P75" t="n">
        <x:f>N75-O75</x:f>
        <x:v>0</x:v>
      </x:c>
      <x:c r="Q75" t="n">
        <x:v>150</x:v>
      </x:c>
      <x:c r="R75" t="n">
        <x:v>132</x:v>
      </x:c>
      <x:c r="S75" t="n">
        <x:f>Q75-R75</x:f>
        <x:v>18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52</x:v>
      </x:c>
      <x:c r="Y75" t="n">
        <x:v>52</x:v>
      </x:c>
      <x:c r="Z75" t="n">
        <x:v>23</x:v>
      </x:c>
      <x:c r="AA75" t="n">
        <x:v>5</x:v>
      </x:c>
      <x:c r="AB75" t="n">
        <x:f>IF(AND(ISNUMBER(G75),I75&lt;&gt;"Excluded INI"),MAX(0,G75-J75),"")</x:f>
        <x:v>0</x:v>
      </x:c>
      <x:c r="AC75" t="n">
        <x:v>101895</x:v>
      </x:c>
      <x:c r="AD75" t="n">
        <x:v>857621</x:v>
      </x:c>
      <x:c r="AE75"/>
      <x:c r="AF75"/>
      <x:c r="AG75"/>
      <x:c r="AH75"/>
      <x:c r="AI75"/>
      <x:c r="AJ75"/>
      <x:c r="AK75"/>
      <x:c r="AL75"/>
      <x:c r="AM75" t="str">
        <x:v>Unfilled mainly private/NRI/minority; regular R2 depends on movement</x:v>
      </x:c>
    </x:row>
    <x:row r="76">
      <x:c r="A76" t="str">
        <x:v>Delhi</x:v>
      </x:c>
      <x:c r="B76" t="str">
        <x:v>Central University</x:v>
      </x:c>
      <x:c r="C76" t="str">
        <x:v>200448</x:v>
      </x:c>
      <x:c r="D76" t="str">
        <x:v>Lady Hardinge Medical College, New Delhi, Lady Hardinge Medical College, Shaheed Bhagat Singh Marg, New Delhi</x:v>
      </x:c>
      <x:c r="E76" t="str">
        <x:v>DL/008/G/1</x:v>
      </x:c>
      <x:c r="F76" t="str">
        <x:v>Government</x:v>
      </x:c>
      <x:c r="G76" t="n">
        <x:v>240</x:v>
      </x:c>
      <x:c r="H76" t="n">
        <x:v>100</x:v>
      </x:c>
      <x:c r="I76" t="str">
        <x:v>High-confidence fuzzy</x:v>
      </x:c>
      <x:c r="J76" t="n">
        <x:v>225</x:v>
      </x:c>
      <x:c r="K76" t="n">
        <x:v>223</x:v>
      </x:c>
      <x:c r="L76" t="n">
        <x:f>J76-K76</x:f>
        <x:v>2</x:v>
      </x:c>
      <x:c r="M76" s="20" t="n">
        <x:f>IFERROR(K76/J76,0)</x:f>
        <x:v>0.9911111111111112</x:v>
      </x:c>
      <x:c r="N76" t="n">
        <x:v>225</x:v>
      </x:c>
      <x:c r="O76" t="n">
        <x:v>223</x:v>
      </x:c>
      <x:c r="P76" t="n">
        <x:f>N76-O76</x:f>
        <x:v>2</x:v>
      </x:c>
      <x:c r="Q76" t="n">
        <x:v>0</x:v>
      </x:c>
      <x:c r="R76" t="n">
        <x:v>0</x:v>
      </x:c>
      <x:c r="S76" t="n">
        <x:f>Q76-R76</x:f>
        <x:v>0</x:v>
      </x:c>
      <x:c r="T76" t="n">
        <x:v>36</x:v>
      </x:c>
      <x:c r="U76" t="n">
        <x:v>36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f>IF(AND(ISNUMBER(G76),I76&lt;&gt;"Excluded INI"),MAX(0,G76-J76),"")</x:f>
        <x:v>15</x:v>
      </x:c>
      <x:c r="AC76" t="n">
        <x:v>16166</x:v>
      </x:c>
      <x:c r="AD76" t="n">
        <x:v>298486</x:v>
      </x:c>
      <x:c r="AE76" t="n">
        <x:v>32779</x:v>
      </x:c>
      <x:c r="AF76" t="n">
        <x:v>600654</x:v>
      </x:c>
      <x:c r="AG76" t="n">
        <x:v>42090</x:v>
      </x:c>
      <x:c r="AH76" t="n">
        <x:v>599161</x:v>
      </x:c>
      <x:c r="AI76" t="n">
        <x:v>58664</x:v>
      </x:c>
      <x:c r="AJ76" t="n">
        <x:v>213242</x:v>
      </x:c>
      <x:c r="AK76" t="n">
        <x:v>144131</x:v>
      </x:c>
      <x:c r="AL76" t="n">
        <x:v>907787</x:v>
      </x:c>
      <x:c r="AM76" t="str">
        <x:v>R1 regular-central gap visible; verify in official R2 matrix</x:v>
      </x:c>
    </x:row>
    <x:row r="77">
      <x:c r="A77" t="str">
        <x:v>Delhi</x:v>
      </x:c>
      <x:c r="B77" t="str">
        <x:v>Central University</x:v>
      </x:c>
      <x:c r="C77" t="str">
        <x:v>200449</x:v>
      </x:c>
      <x:c r="D77" t="str">
        <x:v>Maulana Azad Medical College, New Delhi, 2 Bahadur Shah Zafar Marg New Delhi</x:v>
      </x:c>
      <x:c r="E77" t="str">
        <x:v>DL/005/G/1</x:v>
      </x:c>
      <x:c r="F77" t="str">
        <x:v>Government</x:v>
      </x:c>
      <x:c r="G77" t="n">
        <x:v>250</x:v>
      </x:c>
      <x:c r="H77" t="n">
        <x:v>100</x:v>
      </x:c>
      <x:c r="I77" t="str">
        <x:v>High-confidence fuzzy</x:v>
      </x:c>
      <x:c r="J77" t="n">
        <x:v>244</x:v>
      </x:c>
      <x:c r="K77" t="n">
        <x:v>243</x:v>
      </x:c>
      <x:c r="L77" t="n">
        <x:f>J77-K77</x:f>
        <x:v>1</x:v>
      </x:c>
      <x:c r="M77" s="20" t="n">
        <x:f>IFERROR(K77/J77,0)</x:f>
        <x:v>0.9959016393442623</x:v>
      </x:c>
      <x:c r="N77" t="n">
        <x:v>244</x:v>
      </x:c>
      <x:c r="O77" t="n">
        <x:v>243</x:v>
      </x:c>
      <x:c r="P77" t="n">
        <x:f>N77-O77</x:f>
        <x:v>1</x:v>
      </x:c>
      <x:c r="Q77" t="n">
        <x:v>0</x:v>
      </x:c>
      <x:c r="R77" t="n">
        <x:v>0</x:v>
      </x:c>
      <x:c r="S77" t="n">
        <x:f>Q77-R77</x:f>
        <x:v>0</x:v>
      </x:c>
      <x:c r="T77" t="n">
        <x:v>37</x:v>
      </x:c>
      <x:c r="U77" t="n">
        <x:v>37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f>IF(AND(ISNUMBER(G77),I77&lt;&gt;"Excluded INI"),MAX(0,G77-J77),"")</x:f>
        <x:v>6</x:v>
      </x:c>
      <x:c r="AC77" t="n">
        <x:v>9171</x:v>
      </x:c>
      <x:c r="AD77" t="n">
        <x:v>440994</x:v>
      </x:c>
      <x:c r="AE77" t="n">
        <x:v>39286</x:v>
      </x:c>
      <x:c r="AF77" t="n">
        <x:v>939774</x:v>
      </x:c>
      <x:c r="AG77" t="n">
        <x:v>476</x:v>
      </x:c>
      <x:c r="AH77" t="n">
        <x:v>562</x:v>
      </x:c>
      <x:c r="AI77" t="n">
        <x:v>44938</x:v>
      </x:c>
      <x:c r="AJ77" t="n">
        <x:v>752384</x:v>
      </x:c>
      <x:c r="AK77" t="n">
        <x:v>83321</x:v>
      </x:c>
      <x:c r="AL77" t="n">
        <x:v>1056564</x:v>
      </x:c>
      <x:c r="AM77" t="str">
        <x:v>R1 regular-central gap visible; verify in official R2 matrix</x:v>
      </x:c>
    </x:row>
    <x:row r="78">
      <x:c r="A78" t="str">
        <x:v>Delhi</x:v>
      </x:c>
      <x:c r="B78" t="str">
        <x:v>All India except Central University</x:v>
      </x:c>
      <x:c r="C78" t="str">
        <x:v>200132</x:v>
      </x:c>
      <x:c r="D78" t="str">
        <x:v>North Delhi Muncipal Corporation Medical College, Delhi, North Delhi Municipal Corporation Medical College and Hindu Rao Hospital, Malka Ganj</x:v>
      </x:c>
      <x:c r="E78" t="str">
        <x:v>DL/006/G/1</x:v>
      </x:c>
      <x:c r="F78" t="str">
        <x:v>Government</x:v>
      </x:c>
      <x:c r="G78" t="n">
        <x:v>60</x:v>
      </x:c>
      <x:c r="H78" t="n">
        <x:v>100</x:v>
      </x:c>
      <x:c r="I78" t="str">
        <x:v>High-confidence fuzzy</x:v>
      </x:c>
      <x:c r="J78" t="n">
        <x:v>9</x:v>
      </x:c>
      <x:c r="K78" t="n">
        <x:v>9</x:v>
      </x:c>
      <x:c r="L78" t="n">
        <x:f>J78-K78</x:f>
        <x:v>0</x:v>
      </x:c>
      <x:c r="M78" s="20" t="n">
        <x:f>IFERROR(K78/J78,0)</x:f>
        <x:v>1</x:v>
      </x:c>
      <x:c r="N78" t="n">
        <x:v>9</x:v>
      </x:c>
      <x:c r="O78" t="n">
        <x:v>9</x:v>
      </x:c>
      <x:c r="P78" t="n">
        <x:f>N78-O78</x:f>
        <x:v>0</x:v>
      </x:c>
      <x:c r="Q78" t="n">
        <x:v>0</x:v>
      </x:c>
      <x:c r="R78" t="n">
        <x:v>0</x:v>
      </x:c>
      <x:c r="S78" t="n">
        <x:f>Q78-R78</x:f>
        <x:v>0</x:v>
      </x:c>
      <x:c r="T78" t="n">
        <x:v>9</x:v>
      </x:c>
      <x:c r="U78" t="n">
        <x:v>9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f>IF(AND(ISNUMBER(G78),I78&lt;&gt;"Excluded INI"),MAX(0,G78-J78),"")</x:f>
        <x:v>51</x:v>
      </x:c>
      <x:c r="AC78" t="n">
        <x:v>2139</x:v>
      </x:c>
      <x:c r="AD78" t="n">
        <x:v>2217</x:v>
      </x:c>
      <x:c r="AE78" t="n">
        <x:v>2634</x:v>
      </x:c>
      <x:c r="AF78" t="n">
        <x:v>2760</x:v>
      </x:c>
      <x:c r="AG78" t="n">
        <x:v>2945</x:v>
      </x:c>
      <x:c r="AH78" t="n">
        <x:v>2945</x:v>
      </x:c>
      <x:c r="AI78" t="n">
        <x:v>17405</x:v>
      </x:c>
      <x:c r="AJ78" t="n">
        <x:v>17405</x:v>
      </x:c>
      <x:c r="AK78"/>
      <x:c r="AL78"/>
      <x:c r="AM78" t="str">
        <x:v>Fully allotted in R1; R2 opportunity depends on upgrade/non-joining</x:v>
      </x:c>
    </x:row>
    <x:row r="79">
      <x:c r="A79" t="str">
        <x:v>Delhi</x:v>
      </x:c>
      <x:c r="B79" t="str">
        <x:v>Central University</x:v>
      </x:c>
      <x:c r="C79" t="str">
        <x:v>200450</x:v>
      </x:c>
      <x:c r="D79" t="str">
        <x:v>University College of Medical Sciences &amp; GTB Hospital, New Delhi, Dilshad Garden</x:v>
      </x:c>
      <x:c r="E79" t="str">
        <x:v>DL/010/G/1</x:v>
      </x:c>
      <x:c r="F79" t="str">
        <x:v>Government</x:v>
      </x:c>
      <x:c r="G79" t="n">
        <x:v>170</x:v>
      </x:c>
      <x:c r="H79" t="n">
        <x:v>100</x:v>
      </x:c>
      <x:c r="I79" t="str">
        <x:v>High-confidence fuzzy</x:v>
      </x:c>
      <x:c r="J79" t="n">
        <x:v>170</x:v>
      </x:c>
      <x:c r="K79" t="n">
        <x:v>167</x:v>
      </x:c>
      <x:c r="L79" t="n">
        <x:f>J79-K79</x:f>
        <x:v>3</x:v>
      </x:c>
      <x:c r="M79" s="20" t="n">
        <x:f>IFERROR(K79/J79,0)</x:f>
        <x:v>0.9823529411764705</x:v>
      </x:c>
      <x:c r="N79" t="n">
        <x:v>170</x:v>
      </x:c>
      <x:c r="O79" t="n">
        <x:v>167</x:v>
      </x:c>
      <x:c r="P79" t="n">
        <x:f>N79-O79</x:f>
        <x:v>3</x:v>
      </x:c>
      <x:c r="Q79" t="n">
        <x:v>0</x:v>
      </x:c>
      <x:c r="R79" t="n">
        <x:v>0</x:v>
      </x:c>
      <x:c r="S79" t="n">
        <x:f>Q79-R79</x:f>
        <x:v>0</x:v>
      </x:c>
      <x:c r="T79" t="n">
        <x:v>25</x:v>
      </x:c>
      <x:c r="U79" t="n">
        <x:v>25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f>IF(AND(ISNUMBER(G79),I79&lt;&gt;"Excluded INI"),MAX(0,G79-J79),"")</x:f>
        <x:v>0</x:v>
      </x:c>
      <x:c r="AC79" t="n">
        <x:v>17284</x:v>
      </x:c>
      <x:c r="AD79" t="n">
        <x:v>382408</x:v>
      </x:c>
      <x:c r="AE79" t="n">
        <x:v>21255</x:v>
      </x:c>
      <x:c r="AF79" t="n">
        <x:v>570096</x:v>
      </x:c>
      <x:c r="AG79" t="n">
        <x:v>4449</x:v>
      </x:c>
      <x:c r="AH79" t="n">
        <x:v>6151</x:v>
      </x:c>
      <x:c r="AI79" t="n">
        <x:v>49487</x:v>
      </x:c>
      <x:c r="AJ79" t="n">
        <x:v>124962</x:v>
      </x:c>
      <x:c r="AK79" t="n">
        <x:v>75394</x:v>
      </x:c>
      <x:c r="AL79" t="n">
        <x:v>109421</x:v>
      </x:c>
      <x:c r="AM79" t="str">
        <x:v>R1 regular-central gap visible; verify in official R2 matrix</x:v>
      </x:c>
    </x:row>
    <x:row r="80">
      <x:c r="A80" t="str">
        <x:v>Delhi</x:v>
      </x:c>
      <x:c r="B80" t="str">
        <x:v>Central University</x:v>
      </x:c>
      <x:c r="C80" t="str">
        <x:v>200495</x:v>
      </x:c>
      <x:c r="D80" t="str">
        <x:v>Vardhman Mahavir Medical College &amp; Safdarjung Hospital, Delhi, Vardhman Mahavir Medical College And Safdarjung Hospital, New Delhi, Delhi (NCT), 110029</x:v>
      </x:c>
      <x:c r="E80" t="str">
        <x:v>DL/009/G/1</x:v>
      </x:c>
      <x:c r="F80" t="str">
        <x:v>Government</x:v>
      </x:c>
      <x:c r="G80" t="n">
        <x:v>170</x:v>
      </x:c>
      <x:c r="H80" t="n">
        <x:v>100</x:v>
      </x:c>
      <x:c r="I80" t="str">
        <x:v>High-confidence fuzzy</x:v>
      </x:c>
      <x:c r="J80" t="n">
        <x:v>164</x:v>
      </x:c>
      <x:c r="K80" t="n">
        <x:v>162</x:v>
      </x:c>
      <x:c r="L80" t="n">
        <x:f>J80-K80</x:f>
        <x:v>2</x:v>
      </x:c>
      <x:c r="M80" s="20" t="n">
        <x:f>IFERROR(K80/J80,0)</x:f>
        <x:v>0.9878048780487805</x:v>
      </x:c>
      <x:c r="N80" t="n">
        <x:v>164</x:v>
      </x:c>
      <x:c r="O80" t="n">
        <x:v>162</x:v>
      </x:c>
      <x:c r="P80" t="n">
        <x:f>N80-O80</x:f>
        <x:v>2</x:v>
      </x:c>
      <x:c r="Q80" t="n">
        <x:v>0</x:v>
      </x:c>
      <x:c r="R80" t="n">
        <x:v>0</x:v>
      </x:c>
      <x:c r="S80" t="n">
        <x:f>Q80-R80</x:f>
        <x:v>0</x:v>
      </x:c>
      <x:c r="T80" t="n">
        <x:v>25</x:v>
      </x:c>
      <x:c r="U80" t="n">
        <x:v>25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f>IF(AND(ISNUMBER(G80),I80&lt;&gt;"Excluded INI"),MAX(0,G80-J80),"")</x:f>
        <x:v>6</x:v>
      </x:c>
      <x:c r="AC80" t="n">
        <x:v>25238</x:v>
      </x:c>
      <x:c r="AD80" t="n">
        <x:v>796023</x:v>
      </x:c>
      <x:c r="AE80" t="n">
        <x:v>11160</x:v>
      </x:c>
      <x:c r="AF80" t="n">
        <x:v>375999</x:v>
      </x:c>
      <x:c r="AG80" t="n">
        <x:v>2754</x:v>
      </x:c>
      <x:c r="AH80" t="n">
        <x:v>3878</x:v>
      </x:c>
      <x:c r="AI80" t="n">
        <x:v>12515</x:v>
      </x:c>
      <x:c r="AJ80" t="n">
        <x:v>23604</x:v>
      </x:c>
      <x:c r="AK80" t="n">
        <x:v>41031</x:v>
      </x:c>
      <x:c r="AL80" t="n">
        <x:v>64896</x:v>
      </x:c>
      <x:c r="AM80" t="str">
        <x:v>R1 regular-central gap visible; verify in official R2 matrix</x:v>
      </x:c>
    </x:row>
    <x:row r="81">
      <x:c r="A81" t="str">
        <x:v>Goa</x:v>
      </x:c>
      <x:c r="B81" t="str">
        <x:v>All India except Central University</x:v>
      </x:c>
      <x:c r="C81" t="str">
        <x:v>200136</x:v>
      </x:c>
      <x:c r="D81" t="str">
        <x:v>Goa Medical College, Panaji, RAJIV GANDHI MEDICAL COMPLEX, BAMBOLIM, GOA</x:v>
      </x:c>
      <x:c r="E81" t="str">
        <x:v>GA/001/G/1</x:v>
      </x:c>
      <x:c r="F81" t="str">
        <x:v>Government</x:v>
      </x:c>
      <x:c r="G81" t="n">
        <x:v>250</x:v>
      </x:c>
      <x:c r="H81" t="n">
        <x:v>100</x:v>
      </x:c>
      <x:c r="I81" t="str">
        <x:v>High-confidence fuzzy</x:v>
      </x:c>
      <x:c r="J81" t="n">
        <x:v>37</x:v>
      </x:c>
      <x:c r="K81" t="n">
        <x:v>37</x:v>
      </x:c>
      <x:c r="L81" t="n">
        <x:f>J81-K81</x:f>
        <x:v>0</x:v>
      </x:c>
      <x:c r="M81" s="20" t="n">
        <x:f>IFERROR(K81/J81,0)</x:f>
        <x:v>1</x:v>
      </x:c>
      <x:c r="N81" t="n">
        <x:v>37</x:v>
      </x:c>
      <x:c r="O81" t="n">
        <x:v>37</x:v>
      </x:c>
      <x:c r="P81" t="n">
        <x:f>N81-O81</x:f>
        <x:v>0</x:v>
      </x:c>
      <x:c r="Q81" t="n">
        <x:v>0</x:v>
      </x:c>
      <x:c r="R81" t="n">
        <x:v>0</x:v>
      </x:c>
      <x:c r="S81" t="n">
        <x:f>Q81-R81</x:f>
        <x:v>0</x:v>
      </x:c>
      <x:c r="T81" t="n">
        <x:v>37</x:v>
      </x:c>
      <x:c r="U81" t="n">
        <x:v>37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f>IF(AND(ISNUMBER(G81),I81&lt;&gt;"Excluded INI"),MAX(0,G81-J81),"")</x:f>
        <x:v>213</x:v>
      </x:c>
      <x:c r="AC81" t="n">
        <x:v>6737</x:v>
      </x:c>
      <x:c r="AD81" t="n">
        <x:v>7243</x:v>
      </x:c>
      <x:c r="AE81" t="n">
        <x:v>9600</x:v>
      </x:c>
      <x:c r="AF81" t="n">
        <x:v>10754</x:v>
      </x:c>
      <x:c r="AG81" t="n">
        <x:v>11606</x:v>
      </x:c>
      <x:c r="AH81" t="n">
        <x:v>12621</x:v>
      </x:c>
      <x:c r="AI81" t="n">
        <x:v>49067</x:v>
      </x:c>
      <x:c r="AJ81" t="n">
        <x:v>55686</x:v>
      </x:c>
      <x:c r="AK81" t="n">
        <x:v>89752</x:v>
      </x:c>
      <x:c r="AL81" t="n">
        <x:v>90874</x:v>
      </x:c>
      <x:c r="AM81" t="str">
        <x:v>Fully allotted in R1; R2 opportunity depends on upgrade/non-joining</x:v>
      </x:c>
    </x:row>
    <x:row r="82">
      <x:c r="A82" t="str">
        <x:v>Gujarat</x:v>
      </x:c>
      <x:c r="B82" t="str">
        <x:v>All India Institute Of Medical Science(AIIMS)</x:v>
      </x:c>
      <x:c r="C82" t="str">
        <x:v>200520</x:v>
      </x:c>
      <x:c r="D82" t="str">
        <x:v>AIIMS Rajkot, Admission cell, Academic section, First floor, Academic block, Permanent Campus, AIIMS Rajkot, Khand</x:v>
      </x:c>
      <x:c r="E82" t="str"/>
      <x:c r="F82" t="str"/>
      <x:c r="G82"/>
      <x:c r="H82" t="n">
        <x:v>100</x:v>
      </x:c>
      <x:c r="I82" t="str">
        <x:v>Excluded INI</x:v>
      </x:c>
      <x:c r="J82" t="n">
        <x:v>75</x:v>
      </x:c>
      <x:c r="K82" t="n">
        <x:v>75</x:v>
      </x:c>
      <x:c r="L82" t="n">
        <x:f>J82-K82</x:f>
        <x:v>0</x:v>
      </x:c>
      <x:c r="M82" s="20" t="n">
        <x:f>IFERROR(K82/J82,0)</x:f>
        <x:v>1</x:v>
      </x:c>
      <x:c r="N82" t="n">
        <x:v>75</x:v>
      </x:c>
      <x:c r="O82" t="n">
        <x:v>75</x:v>
      </x:c>
      <x:c r="P82" t="n">
        <x:f>N82-O82</x:f>
        <x:v>0</x:v>
      </x:c>
      <x:c r="Q82" t="n">
        <x:v>0</x:v>
      </x:c>
      <x:c r="R82" t="n">
        <x:v>0</x:v>
      </x:c>
      <x:c r="S82" t="n">
        <x:f>Q82-R82</x:f>
        <x:v>0</x:v>
      </x:c>
      <x:c r="T82" t="n">
        <x:v>0</x:v>
      </x:c>
      <x:c r="U82" t="n">
        <x:v>0</x:v>
      </x:c>
      <x:c r="V82" t="n">
        <x:v>75</x:v>
      </x:c>
      <x:c r="W82" t="n">
        <x:v>75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str">
        <x:f>IF(AND(ISNUMBER(G82),I82&lt;&gt;"Excluded INI"),MAX(0,G82-J82),"")</x:f>
      </x:c>
      <x:c r="AC82" t="n">
        <x:v>1662</x:v>
      </x:c>
      <x:c r="AD82" t="n">
        <x:v>2039</x:v>
      </x:c>
      <x:c r="AE82" t="n">
        <x:v>2661</x:v>
      </x:c>
      <x:c r="AF82" t="n">
        <x:v>2892</x:v>
      </x:c>
      <x:c r="AG82" t="n">
        <x:v>2370</x:v>
      </x:c>
      <x:c r="AH82" t="n">
        <x:v>2889</x:v>
      </x:c>
      <x:c r="AI82" t="n">
        <x:v>16116</x:v>
      </x:c>
      <x:c r="AJ82" t="n">
        <x:v>20222</x:v>
      </x:c>
      <x:c r="AK82" t="n">
        <x:v>29480</x:v>
      </x:c>
      <x:c r="AL82" t="n">
        <x:v>31646</x:v>
      </x:c>
      <x:c r="AM82" t="str">
        <x:v>Fully allotted in R1; R2 opportunity depends on upgrade/non-joining</x:v>
      </x:c>
    </x:row>
    <x:row r="83">
      <x:c r="A83" t="str">
        <x:v>Gujarat</x:v>
      </x:c>
      <x:c r="B83" t="str">
        <x:v>All India except Central University</x:v>
      </x:c>
      <x:c r="C83" t="str">
        <x:v>200137</x:v>
      </x:c>
      <x:c r="D83" t="str">
        <x:v>B J Medical College, Ahmedabad, B.J. Medical College, New Civil Hospital Campus, Asarwa, Ahmedabad 380016</x:v>
      </x:c>
      <x:c r="E83" t="str">
        <x:v>GJ/003/G/1</x:v>
      </x:c>
      <x:c r="F83" t="str">
        <x:v>Government</x:v>
      </x:c>
      <x:c r="G83" t="n">
        <x:v>250</x:v>
      </x:c>
      <x:c r="H83" t="n">
        <x:v>100</x:v>
      </x:c>
      <x:c r="I83" t="str">
        <x:v>High-confidence fuzzy</x:v>
      </x:c>
      <x:c r="J83" t="n">
        <x:v>37</x:v>
      </x:c>
      <x:c r="K83" t="n">
        <x:v>37</x:v>
      </x:c>
      <x:c r="L83" t="n">
        <x:f>J83-K83</x:f>
        <x:v>0</x:v>
      </x:c>
      <x:c r="M83" s="20" t="n">
        <x:f>IFERROR(K83/J83,0)</x:f>
        <x:v>1</x:v>
      </x:c>
      <x:c r="N83" t="n">
        <x:v>37</x:v>
      </x:c>
      <x:c r="O83" t="n">
        <x:v>37</x:v>
      </x:c>
      <x:c r="P83" t="n">
        <x:f>N83-O83</x:f>
        <x:v>0</x:v>
      </x:c>
      <x:c r="Q83" t="n">
        <x:v>0</x:v>
      </x:c>
      <x:c r="R83" t="n">
        <x:v>0</x:v>
      </x:c>
      <x:c r="S83" t="n">
        <x:f>Q83-R83</x:f>
        <x:v>0</x:v>
      </x:c>
      <x:c r="T83" t="n">
        <x:v>37</x:v>
      </x:c>
      <x:c r="U83" t="n">
        <x:v>37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f>IF(AND(ISNUMBER(G83),I83&lt;&gt;"Excluded INI"),MAX(0,G83-J83),"")</x:f>
        <x:v>213</x:v>
      </x:c>
      <x:c r="AC83" t="n">
        <x:v>644</x:v>
      </x:c>
      <x:c r="AD83" t="n">
        <x:v>1094</x:v>
      </x:c>
      <x:c r="AE83" t="n">
        <x:v>2708</x:v>
      </x:c>
      <x:c r="AF83" t="n">
        <x:v>3119</x:v>
      </x:c>
      <x:c r="AG83" t="n">
        <x:v>2078</x:v>
      </x:c>
      <x:c r="AH83" t="n">
        <x:v>2143</x:v>
      </x:c>
      <x:c r="AI83" t="n">
        <x:v>20011</x:v>
      </x:c>
      <x:c r="AJ83" t="n">
        <x:v>20788</x:v>
      </x:c>
      <x:c r="AK83" t="n">
        <x:v>33508</x:v>
      </x:c>
      <x:c r="AL83" t="n">
        <x:v>36073</x:v>
      </x:c>
      <x:c r="AM83" t="str">
        <x:v>Fully allotted in R1; R2 opportunity depends on upgrade/non-joining</x:v>
      </x:c>
    </x:row>
    <x:row r="84">
      <x:c r="A84" t="str">
        <x:v>Gujarat</x:v>
      </x:c>
      <x:c r="B84" t="str">
        <x:v>All India except Central University</x:v>
      </x:c>
      <x:c r="C84" t="str">
        <x:v>904366</x:v>
      </x:c>
      <x:c r="D84" t="str">
        <x:v>ESIC MEDICAL COLLEGE NARODA BAPUNAGAR, AHMEDABAD , D 34,Balbhavan Road,Opposite Khokhra Municipal Swimming Pool, Khokhra Maninagar East, Ahmedabad – 38</x:v>
      </x:c>
      <x:c r="E84" t="str">
        <x:v>GJ/010/G/1</x:v>
      </x:c>
      <x:c r="F84" t="str">
        <x:v>Government</x:v>
      </x:c>
      <x:c r="G84" t="n">
        <x:v>50</x:v>
      </x:c>
      <x:c r="H84" t="n">
        <x:v>100</x:v>
      </x:c>
      <x:c r="I84" t="str">
        <x:v>High-confidence fuzzy</x:v>
      </x:c>
      <x:c r="J84" t="n">
        <x:v>32</x:v>
      </x:c>
      <x:c r="K84" t="n">
        <x:v>31</x:v>
      </x:c>
      <x:c r="L84" t="n">
        <x:f>J84-K84</x:f>
        <x:v>1</x:v>
      </x:c>
      <x:c r="M84" s="20" t="n">
        <x:f>IFERROR(K84/J84,0)</x:f>
        <x:v>0.96875</x:v>
      </x:c>
      <x:c r="N84" t="n">
        <x:v>32</x:v>
      </x:c>
      <x:c r="O84" t="n">
        <x:v>31</x:v>
      </x:c>
      <x:c r="P84" t="n">
        <x:f>N84-O84</x:f>
        <x:v>1</x:v>
      </x:c>
      <x:c r="Q84" t="n">
        <x:v>0</x:v>
      </x:c>
      <x:c r="R84" t="n">
        <x:v>0</x:v>
      </x:c>
      <x:c r="S84" t="n">
        <x:f>Q84-R84</x:f>
        <x:v>0</x:v>
      </x:c>
      <x:c r="T84" t="n">
        <x:v>7</x:v>
      </x:c>
      <x:c r="U84" t="n">
        <x:v>7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f>IF(AND(ISNUMBER(G84),I84&lt;&gt;"Excluded INI"),MAX(0,G84-J84),"")</x:f>
        <x:v>18</x:v>
      </x:c>
      <x:c r="AC84" t="n">
        <x:v>23095</x:v>
      </x:c>
      <x:c r="AD84" t="n">
        <x:v>28735</x:v>
      </x:c>
      <x:c r="AE84" t="n">
        <x:v>25628</x:v>
      </x:c>
      <x:c r="AF84" t="n">
        <x:v>33470</x:v>
      </x:c>
      <x:c r="AG84" t="n">
        <x:v>34700</x:v>
      </x:c>
      <x:c r="AH84" t="n">
        <x:v>35691</x:v>
      </x:c>
      <x:c r="AI84" t="n">
        <x:v>125739</x:v>
      </x:c>
      <x:c r="AJ84" t="n">
        <x:v>176470</x:v>
      </x:c>
      <x:c r="AK84" t="n">
        <x:v>263932</x:v>
      </x:c>
      <x:c r="AL84" t="n">
        <x:v>263932</x:v>
      </x:c>
      <x:c r="AM84" t="str">
        <x:v>R1 regular-central gap visible; verify in official R2 matrix</x:v>
      </x:c>
    </x:row>
    <x:row r="85">
      <x:c r="A85" t="str">
        <x:v>Gujarat</x:v>
      </x:c>
      <x:c r="B85" t="str">
        <x:v>All India except Central University</x:v>
      </x:c>
      <x:c r="C85" t="str">
        <x:v>200633</x:v>
      </x:c>
      <x:c r="D85" t="str">
        <x:v>GMERS Medical College, Navsari, GMERS Medical College, At- Khambhlav, Po- Sultanpur, Via- Abrama, Ta - Jalalpore, Dist - Navsari</x:v>
      </x:c>
      <x:c r="E85" t="str">
        <x:v>GJ/023/G/1</x:v>
      </x:c>
      <x:c r="F85" t="str">
        <x:v>Government</x:v>
      </x:c>
      <x:c r="G85" t="n">
        <x:v>100</x:v>
      </x:c>
      <x:c r="H85" t="n">
        <x:v>100</x:v>
      </x:c>
      <x:c r="I85" t="str">
        <x:v>High-confidence fuzzy</x:v>
      </x:c>
      <x:c r="J85" t="n">
        <x:v>15</x:v>
      </x:c>
      <x:c r="K85" t="n">
        <x:v>13</x:v>
      </x:c>
      <x:c r="L85" t="n">
        <x:f>J85-K85</x:f>
        <x:v>2</x:v>
      </x:c>
      <x:c r="M85" s="20" t="n">
        <x:f>IFERROR(K85/J85,0)</x:f>
        <x:v>0.8666666666666667</x:v>
      </x:c>
      <x:c r="N85" t="n">
        <x:v>15</x:v>
      </x:c>
      <x:c r="O85" t="n">
        <x:v>13</x:v>
      </x:c>
      <x:c r="P85" t="n">
        <x:f>N85-O85</x:f>
        <x:v>2</x:v>
      </x:c>
      <x:c r="Q85" t="n">
        <x:v>0</x:v>
      </x:c>
      <x:c r="R85" t="n">
        <x:v>0</x:v>
      </x:c>
      <x:c r="S85" t="n">
        <x:f>Q85-R85</x:f>
        <x:v>0</x:v>
      </x:c>
      <x:c r="T85" t="n">
        <x:v>15</x:v>
      </x:c>
      <x:c r="U85" t="n">
        <x:v>13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f>IF(AND(ISNUMBER(G85),I85&lt;&gt;"Excluded INI"),MAX(0,G85-J85),"")</x:f>
        <x:v>85</x:v>
      </x:c>
      <x:c r="AC85" t="n">
        <x:v>13725</x:v>
      </x:c>
      <x:c r="AD85" t="n">
        <x:v>15485</x:v>
      </x:c>
      <x:c r="AE85" t="n">
        <x:v>17608</x:v>
      </x:c>
      <x:c r="AF85" t="n">
        <x:v>18553</x:v>
      </x:c>
      <x:c r="AG85" t="n">
        <x:v>18540</x:v>
      </x:c>
      <x:c r="AH85" t="n">
        <x:v>18540</x:v>
      </x:c>
      <x:c r="AI85" t="n">
        <x:v>56555</x:v>
      </x:c>
      <x:c r="AJ85" t="n">
        <x:v>56555</x:v>
      </x:c>
      <x:c r="AK85"/>
      <x:c r="AL85"/>
      <x:c r="AM85" t="str">
        <x:v>R1 regular-central gap visible; verify in official R2 matrix</x:v>
      </x:c>
    </x:row>
    <x:row r="86">
      <x:c r="A86" t="str">
        <x:v>Gujarat</x:v>
      </x:c>
      <x:c r="B86" t="str">
        <x:v>All India except Central University</x:v>
      </x:c>
      <x:c r="C86" t="str">
        <x:v>200632</x:v>
      </x:c>
      <x:c r="D86" t="str">
        <x:v>GMERS Medical College, Rajpipla, GMERS Medical College, Rajpipla Near Jakat Naka, Vadia Palace, Rajpipla Dist Narmada, GUJARAT.</x:v>
      </x:c>
      <x:c r="E86" t="str">
        <x:v>GJ/017/G/1</x:v>
      </x:c>
      <x:c r="F86" t="str">
        <x:v>Government</x:v>
      </x:c>
      <x:c r="G86" t="n">
        <x:v>100</x:v>
      </x:c>
      <x:c r="H86" t="n">
        <x:v>100</x:v>
      </x:c>
      <x:c r="I86" t="str">
        <x:v>High-confidence fuzzy</x:v>
      </x:c>
      <x:c r="J86" t="n">
        <x:v>15</x:v>
      </x:c>
      <x:c r="K86" t="n">
        <x:v>15</x:v>
      </x:c>
      <x:c r="L86" t="n">
        <x:f>J86-K86</x:f>
        <x:v>0</x:v>
      </x:c>
      <x:c r="M86" s="20" t="n">
        <x:f>IFERROR(K86/J86,0)</x:f>
        <x:v>1</x:v>
      </x:c>
      <x:c r="N86" t="n">
        <x:v>15</x:v>
      </x:c>
      <x:c r="O86" t="n">
        <x:v>15</x:v>
      </x:c>
      <x:c r="P86" t="n">
        <x:f>N86-O86</x:f>
        <x:v>0</x:v>
      </x:c>
      <x:c r="Q86" t="n">
        <x:v>0</x:v>
      </x:c>
      <x:c r="R86" t="n">
        <x:v>0</x:v>
      </x:c>
      <x:c r="S86" t="n">
        <x:f>Q86-R86</x:f>
        <x:v>0</x:v>
      </x:c>
      <x:c r="T86" t="n">
        <x:v>15</x:v>
      </x:c>
      <x:c r="U86" t="n">
        <x:v>15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f>IF(AND(ISNUMBER(G86),I86&lt;&gt;"Excluded INI"),MAX(0,G86-J86),"")</x:f>
        <x:v>85</x:v>
      </x:c>
      <x:c r="AC86" t="n">
        <x:v>17371</x:v>
      </x:c>
      <x:c r="AD86" t="n">
        <x:v>17707</x:v>
      </x:c>
      <x:c r="AE86" t="n">
        <x:v>19052</x:v>
      </x:c>
      <x:c r="AF86" t="n">
        <x:v>19196</x:v>
      </x:c>
      <x:c r="AG86" t="n">
        <x:v>22147</x:v>
      </x:c>
      <x:c r="AH86" t="n">
        <x:v>22147</x:v>
      </x:c>
      <x:c r="AI86" t="n">
        <x:v>89094</x:v>
      </x:c>
      <x:c r="AJ86" t="n">
        <x:v>90589</x:v>
      </x:c>
      <x:c r="AK86" t="n">
        <x:v>115953</x:v>
      </x:c>
      <x:c r="AL86" t="n">
        <x:v>115953</x:v>
      </x:c>
      <x:c r="AM86" t="str">
        <x:v>Fully allotted in R1; R2 opportunity depends on upgrade/non-joining</x:v>
      </x:c>
    </x:row>
    <x:row r="87">
      <x:c r="A87" t="str">
        <x:v>Gujarat</x:v>
      </x:c>
      <x:c r="B87" t="str">
        <x:v>All India except Central University</x:v>
      </x:c>
      <x:c r="C87" t="str">
        <x:v>200143</x:v>
      </x:c>
      <x:c r="D87" t="str">
        <x:v>Government Medical College, Bhavnagar, Government Medical College, Near Life Science Department, Gradi Gate, Maharaja Krishnakumarsinghji B</x:v>
      </x:c>
      <x:c r="E87" t="str">
        <x:v>GJ/021/G/1</x:v>
      </x:c>
      <x:c r="F87" t="str">
        <x:v>Government</x:v>
      </x:c>
      <x:c r="G87" t="n">
        <x:v>200</x:v>
      </x:c>
      <x:c r="H87" t="n">
        <x:v>100</x:v>
      </x:c>
      <x:c r="I87" t="str">
        <x:v>High-confidence fuzzy</x:v>
      </x:c>
      <x:c r="J87" t="n">
        <x:v>30</x:v>
      </x:c>
      <x:c r="K87" t="n">
        <x:v>30</x:v>
      </x:c>
      <x:c r="L87" t="n">
        <x:f>J87-K87</x:f>
        <x:v>0</x:v>
      </x:c>
      <x:c r="M87" s="20" t="n">
        <x:f>IFERROR(K87/J87,0)</x:f>
        <x:v>1</x:v>
      </x:c>
      <x:c r="N87" t="n">
        <x:v>30</x:v>
      </x:c>
      <x:c r="O87" t="n">
        <x:v>30</x:v>
      </x:c>
      <x:c r="P87" t="n">
        <x:f>N87-O87</x:f>
        <x:v>0</x:v>
      </x:c>
      <x:c r="Q87" t="n">
        <x:v>0</x:v>
      </x:c>
      <x:c r="R87" t="n">
        <x:v>0</x:v>
      </x:c>
      <x:c r="S87" t="n">
        <x:f>Q87-R87</x:f>
        <x:v>0</x:v>
      </x:c>
      <x:c r="T87" t="n">
        <x:v>30</x:v>
      </x:c>
      <x:c r="U87" t="n">
        <x:v>30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f>IF(AND(ISNUMBER(G87),I87&lt;&gt;"Excluded INI"),MAX(0,G87-J87),"")</x:f>
        <x:v>170</x:v>
      </x:c>
      <x:c r="AC87" t="n">
        <x:v>7075</x:v>
      </x:c>
      <x:c r="AD87" t="n">
        <x:v>7473</x:v>
      </x:c>
      <x:c r="AE87" t="n">
        <x:v>8019</x:v>
      </x:c>
      <x:c r="AF87" t="n">
        <x:v>8063</x:v>
      </x:c>
      <x:c r="AG87" t="n">
        <x:v>9775</x:v>
      </x:c>
      <x:c r="AH87" t="n">
        <x:v>9997</x:v>
      </x:c>
      <x:c r="AI87" t="n">
        <x:v>47056</x:v>
      </x:c>
      <x:c r="AJ87" t="n">
        <x:v>47447</x:v>
      </x:c>
      <x:c r="AK87" t="n">
        <x:v>67499</x:v>
      </x:c>
      <x:c r="AL87" t="n">
        <x:v>67520</x:v>
      </x:c>
      <x:c r="AM87" t="str">
        <x:v>Fully allotted in R1; R2 opportunity depends on upgrade/non-joining</x:v>
      </x:c>
    </x:row>
    <x:row r="88">
      <x:c r="A88" t="str">
        <x:v>Gujarat</x:v>
      </x:c>
      <x:c r="B88" t="str">
        <x:v>All India except Central University</x:v>
      </x:c>
      <x:c r="C88" t="str">
        <x:v>200635</x:v>
      </x:c>
      <x:c r="D88" t="str">
        <x:v>Government Medical College, Morbi , Rajkot-Morbi Highway, Opp Toyota Showroom, Sakat Shanala, Morbi, Gujarat</x:v>
      </x:c>
      <x:c r="E88" t="str">
        <x:v>GJ/022/G/1</x:v>
      </x:c>
      <x:c r="F88" t="str">
        <x:v>Government</x:v>
      </x:c>
      <x:c r="G88" t="n">
        <x:v>100</x:v>
      </x:c>
      <x:c r="H88" t="n">
        <x:v>100</x:v>
      </x:c>
      <x:c r="I88" t="str">
        <x:v>High-confidence fuzzy</x:v>
      </x:c>
      <x:c r="J88" t="n">
        <x:v>15</x:v>
      </x:c>
      <x:c r="K88" t="n">
        <x:v>15</x:v>
      </x:c>
      <x:c r="L88" t="n">
        <x:f>J88-K88</x:f>
        <x:v>0</x:v>
      </x:c>
      <x:c r="M88" s="20" t="n">
        <x:f>IFERROR(K88/J88,0)</x:f>
        <x:v>1</x:v>
      </x:c>
      <x:c r="N88" t="n">
        <x:v>15</x:v>
      </x:c>
      <x:c r="O88" t="n">
        <x:v>15</x:v>
      </x:c>
      <x:c r="P88" t="n">
        <x:f>N88-O88</x:f>
        <x:v>0</x:v>
      </x:c>
      <x:c r="Q88" t="n">
        <x:v>0</x:v>
      </x:c>
      <x:c r="R88" t="n">
        <x:v>0</x:v>
      </x:c>
      <x:c r="S88" t="n">
        <x:f>Q88-R88</x:f>
        <x:v>0</x:v>
      </x:c>
      <x:c r="T88" t="n">
        <x:v>15</x:v>
      </x:c>
      <x:c r="U88" t="n">
        <x:v>15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f>IF(AND(ISNUMBER(G88),I88&lt;&gt;"Excluded INI"),MAX(0,G88-J88),"")</x:f>
        <x:v>85</x:v>
      </x:c>
      <x:c r="AC88" t="n">
        <x:v>15372</x:v>
      </x:c>
      <x:c r="AD88" t="n">
        <x:v>16917</x:v>
      </x:c>
      <x:c r="AE88" t="n">
        <x:v>17595</x:v>
      </x:c>
      <x:c r="AF88" t="n">
        <x:v>18212</x:v>
      </x:c>
      <x:c r="AG88" t="n">
        <x:v>20232</x:v>
      </x:c>
      <x:c r="AH88" t="n">
        <x:v>21097</x:v>
      </x:c>
      <x:c r="AI88" t="n">
        <x:v>63598</x:v>
      </x:c>
      <x:c r="AJ88" t="n">
        <x:v>65227</x:v>
      </x:c>
      <x:c r="AK88" t="n">
        <x:v>85591</x:v>
      </x:c>
      <x:c r="AL88" t="n">
        <x:v>85591</x:v>
      </x:c>
      <x:c r="AM88" t="str">
        <x:v>Fully allotted in R1; R2 opportunity depends on upgrade/non-joining</x:v>
      </x:c>
    </x:row>
    <x:row r="89">
      <x:c r="A89" t="str">
        <x:v>Gujarat</x:v>
      </x:c>
      <x:c r="B89" t="str">
        <x:v>All India except Central University</x:v>
      </x:c>
      <x:c r="C89" t="str">
        <x:v>200637</x:v>
      </x:c>
      <x:c r="D89" t="str">
        <x:v>Government Medical College, Panchmahal Godhra, GMERS Medical College Panchmahal Godhra, Near New RTO, Chanchopa, Godhra, Dist: Panchmahal, GUJARAT</x:v>
      </x:c>
      <x:c r="E89" t="str">
        <x:v>GJ/024/G/1</x:v>
      </x:c>
      <x:c r="F89" t="str">
        <x:v>Government</x:v>
      </x:c>
      <x:c r="G89" t="n">
        <x:v>100</x:v>
      </x:c>
      <x:c r="H89" t="n">
        <x:v>100</x:v>
      </x:c>
      <x:c r="I89" t="str">
        <x:v>High-confidence fuzzy</x:v>
      </x:c>
      <x:c r="J89" t="n">
        <x:v>15</x:v>
      </x:c>
      <x:c r="K89" t="n">
        <x:v>15</x:v>
      </x:c>
      <x:c r="L89" t="n">
        <x:f>J89-K89</x:f>
        <x:v>0</x:v>
      </x:c>
      <x:c r="M89" s="20" t="n">
        <x:f>IFERROR(K89/J89,0)</x:f>
        <x:v>1</x:v>
      </x:c>
      <x:c r="N89" t="n">
        <x:v>15</x:v>
      </x:c>
      <x:c r="O89" t="n">
        <x:v>15</x:v>
      </x:c>
      <x:c r="P89" t="n">
        <x:f>N89-O89</x:f>
        <x:v>0</x:v>
      </x:c>
      <x:c r="Q89" t="n">
        <x:v>0</x:v>
      </x:c>
      <x:c r="R89" t="n">
        <x:v>0</x:v>
      </x:c>
      <x:c r="S89" t="n">
        <x:f>Q89-R89</x:f>
        <x:v>0</x:v>
      </x:c>
      <x:c r="T89" t="n">
        <x:v>15</x:v>
      </x:c>
      <x:c r="U89" t="n">
        <x:v>15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f>IF(AND(ISNUMBER(G89),I89&lt;&gt;"Excluded INI"),MAX(0,G89-J89),"")</x:f>
        <x:v>85</x:v>
      </x:c>
      <x:c r="AC89" t="n">
        <x:v>14462</x:v>
      </x:c>
      <x:c r="AD89" t="n">
        <x:v>17260</x:v>
      </x:c>
      <x:c r="AE89" t="n">
        <x:v>19486</x:v>
      </x:c>
      <x:c r="AF89" t="n">
        <x:v>20135</x:v>
      </x:c>
      <x:c r="AG89" t="n">
        <x:v>18327</x:v>
      </x:c>
      <x:c r="AH89" t="n">
        <x:v>18327</x:v>
      </x:c>
      <x:c r="AI89" t="n">
        <x:v>74341</x:v>
      </x:c>
      <x:c r="AJ89" t="n">
        <x:v>86076</x:v>
      </x:c>
      <x:c r="AK89" t="n">
        <x:v>112876</x:v>
      </x:c>
      <x:c r="AL89" t="n">
        <x:v>112876</x:v>
      </x:c>
      <x:c r="AM89" t="str">
        <x:v>Fully allotted in R1; R2 opportunity depends on upgrade/non-joining</x:v>
      </x:c>
    </x:row>
    <x:row r="90">
      <x:c r="A90" t="str">
        <x:v>Gujarat</x:v>
      </x:c>
      <x:c r="B90" t="str">
        <x:v>All India except Central University</x:v>
      </x:c>
      <x:c r="C90" t="str">
        <x:v>200636</x:v>
      </x:c>
      <x:c r="D90" t="str">
        <x:v>Government Medical College, Porbandar, Behind ITI and Navoday Vidyalay, Dharampur, Porbandar</x:v>
      </x:c>
      <x:c r="E90" t="str">
        <x:v>GJ/025/G/1</x:v>
      </x:c>
      <x:c r="F90" t="str">
        <x:v>Government</x:v>
      </x:c>
      <x:c r="G90" t="n">
        <x:v>100</x:v>
      </x:c>
      <x:c r="H90" t="n">
        <x:v>100</x:v>
      </x:c>
      <x:c r="I90" t="str">
        <x:v>High-confidence fuzzy</x:v>
      </x:c>
      <x:c r="J90" t="n">
        <x:v>15</x:v>
      </x:c>
      <x:c r="K90" t="n">
        <x:v>15</x:v>
      </x:c>
      <x:c r="L90" t="n">
        <x:f>J90-K90</x:f>
        <x:v>0</x:v>
      </x:c>
      <x:c r="M90" s="20" t="n">
        <x:f>IFERROR(K90/J90,0)</x:f>
        <x:v>1</x:v>
      </x:c>
      <x:c r="N90" t="n">
        <x:v>15</x:v>
      </x:c>
      <x:c r="O90" t="n">
        <x:v>15</x:v>
      </x:c>
      <x:c r="P90" t="n">
        <x:f>N90-O90</x:f>
        <x:v>0</x:v>
      </x:c>
      <x:c r="Q90" t="n">
        <x:v>0</x:v>
      </x:c>
      <x:c r="R90" t="n">
        <x:v>0</x:v>
      </x:c>
      <x:c r="S90" t="n">
        <x:f>Q90-R90</x:f>
        <x:v>0</x:v>
      </x:c>
      <x:c r="T90" t="n">
        <x:v>15</x:v>
      </x:c>
      <x:c r="U90" t="n">
        <x:v>15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f>IF(AND(ISNUMBER(G90),I90&lt;&gt;"Excluded INI"),MAX(0,G90-J90),"")</x:f>
        <x:v>85</x:v>
      </x:c>
      <x:c r="AC90" t="n">
        <x:v>14692</x:v>
      </x:c>
      <x:c r="AD90" t="n">
        <x:v>15006</x:v>
      </x:c>
      <x:c r="AE90" t="n">
        <x:v>18174</x:v>
      </x:c>
      <x:c r="AF90" t="n">
        <x:v>18539</x:v>
      </x:c>
      <x:c r="AG90" t="n">
        <x:v>20672</x:v>
      </x:c>
      <x:c r="AH90" t="n">
        <x:v>21390</x:v>
      </x:c>
      <x:c r="AI90" t="n">
        <x:v>90922</x:v>
      </x:c>
      <x:c r="AJ90" t="n">
        <x:v>92824</x:v>
      </x:c>
      <x:c r="AK90" t="n">
        <x:v>76825</x:v>
      </x:c>
      <x:c r="AL90" t="n">
        <x:v>76825</x:v>
      </x:c>
      <x:c r="AM90" t="str">
        <x:v>Fully allotted in R1; R2 opportunity depends on upgrade/non-joining</x:v>
      </x:c>
    </x:row>
    <x:row r="91">
      <x:c r="A91" t="str">
        <x:v>Gujarat</x:v>
      </x:c>
      <x:c r="B91" t="str">
        <x:v>All India except Central University</x:v>
      </x:c>
      <x:c r="C91" t="str">
        <x:v>200138</x:v>
      </x:c>
      <x:c r="D91" t="str">
        <x:v>Government Medical College, Surat, Out Side Majura Gate, New Civil Hospital Campus, Opp. Income Tax office, Surat - 395001</x:v>
      </x:c>
      <x:c r="E91" t="str">
        <x:v>GJ/026/G/1</x:v>
      </x:c>
      <x:c r="F91" t="str">
        <x:v>Government</x:v>
      </x:c>
      <x:c r="G91" t="n">
        <x:v>250</x:v>
      </x:c>
      <x:c r="H91" t="n">
        <x:v>100</x:v>
      </x:c>
      <x:c r="I91" t="str">
        <x:v>High-confidence fuzzy</x:v>
      </x:c>
      <x:c r="J91" t="n">
        <x:v>38</x:v>
      </x:c>
      <x:c r="K91" t="n">
        <x:v>38</x:v>
      </x:c>
      <x:c r="L91" t="n">
        <x:f>J91-K91</x:f>
        <x:v>0</x:v>
      </x:c>
      <x:c r="M91" s="20" t="n">
        <x:f>IFERROR(K91/J91,0)</x:f>
        <x:v>1</x:v>
      </x:c>
      <x:c r="N91" t="n">
        <x:v>38</x:v>
      </x:c>
      <x:c r="O91" t="n">
        <x:v>38</x:v>
      </x:c>
      <x:c r="P91" t="n">
        <x:f>N91-O91</x:f>
        <x:v>0</x:v>
      </x:c>
      <x:c r="Q91" t="n">
        <x:v>0</x:v>
      </x:c>
      <x:c r="R91" t="n">
        <x:v>0</x:v>
      </x:c>
      <x:c r="S91" t="n">
        <x:f>Q91-R91</x:f>
        <x:v>0</x:v>
      </x:c>
      <x:c r="T91" t="n">
        <x:v>38</x:v>
      </x:c>
      <x:c r="U91" t="n">
        <x:v>38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f>IF(AND(ISNUMBER(G91),I91&lt;&gt;"Excluded INI"),MAX(0,G91-J91),"")</x:f>
        <x:v>212</x:v>
      </x:c>
      <x:c r="AC91" t="n">
        <x:v>1822</x:v>
      </x:c>
      <x:c r="AD91" t="n">
        <x:v>4022</x:v>
      </x:c>
      <x:c r="AE91" t="n">
        <x:v>5234</x:v>
      </x:c>
      <x:c r="AF91" t="n">
        <x:v>5437</x:v>
      </x:c>
      <x:c r="AG91" t="n">
        <x:v>5945</x:v>
      </x:c>
      <x:c r="AH91" t="n">
        <x:v>6146</x:v>
      </x:c>
      <x:c r="AI91" t="n">
        <x:v>32767</x:v>
      </x:c>
      <x:c r="AJ91" t="n">
        <x:v>38310</x:v>
      </x:c>
      <x:c r="AK91" t="n">
        <x:v>60268</x:v>
      </x:c>
      <x:c r="AL91" t="n">
        <x:v>61292</x:v>
      </x:c>
      <x:c r="AM91" t="str">
        <x:v>Fully allotted in R1; R2 opportunity depends on upgrade/non-joining</x:v>
      </x:c>
    </x:row>
    <x:row r="92">
      <x:c r="A92" t="str">
        <x:v>Gujarat</x:v>
      </x:c>
      <x:c r="B92" t="str">
        <x:v>All India except Central University</x:v>
      </x:c>
      <x:c r="C92" t="str">
        <x:v>200141</x:v>
      </x:c>
      <x:c r="D92" t="str">
        <x:v>MP Shah Medical College, Jamnagar, PANDIT NEHRU MARG, JAMNAGAR 361008</x:v>
      </x:c>
      <x:c r="E92" t="str">
        <x:v>GJ/031/G/1</x:v>
      </x:c>
      <x:c r="F92" t="str">
        <x:v>Government</x:v>
      </x:c>
      <x:c r="G92" t="n">
        <x:v>250</x:v>
      </x:c>
      <x:c r="H92" t="n">
        <x:v>100</x:v>
      </x:c>
      <x:c r="I92" t="str">
        <x:v>High-confidence fuzzy</x:v>
      </x:c>
      <x:c r="J92" t="n">
        <x:v>38</x:v>
      </x:c>
      <x:c r="K92" t="n">
        <x:v>38</x:v>
      </x:c>
      <x:c r="L92" t="n">
        <x:f>J92-K92</x:f>
        <x:v>0</x:v>
      </x:c>
      <x:c r="M92" s="20" t="n">
        <x:f>IFERROR(K92/J92,0)</x:f>
        <x:v>1</x:v>
      </x:c>
      <x:c r="N92" t="n">
        <x:v>38</x:v>
      </x:c>
      <x:c r="O92" t="n">
        <x:v>38</x:v>
      </x:c>
      <x:c r="P92" t="n">
        <x:f>N92-O92</x:f>
        <x:v>0</x:v>
      </x:c>
      <x:c r="Q92" t="n">
        <x:v>0</x:v>
      </x:c>
      <x:c r="R92" t="n">
        <x:v>0</x:v>
      </x:c>
      <x:c r="S92" t="n">
        <x:f>Q92-R92</x:f>
        <x:v>0</x:v>
      </x:c>
      <x:c r="T92" t="n">
        <x:v>38</x:v>
      </x:c>
      <x:c r="U92" t="n">
        <x:v>38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f>IF(AND(ISNUMBER(G92),I92&lt;&gt;"Excluded INI"),MAX(0,G92-J92),"")</x:f>
        <x:v>212</x:v>
      </x:c>
      <x:c r="AC92" t="n">
        <x:v>5816</x:v>
      </x:c>
      <x:c r="AD92" t="n">
        <x:v>6233</x:v>
      </x:c>
      <x:c r="AE92" t="n">
        <x:v>7084</x:v>
      </x:c>
      <x:c r="AF92" t="n">
        <x:v>7211</x:v>
      </x:c>
      <x:c r="AG92" t="n">
        <x:v>6487</x:v>
      </x:c>
      <x:c r="AH92" t="n">
        <x:v>7483</x:v>
      </x:c>
      <x:c r="AI92" t="n">
        <x:v>41480</x:v>
      </x:c>
      <x:c r="AJ92" t="n">
        <x:v>45811</x:v>
      </x:c>
      <x:c r="AK92" t="n">
        <x:v>62829</x:v>
      </x:c>
      <x:c r="AL92" t="n">
        <x:v>63179</x:v>
      </x:c>
      <x:c r="AM92" t="str">
        <x:v>Fully allotted in R1; R2 opportunity depends on upgrade/non-joining</x:v>
      </x:c>
    </x:row>
    <x:row r="93">
      <x:c r="A93" t="str">
        <x:v>Gujarat</x:v>
      </x:c>
      <x:c r="B93" t="str">
        <x:v>All India except Central University</x:v>
      </x:c>
      <x:c r="C93" t="str">
        <x:v>200142</x:v>
      </x:c>
      <x:c r="D93" t="str">
        <x:v>Medical College, Baroda, Government Medical College Baroda, Anandpura, Vadodara Pin No 390001</x:v>
      </x:c>
      <x:c r="E93" t="str">
        <x:v>GJ/030/G/1</x:v>
      </x:c>
      <x:c r="F93" t="str">
        <x:v>Government</x:v>
      </x:c>
      <x:c r="G93" t="n">
        <x:v>250</x:v>
      </x:c>
      <x:c r="H93" t="n">
        <x:v>100</x:v>
      </x:c>
      <x:c r="I93" t="str">
        <x:v>High-confidence fuzzy</x:v>
      </x:c>
      <x:c r="J93" t="n">
        <x:v>37</x:v>
      </x:c>
      <x:c r="K93" t="n">
        <x:v>37</x:v>
      </x:c>
      <x:c r="L93" t="n">
        <x:f>J93-K93</x:f>
        <x:v>0</x:v>
      </x:c>
      <x:c r="M93" s="20" t="n">
        <x:f>IFERROR(K93/J93,0)</x:f>
        <x:v>1</x:v>
      </x:c>
      <x:c r="N93" t="n">
        <x:v>37</x:v>
      </x:c>
      <x:c r="O93" t="n">
        <x:v>37</x:v>
      </x:c>
      <x:c r="P93" t="n">
        <x:f>N93-O93</x:f>
        <x:v>0</x:v>
      </x:c>
      <x:c r="Q93" t="n">
        <x:v>0</x:v>
      </x:c>
      <x:c r="R93" t="n">
        <x:v>0</x:v>
      </x:c>
      <x:c r="S93" t="n">
        <x:f>Q93-R93</x:f>
        <x:v>0</x:v>
      </x:c>
      <x:c r="T93" t="n">
        <x:v>37</x:v>
      </x:c>
      <x:c r="U93" t="n">
        <x:v>37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f>IF(AND(ISNUMBER(G93),I93&lt;&gt;"Excluded INI"),MAX(0,G93-J93),"")</x:f>
        <x:v>213</x:v>
      </x:c>
      <x:c r="AC93" t="n">
        <x:v>2601</x:v>
      </x:c>
      <x:c r="AD93" t="n">
        <x:v>3061</x:v>
      </x:c>
      <x:c r="AE93" t="n">
        <x:v>4657</x:v>
      </x:c>
      <x:c r="AF93" t="n">
        <x:v>4875</x:v>
      </x:c>
      <x:c r="AG93" t="n">
        <x:v>5618</x:v>
      </x:c>
      <x:c r="AH93" t="n">
        <x:v>5645</x:v>
      </x:c>
      <x:c r="AI93" t="n">
        <x:v>28698</x:v>
      </x:c>
      <x:c r="AJ93" t="n">
        <x:v>29210</x:v>
      </x:c>
      <x:c r="AK93" t="n">
        <x:v>48538</x:v>
      </x:c>
      <x:c r="AL93" t="n">
        <x:v>52060</x:v>
      </x:c>
      <x:c r="AM93" t="str">
        <x:v>Fully allotted in R1; R2 opportunity depends on upgrade/non-joining</x:v>
      </x:c>
    </x:row>
    <x:row r="94">
      <x:c r="A94" t="str">
        <x:v>Gujarat</x:v>
      </x:c>
      <x:c r="B94" t="str">
        <x:v>All India except Central University</x:v>
      </x:c>
      <x:c r="C94" t="str">
        <x:v>200144</x:v>
      </x:c>
      <x:c r="D94" t="str">
        <x:v>Pandit Deendayal Upadhyay Medical College, Rajkot, Civil Hospital Campus, Jamnagar Road Rajkot 360001</x:v>
      </x:c>
      <x:c r="E94" t="str">
        <x:v>GJ/033/G/1</x:v>
      </x:c>
      <x:c r="F94" t="str">
        <x:v>Government</x:v>
      </x:c>
      <x:c r="G94" t="n">
        <x:v>200</x:v>
      </x:c>
      <x:c r="H94" t="n">
        <x:v>100</x:v>
      </x:c>
      <x:c r="I94" t="str">
        <x:v>High-confidence fuzzy</x:v>
      </x:c>
      <x:c r="J94" t="n">
        <x:v>30</x:v>
      </x:c>
      <x:c r="K94" t="n">
        <x:v>30</x:v>
      </x:c>
      <x:c r="L94" t="n">
        <x:f>J94-K94</x:f>
        <x:v>0</x:v>
      </x:c>
      <x:c r="M94" s="20" t="n">
        <x:f>IFERROR(K94/J94,0)</x:f>
        <x:v>1</x:v>
      </x:c>
      <x:c r="N94" t="n">
        <x:v>30</x:v>
      </x:c>
      <x:c r="O94" t="n">
        <x:v>30</x:v>
      </x:c>
      <x:c r="P94" t="n">
        <x:f>N94-O94</x:f>
        <x:v>0</x:v>
      </x:c>
      <x:c r="Q94" t="n">
        <x:v>0</x:v>
      </x:c>
      <x:c r="R94" t="n">
        <x:v>0</x:v>
      </x:c>
      <x:c r="S94" t="n">
        <x:f>Q94-R94</x:f>
        <x:v>0</x:v>
      </x:c>
      <x:c r="T94" t="n">
        <x:v>30</x:v>
      </x:c>
      <x:c r="U94" t="n">
        <x:v>30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f>IF(AND(ISNUMBER(G94),I94&lt;&gt;"Excluded INI"),MAX(0,G94-J94),"")</x:f>
        <x:v>170</x:v>
      </x:c>
      <x:c r="AC94" t="n">
        <x:v>4410</x:v>
      </x:c>
      <x:c r="AD94" t="n">
        <x:v>4950</x:v>
      </x:c>
      <x:c r="AE94" t="n">
        <x:v>6378</x:v>
      </x:c>
      <x:c r="AF94" t="n">
        <x:v>6736</x:v>
      </x:c>
      <x:c r="AG94" t="n">
        <x:v>7167</x:v>
      </x:c>
      <x:c r="AH94" t="n">
        <x:v>7432</x:v>
      </x:c>
      <x:c r="AI94" t="n">
        <x:v>42038</x:v>
      </x:c>
      <x:c r="AJ94" t="n">
        <x:v>42506</x:v>
      </x:c>
      <x:c r="AK94" t="n">
        <x:v>44481</x:v>
      </x:c>
      <x:c r="AL94" t="n">
        <x:v>45312</x:v>
      </x:c>
      <x:c r="AM94" t="str">
        <x:v>Fully allotted in R1; R2 opportunity depends on upgrade/non-joining</x:v>
      </x:c>
    </x:row>
    <x:row r="95">
      <x:c r="A95" t="str">
        <x:v>Gujarat</x:v>
      </x:c>
      <x:c r="B95" t="str">
        <x:v>Deemed University</x:v>
      </x:c>
      <x:c r="C95" t="str">
        <x:v>200330</x:v>
      </x:c>
      <x:c r="D95" t="str">
        <x:v>SBKS Medical Instt. &amp; Research Centre, Vadodra, Sumandeep Vidyapeeth Deemed to be University Campus, At. Po.Piparia, Tal.Waghodia, Dist.Vadodara</x:v>
      </x:c>
      <x:c r="E95" t="str">
        <x:v>GJ/037/P/3</x:v>
      </x:c>
      <x:c r="F95" t="str">
        <x:v>Private</x:v>
      </x:c>
      <x:c r="G95" t="n">
        <x:v>250</x:v>
      </x:c>
      <x:c r="H95" t="n">
        <x:v>100</x:v>
      </x:c>
      <x:c r="I95" t="str">
        <x:v>High-confidence fuzzy</x:v>
      </x:c>
      <x:c r="J95" t="n">
        <x:v>250</x:v>
      </x:c>
      <x:c r="K95" t="n">
        <x:v>185</x:v>
      </x:c>
      <x:c r="L95" t="n">
        <x:f>J95-K95</x:f>
        <x:v>65</x:v>
      </x:c>
      <x:c r="M95" s="20" t="n">
        <x:f>IFERROR(K95/J95,0)</x:f>
        <x:v>0.74</x:v>
      </x:c>
      <x:c r="N95" t="n">
        <x:v>0</x:v>
      </x:c>
      <x:c r="O95" t="n">
        <x:v>0</x:v>
      </x:c>
      <x:c r="P95" t="n">
        <x:f>N95-O95</x:f>
        <x:v>0</x:v>
      </x:c>
      <x:c r="Q95" t="n">
        <x:v>250</x:v>
      </x:c>
      <x:c r="R95" t="n">
        <x:v>185</x:v>
      </x:c>
      <x:c r="S95" t="n">
        <x:f>Q95-R95</x:f>
        <x:v>65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107</x:v>
      </x:c>
      <x:c r="Y95" t="n">
        <x:v>107</x:v>
      </x:c>
      <x:c r="Z95" t="n">
        <x:v>37</x:v>
      </x:c>
      <x:c r="AA95" t="n">
        <x:v>0</x:v>
      </x:c>
      <x:c r="AB95" t="n">
        <x:f>IF(AND(ISNUMBER(G95),I95&lt;&gt;"Excluded INI"),MAX(0,G95-J95),"")</x:f>
        <x:v>0</x:v>
      </x:c>
      <x:c r="AC95" t="n">
        <x:v>529281</x:v>
      </x:c>
      <x:c r="AD95" t="n">
        <x:v>1040306</x:v>
      </x:c>
      <x:c r="AE95"/>
      <x:c r="AF95"/>
      <x:c r="AG95"/>
      <x:c r="AH95"/>
      <x:c r="AI95"/>
      <x:c r="AJ95"/>
      <x:c r="AK95"/>
      <x:c r="AL95"/>
      <x:c r="AM95" t="str">
        <x:v>Unfilled mainly private/NRI/minority; regular R2 depends on movement</x:v>
      </x:c>
    </x:row>
    <x:row r="96">
      <x:c r="A96" t="str">
        <x:v>Haryana</x:v>
      </x:c>
      <x:c r="B96" t="str">
        <x:v>All India Institute Of Medical Science(AIIMS)</x:v>
      </x:c>
      <x:c r="C96" t="str">
        <x:v>904759</x:v>
      </x:c>
      <x:c r="D96" t="str">
        <x:v>All India Institute of Medical Sciences, Rewari, Director Office, AIIMS Rewari (Majra M. Bhalkhi) , Haryana , 123102 , India</x:v>
      </x:c>
      <x:c r="E96" t="str"/>
      <x:c r="F96" t="str"/>
      <x:c r="G96"/>
      <x:c r="H96" t="n">
        <x:v>100</x:v>
      </x:c>
      <x:c r="I96" t="str">
        <x:v>Excluded INI</x:v>
      </x:c>
      <x:c r="J96" t="n">
        <x:v>50</x:v>
      </x:c>
      <x:c r="K96" t="n">
        <x:v>50</x:v>
      </x:c>
      <x:c r="L96" t="n">
        <x:f>J96-K96</x:f>
        <x:v>0</x:v>
      </x:c>
      <x:c r="M96" s="20" t="n">
        <x:f>IFERROR(K96/J96,0)</x:f>
        <x:v>1</x:v>
      </x:c>
      <x:c r="N96" t="n">
        <x:v>50</x:v>
      </x:c>
      <x:c r="O96" t="n">
        <x:v>50</x:v>
      </x:c>
      <x:c r="P96" t="n">
        <x:f>N96-O96</x:f>
        <x:v>0</x:v>
      </x:c>
      <x:c r="Q96" t="n">
        <x:v>0</x:v>
      </x:c>
      <x:c r="R96" t="n">
        <x:v>0</x:v>
      </x:c>
      <x:c r="S96" t="n">
        <x:f>Q96-R96</x:f>
        <x:v>0</x:v>
      </x:c>
      <x:c r="T96" t="n">
        <x:v>0</x:v>
      </x:c>
      <x:c r="U96" t="n">
        <x:v>0</x:v>
      </x:c>
      <x:c r="V96" t="n">
        <x:v>50</x:v>
      </x:c>
      <x:c r="W96" t="n">
        <x:v>50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str">
        <x:f>IF(AND(ISNUMBER(G96),I96&lt;&gt;"Excluded INI"),MAX(0,G96-J96),"")</x:f>
      </x:c>
      <x:c r="AC96" t="n">
        <x:v>3478</x:v>
      </x:c>
      <x:c r="AD96" t="n">
        <x:v>3948</x:v>
      </x:c>
      <x:c r="AE96" t="n">
        <x:v>4148</x:v>
      </x:c>
      <x:c r="AF96" t="n">
        <x:v>4382</x:v>
      </x:c>
      <x:c r="AG96" t="n">
        <x:v>5145</x:v>
      </x:c>
      <x:c r="AH96" t="n">
        <x:v>5492</x:v>
      </x:c>
      <x:c r="AI96" t="n">
        <x:v>27272</x:v>
      </x:c>
      <x:c r="AJ96" t="n">
        <x:v>28615</x:v>
      </x:c>
      <x:c r="AK96" t="n">
        <x:v>39292</x:v>
      </x:c>
      <x:c r="AL96" t="n">
        <x:v>39811</x:v>
      </x:c>
      <x:c r="AM96" t="str">
        <x:v>Fully allotted in R1; R2 opportunity depends on upgrade/non-joining</x:v>
      </x:c>
    </x:row>
    <x:row r="97">
      <x:c r="A97" t="str">
        <x:v>Haryana</x:v>
      </x:c>
      <x:c r="B97" t="str">
        <x:v>Deemed University</x:v>
      </x:c>
      <x:c r="C97" t="str">
        <x:v>200646</x:v>
      </x:c>
      <x:c r="D97" t="str">
        <x:v>Amrita School of Medicine, Mata Amritanandmayi Marg, Sector- 88, Faridabad</x:v>
      </x:c>
      <x:c r="E97" t="str">
        <x:v>HR/003/P/3</x:v>
      </x:c>
      <x:c r="F97" t="str">
        <x:v>Private</x:v>
      </x:c>
      <x:c r="G97" t="n">
        <x:v>150</x:v>
      </x:c>
      <x:c r="H97" t="n">
        <x:v>100</x:v>
      </x:c>
      <x:c r="I97" t="str">
        <x:v>High-confidence fuzzy</x:v>
      </x:c>
      <x:c r="J97" t="n">
        <x:v>150</x:v>
      </x:c>
      <x:c r="K97" t="n">
        <x:v>136</x:v>
      </x:c>
      <x:c r="L97" t="n">
        <x:f>J97-K97</x:f>
        <x:v>14</x:v>
      </x:c>
      <x:c r="M97" s="20" t="n">
        <x:f>IFERROR(K97/J97,0)</x:f>
        <x:v>0.9066666666666666</x:v>
      </x:c>
      <x:c r="N97" t="n">
        <x:v>0</x:v>
      </x:c>
      <x:c r="O97" t="n">
        <x:v>0</x:v>
      </x:c>
      <x:c r="P97" t="n">
        <x:f>N97-O97</x:f>
        <x:v>0</x:v>
      </x:c>
      <x:c r="Q97" t="n">
        <x:v>150</x:v>
      </x:c>
      <x:c r="R97" t="n">
        <x:v>136</x:v>
      </x:c>
      <x:c r="S97" t="n">
        <x:f>Q97-R97</x:f>
        <x:v>14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135</x:v>
      </x:c>
      <x:c r="Y97" t="n">
        <x:v>135</x:v>
      </x:c>
      <x:c r="Z97" t="n">
        <x:v>15</x:v>
      </x:c>
      <x:c r="AA97" t="n">
        <x:v>1</x:v>
      </x:c>
      <x:c r="AB97" t="n">
        <x:f>IF(AND(ISNUMBER(G97),I97&lt;&gt;"Excluded INI"),MAX(0,G97-J97),"")</x:f>
        <x:v>0</x:v>
      </x:c>
      <x:c r="AC97" t="n">
        <x:v>185030</x:v>
      </x:c>
      <x:c r="AD97" t="n">
        <x:v>973592</x:v>
      </x:c>
      <x:c r="AE97"/>
      <x:c r="AF97"/>
      <x:c r="AG97"/>
      <x:c r="AH97"/>
      <x:c r="AI97"/>
      <x:c r="AJ97"/>
      <x:c r="AK97"/>
      <x:c r="AL97"/>
      <x:c r="AM97" t="str">
        <x:v>Unfilled mainly private/NRI/minority; regular R2 depends on movement</x:v>
      </x:c>
    </x:row>
    <x:row r="98">
      <x:c r="A98" t="str">
        <x:v>Haryana</x:v>
      </x:c>
      <x:c r="B98" t="str">
        <x:v>All India except Central University</x:v>
      </x:c>
      <x:c r="C98" t="str">
        <x:v>200145</x:v>
      </x:c>
      <x:c r="D98" t="str">
        <x:v>BPS Government Medical College for Women, Sonepat, DIRECTOR, BPS GOVT MEDICAL COLLEGE FOR WOMEN KHANPUR KALAN SONEPAT-131305</x:v>
      </x:c>
      <x:c r="E98" t="str">
        <x:v>HR/004/G/1</x:v>
      </x:c>
      <x:c r="F98" t="str">
        <x:v>Government</x:v>
      </x:c>
      <x:c r="G98" t="n">
        <x:v>120</x:v>
      </x:c>
      <x:c r="H98" t="n">
        <x:v>100</x:v>
      </x:c>
      <x:c r="I98" t="str">
        <x:v>High-confidence fuzzy</x:v>
      </x:c>
      <x:c r="J98" t="n">
        <x:v>18</x:v>
      </x:c>
      <x:c r="K98" t="n">
        <x:v>18</x:v>
      </x:c>
      <x:c r="L98" t="n">
        <x:f>J98-K98</x:f>
        <x:v>0</x:v>
      </x:c>
      <x:c r="M98" s="20" t="n">
        <x:f>IFERROR(K98/J98,0)</x:f>
        <x:v>1</x:v>
      </x:c>
      <x:c r="N98" t="n">
        <x:v>18</x:v>
      </x:c>
      <x:c r="O98" t="n">
        <x:v>18</x:v>
      </x:c>
      <x:c r="P98" t="n">
        <x:f>N98-O98</x:f>
        <x:v>0</x:v>
      </x:c>
      <x:c r="Q98" t="n">
        <x:v>0</x:v>
      </x:c>
      <x:c r="R98" t="n">
        <x:v>0</x:v>
      </x:c>
      <x:c r="S98" t="n">
        <x:f>Q98-R98</x:f>
        <x:v>0</x:v>
      </x:c>
      <x:c r="T98" t="n">
        <x:v>18</x:v>
      </x:c>
      <x:c r="U98" t="n">
        <x:v>18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f>IF(AND(ISNUMBER(G98),I98&lt;&gt;"Excluded INI"),MAX(0,G98-J98),"")</x:f>
        <x:v>102</x:v>
      </x:c>
      <x:c r="AC98" t="n">
        <x:v>7891</x:v>
      </x:c>
      <x:c r="AD98" t="n">
        <x:v>8454</x:v>
      </x:c>
      <x:c r="AE98" t="n">
        <x:v>9784</x:v>
      </x:c>
      <x:c r="AF98" t="n">
        <x:v>11071</x:v>
      </x:c>
      <x:c r="AG98" t="n">
        <x:v>13510</x:v>
      </x:c>
      <x:c r="AH98" t="n">
        <x:v>14237</x:v>
      </x:c>
      <x:c r="AI98" t="n">
        <x:v>41773</x:v>
      </x:c>
      <x:c r="AJ98" t="n">
        <x:v>47408</x:v>
      </x:c>
      <x:c r="AK98" t="n">
        <x:v>93055</x:v>
      </x:c>
      <x:c r="AL98" t="n">
        <x:v>93055</x:v>
      </x:c>
      <x:c r="AM98" t="str">
        <x:v>Fully allotted in R1; R2 opportunity depends on upgrade/non-joining</x:v>
      </x:c>
    </x:row>
    <x:row r="99">
      <x:c r="A99" t="str">
        <x:v>Haryana</x:v>
      </x:c>
      <x:c r="B99" t="str">
        <x:v>Employees State Insurance Scheme</x:v>
      </x:c>
      <x:c r="C99" t="str">
        <x:v>200409</x:v>
      </x:c>
      <x:c r="D99" t="str">
        <x:v>Employees State Insurance Corporation Medical College, Faridabad, NH 3 NIT FARIDABAD, Haryana, 121001</x:v>
      </x:c>
      <x:c r="E99" t="str">
        <x:v>HR/005/G/1</x:v>
      </x:c>
      <x:c r="F99" t="str">
        <x:v>Government</x:v>
      </x:c>
      <x:c r="G99" t="n">
        <x:v>150</x:v>
      </x:c>
      <x:c r="H99" t="n">
        <x:v>100</x:v>
      </x:c>
      <x:c r="I99" t="str">
        <x:v>High-confidence fuzzy</x:v>
      </x:c>
      <x:c r="J99" t="n">
        <x:v>75</x:v>
      </x:c>
      <x:c r="K99" t="n">
        <x:v>73</x:v>
      </x:c>
      <x:c r="L99" t="n">
        <x:f>J99-K99</x:f>
        <x:v>2</x:v>
      </x:c>
      <x:c r="M99" s="20" t="n">
        <x:f>IFERROR(K99/J99,0)</x:f>
        <x:v>0.9733333333333334</x:v>
      </x:c>
      <x:c r="N99" t="n">
        <x:v>75</x:v>
      </x:c>
      <x:c r="O99" t="n">
        <x:v>73</x:v>
      </x:c>
      <x:c r="P99" t="n">
        <x:f>N99-O99</x:f>
        <x:v>2</x:v>
      </x:c>
      <x:c r="Q99" t="n">
        <x:v>0</x:v>
      </x:c>
      <x:c r="R99" t="n">
        <x:v>0</x:v>
      </x:c>
      <x:c r="S99" t="n">
        <x:f>Q99-R99</x:f>
        <x:v>0</x:v>
      </x:c>
      <x:c r="T99" t="n">
        <x:v>22</x:v>
      </x:c>
      <x:c r="U99" t="n">
        <x:v>22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f>IF(AND(ISNUMBER(G99),I99&lt;&gt;"Excluded INI"),MAX(0,G99-J99),"")</x:f>
        <x:v>75</x:v>
      </x:c>
      <x:c r="AC99" t="n">
        <x:v>7379</x:v>
      </x:c>
      <x:c r="AD99" t="n">
        <x:v>11166</x:v>
      </x:c>
      <x:c r="AE99" t="n">
        <x:v>11460</x:v>
      </x:c>
      <x:c r="AF99" t="n">
        <x:v>15156</x:v>
      </x:c>
      <x:c r="AG99" t="n">
        <x:v>11375</x:v>
      </x:c>
      <x:c r="AH99" t="n">
        <x:v>14082</x:v>
      </x:c>
      <x:c r="AI99" t="n">
        <x:v>58271</x:v>
      </x:c>
      <x:c r="AJ99" t="n">
        <x:v>87274</x:v>
      </x:c>
      <x:c r="AK99" t="n">
        <x:v>88222</x:v>
      </x:c>
      <x:c r="AL99" t="n">
        <x:v>160777</x:v>
      </x:c>
      <x:c r="AM99" t="str">
        <x:v>R1 regular-central gap visible; verify in official R2 matrix</x:v>
      </x:c>
    </x:row>
    <x:row r="100">
      <x:c r="A100" t="str">
        <x:v>Haryana</x:v>
      </x:c>
      <x:c r="B100" t="str">
        <x:v>All India except Central University</x:v>
      </x:c>
      <x:c r="C100" t="str">
        <x:v>200148</x:v>
      </x:c>
      <x:c r="D100" t="str">
        <x:v>Kalpana Chawala Govt. Medical College, Karnal, Haryana, Kalpana Chawla Govt. Medical College,Karnal, Haryana</x:v>
      </x:c>
      <x:c r="E100" t="str">
        <x:v>HR/007/G/1</x:v>
      </x:c>
      <x:c r="F100" t="str">
        <x:v>Government</x:v>
      </x:c>
      <x:c r="G100" t="n">
        <x:v>120</x:v>
      </x:c>
      <x:c r="H100" t="n">
        <x:v>100</x:v>
      </x:c>
      <x:c r="I100" t="str">
        <x:v>High-confidence fuzzy</x:v>
      </x:c>
      <x:c r="J100" t="n">
        <x:v>18</x:v>
      </x:c>
      <x:c r="K100" t="n">
        <x:v>18</x:v>
      </x:c>
      <x:c r="L100" t="n">
        <x:f>J100-K100</x:f>
        <x:v>0</x:v>
      </x:c>
      <x:c r="M100" s="20" t="n">
        <x:f>IFERROR(K100/J100,0)</x:f>
        <x:v>1</x:v>
      </x:c>
      <x:c r="N100" t="n">
        <x:v>18</x:v>
      </x:c>
      <x:c r="O100" t="n">
        <x:v>18</x:v>
      </x:c>
      <x:c r="P100" t="n">
        <x:f>N100-O100</x:f>
        <x:v>0</x:v>
      </x:c>
      <x:c r="Q100" t="n">
        <x:v>0</x:v>
      </x:c>
      <x:c r="R100" t="n">
        <x:v>0</x:v>
      </x:c>
      <x:c r="S100" t="n">
        <x:f>Q100-R100</x:f>
        <x:v>0</x:v>
      </x:c>
      <x:c r="T100" t="n">
        <x:v>18</x:v>
      </x:c>
      <x:c r="U100" t="n">
        <x:v>18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f>IF(AND(ISNUMBER(G100),I100&lt;&gt;"Excluded INI"),MAX(0,G100-J100),"")</x:f>
        <x:v>102</x:v>
      </x:c>
      <x:c r="AC100" t="n">
        <x:v>5100</x:v>
      </x:c>
      <x:c r="AD100" t="n">
        <x:v>5274</x:v>
      </x:c>
      <x:c r="AE100" t="n">
        <x:v>6962</x:v>
      </x:c>
      <x:c r="AF100" t="n">
        <x:v>7544</x:v>
      </x:c>
      <x:c r="AG100" t="n">
        <x:v>7896</x:v>
      </x:c>
      <x:c r="AH100" t="n">
        <x:v>9166</x:v>
      </x:c>
      <x:c r="AI100" t="n">
        <x:v>36157</x:v>
      </x:c>
      <x:c r="AJ100" t="n">
        <x:v>37586</x:v>
      </x:c>
      <x:c r="AK100" t="n">
        <x:v>70980</x:v>
      </x:c>
      <x:c r="AL100" t="n">
        <x:v>70980</x:v>
      </x:c>
      <x:c r="AM100" t="str">
        <x:v>Fully allotted in R1; R2 opportunity depends on upgrade/non-joining</x:v>
      </x:c>
    </x:row>
    <x:row r="101">
      <x:c r="A101" t="str">
        <x:v>Haryana</x:v>
      </x:c>
      <x:c r="B101" t="str">
        <x:v>All India except Central University</x:v>
      </x:c>
      <x:c r="C101" t="str">
        <x:v>904353</x:v>
      </x:c>
      <x:c r="D101" t="str">
        <x:v>Maharishi Chyawan Medical College, Koriawas, dirkoriawasgmc@gmail.com</x:v>
      </x:c>
      <x:c r="E101" t="str">
        <x:v>HR/009/G/1</x:v>
      </x:c>
      <x:c r="F101" t="str">
        <x:v>Government</x:v>
      </x:c>
      <x:c r="G101" t="n">
        <x:v>100</x:v>
      </x:c>
      <x:c r="H101" t="n">
        <x:v>100</x:v>
      </x:c>
      <x:c r="I101" t="str">
        <x:v>High-confidence fuzzy</x:v>
      </x:c>
      <x:c r="J101" t="n">
        <x:v>15</x:v>
      </x:c>
      <x:c r="K101" t="n">
        <x:v>15</x:v>
      </x:c>
      <x:c r="L101" t="n">
        <x:f>J101-K101</x:f>
        <x:v>0</x:v>
      </x:c>
      <x:c r="M101" s="20" t="n">
        <x:f>IFERROR(K101/J101,0)</x:f>
        <x:v>1</x:v>
      </x:c>
      <x:c r="N101" t="n">
        <x:v>15</x:v>
      </x:c>
      <x:c r="O101" t="n">
        <x:v>15</x:v>
      </x:c>
      <x:c r="P101" t="n">
        <x:f>N101-O101</x:f>
        <x:v>0</x:v>
      </x:c>
      <x:c r="Q101" t="n">
        <x:v>0</x:v>
      </x:c>
      <x:c r="R101" t="n">
        <x:v>0</x:v>
      </x:c>
      <x:c r="S101" t="n">
        <x:f>Q101-R101</x:f>
        <x:v>0</x:v>
      </x:c>
      <x:c r="T101" t="n">
        <x:v>15</x:v>
      </x:c>
      <x:c r="U101" t="n">
        <x:v>15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f>IF(AND(ISNUMBER(G101),I101&lt;&gt;"Excluded INI"),MAX(0,G101-J101),"")</x:f>
        <x:v>85</x:v>
      </x:c>
      <x:c r="AC101" t="n">
        <x:v>12737</x:v>
      </x:c>
      <x:c r="AD101" t="n">
        <x:v>13637</x:v>
      </x:c>
      <x:c r="AE101" t="n">
        <x:v>14387</x:v>
      </x:c>
      <x:c r="AF101" t="n">
        <x:v>14825</x:v>
      </x:c>
      <x:c r="AG101" t="n">
        <x:v>15330</x:v>
      </x:c>
      <x:c r="AH101" t="n">
        <x:v>15330</x:v>
      </x:c>
      <x:c r="AI101" t="n">
        <x:v>73958</x:v>
      </x:c>
      <x:c r="AJ101" t="n">
        <x:v>76116</x:v>
      </x:c>
      <x:c r="AK101" t="n">
        <x:v>99211</x:v>
      </x:c>
      <x:c r="AL101" t="n">
        <x:v>99211</x:v>
      </x:c>
      <x:c r="AM101" t="str">
        <x:v>Fully allotted in R1; R2 opportunity depends on upgrade/non-joining</x:v>
      </x:c>
    </x:row>
    <x:row r="102">
      <x:c r="A102" t="str">
        <x:v>Haryana</x:v>
      </x:c>
      <x:c r="B102" t="str">
        <x:v>Deemed University</x:v>
      </x:c>
      <x:c r="C102" t="str">
        <x:v>200332</x:v>
      </x:c>
      <x:c r="D102" t="str">
        <x:v>Maharishi Markandeshwar Institute Of Medical Sciences &amp; Research, Mullana, Ambala, M.M. INSTITUTE OF MEDICAL SCIENCES AND RESEARCH, MULLANA, AMBALA, HARYANA.</x:v>
      </x:c>
      <x:c r="E102" t="str">
        <x:v>HR/011/P/3</x:v>
      </x:c>
      <x:c r="F102" t="str">
        <x:v>Private</x:v>
      </x:c>
      <x:c r="G102" t="n">
        <x:v>250</x:v>
      </x:c>
      <x:c r="H102" t="n">
        <x:v>100</x:v>
      </x:c>
      <x:c r="I102" t="str">
        <x:v>High-confidence fuzzy</x:v>
      </x:c>
      <x:c r="J102" t="n">
        <x:v>250</x:v>
      </x:c>
      <x:c r="K102" t="n">
        <x:v>213</x:v>
      </x:c>
      <x:c r="L102" t="n">
        <x:f>J102-K102</x:f>
        <x:v>37</x:v>
      </x:c>
      <x:c r="M102" s="20" t="n">
        <x:f>IFERROR(K102/J102,0)</x:f>
        <x:v>0.852</x:v>
      </x:c>
      <x:c r="N102" t="n">
        <x:v>0</x:v>
      </x:c>
      <x:c r="O102" t="n">
        <x:v>0</x:v>
      </x:c>
      <x:c r="P102" t="n">
        <x:f>N102-O102</x:f>
        <x:v>0</x:v>
      </x:c>
      <x:c r="Q102" t="n">
        <x:v>250</x:v>
      </x:c>
      <x:c r="R102" t="n">
        <x:v>213</x:v>
      </x:c>
      <x:c r="S102" t="n">
        <x:f>Q102-R102</x:f>
        <x:v>37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213</x:v>
      </x:c>
      <x:c r="Y102" t="n">
        <x:v>213</x:v>
      </x:c>
      <x:c r="Z102" t="n">
        <x:v>37</x:v>
      </x:c>
      <x:c r="AA102" t="n">
        <x:v>0</x:v>
      </x:c>
      <x:c r="AB102" t="n">
        <x:f>IF(AND(ISNUMBER(G102),I102&lt;&gt;"Excluded INI"),MAX(0,G102-J102),"")</x:f>
        <x:v>0</x:v>
      </x:c>
      <x:c r="AC102" t="n">
        <x:v>277848</x:v>
      </x:c>
      <x:c r="AD102" t="n">
        <x:v>366214</x:v>
      </x:c>
      <x:c r="AE102"/>
      <x:c r="AF102"/>
      <x:c r="AG102"/>
      <x:c r="AH102"/>
      <x:c r="AI102"/>
      <x:c r="AJ102"/>
      <x:c r="AK102"/>
      <x:c r="AL102"/>
      <x:c r="AM102" t="str">
        <x:v>Unfilled mainly private/NRI/minority; regular R2 depends on movement</x:v>
      </x:c>
    </x:row>
    <x:row r="103">
      <x:c r="A103" t="str">
        <x:v>Haryana</x:v>
      </x:c>
      <x:c r="B103" t="str">
        <x:v>All India except Central University</x:v>
      </x:c>
      <x:c r="C103" t="str">
        <x:v>904365</x:v>
      </x:c>
      <x:c r="D103" t="str">
        <x:v>PT NEKI RAM SHARMA GOVERNMENT MEDICAL COLLEGE, BHIWANI, PANDIT NEKI RAM SHARMA GOVERNMENT MEDICAL COLLEGE, HANSI ROAD, NEAR VITA MILK PLANT, BHIWANI, HARYAN</x:v>
      </x:c>
      <x:c r="E103" t="str">
        <x:v>HR/013/G/1</x:v>
      </x:c>
      <x:c r="F103" t="str">
        <x:v>Government</x:v>
      </x:c>
      <x:c r="G103" t="n">
        <x:v>100</x:v>
      </x:c>
      <x:c r="H103" t="n">
        <x:v>100</x:v>
      </x:c>
      <x:c r="I103" t="str">
        <x:v>High-confidence fuzzy</x:v>
      </x:c>
      <x:c r="J103" t="n">
        <x:v>15</x:v>
      </x:c>
      <x:c r="K103" t="n">
        <x:v>15</x:v>
      </x:c>
      <x:c r="L103" t="n">
        <x:f>J103-K103</x:f>
        <x:v>0</x:v>
      </x:c>
      <x:c r="M103" s="20" t="n">
        <x:f>IFERROR(K103/J103,0)</x:f>
        <x:v>1</x:v>
      </x:c>
      <x:c r="N103" t="n">
        <x:v>15</x:v>
      </x:c>
      <x:c r="O103" t="n">
        <x:v>15</x:v>
      </x:c>
      <x:c r="P103" t="n">
        <x:f>N103-O103</x:f>
        <x:v>0</x:v>
      </x:c>
      <x:c r="Q103" t="n">
        <x:v>0</x:v>
      </x:c>
      <x:c r="R103" t="n">
        <x:v>0</x:v>
      </x:c>
      <x:c r="S103" t="n">
        <x:f>Q103-R103</x:f>
        <x:v>0</x:v>
      </x:c>
      <x:c r="T103" t="n">
        <x:v>15</x:v>
      </x:c>
      <x:c r="U103" t="n">
        <x:v>15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f>IF(AND(ISNUMBER(G103),I103&lt;&gt;"Excluded INI"),MAX(0,G103-J103),"")</x:f>
        <x:v>85</x:v>
      </x:c>
      <x:c r="AC103" t="n">
        <x:v>9888</x:v>
      </x:c>
      <x:c r="AD103" t="n">
        <x:v>11100</x:v>
      </x:c>
      <x:c r="AE103" t="n">
        <x:v>13826</x:v>
      </x:c>
      <x:c r="AF103" t="n">
        <x:v>14690</x:v>
      </x:c>
      <x:c r="AG103" t="n">
        <x:v>14444</x:v>
      </x:c>
      <x:c r="AH103" t="n">
        <x:v>15620</x:v>
      </x:c>
      <x:c r="AI103" t="n">
        <x:v>68664</x:v>
      </x:c>
      <x:c r="AJ103" t="n">
        <x:v>70279</x:v>
      </x:c>
      <x:c r="AK103" t="n">
        <x:v>92972</x:v>
      </x:c>
      <x:c r="AL103" t="n">
        <x:v>92972</x:v>
      </x:c>
      <x:c r="AM103" t="str">
        <x:v>Fully allotted in R1; R2 opportunity depends on upgrade/non-joining</x:v>
      </x:c>
    </x:row>
    <x:row r="104">
      <x:c r="A104" t="str">
        <x:v>Haryana</x:v>
      </x:c>
      <x:c r="B104" t="str">
        <x:v>All India except Central University</x:v>
      </x:c>
      <x:c r="C104" t="str">
        <x:v>200149</x:v>
      </x:c>
      <x:c r="D104" t="str">
        <x:v>Pt. B D Sharma Postgraduate Institute of Medical Sciences, Rohtak (Haryana), Pt. B.D. Sharma PGIMS, Rohtak</x:v>
      </x:c>
      <x:c r="E104" t="str">
        <x:v>HR/014/G/1</x:v>
      </x:c>
      <x:c r="F104" t="str">
        <x:v>Government</x:v>
      </x:c>
      <x:c r="G104" t="n">
        <x:v>250</x:v>
      </x:c>
      <x:c r="H104" t="n">
        <x:v>100</x:v>
      </x:c>
      <x:c r="I104" t="str">
        <x:v>High-confidence fuzzy</x:v>
      </x:c>
      <x:c r="J104" t="n">
        <x:v>37</x:v>
      </x:c>
      <x:c r="K104" t="n">
        <x:v>37</x:v>
      </x:c>
      <x:c r="L104" t="n">
        <x:f>J104-K104</x:f>
        <x:v>0</x:v>
      </x:c>
      <x:c r="M104" s="20" t="n">
        <x:f>IFERROR(K104/J104,0)</x:f>
        <x:v>1</x:v>
      </x:c>
      <x:c r="N104" t="n">
        <x:v>37</x:v>
      </x:c>
      <x:c r="O104" t="n">
        <x:v>37</x:v>
      </x:c>
      <x:c r="P104" t="n">
        <x:f>N104-O104</x:f>
        <x:v>0</x:v>
      </x:c>
      <x:c r="Q104" t="n">
        <x:v>0</x:v>
      </x:c>
      <x:c r="R104" t="n">
        <x:v>0</x:v>
      </x:c>
      <x:c r="S104" t="n">
        <x:f>Q104-R104</x:f>
        <x:v>0</x:v>
      </x:c>
      <x:c r="T104" t="n">
        <x:v>37</x:v>
      </x:c>
      <x:c r="U104" t="n">
        <x:v>37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f>IF(AND(ISNUMBER(G104),I104&lt;&gt;"Excluded INI"),MAX(0,G104-J104),"")</x:f>
        <x:v>213</x:v>
      </x:c>
      <x:c r="AC104" t="n">
        <x:v>2926</x:v>
      </x:c>
      <x:c r="AD104" t="n">
        <x:v>3653</x:v>
      </x:c>
      <x:c r="AE104" t="n">
        <x:v>4165</x:v>
      </x:c>
      <x:c r="AF104" t="n">
        <x:v>4751</x:v>
      </x:c>
      <x:c r="AG104" t="n">
        <x:v>5816</x:v>
      </x:c>
      <x:c r="AH104" t="n">
        <x:v>6088</x:v>
      </x:c>
      <x:c r="AI104" t="n">
        <x:v>30560</x:v>
      </x:c>
      <x:c r="AJ104" t="n">
        <x:v>35024</x:v>
      </x:c>
      <x:c r="AK104" t="n">
        <x:v>60479</x:v>
      </x:c>
      <x:c r="AL104" t="n">
        <x:v>61066</x:v>
      </x:c>
      <x:c r="AM104" t="str">
        <x:v>Fully allotted in R1; R2 opportunity depends on upgrade/non-joining</x:v>
      </x:c>
    </x:row>
    <x:row r="105">
      <x:c r="A105" t="str">
        <x:v>Haryana</x:v>
      </x:c>
      <x:c r="B105" t="str">
        <x:v>All India except Central University</x:v>
      </x:c>
      <x:c r="C105" t="str">
        <x:v>200150</x:v>
      </x:c>
      <x:c r="D105" t="str">
        <x:v>Shaheed Hasan Khan Mewati Government Medical College, Nalhar, THE DIRECTOR, SHAHEED HASAN KHAN,MEWATI GOVT. MEDICAL COLLEGE, NALHAR, NUH - HARYANA - 122107</x:v>
      </x:c>
      <x:c r="E105" t="str">
        <x:v>HR/015/G/1</x:v>
      </x:c>
      <x:c r="F105" t="str">
        <x:v>Government</x:v>
      </x:c>
      <x:c r="G105" t="n">
        <x:v>120</x:v>
      </x:c>
      <x:c r="H105" t="n">
        <x:v>100</x:v>
      </x:c>
      <x:c r="I105" t="str">
        <x:v>High-confidence fuzzy</x:v>
      </x:c>
      <x:c r="J105" t="n">
        <x:v>18</x:v>
      </x:c>
      <x:c r="K105" t="n">
        <x:v>18</x:v>
      </x:c>
      <x:c r="L105" t="n">
        <x:f>J105-K105</x:f>
        <x:v>0</x:v>
      </x:c>
      <x:c r="M105" s="20" t="n">
        <x:f>IFERROR(K105/J105,0)</x:f>
        <x:v>1</x:v>
      </x:c>
      <x:c r="N105" t="n">
        <x:v>18</x:v>
      </x:c>
      <x:c r="O105" t="n">
        <x:v>18</x:v>
      </x:c>
      <x:c r="P105" t="n">
        <x:f>N105-O105</x:f>
        <x:v>0</x:v>
      </x:c>
      <x:c r="Q105" t="n">
        <x:v>0</x:v>
      </x:c>
      <x:c r="R105" t="n">
        <x:v>0</x:v>
      </x:c>
      <x:c r="S105" t="n">
        <x:f>Q105-R105</x:f>
        <x:v>0</x:v>
      </x:c>
      <x:c r="T105" t="n">
        <x:v>18</x:v>
      </x:c>
      <x:c r="U105" t="n">
        <x:v>18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f>IF(AND(ISNUMBER(G105),I105&lt;&gt;"Excluded INI"),MAX(0,G105-J105),"")</x:f>
        <x:v>102</x:v>
      </x:c>
      <x:c r="AC105" t="n">
        <x:v>9743</x:v>
      </x:c>
      <x:c r="AD105" t="n">
        <x:v>10168</x:v>
      </x:c>
      <x:c r="AE105" t="n">
        <x:v>12535</x:v>
      </x:c>
      <x:c r="AF105" t="n">
        <x:v>13042</x:v>
      </x:c>
      <x:c r="AG105" t="n">
        <x:v>11234</x:v>
      </x:c>
      <x:c r="AH105" t="n">
        <x:v>11234</x:v>
      </x:c>
      <x:c r="AI105" t="n">
        <x:v>64824</x:v>
      </x:c>
      <x:c r="AJ105" t="n">
        <x:v>66299</x:v>
      </x:c>
      <x:c r="AK105" t="n">
        <x:v>90890</x:v>
      </x:c>
      <x:c r="AL105" t="n">
        <x:v>96470</x:v>
      </x:c>
      <x:c r="AM105" t="str">
        <x:v>Fully allotted in R1; R2 opportunity depends on upgrade/non-joining</x:v>
      </x:c>
    </x:row>
    <x:row r="106">
      <x:c r="A106" t="str">
        <x:v>Haryana</x:v>
      </x:c>
      <x:c r="B106" t="str">
        <x:v>All India except Central University</x:v>
      </x:c>
      <x:c r="C106" t="str">
        <x:v>200615</x:v>
      </x:c>
      <x:c r="D106" t="str">
        <x:v>Shri Atal Bihari Vajpayee Government Medical College, Faridabad, Shri Atal Bihari Vajpayee Government Medical College Chhainsa Faridabad</x:v>
      </x:c>
      <x:c r="E106" t="str">
        <x:v>HR/016/G/1</x:v>
      </x:c>
      <x:c r="F106" t="str">
        <x:v>Government</x:v>
      </x:c>
      <x:c r="G106" t="n">
        <x:v>100</x:v>
      </x:c>
      <x:c r="H106" t="n">
        <x:v>100</x:v>
      </x:c>
      <x:c r="I106" t="str">
        <x:v>High-confidence fuzzy</x:v>
      </x:c>
      <x:c r="J106" t="n">
        <x:v>15</x:v>
      </x:c>
      <x:c r="K106" t="n">
        <x:v>15</x:v>
      </x:c>
      <x:c r="L106" t="n">
        <x:f>J106-K106</x:f>
        <x:v>0</x:v>
      </x:c>
      <x:c r="M106" s="20" t="n">
        <x:f>IFERROR(K106/J106,0)</x:f>
        <x:v>1</x:v>
      </x:c>
      <x:c r="N106" t="n">
        <x:v>15</x:v>
      </x:c>
      <x:c r="O106" t="n">
        <x:v>15</x:v>
      </x:c>
      <x:c r="P106" t="n">
        <x:f>N106-O106</x:f>
        <x:v>0</x:v>
      </x:c>
      <x:c r="Q106" t="n">
        <x:v>0</x:v>
      </x:c>
      <x:c r="R106" t="n">
        <x:v>0</x:v>
      </x:c>
      <x:c r="S106" t="n">
        <x:f>Q106-R106</x:f>
        <x:v>0</x:v>
      </x:c>
      <x:c r="T106" t="n">
        <x:v>15</x:v>
      </x:c>
      <x:c r="U106" t="n">
        <x:v>15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f>IF(AND(ISNUMBER(G106),I106&lt;&gt;"Excluded INI"),MAX(0,G106-J106),"")</x:f>
        <x:v>85</x:v>
      </x:c>
      <x:c r="AC106" t="n">
        <x:v>8194</x:v>
      </x:c>
      <x:c r="AD106" t="n">
        <x:v>8767</x:v>
      </x:c>
      <x:c r="AE106" t="n">
        <x:v>10063</x:v>
      </x:c>
      <x:c r="AF106" t="n">
        <x:v>10895</x:v>
      </x:c>
      <x:c r="AG106" t="n">
        <x:v>9807</x:v>
      </x:c>
      <x:c r="AH106" t="n">
        <x:v>9807</x:v>
      </x:c>
      <x:c r="AI106" t="n">
        <x:v>41419</x:v>
      </x:c>
      <x:c r="AJ106" t="n">
        <x:v>41419</x:v>
      </x:c>
      <x:c r="AK106" t="n">
        <x:v>51121</x:v>
      </x:c>
      <x:c r="AL106" t="n">
        <x:v>51121</x:v>
      </x:c>
      <x:c r="AM106" t="str">
        <x:v>Fully allotted in R1; R2 opportunity depends on upgrade/non-joining</x:v>
      </x:c>
    </x:row>
    <x:row r="107">
      <x:c r="A107" t="str">
        <x:v>Himachal Pradesh</x:v>
      </x:c>
      <x:c r="B107" t="str">
        <x:v>All India Institute Of Medical Science(AIIMS)</x:v>
      </x:c>
      <x:c r="C107" t="str">
        <x:v>200530</x:v>
      </x:c>
      <x:c r="D107" t="str">
        <x:v>AIIMS Bilaspur Changar Palasiyan, Himachal Pradesh, All India Institute of Medical Sciences AIIMS Bilaspur Kothipura BILASPUR Himachal Pradesh 174001</x:v>
      </x:c>
      <x:c r="E107" t="str"/>
      <x:c r="F107" t="str"/>
      <x:c r="G107"/>
      <x:c r="H107" t="n">
        <x:v>100</x:v>
      </x:c>
      <x:c r="I107" t="str">
        <x:v>Excluded INI</x:v>
      </x:c>
      <x:c r="J107" t="n">
        <x:v>125</x:v>
      </x:c>
      <x:c r="K107" t="n">
        <x:v>125</x:v>
      </x:c>
      <x:c r="L107" t="n">
        <x:f>J107-K107</x:f>
        <x:v>0</x:v>
      </x:c>
      <x:c r="M107" s="20" t="n">
        <x:f>IFERROR(K107/J107,0)</x:f>
        <x:v>1</x:v>
      </x:c>
      <x:c r="N107" t="n">
        <x:v>125</x:v>
      </x:c>
      <x:c r="O107" t="n">
        <x:v>125</x:v>
      </x:c>
      <x:c r="P107" t="n">
        <x:f>N107-O107</x:f>
        <x:v>0</x:v>
      </x:c>
      <x:c r="Q107" t="n">
        <x:v>0</x:v>
      </x:c>
      <x:c r="R107" t="n">
        <x:v>0</x:v>
      </x:c>
      <x:c r="S107" t="n">
        <x:f>Q107-R107</x:f>
        <x:v>0</x:v>
      </x:c>
      <x:c r="T107" t="n">
        <x:v>0</x:v>
      </x:c>
      <x:c r="U107" t="n">
        <x:v>0</x:v>
      </x:c>
      <x:c r="V107" t="n">
        <x:v>125</x:v>
      </x:c>
      <x:c r="W107" t="n">
        <x:v>125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str">
        <x:f>IF(AND(ISNUMBER(G107),I107&lt;&gt;"Excluded INI"),MAX(0,G107-J107),"")</x:f>
      </x:c>
      <x:c r="AC107" t="n">
        <x:v>1890</x:v>
      </x:c>
      <x:c r="AD107" t="n">
        <x:v>2260</x:v>
      </x:c>
      <x:c r="AE107" t="n">
        <x:v>2629</x:v>
      </x:c>
      <x:c r="AF107" t="n">
        <x:v>2786</x:v>
      </x:c>
      <x:c r="AG107" t="n">
        <x:v>3166</x:v>
      </x:c>
      <x:c r="AH107" t="n">
        <x:v>3287</x:v>
      </x:c>
      <x:c r="AI107" t="n">
        <x:v>17633</x:v>
      </x:c>
      <x:c r="AJ107" t="n">
        <x:v>20129</x:v>
      </x:c>
      <x:c r="AK107" t="n">
        <x:v>26756</x:v>
      </x:c>
      <x:c r="AL107" t="n">
        <x:v>30805</x:v>
      </x:c>
      <x:c r="AM107" t="str">
        <x:v>Fully allotted in R1; R2 opportunity depends on upgrade/non-joining</x:v>
      </x:c>
    </x:row>
    <x:row r="108">
      <x:c r="A108" t="str">
        <x:v>Himachal Pradesh</x:v>
      </x:c>
      <x:c r="B108" t="str">
        <x:v>All India except Central University</x:v>
      </x:c>
      <x:c r="C108" t="str">
        <x:v>200461</x:v>
      </x:c>
      <x:c r="D108" t="str">
        <x:v>Dr. Radhakrishnan Government Medical College, Hamirpur, H.P, Dr. Radhakrishnan Government Medical College,Hamirpur, Himachal Pradesh-177001</x:v>
      </x:c>
      <x:c r="E108" t="str">
        <x:v>HP/001/G/1</x:v>
      </x:c>
      <x:c r="F108" t="str">
        <x:v>Government</x:v>
      </x:c>
      <x:c r="G108" t="n">
        <x:v>120</x:v>
      </x:c>
      <x:c r="H108" t="n">
        <x:v>100</x:v>
      </x:c>
      <x:c r="I108" t="str">
        <x:v>High-confidence fuzzy</x:v>
      </x:c>
      <x:c r="J108" t="n">
        <x:v>18</x:v>
      </x:c>
      <x:c r="K108" t="n">
        <x:v>18</x:v>
      </x:c>
      <x:c r="L108" t="n">
        <x:f>J108-K108</x:f>
        <x:v>0</x:v>
      </x:c>
      <x:c r="M108" s="20" t="n">
        <x:f>IFERROR(K108/J108,0)</x:f>
        <x:v>1</x:v>
      </x:c>
      <x:c r="N108" t="n">
        <x:v>18</x:v>
      </x:c>
      <x:c r="O108" t="n">
        <x:v>18</x:v>
      </x:c>
      <x:c r="P108" t="n">
        <x:f>N108-O108</x:f>
        <x:v>0</x:v>
      </x:c>
      <x:c r="Q108" t="n">
        <x:v>0</x:v>
      </x:c>
      <x:c r="R108" t="n">
        <x:v>0</x:v>
      </x:c>
      <x:c r="S108" t="n">
        <x:f>Q108-R108</x:f>
        <x:v>0</x:v>
      </x:c>
      <x:c r="T108" t="n">
        <x:v>18</x:v>
      </x:c>
      <x:c r="U108" t="n">
        <x:v>18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f>IF(AND(ISNUMBER(G108),I108&lt;&gt;"Excluded INI"),MAX(0,G108-J108),"")</x:f>
        <x:v>102</x:v>
      </x:c>
      <x:c r="AC108" t="n">
        <x:v>7309</x:v>
      </x:c>
      <x:c r="AD108" t="n">
        <x:v>8145</x:v>
      </x:c>
      <x:c r="AE108" t="n">
        <x:v>9512</x:v>
      </x:c>
      <x:c r="AF108" t="n">
        <x:v>9658</x:v>
      </x:c>
      <x:c r="AG108" t="n">
        <x:v>9730</x:v>
      </x:c>
      <x:c r="AH108" t="n">
        <x:v>10213</x:v>
      </x:c>
      <x:c r="AI108" t="n">
        <x:v>51259</x:v>
      </x:c>
      <x:c r="AJ108" t="n">
        <x:v>51971</x:v>
      </x:c>
      <x:c r="AK108" t="n">
        <x:v>46510</x:v>
      </x:c>
      <x:c r="AL108" t="n">
        <x:v>46510</x:v>
      </x:c>
      <x:c r="AM108" t="str">
        <x:v>Fully allotted in R1; R2 opportunity depends on upgrade/non-joining</x:v>
      </x:c>
    </x:row>
    <x:row r="109">
      <x:c r="A109" t="str">
        <x:v>Himachal Pradesh</x:v>
      </x:c>
      <x:c r="B109" t="str">
        <x:v>All India except Central University</x:v>
      </x:c>
      <x:c r="C109" t="str">
        <x:v>200152</x:v>
      </x:c>
      <x:c r="D109" t="str">
        <x:v>Dr. Rajendar Prasad Government Medical College, Tanda, H.P, Dr.Rajendra Prasad Govt.Medical College Kangra at Tanda, H.P.</x:v>
      </x:c>
      <x:c r="E109" t="str">
        <x:v>HP/002/G/1</x:v>
      </x:c>
      <x:c r="F109" t="str">
        <x:v>Government</x:v>
      </x:c>
      <x:c r="G109" t="n">
        <x:v>120</x:v>
      </x:c>
      <x:c r="H109" t="n">
        <x:v>100</x:v>
      </x:c>
      <x:c r="I109" t="str">
        <x:v>High-confidence fuzzy</x:v>
      </x:c>
      <x:c r="J109" t="n">
        <x:v>18</x:v>
      </x:c>
      <x:c r="K109" t="n">
        <x:v>18</x:v>
      </x:c>
      <x:c r="L109" t="n">
        <x:f>J109-K109</x:f>
        <x:v>0</x:v>
      </x:c>
      <x:c r="M109" s="20" t="n">
        <x:f>IFERROR(K109/J109,0)</x:f>
        <x:v>1</x:v>
      </x:c>
      <x:c r="N109" t="n">
        <x:v>18</x:v>
      </x:c>
      <x:c r="O109" t="n">
        <x:v>18</x:v>
      </x:c>
      <x:c r="P109" t="n">
        <x:f>N109-O109</x:f>
        <x:v>0</x:v>
      </x:c>
      <x:c r="Q109" t="n">
        <x:v>0</x:v>
      </x:c>
      <x:c r="R109" t="n">
        <x:v>0</x:v>
      </x:c>
      <x:c r="S109" t="n">
        <x:f>Q109-R109</x:f>
        <x:v>0</x:v>
      </x:c>
      <x:c r="T109" t="n">
        <x:v>18</x:v>
      </x:c>
      <x:c r="U109" t="n">
        <x:v>18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f>IF(AND(ISNUMBER(G109),I109&lt;&gt;"Excluded INI"),MAX(0,G109-J109),"")</x:f>
        <x:v>102</x:v>
      </x:c>
      <x:c r="AC109" t="n">
        <x:v>4312</x:v>
      </x:c>
      <x:c r="AD109" t="n">
        <x:v>4619</x:v>
      </x:c>
      <x:c r="AE109" t="n">
        <x:v>5548</x:v>
      </x:c>
      <x:c r="AF109" t="n">
        <x:v>6045</x:v>
      </x:c>
      <x:c r="AG109" t="n">
        <x:v>5029</x:v>
      </x:c>
      <x:c r="AH109" t="n">
        <x:v>5029</x:v>
      </x:c>
      <x:c r="AI109" t="n">
        <x:v>30410</x:v>
      </x:c>
      <x:c r="AJ109" t="n">
        <x:v>31022</x:v>
      </x:c>
      <x:c r="AK109" t="n">
        <x:v>45688</x:v>
      </x:c>
      <x:c r="AL109" t="n">
        <x:v>45688</x:v>
      </x:c>
      <x:c r="AM109" t="str">
        <x:v>Fully allotted in R1; R2 opportunity depends on upgrade/non-joining</x:v>
      </x:c>
    </x:row>
    <x:row r="110">
      <x:c r="A110" t="str">
        <x:v>Himachal Pradesh</x:v>
      </x:c>
      <x:c r="B110" t="str">
        <x:v>All India except Central University</x:v>
      </x:c>
      <x:c r="C110" t="str">
        <x:v>200151</x:v>
      </x:c>
      <x:c r="D110" t="str">
        <x:v>Government Medical College, Nahan, Sirmour H.P., Nahan, District Sirmaur, Himachal Pradesh</x:v>
      </x:c>
      <x:c r="E110" t="str">
        <x:v>HP/003/G/1</x:v>
      </x:c>
      <x:c r="F110" t="str">
        <x:v>Government</x:v>
      </x:c>
      <x:c r="G110" t="n">
        <x:v>120</x:v>
      </x:c>
      <x:c r="H110" t="n">
        <x:v>100</x:v>
      </x:c>
      <x:c r="I110" t="str">
        <x:v>High-confidence fuzzy</x:v>
      </x:c>
      <x:c r="J110" t="n">
        <x:v>18</x:v>
      </x:c>
      <x:c r="K110" t="n">
        <x:v>18</x:v>
      </x:c>
      <x:c r="L110" t="n">
        <x:f>J110-K110</x:f>
        <x:v>0</x:v>
      </x:c>
      <x:c r="M110" s="20" t="n">
        <x:f>IFERROR(K110/J110,0)</x:f>
        <x:v>1</x:v>
      </x:c>
      <x:c r="N110" t="n">
        <x:v>18</x:v>
      </x:c>
      <x:c r="O110" t="n">
        <x:v>18</x:v>
      </x:c>
      <x:c r="P110" t="n">
        <x:f>N110-O110</x:f>
        <x:v>0</x:v>
      </x:c>
      <x:c r="Q110" t="n">
        <x:v>0</x:v>
      </x:c>
      <x:c r="R110" t="n">
        <x:v>0</x:v>
      </x:c>
      <x:c r="S110" t="n">
        <x:f>Q110-R110</x:f>
        <x:v>0</x:v>
      </x:c>
      <x:c r="T110" t="n">
        <x:v>18</x:v>
      </x:c>
      <x:c r="U110" t="n">
        <x:v>18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f>IF(AND(ISNUMBER(G110),I110&lt;&gt;"Excluded INI"),MAX(0,G110-J110),"")</x:f>
        <x:v>102</x:v>
      </x:c>
      <x:c r="AC110" t="n">
        <x:v>7880</x:v>
      </x:c>
      <x:c r="AD110" t="n">
        <x:v>8415</x:v>
      </x:c>
      <x:c r="AE110" t="n">
        <x:v>9195</x:v>
      </x:c>
      <x:c r="AF110" t="n">
        <x:v>9431</x:v>
      </x:c>
      <x:c r="AG110" t="n">
        <x:v>10823</x:v>
      </x:c>
      <x:c r="AH110" t="n">
        <x:v>10924</x:v>
      </x:c>
      <x:c r="AI110" t="n">
        <x:v>52107</x:v>
      </x:c>
      <x:c r="AJ110" t="n">
        <x:v>53507</x:v>
      </x:c>
      <x:c r="AK110" t="n">
        <x:v>70936</x:v>
      </x:c>
      <x:c r="AL110" t="n">
        <x:v>71758</x:v>
      </x:c>
      <x:c r="AM110" t="str">
        <x:v>Fully allotted in R1; R2 opportunity depends on upgrade/non-joining</x:v>
      </x:c>
    </x:row>
    <x:row r="111">
      <x:c r="A111" t="str">
        <x:v>Himachal Pradesh</x:v>
      </x:c>
      <x:c r="B111" t="str">
        <x:v>All India except Central University</x:v>
      </x:c>
      <x:c r="C111" t="str">
        <x:v>200154</x:v>
      </x:c>
      <x:c r="D111" t="str">
        <x:v>Indira Gandhi Medical College, Shimla, IGMC SHIMLA NEAR LAKKAR BAZAR SHIMLA</x:v>
      </x:c>
      <x:c r="E111" t="str">
        <x:v>HP/004/G/1</x:v>
      </x:c>
      <x:c r="F111" t="str">
        <x:v>Government</x:v>
      </x:c>
      <x:c r="G111" t="n">
        <x:v>120</x:v>
      </x:c>
      <x:c r="H111" t="n">
        <x:v>100</x:v>
      </x:c>
      <x:c r="I111" t="str">
        <x:v>High-confidence fuzzy</x:v>
      </x:c>
      <x:c r="J111" t="n">
        <x:v>18</x:v>
      </x:c>
      <x:c r="K111" t="n">
        <x:v>18</x:v>
      </x:c>
      <x:c r="L111" t="n">
        <x:f>J111-K111</x:f>
        <x:v>0</x:v>
      </x:c>
      <x:c r="M111" s="20" t="n">
        <x:f>IFERROR(K111/J111,0)</x:f>
        <x:v>1</x:v>
      </x:c>
      <x:c r="N111" t="n">
        <x:v>18</x:v>
      </x:c>
      <x:c r="O111" t="n">
        <x:v>18</x:v>
      </x:c>
      <x:c r="P111" t="n">
        <x:f>N111-O111</x:f>
        <x:v>0</x:v>
      </x:c>
      <x:c r="Q111" t="n">
        <x:v>0</x:v>
      </x:c>
      <x:c r="R111" t="n">
        <x:v>0</x:v>
      </x:c>
      <x:c r="S111" t="n">
        <x:f>Q111-R111</x:f>
        <x:v>0</x:v>
      </x:c>
      <x:c r="T111" t="n">
        <x:v>18</x:v>
      </x:c>
      <x:c r="U111" t="n">
        <x:v>18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f>IF(AND(ISNUMBER(G111),I111&lt;&gt;"Excluded INI"),MAX(0,G111-J111),"")</x:f>
        <x:v>102</x:v>
      </x:c>
      <x:c r="AC111" t="n">
        <x:v>2985</x:v>
      </x:c>
      <x:c r="AD111" t="n">
        <x:v>3239</x:v>
      </x:c>
      <x:c r="AE111" t="n">
        <x:v>3792</x:v>
      </x:c>
      <x:c r="AF111" t="n">
        <x:v>3911</x:v>
      </x:c>
      <x:c r="AG111" t="n">
        <x:v>4713</x:v>
      </x:c>
      <x:c r="AH111" t="n">
        <x:v>5011</x:v>
      </x:c>
      <x:c r="AI111" t="n">
        <x:v>22219</x:v>
      </x:c>
      <x:c r="AJ111" t="n">
        <x:v>28660</x:v>
      </x:c>
      <x:c r="AK111" t="n">
        <x:v>34744</x:v>
      </x:c>
      <x:c r="AL111" t="n">
        <x:v>34744</x:v>
      </x:c>
      <x:c r="AM111" t="str">
        <x:v>Fully allotted in R1; R2 opportunity depends on upgrade/non-joining</x:v>
      </x:c>
    </x:row>
    <x:row r="112">
      <x:c r="A112" t="str">
        <x:v>Himachal Pradesh</x:v>
      </x:c>
      <x:c r="B112" t="str">
        <x:v>All India except Central University</x:v>
      </x:c>
      <x:c r="C112" t="str">
        <x:v>200155</x:v>
      </x:c>
      <x:c r="D112" t="str">
        <x:v>Pt. Jawahar Lal Nehru Government Medical College, Chamba, Pt. Jawaharlal Nehru Govt. Medical College Chamba</x:v>
      </x:c>
      <x:c r="E112" t="str">
        <x:v>HP/006/G/1</x:v>
      </x:c>
      <x:c r="F112" t="str">
        <x:v>Government</x:v>
      </x:c>
      <x:c r="G112" t="n">
        <x:v>121</x:v>
      </x:c>
      <x:c r="H112" t="n">
        <x:v>100</x:v>
      </x:c>
      <x:c r="I112" t="str">
        <x:v>High-confidence fuzzy</x:v>
      </x:c>
      <x:c r="J112" t="n">
        <x:v>18</x:v>
      </x:c>
      <x:c r="K112" t="n">
        <x:v>18</x:v>
      </x:c>
      <x:c r="L112" t="n">
        <x:f>J112-K112</x:f>
        <x:v>0</x:v>
      </x:c>
      <x:c r="M112" s="20" t="n">
        <x:f>IFERROR(K112/J112,0)</x:f>
        <x:v>1</x:v>
      </x:c>
      <x:c r="N112" t="n">
        <x:v>18</x:v>
      </x:c>
      <x:c r="O112" t="n">
        <x:v>18</x:v>
      </x:c>
      <x:c r="P112" t="n">
        <x:f>N112-O112</x:f>
        <x:v>0</x:v>
      </x:c>
      <x:c r="Q112" t="n">
        <x:v>0</x:v>
      </x:c>
      <x:c r="R112" t="n">
        <x:v>0</x:v>
      </x:c>
      <x:c r="S112" t="n">
        <x:f>Q112-R112</x:f>
        <x:v>0</x:v>
      </x:c>
      <x:c r="T112" t="n">
        <x:v>18</x:v>
      </x:c>
      <x:c r="U112" t="n">
        <x:v>18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f>IF(AND(ISNUMBER(G112),I112&lt;&gt;"Excluded INI"),MAX(0,G112-J112),"")</x:f>
        <x:v>103</x:v>
      </x:c>
      <x:c r="AC112" t="n">
        <x:v>8643</x:v>
      </x:c>
      <x:c r="AD112" t="n">
        <x:v>8797</x:v>
      </x:c>
      <x:c r="AE112" t="n">
        <x:v>9531</x:v>
      </x:c>
      <x:c r="AF112" t="n">
        <x:v>9680</x:v>
      </x:c>
      <x:c r="AG112" t="n">
        <x:v>11093</x:v>
      </x:c>
      <x:c r="AH112" t="n">
        <x:v>11348</x:v>
      </x:c>
      <x:c r="AI112" t="n">
        <x:v>55814</x:v>
      </x:c>
      <x:c r="AJ112" t="n">
        <x:v>58071</x:v>
      </x:c>
      <x:c r="AK112" t="n">
        <x:v>65615</x:v>
      </x:c>
      <x:c r="AL112" t="n">
        <x:v>65615</x:v>
      </x:c>
      <x:c r="AM112" t="str">
        <x:v>Fully allotted in R1; R2 opportunity depends on upgrade/non-joining</x:v>
      </x:c>
    </x:row>
    <x:row r="113">
      <x:c r="A113" t="str">
        <x:v>Himachal Pradesh</x:v>
      </x:c>
      <x:c r="B113" t="str">
        <x:v>Employees State Insurance Scheme</x:v>
      </x:c>
      <x:c r="C113" t="str">
        <x:v>200410</x:v>
      </x:c>
      <x:c r="D113" t="str">
        <x:v>Shri Lal Bahadur Shastri Government Medical College, Mandi, HP, Mandi at Nerchowk PO Bhangrotu Tehsil Balh District Mandi</x:v>
      </x:c>
      <x:c r="E113" t="str">
        <x:v>HP/007/G/1</x:v>
      </x:c>
      <x:c r="F113" t="str">
        <x:v>Government</x:v>
      </x:c>
      <x:c r="G113" t="n">
        <x:v>120</x:v>
      </x:c>
      <x:c r="H113" t="n">
        <x:v>100</x:v>
      </x:c>
      <x:c r="I113" t="str">
        <x:v>High-confidence fuzzy</x:v>
      </x:c>
      <x:c r="J113" t="n">
        <x:v>54</x:v>
      </x:c>
      <x:c r="K113" t="n">
        <x:v>54</x:v>
      </x:c>
      <x:c r="L113" t="n">
        <x:f>J113-K113</x:f>
        <x:v>0</x:v>
      </x:c>
      <x:c r="M113" s="20" t="n">
        <x:f>IFERROR(K113/J113,0)</x:f>
        <x:v>1</x:v>
      </x:c>
      <x:c r="N113" t="n">
        <x:v>54</x:v>
      </x:c>
      <x:c r="O113" t="n">
        <x:v>54</x:v>
      </x:c>
      <x:c r="P113" t="n">
        <x:f>N113-O113</x:f>
        <x:v>0</x:v>
      </x:c>
      <x:c r="Q113" t="n">
        <x:v>0</x:v>
      </x:c>
      <x:c r="R113" t="n">
        <x:v>0</x:v>
      </x:c>
      <x:c r="S113" t="n">
        <x:f>Q113-R113</x:f>
        <x:v>0</x:v>
      </x:c>
      <x:c r="T113" t="n">
        <x:v>18</x:v>
      </x:c>
      <x:c r="U113" t="n">
        <x:v>18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f>IF(AND(ISNUMBER(G113),I113&lt;&gt;"Excluded INI"),MAX(0,G113-J113),"")</x:f>
        <x:v>66</x:v>
      </x:c>
      <x:c r="AC113" t="n">
        <x:v>14632</x:v>
      </x:c>
      <x:c r="AD113" t="n">
        <x:v>21115</x:v>
      </x:c>
      <x:c r="AE113" t="n">
        <x:v>18460</x:v>
      </x:c>
      <x:c r="AF113" t="n">
        <x:v>24399</x:v>
      </x:c>
      <x:c r="AG113" t="n">
        <x:v>18334</x:v>
      </x:c>
      <x:c r="AH113" t="n">
        <x:v>26626</x:v>
      </x:c>
      <x:c r="AI113" t="n">
        <x:v>105731</x:v>
      </x:c>
      <x:c r="AJ113" t="n">
        <x:v>153345</x:v>
      </x:c>
      <x:c r="AK113" t="n">
        <x:v>135170</x:v>
      </x:c>
      <x:c r="AL113" t="n">
        <x:v>200349</x:v>
      </x:c>
      <x:c r="AM113" t="str">
        <x:v>Fully allotted in R1; R2 opportunity depends on upgrade/non-joining</x:v>
      </x:c>
    </x:row>
    <x:row r="114">
      <x:c r="A114" t="str">
        <x:v>Jammu And Kashmir</x:v>
      </x:c>
      <x:c r="B114" t="str">
        <x:v>All India Institute Of Medical Science(AIIMS)</x:v>
      </x:c>
      <x:c r="C114" t="str">
        <x:v>200518</x:v>
      </x:c>
      <x:c r="D114" t="str">
        <x:v>AIIMS Jammu, AIIMS, Vijaypur, Jammu, Jammu and Kashmir</x:v>
      </x:c>
      <x:c r="E114" t="str"/>
      <x:c r="F114" t="str"/>
      <x:c r="G114"/>
      <x:c r="H114" t="n">
        <x:v>100</x:v>
      </x:c>
      <x:c r="I114" t="str">
        <x:v>Excluded INI</x:v>
      </x:c>
      <x:c r="J114" t="n">
        <x:v>125</x:v>
      </x:c>
      <x:c r="K114" t="n">
        <x:v>125</x:v>
      </x:c>
      <x:c r="L114" t="n">
        <x:f>J114-K114</x:f>
        <x:v>0</x:v>
      </x:c>
      <x:c r="M114" s="20" t="n">
        <x:f>IFERROR(K114/J114,0)</x:f>
        <x:v>1</x:v>
      </x:c>
      <x:c r="N114" t="n">
        <x:v>125</x:v>
      </x:c>
      <x:c r="O114" t="n">
        <x:v>125</x:v>
      </x:c>
      <x:c r="P114" t="n">
        <x:f>N114-O114</x:f>
        <x:v>0</x:v>
      </x:c>
      <x:c r="Q114" t="n">
        <x:v>0</x:v>
      </x:c>
      <x:c r="R114" t="n">
        <x:v>0</x:v>
      </x:c>
      <x:c r="S114" t="n">
        <x:f>Q114-R114</x:f>
        <x:v>0</x:v>
      </x:c>
      <x:c r="T114" t="n">
        <x:v>0</x:v>
      </x:c>
      <x:c r="U114" t="n">
        <x:v>0</x:v>
      </x:c>
      <x:c r="V114" t="n">
        <x:v>125</x:v>
      </x:c>
      <x:c r="W114" t="n">
        <x:v>125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str">
        <x:f>IF(AND(ISNUMBER(G114),I114&lt;&gt;"Excluded INI"),MAX(0,G114-J114),"")</x:f>
      </x:c>
      <x:c r="AC114" t="n">
        <x:v>3054</x:v>
      </x:c>
      <x:c r="AD114" t="n">
        <x:v>3327</x:v>
      </x:c>
      <x:c r="AE114" t="n">
        <x:v>3560</x:v>
      </x:c>
      <x:c r="AF114" t="n">
        <x:v>3834</x:v>
      </x:c>
      <x:c r="AG114" t="n">
        <x:v>4288</x:v>
      </x:c>
      <x:c r="AH114" t="n">
        <x:v>4748</x:v>
      </x:c>
      <x:c r="AI114" t="n">
        <x:v>25519</x:v>
      </x:c>
      <x:c r="AJ114" t="n">
        <x:v>27322</x:v>
      </x:c>
      <x:c r="AK114" t="n">
        <x:v>26371</x:v>
      </x:c>
      <x:c r="AL114" t="n">
        <x:v>34696</x:v>
      </x:c>
      <x:c r="AM114" t="str">
        <x:v>Fully allotted in R1; R2 opportunity depends on upgrade/non-joining</x:v>
      </x:c>
    </x:row>
    <x:row r="115">
      <x:c r="A115" t="str">
        <x:v>Jammu And Kashmir</x:v>
      </x:c>
      <x:c r="B115" t="str">
        <x:v>All India except Central University</x:v>
      </x:c>
      <x:c r="C115" t="str">
        <x:v>200681</x:v>
      </x:c>
      <x:c r="D115" t="str">
        <x:v>Government Medical College Handwara, MAIDAN CHOGAL, HANDWARA, KUPWARA</x:v>
      </x:c>
      <x:c r="E115" t="str">
        <x:v>JK/002/G/1</x:v>
      </x:c>
      <x:c r="F115" t="str">
        <x:v>Government</x:v>
      </x:c>
      <x:c r="G115" t="n">
        <x:v>100</x:v>
      </x:c>
      <x:c r="H115" t="n">
        <x:v>100</x:v>
      </x:c>
      <x:c r="I115" t="str">
        <x:v>High-confidence fuzzy</x:v>
      </x:c>
      <x:c r="J115" t="n">
        <x:v>15</x:v>
      </x:c>
      <x:c r="K115" t="n">
        <x:v>15</x:v>
      </x:c>
      <x:c r="L115" t="n">
        <x:f>J115-K115</x:f>
        <x:v>0</x:v>
      </x:c>
      <x:c r="M115" s="20" t="n">
        <x:f>IFERROR(K115/J115,0)</x:f>
        <x:v>1</x:v>
      </x:c>
      <x:c r="N115" t="n">
        <x:v>15</x:v>
      </x:c>
      <x:c r="O115" t="n">
        <x:v>15</x:v>
      </x:c>
      <x:c r="P115" t="n">
        <x:f>N115-O115</x:f>
        <x:v>0</x:v>
      </x:c>
      <x:c r="Q115" t="n">
        <x:v>0</x:v>
      </x:c>
      <x:c r="R115" t="n">
        <x:v>0</x:v>
      </x:c>
      <x:c r="S115" t="n">
        <x:f>Q115-R115</x:f>
        <x:v>0</x:v>
      </x:c>
      <x:c r="T115" t="n">
        <x:v>15</x:v>
      </x:c>
      <x:c r="U115" t="n">
        <x:v>15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f>IF(AND(ISNUMBER(G115),I115&lt;&gt;"Excluded INI"),MAX(0,G115-J115),"")</x:f>
        <x:v>85</x:v>
      </x:c>
      <x:c r="AC115" t="n">
        <x:v>17091</x:v>
      </x:c>
      <x:c r="AD115" t="n">
        <x:v>17842</x:v>
      </x:c>
      <x:c r="AE115" t="n">
        <x:v>19831</x:v>
      </x:c>
      <x:c r="AF115" t="n">
        <x:v>20433</x:v>
      </x:c>
      <x:c r="AG115" t="n">
        <x:v>23303</x:v>
      </x:c>
      <x:c r="AH115" t="n">
        <x:v>23303</x:v>
      </x:c>
      <x:c r="AI115" t="n">
        <x:v>90506</x:v>
      </x:c>
      <x:c r="AJ115" t="n">
        <x:v>90575</x:v>
      </x:c>
      <x:c r="AK115" t="n">
        <x:v>94888</x:v>
      </x:c>
      <x:c r="AL115" t="n">
        <x:v>94888</x:v>
      </x:c>
      <x:c r="AM115" t="str">
        <x:v>Fully allotted in R1; R2 opportunity depends on upgrade/non-joining</x:v>
      </x:c>
    </x:row>
    <x:row r="116">
      <x:c r="A116" t="str">
        <x:v>Jammu And Kashmir</x:v>
      </x:c>
      <x:c r="B116" t="str">
        <x:v>All India except Central University</x:v>
      </x:c>
      <x:c r="C116" t="str">
        <x:v>200685</x:v>
      </x:c>
      <x:c r="D116" t="str">
        <x:v>Government Medical College Udhampur, Dhar Road near Sallain Tallab opp Head Post Office Udhampur</x:v>
      </x:c>
      <x:c r="E116" t="str">
        <x:v>JK/003/G/1</x:v>
      </x:c>
      <x:c r="F116" t="str">
        <x:v>Government</x:v>
      </x:c>
      <x:c r="G116" t="n">
        <x:v>100</x:v>
      </x:c>
      <x:c r="H116" t="n">
        <x:v>100</x:v>
      </x:c>
      <x:c r="I116" t="str">
        <x:v>High-confidence fuzzy</x:v>
      </x:c>
      <x:c r="J116" t="n">
        <x:v>15</x:v>
      </x:c>
      <x:c r="K116" t="n">
        <x:v>15</x:v>
      </x:c>
      <x:c r="L116" t="n">
        <x:f>J116-K116</x:f>
        <x:v>0</x:v>
      </x:c>
      <x:c r="M116" s="20" t="n">
        <x:f>IFERROR(K116/J116,0)</x:f>
        <x:v>1</x:v>
      </x:c>
      <x:c r="N116" t="n">
        <x:v>15</x:v>
      </x:c>
      <x:c r="O116" t="n">
        <x:v>15</x:v>
      </x:c>
      <x:c r="P116" t="n">
        <x:f>N116-O116</x:f>
        <x:v>0</x:v>
      </x:c>
      <x:c r="Q116" t="n">
        <x:v>0</x:v>
      </x:c>
      <x:c r="R116" t="n">
        <x:v>0</x:v>
      </x:c>
      <x:c r="S116" t="n">
        <x:f>Q116-R116</x:f>
        <x:v>0</x:v>
      </x:c>
      <x:c r="T116" t="n">
        <x:v>15</x:v>
      </x:c>
      <x:c r="U116" t="n">
        <x:v>15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f>IF(AND(ISNUMBER(G116),I116&lt;&gt;"Excluded INI"),MAX(0,G116-J116),"")</x:f>
        <x:v>85</x:v>
      </x:c>
      <x:c r="AC116" t="n">
        <x:v>14665</x:v>
      </x:c>
      <x:c r="AD116" t="n">
        <x:v>14833</x:v>
      </x:c>
      <x:c r="AE116" t="n">
        <x:v>15603</x:v>
      </x:c>
      <x:c r="AF116" t="n">
        <x:v>15608</x:v>
      </x:c>
      <x:c r="AG116" t="n">
        <x:v>18206</x:v>
      </x:c>
      <x:c r="AH116" t="n">
        <x:v>18206</x:v>
      </x:c>
      <x:c r="AI116" t="n">
        <x:v>75964</x:v>
      </x:c>
      <x:c r="AJ116" t="n">
        <x:v>84235</x:v>
      </x:c>
      <x:c r="AK116"/>
      <x:c r="AL116"/>
      <x:c r="AM116" t="str">
        <x:v>Fully allotted in R1; R2 opportunity depends on upgrade/non-joining</x:v>
      </x:c>
    </x:row>
    <x:row r="117">
      <x:c r="A117" t="str">
        <x:v>Jammu And Kashmir</x:v>
      </x:c>
      <x:c r="B117" t="str">
        <x:v>All India except Central University</x:v>
      </x:c>
      <x:c r="C117" t="str">
        <x:v>200631</x:v>
      </x:c>
      <x:c r="D117" t="str">
        <x:v>Government Medical College, Anantnag, verinag Road Dialgam Anantnag 192210</x:v>
      </x:c>
      <x:c r="E117" t="str">
        <x:v>JK/004/G/1</x:v>
      </x:c>
      <x:c r="F117" t="str">
        <x:v>Government</x:v>
      </x:c>
      <x:c r="G117" t="n">
        <x:v>150</x:v>
      </x:c>
      <x:c r="H117" t="n">
        <x:v>100</x:v>
      </x:c>
      <x:c r="I117" t="str">
        <x:v>High-confidence fuzzy</x:v>
      </x:c>
      <x:c r="J117" t="n">
        <x:v>22</x:v>
      </x:c>
      <x:c r="K117" t="n">
        <x:v>22</x:v>
      </x:c>
      <x:c r="L117" t="n">
        <x:f>J117-K117</x:f>
        <x:v>0</x:v>
      </x:c>
      <x:c r="M117" s="20" t="n">
        <x:f>IFERROR(K117/J117,0)</x:f>
        <x:v>1</x:v>
      </x:c>
      <x:c r="N117" t="n">
        <x:v>22</x:v>
      </x:c>
      <x:c r="O117" t="n">
        <x:v>22</x:v>
      </x:c>
      <x:c r="P117" t="n">
        <x:f>N117-O117</x:f>
        <x:v>0</x:v>
      </x:c>
      <x:c r="Q117" t="n">
        <x:v>0</x:v>
      </x:c>
      <x:c r="R117" t="n">
        <x:v>0</x:v>
      </x:c>
      <x:c r="S117" t="n">
        <x:f>Q117-R117</x:f>
        <x:v>0</x:v>
      </x:c>
      <x:c r="T117" t="n">
        <x:v>22</x:v>
      </x:c>
      <x:c r="U117" t="n">
        <x:v>22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f>IF(AND(ISNUMBER(G117),I117&lt;&gt;"Excluded INI"),MAX(0,G117-J117),"")</x:f>
        <x:v>128</x:v>
      </x:c>
      <x:c r="AC117" t="n">
        <x:v>10654</x:v>
      </x:c>
      <x:c r="AD117" t="n">
        <x:v>14239</x:v>
      </x:c>
      <x:c r="AE117" t="n">
        <x:v>16214</x:v>
      </x:c>
      <x:c r="AF117" t="n">
        <x:v>17065</x:v>
      </x:c>
      <x:c r="AG117" t="n">
        <x:v>17230</x:v>
      </x:c>
      <x:c r="AH117" t="n">
        <x:v>19629</x:v>
      </x:c>
      <x:c r="AI117" t="n">
        <x:v>79742</x:v>
      </x:c>
      <x:c r="AJ117" t="n">
        <x:v>82826</x:v>
      </x:c>
      <x:c r="AK117" t="n">
        <x:v>61092</x:v>
      </x:c>
      <x:c r="AL117" t="n">
        <x:v>62467</x:v>
      </x:c>
      <x:c r="AM117" t="str">
        <x:v>Fully allotted in R1; R2 opportunity depends on upgrade/non-joining</x:v>
      </x:c>
    </x:row>
    <x:row r="118">
      <x:c r="A118" t="str">
        <x:v>Jammu And Kashmir</x:v>
      </x:c>
      <x:c r="B118" t="str">
        <x:v>All India except Central University</x:v>
      </x:c>
      <x:c r="C118" t="str">
        <x:v>200634</x:v>
      </x:c>
      <x:c r="D118" t="str">
        <x:v>Government Medical College, Baramulla, Kanth Bagh Baramulla, Jammu and Kashmir</x:v>
      </x:c>
      <x:c r="E118" t="str">
        <x:v>JK/005/G/1</x:v>
      </x:c>
      <x:c r="F118" t="str">
        <x:v>Government</x:v>
      </x:c>
      <x:c r="G118" t="n">
        <x:v>150</x:v>
      </x:c>
      <x:c r="H118" t="n">
        <x:v>100</x:v>
      </x:c>
      <x:c r="I118" t="str">
        <x:v>High-confidence fuzzy</x:v>
      </x:c>
      <x:c r="J118" t="n">
        <x:v>22</x:v>
      </x:c>
      <x:c r="K118" t="n">
        <x:v>22</x:v>
      </x:c>
      <x:c r="L118" t="n">
        <x:f>J118-K118</x:f>
        <x:v>0</x:v>
      </x:c>
      <x:c r="M118" s="20" t="n">
        <x:f>IFERROR(K118/J118,0)</x:f>
        <x:v>1</x:v>
      </x:c>
      <x:c r="N118" t="n">
        <x:v>22</x:v>
      </x:c>
      <x:c r="O118" t="n">
        <x:v>22</x:v>
      </x:c>
      <x:c r="P118" t="n">
        <x:f>N118-O118</x:f>
        <x:v>0</x:v>
      </x:c>
      <x:c r="Q118" t="n">
        <x:v>0</x:v>
      </x:c>
      <x:c r="R118" t="n">
        <x:v>0</x:v>
      </x:c>
      <x:c r="S118" t="n">
        <x:f>Q118-R118</x:f>
        <x:v>0</x:v>
      </x:c>
      <x:c r="T118" t="n">
        <x:v>22</x:v>
      </x:c>
      <x:c r="U118" t="n">
        <x:v>22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f>IF(AND(ISNUMBER(G118),I118&lt;&gt;"Excluded INI"),MAX(0,G118-J118),"")</x:f>
        <x:v>128</x:v>
      </x:c>
      <x:c r="AC118" t="n">
        <x:v>16604</x:v>
      </x:c>
      <x:c r="AD118" t="n">
        <x:v>17201</x:v>
      </x:c>
      <x:c r="AE118" t="n">
        <x:v>18645</x:v>
      </x:c>
      <x:c r="AF118" t="n">
        <x:v>19064</x:v>
      </x:c>
      <x:c r="AG118" t="n">
        <x:v>19834</x:v>
      </x:c>
      <x:c r="AH118" t="n">
        <x:v>20345</x:v>
      </x:c>
      <x:c r="AI118" t="n">
        <x:v>83941</x:v>
      </x:c>
      <x:c r="AJ118" t="n">
        <x:v>86545</x:v>
      </x:c>
      <x:c r="AK118" t="n">
        <x:v>77590</x:v>
      </x:c>
      <x:c r="AL118" t="n">
        <x:v>77590</x:v>
      </x:c>
      <x:c r="AM118" t="str">
        <x:v>Fully allotted in R1; R2 opportunity depends on upgrade/non-joining</x:v>
      </x:c>
    </x:row>
    <x:row r="119">
      <x:c r="A119" t="str">
        <x:v>Jammu And Kashmir</x:v>
      </x:c>
      <x:c r="B119" t="str">
        <x:v>All India except Central University</x:v>
      </x:c>
      <x:c r="C119" t="str">
        <x:v>200619</x:v>
      </x:c>
      <x:c r="D119" t="str">
        <x:v>Government Medical College, Jammu, GOVERNMENT MEDICAL COLLEGE, BAKSHI NAGAR, JAMMU 180001</x:v>
      </x:c>
      <x:c r="E119" t="str">
        <x:v>JK/006/G/1</x:v>
      </x:c>
      <x:c r="F119" t="str">
        <x:v>Government</x:v>
      </x:c>
      <x:c r="G119" t="n">
        <x:v>250</x:v>
      </x:c>
      <x:c r="H119" t="n">
        <x:v>100</x:v>
      </x:c>
      <x:c r="I119" t="str">
        <x:v>High-confidence fuzzy</x:v>
      </x:c>
      <x:c r="J119" t="n">
        <x:v>37</x:v>
      </x:c>
      <x:c r="K119" t="n">
        <x:v>37</x:v>
      </x:c>
      <x:c r="L119" t="n">
        <x:f>J119-K119</x:f>
        <x:v>0</x:v>
      </x:c>
      <x:c r="M119" s="20" t="n">
        <x:f>IFERROR(K119/J119,0)</x:f>
        <x:v>1</x:v>
      </x:c>
      <x:c r="N119" t="n">
        <x:v>37</x:v>
      </x:c>
      <x:c r="O119" t="n">
        <x:v>37</x:v>
      </x:c>
      <x:c r="P119" t="n">
        <x:f>N119-O119</x:f>
        <x:v>0</x:v>
      </x:c>
      <x:c r="Q119" t="n">
        <x:v>0</x:v>
      </x:c>
      <x:c r="R119" t="n">
        <x:v>0</x:v>
      </x:c>
      <x:c r="S119" t="n">
        <x:f>Q119-R119</x:f>
        <x:v>0</x:v>
      </x:c>
      <x:c r="T119" t="n">
        <x:v>37</x:v>
      </x:c>
      <x:c r="U119" t="n">
        <x:v>37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f>IF(AND(ISNUMBER(G119),I119&lt;&gt;"Excluded INI"),MAX(0,G119-J119),"")</x:f>
        <x:v>213</x:v>
      </x:c>
      <x:c r="AC119" t="n">
        <x:v>6890</x:v>
      </x:c>
      <x:c r="AD119" t="n">
        <x:v>7536</x:v>
      </x:c>
      <x:c r="AE119" t="n">
        <x:v>9142</x:v>
      </x:c>
      <x:c r="AF119" t="n">
        <x:v>9714</x:v>
      </x:c>
      <x:c r="AG119" t="n">
        <x:v>10527</x:v>
      </x:c>
      <x:c r="AH119" t="n">
        <x:v>13085</x:v>
      </x:c>
      <x:c r="AI119" t="n">
        <x:v>37726</x:v>
      </x:c>
      <x:c r="AJ119" t="n">
        <x:v>44165</x:v>
      </x:c>
      <x:c r="AK119" t="n">
        <x:v>43646</x:v>
      </x:c>
      <x:c r="AL119" t="n">
        <x:v>44882</x:v>
      </x:c>
      <x:c r="AM119" t="str">
        <x:v>Fully allotted in R1; R2 opportunity depends on upgrade/non-joining</x:v>
      </x:c>
    </x:row>
    <x:row r="120">
      <x:c r="A120" t="str">
        <x:v>Jammu And Kashmir</x:v>
      </x:c>
      <x:c r="B120" t="str">
        <x:v>All India except Central University</x:v>
      </x:c>
      <x:c r="C120" t="str">
        <x:v>200630</x:v>
      </x:c>
      <x:c r="D120" t="str">
        <x:v>Government Medical College, Kathua, Chak Sajjan Kathua</x:v>
      </x:c>
      <x:c r="E120" t="str">
        <x:v>JK/007/G/1</x:v>
      </x:c>
      <x:c r="F120" t="str">
        <x:v>Government</x:v>
      </x:c>
      <x:c r="G120" t="n">
        <x:v>150</x:v>
      </x:c>
      <x:c r="H120" t="n">
        <x:v>100</x:v>
      </x:c>
      <x:c r="I120" t="str">
        <x:v>High-confidence fuzzy</x:v>
      </x:c>
      <x:c r="J120" t="n">
        <x:v>23</x:v>
      </x:c>
      <x:c r="K120" t="n">
        <x:v>23</x:v>
      </x:c>
      <x:c r="L120" t="n">
        <x:f>J120-K120</x:f>
        <x:v>0</x:v>
      </x:c>
      <x:c r="M120" s="20" t="n">
        <x:f>IFERROR(K120/J120,0)</x:f>
        <x:v>1</x:v>
      </x:c>
      <x:c r="N120" t="n">
        <x:v>23</x:v>
      </x:c>
      <x:c r="O120" t="n">
        <x:v>23</x:v>
      </x:c>
      <x:c r="P120" t="n">
        <x:f>N120-O120</x:f>
        <x:v>0</x:v>
      </x:c>
      <x:c r="Q120" t="n">
        <x:v>0</x:v>
      </x:c>
      <x:c r="R120" t="n">
        <x:v>0</x:v>
      </x:c>
      <x:c r="S120" t="n">
        <x:f>Q120-R120</x:f>
        <x:v>0</x:v>
      </x:c>
      <x:c r="T120" t="n">
        <x:v>23</x:v>
      </x:c>
      <x:c r="U120" t="n">
        <x:v>23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f>IF(AND(ISNUMBER(G120),I120&lt;&gt;"Excluded INI"),MAX(0,G120-J120),"")</x:f>
        <x:v>127</x:v>
      </x:c>
      <x:c r="AC120" t="n">
        <x:v>11804</x:v>
      </x:c>
      <x:c r="AD120" t="n">
        <x:v>12847</x:v>
      </x:c>
      <x:c r="AE120" t="n">
        <x:v>13677</x:v>
      </x:c>
      <x:c r="AF120" t="n">
        <x:v>14153</x:v>
      </x:c>
      <x:c r="AG120" t="n">
        <x:v>17116</x:v>
      </x:c>
      <x:c r="AH120" t="n">
        <x:v>19193</x:v>
      </x:c>
      <x:c r="AI120" t="n">
        <x:v>54180</x:v>
      </x:c>
      <x:c r="AJ120" t="n">
        <x:v>59285</x:v>
      </x:c>
      <x:c r="AK120" t="n">
        <x:v>79647</x:v>
      </x:c>
      <x:c r="AL120" t="n">
        <x:v>82999</x:v>
      </x:c>
      <x:c r="AM120" t="str">
        <x:v>Fully allotted in R1; R2 opportunity depends on upgrade/non-joining</x:v>
      </x:c>
    </x:row>
    <x:row r="121">
      <x:c r="A121" t="str">
        <x:v>Jammu And Kashmir</x:v>
      </x:c>
      <x:c r="B121" t="str">
        <x:v>All India except Central University</x:v>
      </x:c>
      <x:c r="C121" t="str">
        <x:v>200640</x:v>
      </x:c>
      <x:c r="D121" t="str">
        <x:v>Government Medical College, Rajouri, J&amp;K, Government Medical College, Kheora, Mehra, Rajouri, Jammu and Kashmir.</x:v>
      </x:c>
      <x:c r="E121" t="str">
        <x:v>JK/006/G/1</x:v>
      </x:c>
      <x:c r="F121" t="str">
        <x:v>Government</x:v>
      </x:c>
      <x:c r="G121" t="n">
        <x:v>250</x:v>
      </x:c>
      <x:c r="H121" t="n">
        <x:v>100</x:v>
      </x:c>
      <x:c r="I121" t="str">
        <x:v>High-confidence fuzzy</x:v>
      </x:c>
      <x:c r="J121" t="n">
        <x:v>22</x:v>
      </x:c>
      <x:c r="K121" t="n">
        <x:v>22</x:v>
      </x:c>
      <x:c r="L121" t="n">
        <x:f>J121-K121</x:f>
        <x:v>0</x:v>
      </x:c>
      <x:c r="M121" s="20" t="n">
        <x:f>IFERROR(K121/J121,0)</x:f>
        <x:v>1</x:v>
      </x:c>
      <x:c r="N121" t="n">
        <x:v>22</x:v>
      </x:c>
      <x:c r="O121" t="n">
        <x:v>22</x:v>
      </x:c>
      <x:c r="P121" t="n">
        <x:f>N121-O121</x:f>
        <x:v>0</x:v>
      </x:c>
      <x:c r="Q121" t="n">
        <x:v>0</x:v>
      </x:c>
      <x:c r="R121" t="n">
        <x:v>0</x:v>
      </x:c>
      <x:c r="S121" t="n">
        <x:f>Q121-R121</x:f>
        <x:v>0</x:v>
      </x:c>
      <x:c r="T121" t="n">
        <x:v>22</x:v>
      </x:c>
      <x:c r="U121" t="n">
        <x:v>22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f>IF(AND(ISNUMBER(G121),I121&lt;&gt;"Excluded INI"),MAX(0,G121-J121),"")</x:f>
        <x:v>228</x:v>
      </x:c>
      <x:c r="AC121" t="n">
        <x:v>14523</x:v>
      </x:c>
      <x:c r="AD121" t="n">
        <x:v>15628</x:v>
      </x:c>
      <x:c r="AE121" t="n">
        <x:v>16029</x:v>
      </x:c>
      <x:c r="AF121" t="n">
        <x:v>16317</x:v>
      </x:c>
      <x:c r="AG121" t="n">
        <x:v>18043</x:v>
      </x:c>
      <x:c r="AH121" t="n">
        <x:v>20358</x:v>
      </x:c>
      <x:c r="AI121" t="n">
        <x:v>70700</x:v>
      </x:c>
      <x:c r="AJ121" t="n">
        <x:v>76570</x:v>
      </x:c>
      <x:c r="AK121" t="n">
        <x:v>79596</x:v>
      </x:c>
      <x:c r="AL121" t="n">
        <x:v>79596</x:v>
      </x:c>
      <x:c r="AM121" t="str">
        <x:v>Fully allotted in R1; R2 opportunity depends on upgrade/non-joining</x:v>
      </x:c>
    </x:row>
    <x:row r="122">
      <x:c r="A122" t="str">
        <x:v>Jammu And Kashmir</x:v>
      </x:c>
      <x:c r="B122" t="str">
        <x:v>All India except Central University</x:v>
      </x:c>
      <x:c r="C122" t="str">
        <x:v>200629</x:v>
      </x:c>
      <x:c r="D122" t="str">
        <x:v>Government Medical College, Srinagar, Administrative Block Government Medical College Karan Nagar Srinagar</x:v>
      </x:c>
      <x:c r="E122" t="str">
        <x:v>JK/009/G/1</x:v>
      </x:c>
      <x:c r="F122" t="str">
        <x:v>Government</x:v>
      </x:c>
      <x:c r="G122" t="n">
        <x:v>250</x:v>
      </x:c>
      <x:c r="H122" t="n">
        <x:v>100</x:v>
      </x:c>
      <x:c r="I122" t="str">
        <x:v>High-confidence fuzzy</x:v>
      </x:c>
      <x:c r="J122" t="n">
        <x:v>37</x:v>
      </x:c>
      <x:c r="K122" t="n">
        <x:v>37</x:v>
      </x:c>
      <x:c r="L122" t="n">
        <x:f>J122-K122</x:f>
        <x:v>0</x:v>
      </x:c>
      <x:c r="M122" s="20" t="n">
        <x:f>IFERROR(K122/J122,0)</x:f>
        <x:v>1</x:v>
      </x:c>
      <x:c r="N122" t="n">
        <x:v>37</x:v>
      </x:c>
      <x:c r="O122" t="n">
        <x:v>37</x:v>
      </x:c>
      <x:c r="P122" t="n">
        <x:f>N122-O122</x:f>
        <x:v>0</x:v>
      </x:c>
      <x:c r="Q122" t="n">
        <x:v>0</x:v>
      </x:c>
      <x:c r="R122" t="n">
        <x:v>0</x:v>
      </x:c>
      <x:c r="S122" t="n">
        <x:f>Q122-R122</x:f>
        <x:v>0</x:v>
      </x:c>
      <x:c r="T122" t="n">
        <x:v>37</x:v>
      </x:c>
      <x:c r="U122" t="n">
        <x:v>37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f>IF(AND(ISNUMBER(G122),I122&lt;&gt;"Excluded INI"),MAX(0,G122-J122),"")</x:f>
        <x:v>213</x:v>
      </x:c>
      <x:c r="AC122" t="n">
        <x:v>1509</x:v>
      </x:c>
      <x:c r="AD122" t="n">
        <x:v>2800</x:v>
      </x:c>
      <x:c r="AE122" t="n">
        <x:v>6850</x:v>
      </x:c>
      <x:c r="AF122" t="n">
        <x:v>8156</x:v>
      </x:c>
      <x:c r="AG122" t="n">
        <x:v>9284</x:v>
      </x:c>
      <x:c r="AH122" t="n">
        <x:v>10626</x:v>
      </x:c>
      <x:c r="AI122" t="n">
        <x:v>51817</x:v>
      </x:c>
      <x:c r="AJ122" t="n">
        <x:v>55737</x:v>
      </x:c>
      <x:c r="AK122" t="n">
        <x:v>26857</x:v>
      </x:c>
      <x:c r="AL122" t="n">
        <x:v>38413</x:v>
      </x:c>
      <x:c r="AM122" t="str">
        <x:v>Fully allotted in R1; R2 opportunity depends on upgrade/non-joining</x:v>
      </x:c>
    </x:row>
    <x:row r="123">
      <x:c r="A123" t="str">
        <x:v>Jammu And Kashmir</x:v>
      </x:c>
      <x:c r="B123" t="str">
        <x:v>All India except Central University</x:v>
      </x:c>
      <x:c r="C123" t="str">
        <x:v>200639</x:v>
      </x:c>
      <x:c r="D123" t="str">
        <x:v>Govt. Medical College, Doda, Kashmir, Government Medical College &amp; Hospital Ghat Doda</x:v>
      </x:c>
      <x:c r="E123" t="str">
        <x:v>JK/010/G/1</x:v>
      </x:c>
      <x:c r="F123" t="str">
        <x:v>Government</x:v>
      </x:c>
      <x:c r="G123" t="n">
        <x:v>150</x:v>
      </x:c>
      <x:c r="H123" t="n">
        <x:v>100</x:v>
      </x:c>
      <x:c r="I123" t="str">
        <x:v>High-confidence fuzzy</x:v>
      </x:c>
      <x:c r="J123" t="n">
        <x:v>23</x:v>
      </x:c>
      <x:c r="K123" t="n">
        <x:v>23</x:v>
      </x:c>
      <x:c r="L123" t="n">
        <x:f>J123-K123</x:f>
        <x:v>0</x:v>
      </x:c>
      <x:c r="M123" s="20" t="n">
        <x:f>IFERROR(K123/J123,0)</x:f>
        <x:v>1</x:v>
      </x:c>
      <x:c r="N123" t="n">
        <x:v>23</x:v>
      </x:c>
      <x:c r="O123" t="n">
        <x:v>23</x:v>
      </x:c>
      <x:c r="P123" t="n">
        <x:f>N123-O123</x:f>
        <x:v>0</x:v>
      </x:c>
      <x:c r="Q123" t="n">
        <x:v>0</x:v>
      </x:c>
      <x:c r="R123" t="n">
        <x:v>0</x:v>
      </x:c>
      <x:c r="S123" t="n">
        <x:f>Q123-R123</x:f>
        <x:v>0</x:v>
      </x:c>
      <x:c r="T123" t="n">
        <x:v>23</x:v>
      </x:c>
      <x:c r="U123" t="n">
        <x:v>23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f>IF(AND(ISNUMBER(G123),I123&lt;&gt;"Excluded INI"),MAX(0,G123-J123),"")</x:f>
        <x:v>127</x:v>
      </x:c>
      <x:c r="AC123" t="n">
        <x:v>17121</x:v>
      </x:c>
      <x:c r="AD123" t="n">
        <x:v>17923</x:v>
      </x:c>
      <x:c r="AE123" t="n">
        <x:v>18584</x:v>
      </x:c>
      <x:c r="AF123" t="n">
        <x:v>19403</x:v>
      </x:c>
      <x:c r="AG123" t="n">
        <x:v>20524</x:v>
      </x:c>
      <x:c r="AH123" t="n">
        <x:v>20607</x:v>
      </x:c>
      <x:c r="AI123" t="n">
        <x:v>84748</x:v>
      </x:c>
      <x:c r="AJ123" t="n">
        <x:v>86743</x:v>
      </x:c>
      <x:c r="AK123" t="n">
        <x:v>93226</x:v>
      </x:c>
      <x:c r="AL123" t="n">
        <x:v>94899</x:v>
      </x:c>
      <x:c r="AM123" t="str">
        <x:v>Fully allotted in R1; R2 opportunity depends on upgrade/non-joining</x:v>
      </x:c>
    </x:row>
    <x:row r="124">
      <x:c r="A124" t="str">
        <x:v>Jammu And Kashmir</x:v>
      </x:c>
      <x:c r="B124" t="str">
        <x:v>All India except Central University</x:v>
      </x:c>
      <x:c r="C124" t="str">
        <x:v>200621</x:v>
      </x:c>
      <x:c r="D124" t="str">
        <x:v>Sher-I-Kashmir Instt. Of Medical Sciences, Srinagar, SKIMS MC BEMINA , SRINAGAR, JAMMU KASHMIR</x:v>
      </x:c>
      <x:c r="E124" t="str">
        <x:v>JK/011/G/1</x:v>
      </x:c>
      <x:c r="F124" t="str">
        <x:v>Government</x:v>
      </x:c>
      <x:c r="G124" t="n">
        <x:v>125</x:v>
      </x:c>
      <x:c r="H124" t="n">
        <x:v>100</x:v>
      </x:c>
      <x:c r="I124" t="str">
        <x:v>High-confidence fuzzy</x:v>
      </x:c>
      <x:c r="J124" t="n">
        <x:v>22</x:v>
      </x:c>
      <x:c r="K124" t="n">
        <x:v>22</x:v>
      </x:c>
      <x:c r="L124" t="n">
        <x:f>J124-K124</x:f>
        <x:v>0</x:v>
      </x:c>
      <x:c r="M124" s="20" t="n">
        <x:f>IFERROR(K124/J124,0)</x:f>
        <x:v>1</x:v>
      </x:c>
      <x:c r="N124" t="n">
        <x:v>22</x:v>
      </x:c>
      <x:c r="O124" t="n">
        <x:v>22</x:v>
      </x:c>
      <x:c r="P124" t="n">
        <x:f>N124-O124</x:f>
        <x:v>0</x:v>
      </x:c>
      <x:c r="Q124" t="n">
        <x:v>0</x:v>
      </x:c>
      <x:c r="R124" t="n">
        <x:v>0</x:v>
      </x:c>
      <x:c r="S124" t="n">
        <x:f>Q124-R124</x:f>
        <x:v>0</x:v>
      </x:c>
      <x:c r="T124" t="n">
        <x:v>22</x:v>
      </x:c>
      <x:c r="U124" t="n">
        <x:v>22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f>IF(AND(ISNUMBER(G124),I124&lt;&gt;"Excluded INI"),MAX(0,G124-J124),"")</x:f>
        <x:v>103</x:v>
      </x:c>
      <x:c r="AC124" t="n">
        <x:v>4546</x:v>
      </x:c>
      <x:c r="AD124" t="n">
        <x:v>7801</x:v>
      </x:c>
      <x:c r="AE124" t="n">
        <x:v>11702</x:v>
      </x:c>
      <x:c r="AF124" t="n">
        <x:v>12535</x:v>
      </x:c>
      <x:c r="AG124" t="n">
        <x:v>11888</x:v>
      </x:c>
      <x:c r="AH124" t="n">
        <x:v>12817</x:v>
      </x:c>
      <x:c r="AI124" t="n">
        <x:v>72071</x:v>
      </x:c>
      <x:c r="AJ124" t="n">
        <x:v>73278</x:v>
      </x:c>
      <x:c r="AK124" t="n">
        <x:v>48610</x:v>
      </x:c>
      <x:c r="AL124" t="n">
        <x:v>49686</x:v>
      </x:c>
      <x:c r="AM124" t="str">
        <x:v>Fully allotted in R1; R2 opportunity depends on upgrade/non-joining</x:v>
      </x:c>
    </x:row>
    <x:row r="125">
      <x:c r="A125" t="str">
        <x:v>Jharkhand</x:v>
      </x:c>
      <x:c r="B125" t="str">
        <x:v>All India Institute Of Medical Science(AIIMS)</x:v>
      </x:c>
      <x:c r="C125" t="str">
        <x:v>200512</x:v>
      </x:c>
      <x:c r="D125" t="str">
        <x:v>AIIMS, Deogarh , AIIMS Deoghar Devipur, Jharkhand India, PIN - 814152</x:v>
      </x:c>
      <x:c r="E125" t="str"/>
      <x:c r="F125" t="str"/>
      <x:c r="G125"/>
      <x:c r="H125" t="n">
        <x:v>100</x:v>
      </x:c>
      <x:c r="I125" t="str">
        <x:v>Excluded INI</x:v>
      </x:c>
      <x:c r="J125" t="n">
        <x:v>125</x:v>
      </x:c>
      <x:c r="K125" t="n">
        <x:v>125</x:v>
      </x:c>
      <x:c r="L125" t="n">
        <x:f>J125-K125</x:f>
        <x:v>0</x:v>
      </x:c>
      <x:c r="M125" s="20" t="n">
        <x:f>IFERROR(K125/J125,0)</x:f>
        <x:v>1</x:v>
      </x:c>
      <x:c r="N125" t="n">
        <x:v>125</x:v>
      </x:c>
      <x:c r="O125" t="n">
        <x:v>125</x:v>
      </x:c>
      <x:c r="P125" t="n">
        <x:f>N125-O125</x:f>
        <x:v>0</x:v>
      </x:c>
      <x:c r="Q125" t="n">
        <x:v>0</x:v>
      </x:c>
      <x:c r="R125" t="n">
        <x:v>0</x:v>
      </x:c>
      <x:c r="S125" t="n">
        <x:f>Q125-R125</x:f>
        <x:v>0</x:v>
      </x:c>
      <x:c r="T125" t="n">
        <x:v>0</x:v>
      </x:c>
      <x:c r="U125" t="n">
        <x:v>0</x:v>
      </x:c>
      <x:c r="V125" t="n">
        <x:v>125</x:v>
      </x:c>
      <x:c r="W125" t="n">
        <x:v>125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str">
        <x:f>IF(AND(ISNUMBER(G125),I125&lt;&gt;"Excluded INI"),MAX(0,G125-J125),"")</x:f>
      </x:c>
      <x:c r="AC125" t="n">
        <x:v>2844</x:v>
      </x:c>
      <x:c r="AD125" t="n">
        <x:v>3090</x:v>
      </x:c>
      <x:c r="AE125" t="n">
        <x:v>3485</x:v>
      </x:c>
      <x:c r="AF125" t="n">
        <x:v>3771</x:v>
      </x:c>
      <x:c r="AG125" t="n">
        <x:v>4176</x:v>
      </x:c>
      <x:c r="AH125" t="n">
        <x:v>4569</x:v>
      </x:c>
      <x:c r="AI125" t="n">
        <x:v>24034</x:v>
      </x:c>
      <x:c r="AJ125" t="n">
        <x:v>25371</x:v>
      </x:c>
      <x:c r="AK125" t="n">
        <x:v>39511</x:v>
      </x:c>
      <x:c r="AL125" t="n">
        <x:v>40599</x:v>
      </x:c>
      <x:c r="AM125" t="str">
        <x:v>Fully allotted in R1; R2 opportunity depends on upgrade/non-joining</x:v>
      </x:c>
    </x:row>
    <x:row r="126">
      <x:c r="A126" t="str">
        <x:v>Jharkhand</x:v>
      </x:c>
      <x:c r="B126" t="str">
        <x:v>All India except Central University</x:v>
      </x:c>
      <x:c r="C126" t="str">
        <x:v>200583</x:v>
      </x:c>
      <x:c r="D126" t="str">
        <x:v>Dumka Medical College, Dighi Dumka, PHULO JHANO MEDICAL COLLEGE DUMKA, PO- Teliya Chak, PS- Dighi Dumka Jharkhand 814110, Email ID- prin</x:v>
      </x:c>
      <x:c r="E126" t="str">
        <x:v>JH/001/G/1</x:v>
      </x:c>
      <x:c r="F126" t="str">
        <x:v>Government</x:v>
      </x:c>
      <x:c r="G126" t="n">
        <x:v>100</x:v>
      </x:c>
      <x:c r="H126" t="n">
        <x:v>100</x:v>
      </x:c>
      <x:c r="I126" t="str">
        <x:v>High-confidence fuzzy</x:v>
      </x:c>
      <x:c r="J126" t="n">
        <x:v>15</x:v>
      </x:c>
      <x:c r="K126" t="n">
        <x:v>15</x:v>
      </x:c>
      <x:c r="L126" t="n">
        <x:f>J126-K126</x:f>
        <x:v>0</x:v>
      </x:c>
      <x:c r="M126" s="20" t="n">
        <x:f>IFERROR(K126/J126,0)</x:f>
        <x:v>1</x:v>
      </x:c>
      <x:c r="N126" t="n">
        <x:v>15</x:v>
      </x:c>
      <x:c r="O126" t="n">
        <x:v>15</x:v>
      </x:c>
      <x:c r="P126" t="n">
        <x:f>N126-O126</x:f>
        <x:v>0</x:v>
      </x:c>
      <x:c r="Q126" t="n">
        <x:v>0</x:v>
      </x:c>
      <x:c r="R126" t="n">
        <x:v>0</x:v>
      </x:c>
      <x:c r="S126" t="n">
        <x:f>Q126-R126</x:f>
        <x:v>0</x:v>
      </x:c>
      <x:c r="T126" t="n">
        <x:v>15</x:v>
      </x:c>
      <x:c r="U126" t="n">
        <x:v>15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f>IF(AND(ISNUMBER(G126),I126&lt;&gt;"Excluded INI"),MAX(0,G126-J126),"")</x:f>
        <x:v>85</x:v>
      </x:c>
      <x:c r="AC126" t="n">
        <x:v>15615</x:v>
      </x:c>
      <x:c r="AD126" t="n">
        <x:v>16532</x:v>
      </x:c>
      <x:c r="AE126" t="n">
        <x:v>16906</x:v>
      </x:c>
      <x:c r="AF126" t="n">
        <x:v>17016</x:v>
      </x:c>
      <x:c r="AG126" t="n">
        <x:v>18714</x:v>
      </x:c>
      <x:c r="AH126" t="n">
        <x:v>19122</x:v>
      </x:c>
      <x:c r="AI126" t="n">
        <x:v>94820</x:v>
      </x:c>
      <x:c r="AJ126" t="n">
        <x:v>95044</x:v>
      </x:c>
      <x:c r="AK126" t="n">
        <x:v>113535</x:v>
      </x:c>
      <x:c r="AL126" t="n">
        <x:v>113535</x:v>
      </x:c>
      <x:c r="AM126" t="str">
        <x:v>Fully allotted in R1; R2 opportunity depends on upgrade/non-joining</x:v>
      </x:c>
    </x:row>
    <x:row r="127">
      <x:c r="A127" t="str">
        <x:v>Jharkhand</x:v>
      </x:c>
      <x:c r="B127" t="str">
        <x:v>All India except Central University</x:v>
      </x:c>
      <x:c r="C127" t="str">
        <x:v>200586</x:v>
      </x:c>
      <x:c r="D127" t="str">
        <x:v>Hazaribagh Medical College, Hazaribagh, NEAR CENTRAL JAIL, HAZARIBAG</x:v>
      </x:c>
      <x:c r="E127" t="str">
        <x:v>JH/002/G/1</x:v>
      </x:c>
      <x:c r="F127" t="str">
        <x:v>Government</x:v>
      </x:c>
      <x:c r="G127" t="n">
        <x:v>100</x:v>
      </x:c>
      <x:c r="H127" t="n">
        <x:v>100</x:v>
      </x:c>
      <x:c r="I127" t="str">
        <x:v>High-confidence fuzzy</x:v>
      </x:c>
      <x:c r="J127" t="n">
        <x:v>15</x:v>
      </x:c>
      <x:c r="K127" t="n">
        <x:v>15</x:v>
      </x:c>
      <x:c r="L127" t="n">
        <x:f>J127-K127</x:f>
        <x:v>0</x:v>
      </x:c>
      <x:c r="M127" s="20" t="n">
        <x:f>IFERROR(K127/J127,0)</x:f>
        <x:v>1</x:v>
      </x:c>
      <x:c r="N127" t="n">
        <x:v>15</x:v>
      </x:c>
      <x:c r="O127" t="n">
        <x:v>15</x:v>
      </x:c>
      <x:c r="P127" t="n">
        <x:f>N127-O127</x:f>
        <x:v>0</x:v>
      </x:c>
      <x:c r="Q127" t="n">
        <x:v>0</x:v>
      </x:c>
      <x:c r="R127" t="n">
        <x:v>0</x:v>
      </x:c>
      <x:c r="S127" t="n">
        <x:f>Q127-R127</x:f>
        <x:v>0</x:v>
      </x:c>
      <x:c r="T127" t="n">
        <x:v>15</x:v>
      </x:c>
      <x:c r="U127" t="n">
        <x:v>15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f>IF(AND(ISNUMBER(G127),I127&lt;&gt;"Excluded INI"),MAX(0,G127-J127),"")</x:f>
        <x:v>85</x:v>
      </x:c>
      <x:c r="AC127" t="n">
        <x:v>12952</x:v>
      </x:c>
      <x:c r="AD127" t="n">
        <x:v>13628</x:v>
      </x:c>
      <x:c r="AE127" t="n">
        <x:v>14532</x:v>
      </x:c>
      <x:c r="AF127" t="n">
        <x:v>15036</x:v>
      </x:c>
      <x:c r="AG127" t="n">
        <x:v>15023</x:v>
      </x:c>
      <x:c r="AH127" t="n">
        <x:v>15023</x:v>
      </x:c>
      <x:c r="AI127" t="n">
        <x:v>81916</x:v>
      </x:c>
      <x:c r="AJ127" t="n">
        <x:v>84465</x:v>
      </x:c>
      <x:c r="AK127" t="n">
        <x:v>104848</x:v>
      </x:c>
      <x:c r="AL127" t="n">
        <x:v>104848</x:v>
      </x:c>
      <x:c r="AM127" t="str">
        <x:v>Fully allotted in R1; R2 opportunity depends on upgrade/non-joining</x:v>
      </x:c>
    </x:row>
    <x:row r="128">
      <x:c r="A128" t="str">
        <x:v>Jharkhand</x:v>
      </x:c>
      <x:c r="B128" t="str">
        <x:v>All India except Central University</x:v>
      </x:c>
      <x:c r="C128" t="str">
        <x:v>200158</x:v>
      </x:c>
      <x:c r="D128" t="str">
        <x:v>M G M Medical College, Jamshedpur, Dimna Road, Mango, Jamshedpur</x:v>
      </x:c>
      <x:c r="E128" t="str">
        <x:v>JH/004/G/1</x:v>
      </x:c>
      <x:c r="F128" t="str">
        <x:v>Government</x:v>
      </x:c>
      <x:c r="G128" t="n">
        <x:v>150</x:v>
      </x:c>
      <x:c r="H128" t="n">
        <x:v>100</x:v>
      </x:c>
      <x:c r="I128" t="str">
        <x:v>High-confidence fuzzy</x:v>
      </x:c>
      <x:c r="J128" t="n">
        <x:v>23</x:v>
      </x:c>
      <x:c r="K128" t="n">
        <x:v>23</x:v>
      </x:c>
      <x:c r="L128" t="n">
        <x:f>J128-K128</x:f>
        <x:v>0</x:v>
      </x:c>
      <x:c r="M128" s="20" t="n">
        <x:f>IFERROR(K128/J128,0)</x:f>
        <x:v>1</x:v>
      </x:c>
      <x:c r="N128" t="n">
        <x:v>23</x:v>
      </x:c>
      <x:c r="O128" t="n">
        <x:v>23</x:v>
      </x:c>
      <x:c r="P128" t="n">
        <x:f>N128-O128</x:f>
        <x:v>0</x:v>
      </x:c>
      <x:c r="Q128" t="n">
        <x:v>0</x:v>
      </x:c>
      <x:c r="R128" t="n">
        <x:v>0</x:v>
      </x:c>
      <x:c r="S128" t="n">
        <x:f>Q128-R128</x:f>
        <x:v>0</x:v>
      </x:c>
      <x:c r="T128" t="n">
        <x:v>23</x:v>
      </x:c>
      <x:c r="U128" t="n">
        <x:v>23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f>IF(AND(ISNUMBER(G128),I128&lt;&gt;"Excluded INI"),MAX(0,G128-J128),"")</x:f>
        <x:v>127</x:v>
      </x:c>
      <x:c r="AC128" t="n">
        <x:v>7106</x:v>
      </x:c>
      <x:c r="AD128" t="n">
        <x:v>7919</x:v>
      </x:c>
      <x:c r="AE128" t="n">
        <x:v>8734</x:v>
      </x:c>
      <x:c r="AF128" t="n">
        <x:v>9118</x:v>
      </x:c>
      <x:c r="AG128" t="n">
        <x:v>8862</x:v>
      </x:c>
      <x:c r="AH128" t="n">
        <x:v>9429</x:v>
      </x:c>
      <x:c r="AI128" t="n">
        <x:v>58628</x:v>
      </x:c>
      <x:c r="AJ128" t="n">
        <x:v>58644</x:v>
      </x:c>
      <x:c r="AK128" t="n">
        <x:v>59397</x:v>
      </x:c>
      <x:c r="AL128" t="n">
        <x:v>59397</x:v>
      </x:c>
      <x:c r="AM128" t="str">
        <x:v>Fully allotted in R1; R2 opportunity depends on upgrade/non-joining</x:v>
      </x:c>
    </x:row>
    <x:row r="129">
      <x:c r="A129" t="str">
        <x:v>Jharkhand</x:v>
      </x:c>
      <x:c r="B129" t="str">
        <x:v>Deemed University</x:v>
      </x:c>
      <x:c r="C129" t="str">
        <x:v>200528</x:v>
      </x:c>
      <x:c r="D129" t="str">
        <x:v>Manipal Tata Medical College,Baridih Jameshedpur, Kadani Road, Baridih, Jamshedpur, East Singbhum District</x:v>
      </x:c>
      <x:c r="E129" t="str">
        <x:v>JH/005/P/3</x:v>
      </x:c>
      <x:c r="F129" t="str">
        <x:v>Private</x:v>
      </x:c>
      <x:c r="G129" t="n">
        <x:v>250</x:v>
      </x:c>
      <x:c r="H129" t="n">
        <x:v>100</x:v>
      </x:c>
      <x:c r="I129" t="str">
        <x:v>High-confidence fuzzy</x:v>
      </x:c>
      <x:c r="J129" t="n">
        <x:v>225</x:v>
      </x:c>
      <x:c r="K129" t="n">
        <x:v>214</x:v>
      </x:c>
      <x:c r="L129" t="n">
        <x:f>J129-K129</x:f>
        <x:v>11</x:v>
      </x:c>
      <x:c r="M129" s="20" t="n">
        <x:f>IFERROR(K129/J129,0)</x:f>
        <x:v>0.9511111111111111</x:v>
      </x:c>
      <x:c r="N129" t="n">
        <x:v>0</x:v>
      </x:c>
      <x:c r="O129" t="n">
        <x:v>0</x:v>
      </x:c>
      <x:c r="P129" t="n">
        <x:f>N129-O129</x:f>
        <x:v>0</x:v>
      </x:c>
      <x:c r="Q129" t="n">
        <x:v>225</x:v>
      </x:c>
      <x:c r="R129" t="n">
        <x:v>214</x:v>
      </x:c>
      <x:c r="S129" t="n">
        <x:f>Q129-R129</x:f>
        <x:v>11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210</x:v>
      </x:c>
      <x:c r="Y129" t="n">
        <x:v>210</x:v>
      </x:c>
      <x:c r="Z129" t="n">
        <x:v>15</x:v>
      </x:c>
      <x:c r="AA129" t="n">
        <x:v>4</x:v>
      </x:c>
      <x:c r="AB129" t="n">
        <x:f>IF(AND(ISNUMBER(G129),I129&lt;&gt;"Excluded INI"),MAX(0,G129-J129),"")</x:f>
        <x:v>25</x:v>
      </x:c>
      <x:c r="AC129" t="n">
        <x:v>88185</x:v>
      </x:c>
      <x:c r="AD129" t="n">
        <x:v>978771</x:v>
      </x:c>
      <x:c r="AE129"/>
      <x:c r="AF129"/>
      <x:c r="AG129"/>
      <x:c r="AH129"/>
      <x:c r="AI129"/>
      <x:c r="AJ129"/>
      <x:c r="AK129"/>
      <x:c r="AL129"/>
      <x:c r="AM129" t="str">
        <x:v>Unfilled mainly private/NRI/minority; regular R2 depends on movement</x:v>
      </x:c>
    </x:row>
    <x:row r="130">
      <x:c r="A130" t="str">
        <x:v>Jharkhand</x:v>
      </x:c>
      <x:c r="B130" t="str">
        <x:v>All India except Central University</x:v>
      </x:c>
      <x:c r="C130" t="str">
        <x:v>200584</x:v>
      </x:c>
      <x:c r="D130" t="str">
        <x:v>Palamu Medical College, Palamu, Pokhraha Khurd, P.O- Rajwadih, P.S- Medininagar, Dist. Palamu</x:v>
      </x:c>
      <x:c r="E130" t="str">
        <x:v>JH/007/G/1</x:v>
      </x:c>
      <x:c r="F130" t="str">
        <x:v>Government</x:v>
      </x:c>
      <x:c r="G130" t="n">
        <x:v>100</x:v>
      </x:c>
      <x:c r="H130" t="n">
        <x:v>100</x:v>
      </x:c>
      <x:c r="I130" t="str">
        <x:v>High-confidence fuzzy</x:v>
      </x:c>
      <x:c r="J130" t="n">
        <x:v>15</x:v>
      </x:c>
      <x:c r="K130" t="n">
        <x:v>15</x:v>
      </x:c>
      <x:c r="L130" t="n">
        <x:f>J130-K130</x:f>
        <x:v>0</x:v>
      </x:c>
      <x:c r="M130" s="20" t="n">
        <x:f>IFERROR(K130/J130,0)</x:f>
        <x:v>1</x:v>
      </x:c>
      <x:c r="N130" t="n">
        <x:v>15</x:v>
      </x:c>
      <x:c r="O130" t="n">
        <x:v>15</x:v>
      </x:c>
      <x:c r="P130" t="n">
        <x:f>N130-O130</x:f>
        <x:v>0</x:v>
      </x:c>
      <x:c r="Q130" t="n">
        <x:v>0</x:v>
      </x:c>
      <x:c r="R130" t="n">
        <x:v>0</x:v>
      </x:c>
      <x:c r="S130" t="n">
        <x:f>Q130-R130</x:f>
        <x:v>0</x:v>
      </x:c>
      <x:c r="T130" t="n">
        <x:v>15</x:v>
      </x:c>
      <x:c r="U130" t="n">
        <x:v>15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f>IF(AND(ISNUMBER(G130),I130&lt;&gt;"Excluded INI"),MAX(0,G130-J130),"")</x:f>
        <x:v>85</x:v>
      </x:c>
      <x:c r="AC130" t="n">
        <x:v>15813</x:v>
      </x:c>
      <x:c r="AD130" t="n">
        <x:v>16968</x:v>
      </x:c>
      <x:c r="AE130" t="n">
        <x:v>17353</x:v>
      </x:c>
      <x:c r="AF130" t="n">
        <x:v>17637</x:v>
      </x:c>
      <x:c r="AG130" t="n">
        <x:v>19660</x:v>
      </x:c>
      <x:c r="AH130" t="n">
        <x:v>19660</x:v>
      </x:c>
      <x:c r="AI130" t="n">
        <x:v>91374</x:v>
      </x:c>
      <x:c r="AJ130" t="n">
        <x:v>92259</x:v>
      </x:c>
      <x:c r="AK130" t="n">
        <x:v>107362</x:v>
      </x:c>
      <x:c r="AL130" t="n">
        <x:v>107362</x:v>
      </x:c>
      <x:c r="AM130" t="str">
        <x:v>Fully allotted in R1; R2 opportunity depends on upgrade/non-joining</x:v>
      </x:c>
    </x:row>
    <x:row r="131">
      <x:c r="A131" t="str">
        <x:v>Jharkhand</x:v>
      </x:c>
      <x:c r="B131" t="str">
        <x:v>All India except Central University</x:v>
      </x:c>
      <x:c r="C131" t="str">
        <x:v>200160</x:v>
      </x:c>
      <x:c r="D131" t="str">
        <x:v>Rajendra Institute of Medical Sciences, Ranchi, Director, Rajendra Institute of Medical Sciences, Bariatu,Ranchi</x:v>
      </x:c>
      <x:c r="E131" t="str">
        <x:v>JH/008/G/1</x:v>
      </x:c>
      <x:c r="F131" t="str">
        <x:v>Government</x:v>
      </x:c>
      <x:c r="G131" t="n">
        <x:v>250</x:v>
      </x:c>
      <x:c r="H131" t="n">
        <x:v>100</x:v>
      </x:c>
      <x:c r="I131" t="str">
        <x:v>High-confidence fuzzy</x:v>
      </x:c>
      <x:c r="J131" t="n">
        <x:v>37</x:v>
      </x:c>
      <x:c r="K131" t="n">
        <x:v>37</x:v>
      </x:c>
      <x:c r="L131" t="n">
        <x:f>J131-K131</x:f>
        <x:v>0</x:v>
      </x:c>
      <x:c r="M131" s="20" t="n">
        <x:f>IFERROR(K131/J131,0)</x:f>
        <x:v>1</x:v>
      </x:c>
      <x:c r="N131" t="n">
        <x:v>37</x:v>
      </x:c>
      <x:c r="O131" t="n">
        <x:v>37</x:v>
      </x:c>
      <x:c r="P131" t="n">
        <x:f>N131-O131</x:f>
        <x:v>0</x:v>
      </x:c>
      <x:c r="Q131" t="n">
        <x:v>0</x:v>
      </x:c>
      <x:c r="R131" t="n">
        <x:v>0</x:v>
      </x:c>
      <x:c r="S131" t="n">
        <x:f>Q131-R131</x:f>
        <x:v>0</x:v>
      </x:c>
      <x:c r="T131" t="n">
        <x:v>37</x:v>
      </x:c>
      <x:c r="U131" t="n">
        <x:v>37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f>IF(AND(ISNUMBER(G131),I131&lt;&gt;"Excluded INI"),MAX(0,G131-J131),"")</x:f>
        <x:v>213</x:v>
      </x:c>
      <x:c r="AC131" t="n">
        <x:v>4732</x:v>
      </x:c>
      <x:c r="AD131" t="n">
        <x:v>5035</x:v>
      </x:c>
      <x:c r="AE131" t="n">
        <x:v>5292</x:v>
      </x:c>
      <x:c r="AF131" t="n">
        <x:v>6419</x:v>
      </x:c>
      <x:c r="AG131" t="n">
        <x:v>5762</x:v>
      </x:c>
      <x:c r="AH131" t="n">
        <x:v>5876</x:v>
      </x:c>
      <x:c r="AI131" t="n">
        <x:v>30706</x:v>
      </x:c>
      <x:c r="AJ131" t="n">
        <x:v>46265</x:v>
      </x:c>
      <x:c r="AK131" t="n">
        <x:v>54876</x:v>
      </x:c>
      <x:c r="AL131" t="n">
        <x:v>58497</x:v>
      </x:c>
      <x:c r="AM131" t="str">
        <x:v>Fully allotted in R1; R2 opportunity depends on upgrade/non-joining</x:v>
      </x:c>
    </x:row>
    <x:row r="132">
      <x:c r="A132" t="str">
        <x:v>Jharkhand</x:v>
      </x:c>
      <x:c r="B132" t="str">
        <x:v>All India except Central University</x:v>
      </x:c>
      <x:c r="C132" t="str">
        <x:v>200159</x:v>
      </x:c>
      <x:c r="D132" t="str">
        <x:v>Shaheed Nirmal Mahto Medical College &amp; Hospital, Dhanbad (formely known as Patliputra Medical College, Dhanbad), PO BCCL TOWNSHIP KOYLANAGAR DHANBAD</x:v>
      </x:c>
      <x:c r="E132" t="str">
        <x:v>JH/009/G/1</x:v>
      </x:c>
      <x:c r="F132" t="str">
        <x:v>Government</x:v>
      </x:c>
      <x:c r="G132" t="n">
        <x:v>100</x:v>
      </x:c>
      <x:c r="H132" t="n">
        <x:v>100</x:v>
      </x:c>
      <x:c r="I132" t="str">
        <x:v>High-confidence fuzzy</x:v>
      </x:c>
      <x:c r="J132" t="n">
        <x:v>15</x:v>
      </x:c>
      <x:c r="K132" t="n">
        <x:v>15</x:v>
      </x:c>
      <x:c r="L132" t="n">
        <x:f>J132-K132</x:f>
        <x:v>0</x:v>
      </x:c>
      <x:c r="M132" s="20" t="n">
        <x:f>IFERROR(K132/J132,0)</x:f>
        <x:v>1</x:v>
      </x:c>
      <x:c r="N132" t="n">
        <x:v>15</x:v>
      </x:c>
      <x:c r="O132" t="n">
        <x:v>15</x:v>
      </x:c>
      <x:c r="P132" t="n">
        <x:f>N132-O132</x:f>
        <x:v>0</x:v>
      </x:c>
      <x:c r="Q132" t="n">
        <x:v>0</x:v>
      </x:c>
      <x:c r="R132" t="n">
        <x:v>0</x:v>
      </x:c>
      <x:c r="S132" t="n">
        <x:f>Q132-R132</x:f>
        <x:v>0</x:v>
      </x:c>
      <x:c r="T132" t="n">
        <x:v>15</x:v>
      </x:c>
      <x:c r="U132" t="n">
        <x:v>15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f>IF(AND(ISNUMBER(G132),I132&lt;&gt;"Excluded INI"),MAX(0,G132-J132),"")</x:f>
        <x:v>85</x:v>
      </x:c>
      <x:c r="AC132" t="n">
        <x:v>10171</x:v>
      </x:c>
      <x:c r="AD132" t="n">
        <x:v>10317</x:v>
      </x:c>
      <x:c r="AE132" t="n">
        <x:v>11387</x:v>
      </x:c>
      <x:c r="AF132" t="n">
        <x:v>11914</x:v>
      </x:c>
      <x:c r="AG132" t="n">
        <x:v>11287</x:v>
      </x:c>
      <x:c r="AH132" t="n">
        <x:v>11287</x:v>
      </x:c>
      <x:c r="AI132" t="n">
        <x:v>68692</x:v>
      </x:c>
      <x:c r="AJ132" t="n">
        <x:v>68961</x:v>
      </x:c>
      <x:c r="AK132" t="n">
        <x:v>86570</x:v>
      </x:c>
      <x:c r="AL132" t="n">
        <x:v>100458</x:v>
      </x:c>
      <x:c r="AM132" t="str">
        <x:v>Fully allotted in R1; R2 opportunity depends on upgrade/non-joining</x:v>
      </x:c>
    </x:row>
    <x:row r="133">
      <x:c r="A133" t="str">
        <x:v>Karnataka</x:v>
      </x:c>
      <x:c r="B133" t="str">
        <x:v>All India except Central University</x:v>
      </x:c>
      <x:c r="C133" t="str">
        <x:v>200161</x:v>
      </x:c>
      <x:c r="D133" t="str">
        <x:v>Bangalore Medical College and Research Institute, Bangalore, K R ROAD FORT BENGALURU</x:v>
      </x:c>
      <x:c r="E133" t="str">
        <x:v>KA/005/G/1</x:v>
      </x:c>
      <x:c r="F133" t="str">
        <x:v>Government</x:v>
      </x:c>
      <x:c r="G133" t="n">
        <x:v>250</x:v>
      </x:c>
      <x:c r="H133" t="n">
        <x:v>100</x:v>
      </x:c>
      <x:c r="I133" t="str">
        <x:v>High-confidence fuzzy</x:v>
      </x:c>
      <x:c r="J133" t="n">
        <x:v>37</x:v>
      </x:c>
      <x:c r="K133" t="n">
        <x:v>37</x:v>
      </x:c>
      <x:c r="L133" t="n">
        <x:f>J133-K133</x:f>
        <x:v>0</x:v>
      </x:c>
      <x:c r="M133" s="20" t="n">
        <x:f>IFERROR(K133/J133,0)</x:f>
        <x:v>1</x:v>
      </x:c>
      <x:c r="N133" t="n">
        <x:v>37</x:v>
      </x:c>
      <x:c r="O133" t="n">
        <x:v>37</x:v>
      </x:c>
      <x:c r="P133" t="n">
        <x:f>N133-O133</x:f>
        <x:v>0</x:v>
      </x:c>
      <x:c r="Q133" t="n">
        <x:v>0</x:v>
      </x:c>
      <x:c r="R133" t="n">
        <x:v>0</x:v>
      </x:c>
      <x:c r="S133" t="n">
        <x:f>Q133-R133</x:f>
        <x:v>0</x:v>
      </x:c>
      <x:c r="T133" t="n">
        <x:v>37</x:v>
      </x:c>
      <x:c r="U133" t="n">
        <x:v>37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f>IF(AND(ISNUMBER(G133),I133&lt;&gt;"Excluded INI"),MAX(0,G133-J133),"")</x:f>
        <x:v>213</x:v>
      </x:c>
      <x:c r="AC133" t="n">
        <x:v>1211</x:v>
      </x:c>
      <x:c r="AD133" t="n">
        <x:v>1774</x:v>
      </x:c>
      <x:c r="AE133" t="n">
        <x:v>2616</x:v>
      </x:c>
      <x:c r="AF133" t="n">
        <x:v>3240</x:v>
      </x:c>
      <x:c r="AG133" t="n">
        <x:v>2517</x:v>
      </x:c>
      <x:c r="AH133" t="n">
        <x:v>3222</x:v>
      </x:c>
      <x:c r="AI133" t="n">
        <x:v>20890</x:v>
      </x:c>
      <x:c r="AJ133" t="n">
        <x:v>22693</x:v>
      </x:c>
      <x:c r="AK133" t="n">
        <x:v>10226</x:v>
      </x:c>
      <x:c r="AL133" t="n">
        <x:v>18289</x:v>
      </x:c>
      <x:c r="AM133" t="str">
        <x:v>Fully allotted in R1; R2 opportunity depends on upgrade/non-joining</x:v>
      </x:c>
    </x:row>
    <x:row r="134">
      <x:c r="A134" t="str">
        <x:v>Karnataka</x:v>
      </x:c>
      <x:c r="B134" t="str">
        <x:v>All India except Central University</x:v>
      </x:c>
      <x:c r="C134" t="str">
        <x:v>200162</x:v>
      </x:c>
      <x:c r="D134" t="str">
        <x:v>Belagavi Institute of Medical Sciences, Belagavi, DR B R AMBEDKAR ROAD BELAGAVI.</x:v>
      </x:c>
      <x:c r="E134" t="str">
        <x:v>KA/007/G/1</x:v>
      </x:c>
      <x:c r="F134" t="str">
        <x:v>Government</x:v>
      </x:c>
      <x:c r="G134" t="n">
        <x:v>200</x:v>
      </x:c>
      <x:c r="H134" t="n">
        <x:v>100</x:v>
      </x:c>
      <x:c r="I134" t="str">
        <x:v>High-confidence fuzzy</x:v>
      </x:c>
      <x:c r="J134" t="n">
        <x:v>30</x:v>
      </x:c>
      <x:c r="K134" t="n">
        <x:v>30</x:v>
      </x:c>
      <x:c r="L134" t="n">
        <x:f>J134-K134</x:f>
        <x:v>0</x:v>
      </x:c>
      <x:c r="M134" s="20" t="n">
        <x:f>IFERROR(K134/J134,0)</x:f>
        <x:v>1</x:v>
      </x:c>
      <x:c r="N134" t="n">
        <x:v>30</x:v>
      </x:c>
      <x:c r="O134" t="n">
        <x:v>30</x:v>
      </x:c>
      <x:c r="P134" t="n">
        <x:f>N134-O134</x:f>
        <x:v>0</x:v>
      </x:c>
      <x:c r="Q134" t="n">
        <x:v>0</x:v>
      </x:c>
      <x:c r="R134" t="n">
        <x:v>0</x:v>
      </x:c>
      <x:c r="S134" t="n">
        <x:f>Q134-R134</x:f>
        <x:v>0</x:v>
      </x:c>
      <x:c r="T134" t="n">
        <x:v>30</x:v>
      </x:c>
      <x:c r="U134" t="n">
        <x:v>30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f>IF(AND(ISNUMBER(G134),I134&lt;&gt;"Excluded INI"),MAX(0,G134-J134),"")</x:f>
        <x:v>170</x:v>
      </x:c>
      <x:c r="AC134" t="n">
        <x:v>7918</x:v>
      </x:c>
      <x:c r="AD134" t="n">
        <x:v>9305</x:v>
      </x:c>
      <x:c r="AE134" t="n">
        <x:v>10815</x:v>
      </x:c>
      <x:c r="AF134" t="n">
        <x:v>12391</x:v>
      </x:c>
      <x:c r="AG134" t="n">
        <x:v>13861</x:v>
      </x:c>
      <x:c r="AH134" t="n">
        <x:v>14117</x:v>
      </x:c>
      <x:c r="AI134" t="n">
        <x:v>57011</x:v>
      </x:c>
      <x:c r="AJ134" t="n">
        <x:v>61291</x:v>
      </x:c>
      <x:c r="AK134" t="n">
        <x:v>56302</x:v>
      </x:c>
      <x:c r="AL134" t="n">
        <x:v>66065</x:v>
      </x:c>
      <x:c r="AM134" t="str">
        <x:v>Fully allotted in R1; R2 opportunity depends on upgrade/non-joining</x:v>
      </x:c>
    </x:row>
    <x:row r="135">
      <x:c r="A135" t="str">
        <x:v>Karnataka</x:v>
      </x:c>
      <x:c r="B135" t="str">
        <x:v>All India except Central University</x:v>
      </x:c>
      <x:c r="C135" t="str">
        <x:v>200163</x:v>
      </x:c>
      <x:c r="D135" t="str">
        <x:v>Bidar Institute of Medical Sciences, Bidar, BIDAR INSTITUTE OF MEDICAL SCIENCES BIDAR UDGIR ROAD BIDAR-585401</x:v>
      </x:c>
      <x:c r="E135" t="str">
        <x:v>KA/010/G/1</x:v>
      </x:c>
      <x:c r="F135" t="str">
        <x:v>Government</x:v>
      </x:c>
      <x:c r="G135" t="n">
        <x:v>200</x:v>
      </x:c>
      <x:c r="H135" t="n">
        <x:v>100</x:v>
      </x:c>
      <x:c r="I135" t="str">
        <x:v>High-confidence fuzzy</x:v>
      </x:c>
      <x:c r="J135" t="n">
        <x:v>30</x:v>
      </x:c>
      <x:c r="K135" t="n">
        <x:v>30</x:v>
      </x:c>
      <x:c r="L135" t="n">
        <x:f>J135-K135</x:f>
        <x:v>0</x:v>
      </x:c>
      <x:c r="M135" s="20" t="n">
        <x:f>IFERROR(K135/J135,0)</x:f>
        <x:v>1</x:v>
      </x:c>
      <x:c r="N135" t="n">
        <x:v>30</x:v>
      </x:c>
      <x:c r="O135" t="n">
        <x:v>30</x:v>
      </x:c>
      <x:c r="P135" t="n">
        <x:f>N135-O135</x:f>
        <x:v>0</x:v>
      </x:c>
      <x:c r="Q135" t="n">
        <x:v>0</x:v>
      </x:c>
      <x:c r="R135" t="n">
        <x:v>0</x:v>
      </x:c>
      <x:c r="S135" t="n">
        <x:f>Q135-R135</x:f>
        <x:v>0</x:v>
      </x:c>
      <x:c r="T135" t="n">
        <x:v>30</x:v>
      </x:c>
      <x:c r="U135" t="n">
        <x:v>30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f>IF(AND(ISNUMBER(G135),I135&lt;&gt;"Excluded INI"),MAX(0,G135-J135),"")</x:f>
        <x:v>170</x:v>
      </x:c>
      <x:c r="AC135" t="n">
        <x:v>15665</x:v>
      </x:c>
      <x:c r="AD135" t="n">
        <x:v>16205</x:v>
      </x:c>
      <x:c r="AE135" t="n">
        <x:v>16568</x:v>
      </x:c>
      <x:c r="AF135" t="n">
        <x:v>16916</x:v>
      </x:c>
      <x:c r="AG135" t="n">
        <x:v>20177</x:v>
      </x:c>
      <x:c r="AH135" t="n">
        <x:v>20641</x:v>
      </x:c>
      <x:c r="AI135" t="n">
        <x:v>82974</x:v>
      </x:c>
      <x:c r="AJ135" t="n">
        <x:v>84763</x:v>
      </x:c>
      <x:c r="AK135" t="n">
        <x:v>65342</x:v>
      </x:c>
      <x:c r="AL135" t="n">
        <x:v>82572</x:v>
      </x:c>
      <x:c r="AM135" t="str">
        <x:v>Fully allotted in R1; R2 opportunity depends on upgrade/non-joining</x:v>
      </x:c>
    </x:row>
    <x:row r="136">
      <x:c r="A136" t="str">
        <x:v>Karnataka</x:v>
      </x:c>
      <x:c r="B136" t="str">
        <x:v>All India except Central University</x:v>
      </x:c>
      <x:c r="C136" t="str">
        <x:v>200164</x:v>
      </x:c>
      <x:c r="D136" t="str">
        <x:v>Chamrajanagar Institute of Medical Sciences, Karnataka, SY NO.124, YEDAPURA VILLAGE , KASABA HOBLI, CHAMARAJANAGARA TALUK AND DISTRICT</x:v>
      </x:c>
      <x:c r="E136" t="str">
        <x:v>KA/011/G/1</x:v>
      </x:c>
      <x:c r="F136" t="str">
        <x:v>Government</x:v>
      </x:c>
      <x:c r="G136" t="n">
        <x:v>150</x:v>
      </x:c>
      <x:c r="H136" t="n">
        <x:v>100</x:v>
      </x:c>
      <x:c r="I136" t="str">
        <x:v>High-confidence fuzzy</x:v>
      </x:c>
      <x:c r="J136" t="n">
        <x:v>22</x:v>
      </x:c>
      <x:c r="K136" t="n">
        <x:v>22</x:v>
      </x:c>
      <x:c r="L136" t="n">
        <x:f>J136-K136</x:f>
        <x:v>0</x:v>
      </x:c>
      <x:c r="M136" s="20" t="n">
        <x:f>IFERROR(K136/J136,0)</x:f>
        <x:v>1</x:v>
      </x:c>
      <x:c r="N136" t="n">
        <x:v>22</x:v>
      </x:c>
      <x:c r="O136" t="n">
        <x:v>22</x:v>
      </x:c>
      <x:c r="P136" t="n">
        <x:f>N136-O136</x:f>
        <x:v>0</x:v>
      </x:c>
      <x:c r="Q136" t="n">
        <x:v>0</x:v>
      </x:c>
      <x:c r="R136" t="n">
        <x:v>0</x:v>
      </x:c>
      <x:c r="S136" t="n">
        <x:f>Q136-R136</x:f>
        <x:v>0</x:v>
      </x:c>
      <x:c r="T136" t="n">
        <x:v>22</x:v>
      </x:c>
      <x:c r="U136" t="n">
        <x:v>22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f>IF(AND(ISNUMBER(G136),I136&lt;&gt;"Excluded INI"),MAX(0,G136-J136),"")</x:f>
        <x:v>128</x:v>
      </x:c>
      <x:c r="AC136" t="n">
        <x:v>13322</x:v>
      </x:c>
      <x:c r="AD136" t="n">
        <x:v>15575</x:v>
      </x:c>
      <x:c r="AE136" t="n">
        <x:v>16236</x:v>
      </x:c>
      <x:c r="AF136" t="n">
        <x:v>16473</x:v>
      </x:c>
      <x:c r="AG136" t="n">
        <x:v>19144</x:v>
      </x:c>
      <x:c r="AH136" t="n">
        <x:v>19464</x:v>
      </x:c>
      <x:c r="AI136" t="n">
        <x:v>79102</x:v>
      </x:c>
      <x:c r="AJ136" t="n">
        <x:v>82990</x:v>
      </x:c>
      <x:c r="AK136" t="n">
        <x:v>86386</x:v>
      </x:c>
      <x:c r="AL136" t="n">
        <x:v>86890</x:v>
      </x:c>
      <x:c r="AM136" t="str">
        <x:v>Fully allotted in R1; R2 opportunity depends on upgrade/non-joining</x:v>
      </x:c>
    </x:row>
    <x:row r="137">
      <x:c r="A137" t="str">
        <x:v>Karnataka</x:v>
      </x:c>
      <x:c r="B137" t="str">
        <x:v>Deemed University</x:v>
      </x:c>
      <x:c r="C137" t="str">
        <x:v>904743</x:v>
      </x:c>
      <x:c r="D137" t="str">
        <x:v>Chettinad Institute of Medical Education and Research, D.K Plantation, BEML Nagar, Kolar Gold Fields – Kolar</x:v>
      </x:c>
      <x:c r="E137" t="str">
        <x:v>New Establishment</x:v>
      </x:c>
      <x:c r="F137" t="str">
        <x:v>Private</x:v>
      </x:c>
      <x:c r="G137" t="n">
        <x:v>100</x:v>
      </x:c>
      <x:c r="H137" t="n">
        <x:v>100</x:v>
      </x:c>
      <x:c r="I137" t="str">
        <x:v>High-confidence fuzzy</x:v>
      </x:c>
      <x:c r="J137" t="n">
        <x:v>100</x:v>
      </x:c>
      <x:c r="K137" t="n">
        <x:v>100</x:v>
      </x:c>
      <x:c r="L137" t="n">
        <x:f>J137-K137</x:f>
        <x:v>0</x:v>
      </x:c>
      <x:c r="M137" s="20" t="n">
        <x:f>IFERROR(K137/J137,0)</x:f>
        <x:v>1</x:v>
      </x:c>
      <x:c r="N137" t="n">
        <x:v>0</x:v>
      </x:c>
      <x:c r="O137" t="n">
        <x:v>0</x:v>
      </x:c>
      <x:c r="P137" t="n">
        <x:f>N137-O137</x:f>
        <x:v>0</x:v>
      </x:c>
      <x:c r="Q137" t="n">
        <x:v>100</x:v>
      </x:c>
      <x:c r="R137" t="n">
        <x:v>100</x:v>
      </x:c>
      <x:c r="S137" t="n">
        <x:f>Q137-R137</x:f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100</x:v>
      </x:c>
      <x:c r="Y137" t="n">
        <x:v>100</x:v>
      </x:c>
      <x:c r="Z137" t="n">
        <x:v>0</x:v>
      </x:c>
      <x:c r="AA137" t="n">
        <x:v>0</x:v>
      </x:c>
      <x:c r="AB137" t="n">
        <x:f>IF(AND(ISNUMBER(G137),I137&lt;&gt;"Excluded INI"),MAX(0,G137-J137),"")</x:f>
        <x:v>0</x:v>
      </x:c>
      <x:c r="AC137" t="n">
        <x:v>468102</x:v>
      </x:c>
      <x:c r="AD137" t="n">
        <x:v>524239</x:v>
      </x:c>
      <x:c r="AE137"/>
      <x:c r="AF137"/>
      <x:c r="AG137"/>
      <x:c r="AH137"/>
      <x:c r="AI137"/>
      <x:c r="AJ137"/>
      <x:c r="AK137"/>
      <x:c r="AL137"/>
      <x:c r="AM137" t="str">
        <x:v>Fully allotted in R1; R2 opportunity depends on upgrade/non-joining</x:v>
      </x:c>
    </x:row>
    <x:row r="138">
      <x:c r="A138" t="str">
        <x:v>Karnataka</x:v>
      </x:c>
      <x:c r="B138" t="str">
        <x:v>All India except Central University</x:v>
      </x:c>
      <x:c r="C138" t="str">
        <x:v>200608</x:v>
      </x:c>
      <x:c r="D138" t="str">
        <x:v>Chikkamagaluru Institute of Medical Sciences, Chikkamagaluru, Director, Chikkamagaluru Institute of Medical Sciences, Teguru, Chikkamagaluru, Karnataka-577133.</x:v>
      </x:c>
      <x:c r="E138" t="str">
        <x:v>KA/013/G/1</x:v>
      </x:c>
      <x:c r="F138" t="str">
        <x:v>Government</x:v>
      </x:c>
      <x:c r="G138" t="n">
        <x:v>150</x:v>
      </x:c>
      <x:c r="H138" t="n">
        <x:v>100</x:v>
      </x:c>
      <x:c r="I138" t="str">
        <x:v>High-confidence fuzzy</x:v>
      </x:c>
      <x:c r="J138" t="n">
        <x:v>22</x:v>
      </x:c>
      <x:c r="K138" t="n">
        <x:v>22</x:v>
      </x:c>
      <x:c r="L138" t="n">
        <x:f>J138-K138</x:f>
        <x:v>0</x:v>
      </x:c>
      <x:c r="M138" s="20" t="n">
        <x:f>IFERROR(K138/J138,0)</x:f>
        <x:v>1</x:v>
      </x:c>
      <x:c r="N138" t="n">
        <x:v>22</x:v>
      </x:c>
      <x:c r="O138" t="n">
        <x:v>22</x:v>
      </x:c>
      <x:c r="P138" t="n">
        <x:f>N138-O138</x:f>
        <x:v>0</x:v>
      </x:c>
      <x:c r="Q138" t="n">
        <x:v>0</x:v>
      </x:c>
      <x:c r="R138" t="n">
        <x:v>0</x:v>
      </x:c>
      <x:c r="S138" t="n">
        <x:f>Q138-R138</x:f>
        <x:v>0</x:v>
      </x:c>
      <x:c r="T138" t="n">
        <x:v>22</x:v>
      </x:c>
      <x:c r="U138" t="n">
        <x:v>22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f>IF(AND(ISNUMBER(G138),I138&lt;&gt;"Excluded INI"),MAX(0,G138-J138),"")</x:f>
        <x:v>128</x:v>
      </x:c>
      <x:c r="AC138" t="n">
        <x:v>15834</x:v>
      </x:c>
      <x:c r="AD138" t="n">
        <x:v>16971</x:v>
      </x:c>
      <x:c r="AE138" t="n">
        <x:v>17905</x:v>
      </x:c>
      <x:c r="AF138" t="n">
        <x:v>18222</x:v>
      </x:c>
      <x:c r="AG138" t="n">
        <x:v>22202</x:v>
      </x:c>
      <x:c r="AH138" t="n">
        <x:v>24349</x:v>
      </x:c>
      <x:c r="AI138" t="n">
        <x:v>86823</x:v>
      </x:c>
      <x:c r="AJ138" t="n">
        <x:v>88153</x:v>
      </x:c>
      <x:c r="AK138" t="n">
        <x:v>88441</x:v>
      </x:c>
      <x:c r="AL138" t="n">
        <x:v>88441</x:v>
      </x:c>
      <x:c r="AM138" t="str">
        <x:v>Fully allotted in R1; R2 opportunity depends on upgrade/non-joining</x:v>
      </x:c>
    </x:row>
    <x:row r="139">
      <x:c r="A139" t="str">
        <x:v>Karnataka</x:v>
      </x:c>
      <x:c r="B139" t="str">
        <x:v>All India except Central University</x:v>
      </x:c>
      <x:c r="C139" t="str">
        <x:v>200682</x:v>
      </x:c>
      <x:c r="D139" t="str">
        <x:v>Chitradurga Medical College and Research Institute, P B Road Chitradurga</x:v>
      </x:c>
      <x:c r="E139" t="str">
        <x:v>KA/014/G/1</x:v>
      </x:c>
      <x:c r="F139" t="str">
        <x:v>Government</x:v>
      </x:c>
      <x:c r="G139" t="n">
        <x:v>150</x:v>
      </x:c>
      <x:c r="H139" t="n">
        <x:v>100</x:v>
      </x:c>
      <x:c r="I139" t="str">
        <x:v>High-confidence fuzzy</x:v>
      </x:c>
      <x:c r="J139" t="n">
        <x:v>23</x:v>
      </x:c>
      <x:c r="K139" t="n">
        <x:v>23</x:v>
      </x:c>
      <x:c r="L139" t="n">
        <x:f>J139-K139</x:f>
        <x:v>0</x:v>
      </x:c>
      <x:c r="M139" s="20" t="n">
        <x:f>IFERROR(K139/J139,0)</x:f>
        <x:v>1</x:v>
      </x:c>
      <x:c r="N139" t="n">
        <x:v>23</x:v>
      </x:c>
      <x:c r="O139" t="n">
        <x:v>23</x:v>
      </x:c>
      <x:c r="P139" t="n">
        <x:f>N139-O139</x:f>
        <x:v>0</x:v>
      </x:c>
      <x:c r="Q139" t="n">
        <x:v>0</x:v>
      </x:c>
      <x:c r="R139" t="n">
        <x:v>0</x:v>
      </x:c>
      <x:c r="S139" t="n">
        <x:f>Q139-R139</x:f>
        <x:v>0</x:v>
      </x:c>
      <x:c r="T139" t="n">
        <x:v>23</x:v>
      </x:c>
      <x:c r="U139" t="n">
        <x:v>23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f>IF(AND(ISNUMBER(G139),I139&lt;&gt;"Excluded INI"),MAX(0,G139-J139),"")</x:f>
        <x:v>127</x:v>
      </x:c>
      <x:c r="AC139" t="n">
        <x:v>17823</x:v>
      </x:c>
      <x:c r="AD139" t="n">
        <x:v>18095</x:v>
      </x:c>
      <x:c r="AE139" t="n">
        <x:v>19426</x:v>
      </x:c>
      <x:c r="AF139" t="n">
        <x:v>19639</x:v>
      </x:c>
      <x:c r="AG139" t="n">
        <x:v>24873</x:v>
      </x:c>
      <x:c r="AH139" t="n">
        <x:v>25025</x:v>
      </x:c>
      <x:c r="AI139" t="n">
        <x:v>91475</x:v>
      </x:c>
      <x:c r="AJ139" t="n">
        <x:v>91603</x:v>
      </x:c>
      <x:c r="AK139" t="n">
        <x:v>101934</x:v>
      </x:c>
      <x:c r="AL139" t="n">
        <x:v>111487</x:v>
      </x:c>
      <x:c r="AM139" t="str">
        <x:v>Fully allotted in R1; R2 opportunity depends on upgrade/non-joining</x:v>
      </x:c>
    </x:row>
    <x:row r="140">
      <x:c r="A140" t="str">
        <x:v>Karnataka</x:v>
      </x:c>
      <x:c r="B140" t="str">
        <x:v>Employees State Insurance Scheme</x:v>
      </x:c>
      <x:c r="C140" t="str">
        <x:v>200165</x:v>
      </x:c>
      <x:c r="D140" t="str">
        <x:v>Employees State Insurance Corporation Medical College, Bangalore, ESIC Medical College and Hospital, Rajajinagar, Bengaluru-560010</x:v>
      </x:c>
      <x:c r="E140" t="str">
        <x:v>KA/018/G/1</x:v>
      </x:c>
      <x:c r="F140" t="str">
        <x:v>Government</x:v>
      </x:c>
      <x:c r="G140" t="n">
        <x:v>150</x:v>
      </x:c>
      <x:c r="H140" t="n">
        <x:v>100</x:v>
      </x:c>
      <x:c r="I140" t="str">
        <x:v>High-confidence fuzzy</x:v>
      </x:c>
      <x:c r="J140" t="n">
        <x:v>90</x:v>
      </x:c>
      <x:c r="K140" t="n">
        <x:v>86</x:v>
      </x:c>
      <x:c r="L140" t="n">
        <x:f>J140-K140</x:f>
        <x:v>4</x:v>
      </x:c>
      <x:c r="M140" s="20" t="n">
        <x:f>IFERROR(K140/J140,0)</x:f>
        <x:v>0.9555555555555556</x:v>
      </x:c>
      <x:c r="N140" t="n">
        <x:v>90</x:v>
      </x:c>
      <x:c r="O140" t="n">
        <x:v>86</x:v>
      </x:c>
      <x:c r="P140" t="n">
        <x:f>N140-O140</x:f>
        <x:v>4</x:v>
      </x:c>
      <x:c r="Q140" t="n">
        <x:v>0</x:v>
      </x:c>
      <x:c r="R140" t="n">
        <x:v>0</x:v>
      </x:c>
      <x:c r="S140" t="n">
        <x:f>Q140-R140</x:f>
        <x:v>0</x:v>
      </x:c>
      <x:c r="T140" t="n">
        <x:v>22</x:v>
      </x:c>
      <x:c r="U140" t="n">
        <x:v>22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f>IF(AND(ISNUMBER(G140),I140&lt;&gt;"Excluded INI"),MAX(0,G140-J140),"")</x:f>
        <x:v>60</x:v>
      </x:c>
      <x:c r="AC140" t="n">
        <x:v>18052</x:v>
      </x:c>
      <x:c r="AD140" t="n">
        <x:v>27537</x:v>
      </x:c>
      <x:c r="AE140" t="n">
        <x:v>26016</x:v>
      </x:c>
      <x:c r="AF140" t="n">
        <x:v>35552</x:v>
      </x:c>
      <x:c r="AG140" t="n">
        <x:v>25024</x:v>
      </x:c>
      <x:c r="AH140" t="n">
        <x:v>33077</x:v>
      </x:c>
      <x:c r="AI140" t="n">
        <x:v>129089</x:v>
      </x:c>
      <x:c r="AJ140" t="n">
        <x:v>183364</x:v>
      </x:c>
      <x:c r="AK140" t="n">
        <x:v>132835</x:v>
      </x:c>
      <x:c r="AL140" t="n">
        <x:v>234452</x:v>
      </x:c>
      <x:c r="AM140" t="str">
        <x:v>R1 regular-central gap visible; verify in official R2 matrix</x:v>
      </x:c>
    </x:row>
    <x:row r="141">
      <x:c r="A141" t="str">
        <x:v>Karnataka</x:v>
      </x:c>
      <x:c r="B141" t="str">
        <x:v>Employees State Insurance Scheme</x:v>
      </x:c>
      <x:c r="C141" t="str">
        <x:v>200413</x:v>
      </x:c>
      <x:c r="D141" t="str">
        <x:v>Employees State Insurance Corporation Medical College, Gulbarga, ESIC Medical College and Hospital, Sedam Road Gulbarga-585106 Karnataka</x:v>
      </x:c>
      <x:c r="E141" t="str">
        <x:v>KA/019/G/1</x:v>
      </x:c>
      <x:c r="F141" t="str">
        <x:v>Government</x:v>
      </x:c>
      <x:c r="G141" t="n">
        <x:v>150</x:v>
      </x:c>
      <x:c r="H141" t="n">
        <x:v>100</x:v>
      </x:c>
      <x:c r="I141" t="str">
        <x:v>High-confidence fuzzy</x:v>
      </x:c>
      <x:c r="J141" t="n">
        <x:v>90</x:v>
      </x:c>
      <x:c r="K141" t="n">
        <x:v>87</x:v>
      </x:c>
      <x:c r="L141" t="n">
        <x:f>J141-K141</x:f>
        <x:v>3</x:v>
      </x:c>
      <x:c r="M141" s="20" t="n">
        <x:f>IFERROR(K141/J141,0)</x:f>
        <x:v>0.9666666666666667</x:v>
      </x:c>
      <x:c r="N141" t="n">
        <x:v>90</x:v>
      </x:c>
      <x:c r="O141" t="n">
        <x:v>87</x:v>
      </x:c>
      <x:c r="P141" t="n">
        <x:f>N141-O141</x:f>
        <x:v>3</x:v>
      </x:c>
      <x:c r="Q141" t="n">
        <x:v>0</x:v>
      </x:c>
      <x:c r="R141" t="n">
        <x:v>0</x:v>
      </x:c>
      <x:c r="S141" t="n">
        <x:f>Q141-R141</x:f>
        <x:v>0</x:v>
      </x:c>
      <x:c r="T141" t="n">
        <x:v>22</x:v>
      </x:c>
      <x:c r="U141" t="n">
        <x:v>21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f>IF(AND(ISNUMBER(G141),I141&lt;&gt;"Excluded INI"),MAX(0,G141-J141),"")</x:f>
        <x:v>60</x:v>
      </x:c>
      <x:c r="AC141" t="n">
        <x:v>29889</x:v>
      </x:c>
      <x:c r="AD141" t="n">
        <x:v>38773</x:v>
      </x:c>
      <x:c r="AE141" t="n">
        <x:v>37357</x:v>
      </x:c>
      <x:c r="AF141" t="n">
        <x:v>46882</x:v>
      </x:c>
      <x:c r="AG141" t="n">
        <x:v>35499</x:v>
      </x:c>
      <x:c r="AH141" t="n">
        <x:v>45639</x:v>
      </x:c>
      <x:c r="AI141" t="n">
        <x:v>167723</x:v>
      </x:c>
      <x:c r="AJ141" t="n">
        <x:v>195304</x:v>
      </x:c>
      <x:c r="AK141" t="n">
        <x:v>294823</x:v>
      </x:c>
      <x:c r="AL141" t="n">
        <x:v>314665</x:v>
      </x:c>
      <x:c r="AM141" t="str">
        <x:v>R1 regular-central gap visible; verify in official R2 matrix</x:v>
      </x:c>
    </x:row>
    <x:row r="142">
      <x:c r="A142" t="str">
        <x:v>Karnataka</x:v>
      </x:c>
      <x:c r="B142" t="str">
        <x:v>All India except Central University</x:v>
      </x:c>
      <x:c r="C142" t="str">
        <x:v>200171</x:v>
      </x:c>
      <x:c r="D142" t="str">
        <x:v>Gulbarga Institute of Medical Sciences, Gulbarga, Gulbarga Institute of Medical Sciences, Veeresh Nagar, Sedam Road, Kalaburagi</x:v>
      </x:c>
      <x:c r="E142" t="str">
        <x:v>KA/022/G/1</x:v>
      </x:c>
      <x:c r="F142" t="str">
        <x:v>Government</x:v>
      </x:c>
      <x:c r="G142" t="n">
        <x:v>200</x:v>
      </x:c>
      <x:c r="H142" t="n">
        <x:v>100</x:v>
      </x:c>
      <x:c r="I142" t="str">
        <x:v>High-confidence fuzzy</x:v>
      </x:c>
      <x:c r="J142" t="n">
        <x:v>30</x:v>
      </x:c>
      <x:c r="K142" t="n">
        <x:v>30</x:v>
      </x:c>
      <x:c r="L142" t="n">
        <x:f>J142-K142</x:f>
        <x:v>0</x:v>
      </x:c>
      <x:c r="M142" s="20" t="n">
        <x:f>IFERROR(K142/J142,0)</x:f>
        <x:v>1</x:v>
      </x:c>
      <x:c r="N142" t="n">
        <x:v>30</x:v>
      </x:c>
      <x:c r="O142" t="n">
        <x:v>30</x:v>
      </x:c>
      <x:c r="P142" t="n">
        <x:f>N142-O142</x:f>
        <x:v>0</x:v>
      </x:c>
      <x:c r="Q142" t="n">
        <x:v>0</x:v>
      </x:c>
      <x:c r="R142" t="n">
        <x:v>0</x:v>
      </x:c>
      <x:c r="S142" t="n">
        <x:f>Q142-R142</x:f>
        <x:v>0</x:v>
      </x:c>
      <x:c r="T142" t="n">
        <x:v>30</x:v>
      </x:c>
      <x:c r="U142" t="n">
        <x:v>30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f>IF(AND(ISNUMBER(G142),I142&lt;&gt;"Excluded INI"),MAX(0,G142-J142),"")</x:f>
        <x:v>170</x:v>
      </x:c>
      <x:c r="AC142" t="n">
        <x:v>13458</x:v>
      </x:c>
      <x:c r="AD142" t="n">
        <x:v>14131</x:v>
      </x:c>
      <x:c r="AE142" t="n">
        <x:v>15213</x:v>
      </x:c>
      <x:c r="AF142" t="n">
        <x:v>15581</x:v>
      </x:c>
      <x:c r="AG142" t="n">
        <x:v>18273</x:v>
      </x:c>
      <x:c r="AH142" t="n">
        <x:v>18967</x:v>
      </x:c>
      <x:c r="AI142" t="n">
        <x:v>71718</x:v>
      </x:c>
      <x:c r="AJ142" t="n">
        <x:v>79120</x:v>
      </x:c>
      <x:c r="AK142" t="n">
        <x:v>88412</x:v>
      </x:c>
      <x:c r="AL142" t="n">
        <x:v>90804</x:v>
      </x:c>
      <x:c r="AM142" t="str">
        <x:v>Fully allotted in R1; R2 opportunity depends on upgrade/non-joining</x:v>
      </x:c>
    </x:row>
    <x:row r="143">
      <x:c r="A143" t="str">
        <x:v>Karnataka</x:v>
      </x:c>
      <x:c r="B143" t="str">
        <x:v>All India except Central University</x:v>
      </x:c>
      <x:c r="C143" t="str">
        <x:v>200172</x:v>
      </x:c>
      <x:c r="D143" t="str">
        <x:v>Hassan Institute of Medical Sciences, Hassan, K R PURAM, BEHIND DC OFFICE,HASSAN</x:v>
      </x:c>
      <x:c r="E143" t="str">
        <x:v>KA/023/G/1</x:v>
      </x:c>
      <x:c r="F143" t="str">
        <x:v>Government</x:v>
      </x:c>
      <x:c r="G143" t="n">
        <x:v>200</x:v>
      </x:c>
      <x:c r="H143" t="n">
        <x:v>100</x:v>
      </x:c>
      <x:c r="I143" t="str">
        <x:v>High-confidence fuzzy</x:v>
      </x:c>
      <x:c r="J143" t="n">
        <x:v>30</x:v>
      </x:c>
      <x:c r="K143" t="n">
        <x:v>30</x:v>
      </x:c>
      <x:c r="L143" t="n">
        <x:f>J143-K143</x:f>
        <x:v>0</x:v>
      </x:c>
      <x:c r="M143" s="20" t="n">
        <x:f>IFERROR(K143/J143,0)</x:f>
        <x:v>1</x:v>
      </x:c>
      <x:c r="N143" t="n">
        <x:v>30</x:v>
      </x:c>
      <x:c r="O143" t="n">
        <x:v>30</x:v>
      </x:c>
      <x:c r="P143" t="n">
        <x:f>N143-O143</x:f>
        <x:v>0</x:v>
      </x:c>
      <x:c r="Q143" t="n">
        <x:v>0</x:v>
      </x:c>
      <x:c r="R143" t="n">
        <x:v>0</x:v>
      </x:c>
      <x:c r="S143" t="n">
        <x:f>Q143-R143</x:f>
        <x:v>0</x:v>
      </x:c>
      <x:c r="T143" t="n">
        <x:v>30</x:v>
      </x:c>
      <x:c r="U143" t="n">
        <x:v>30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f>IF(AND(ISNUMBER(G143),I143&lt;&gt;"Excluded INI"),MAX(0,G143-J143),"")</x:f>
        <x:v>170</x:v>
      </x:c>
      <x:c r="AC143" t="n">
        <x:v>8247</x:v>
      </x:c>
      <x:c r="AD143" t="n">
        <x:v>9640</x:v>
      </x:c>
      <x:c r="AE143" t="n">
        <x:v>11131</x:v>
      </x:c>
      <x:c r="AF143" t="n">
        <x:v>12445</x:v>
      </x:c>
      <x:c r="AG143" t="n">
        <x:v>15950</x:v>
      </x:c>
      <x:c r="AH143" t="n">
        <x:v>17353</x:v>
      </x:c>
      <x:c r="AI143" t="n">
        <x:v>61440</x:v>
      </x:c>
      <x:c r="AJ143" t="n">
        <x:v>64794</x:v>
      </x:c>
      <x:c r="AK143" t="n">
        <x:v>72275</x:v>
      </x:c>
      <x:c r="AL143" t="n">
        <x:v>80842</x:v>
      </x:c>
      <x:c r="AM143" t="str">
        <x:v>Fully allotted in R1; R2 opportunity depends on upgrade/non-joining</x:v>
      </x:c>
    </x:row>
    <x:row r="144">
      <x:c r="A144" t="str">
        <x:v>Karnataka</x:v>
      </x:c>
      <x:c r="B144" t="str">
        <x:v>All India except Central University</x:v>
      </x:c>
      <x:c r="C144" t="str">
        <x:v>200610</x:v>
      </x:c>
      <x:c r="D144" t="str">
        <x:v>Haveri Institute of Medical Sciences, Haveri, Devagiri-Yellapura, Haveri-581110, Karnataka</x:v>
      </x:c>
      <x:c r="E144" t="str">
        <x:v>KA/024/G/1</x:v>
      </x:c>
      <x:c r="F144" t="str">
        <x:v>Government</x:v>
      </x:c>
      <x:c r="G144" t="n">
        <x:v>150</x:v>
      </x:c>
      <x:c r="H144" t="n">
        <x:v>100</x:v>
      </x:c>
      <x:c r="I144" t="str">
        <x:v>High-confidence fuzzy</x:v>
      </x:c>
      <x:c r="J144" t="n">
        <x:v>22</x:v>
      </x:c>
      <x:c r="K144" t="n">
        <x:v>22</x:v>
      </x:c>
      <x:c r="L144" t="n">
        <x:f>J144-K144</x:f>
        <x:v>0</x:v>
      </x:c>
      <x:c r="M144" s="20" t="n">
        <x:f>IFERROR(K144/J144,0)</x:f>
        <x:v>1</x:v>
      </x:c>
      <x:c r="N144" t="n">
        <x:v>22</x:v>
      </x:c>
      <x:c r="O144" t="n">
        <x:v>22</x:v>
      </x:c>
      <x:c r="P144" t="n">
        <x:f>N144-O144</x:f>
        <x:v>0</x:v>
      </x:c>
      <x:c r="Q144" t="n">
        <x:v>0</x:v>
      </x:c>
      <x:c r="R144" t="n">
        <x:v>0</x:v>
      </x:c>
      <x:c r="S144" t="n">
        <x:f>Q144-R144</x:f>
        <x:v>0</x:v>
      </x:c>
      <x:c r="T144" t="n">
        <x:v>22</x:v>
      </x:c>
      <x:c r="U144" t="n">
        <x:v>22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f>IF(AND(ISNUMBER(G144),I144&lt;&gt;"Excluded INI"),MAX(0,G144-J144),"")</x:f>
        <x:v>128</x:v>
      </x:c>
      <x:c r="AC144" t="n">
        <x:v>17912</x:v>
      </x:c>
      <x:c r="AD144" t="n">
        <x:v>18115</x:v>
      </x:c>
      <x:c r="AE144" t="n">
        <x:v>19081</x:v>
      </x:c>
      <x:c r="AF144" t="n">
        <x:v>19595</x:v>
      </x:c>
      <x:c r="AG144" t="n">
        <x:v>24324</x:v>
      </x:c>
      <x:c r="AH144" t="n">
        <x:v>24664</x:v>
      </x:c>
      <x:c r="AI144" t="n">
        <x:v>96181</x:v>
      </x:c>
      <x:c r="AJ144" t="n">
        <x:v>96727</x:v>
      </x:c>
      <x:c r="AK144" t="n">
        <x:v>97532</x:v>
      </x:c>
      <x:c r="AL144" t="n">
        <x:v>97532</x:v>
      </x:c>
      <x:c r="AM144" t="str">
        <x:v>Fully allotted in R1; R2 opportunity depends on upgrade/non-joining</x:v>
      </x:c>
    </x:row>
    <x:row r="145">
      <x:c r="A145" t="str">
        <x:v>Karnataka</x:v>
      </x:c>
      <x:c r="B145" t="str">
        <x:v>Deemed University</x:v>
      </x:c>
      <x:c r="C145" t="str">
        <x:v>200337</x:v>
      </x:c>
      <x:c r="D145" t="str">
        <x:v>JSS Medical College, Mysore, The Principal JSS Medical College and Hospital Medical Institutions Campus S S Nagar Mysuru</x:v>
      </x:c>
      <x:c r="E145" t="str">
        <x:v>KA/028/P/4</x:v>
      </x:c>
      <x:c r="F145" t="str">
        <x:v>Private</x:v>
      </x:c>
      <x:c r="G145" t="n">
        <x:v>250</x:v>
      </x:c>
      <x:c r="H145" t="n">
        <x:v>100</x:v>
      </x:c>
      <x:c r="I145" t="str">
        <x:v>High-confidence fuzzy</x:v>
      </x:c>
      <x:c r="J145" t="n">
        <x:v>237</x:v>
      </x:c>
      <x:c r="K145" t="n">
        <x:v>213</x:v>
      </x:c>
      <x:c r="L145" t="n">
        <x:f>J145-K145</x:f>
        <x:v>24</x:v>
      </x:c>
      <x:c r="M145" s="20" t="n">
        <x:f>IFERROR(K145/J145,0)</x:f>
        <x:v>0.8987341772151899</x:v>
      </x:c>
      <x:c r="N145" t="n">
        <x:v>0</x:v>
      </x:c>
      <x:c r="O145" t="n">
        <x:v>0</x:v>
      </x:c>
      <x:c r="P145" t="n">
        <x:f>N145-O145</x:f>
        <x:v>0</x:v>
      </x:c>
      <x:c r="Q145" t="n">
        <x:v>237</x:v>
      </x:c>
      <x:c r="R145" t="n">
        <x:v>213</x:v>
      </x:c>
      <x:c r="S145" t="n">
        <x:f>Q145-R145</x:f>
        <x:v>24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199</x:v>
      </x:c>
      <x:c r="Y145" t="n">
        <x:v>199</x:v>
      </x:c>
      <x:c r="Z145" t="n">
        <x:v>38</x:v>
      </x:c>
      <x:c r="AA145" t="n">
        <x:v>14</x:v>
      </x:c>
      <x:c r="AB145" t="n">
        <x:f>IF(AND(ISNUMBER(G145),I145&lt;&gt;"Excluded INI"),MAX(0,G145-J145),"")</x:f>
        <x:v>13</x:v>
      </x:c>
      <x:c r="AC145" t="n">
        <x:v>150459</x:v>
      </x:c>
      <x:c r="AD145" t="n">
        <x:v>949610</x:v>
      </x:c>
      <x:c r="AE145"/>
      <x:c r="AF145"/>
      <x:c r="AG145"/>
      <x:c r="AH145"/>
      <x:c r="AI145"/>
      <x:c r="AJ145"/>
      <x:c r="AK145"/>
      <x:c r="AL145"/>
      <x:c r="AM145" t="str">
        <x:v>Unfilled mainly private/NRI/minority; regular R2 depends on movement</x:v>
      </x:c>
    </x:row>
    <x:row r="146">
      <x:c r="A146" t="str">
        <x:v>Karnataka</x:v>
      </x:c>
      <x:c r="B146" t="str">
        <x:v>Deemed University</x:v>
      </x:c>
      <x:c r="C146" t="str">
        <x:v>200536</x:v>
      </x:c>
      <x:c r="D146" t="str">
        <x:v>Jagadguru Gangadhar Mahaswamigalu Moorusavirmath Medical College JGMMMC, KLE Jagadguru Gangadhar Mahaswamigalu Moorusavirmath Medical College Gabbur Cross Hubballi</x:v>
      </x:c>
      <x:c r="E146" t="str">
        <x:v>KA/025/P/4</x:v>
      </x:c>
      <x:c r="F146" t="str">
        <x:v>Private</x:v>
      </x:c>
      <x:c r="G146" t="n">
        <x:v>250</x:v>
      </x:c>
      <x:c r="H146" t="n">
        <x:v>100</x:v>
      </x:c>
      <x:c r="I146" t="str">
        <x:v>High-confidence fuzzy</x:v>
      </x:c>
      <x:c r="J146" t="n">
        <x:v>213</x:v>
      </x:c>
      <x:c r="K146" t="n">
        <x:v>176</x:v>
      </x:c>
      <x:c r="L146" t="n">
        <x:f>J146-K146</x:f>
        <x:v>37</x:v>
      </x:c>
      <x:c r="M146" s="20" t="n">
        <x:f>IFERROR(K146/J146,0)</x:f>
        <x:v>0.8262910798122066</x:v>
      </x:c>
      <x:c r="N146" t="n">
        <x:v>0</x:v>
      </x:c>
      <x:c r="O146" t="n">
        <x:v>0</x:v>
      </x:c>
      <x:c r="P146" t="n">
        <x:f>N146-O146</x:f>
        <x:v>0</x:v>
      </x:c>
      <x:c r="Q146" t="n">
        <x:v>213</x:v>
      </x:c>
      <x:c r="R146" t="n">
        <x:v>176</x:v>
      </x:c>
      <x:c r="S146" t="n">
        <x:f>Q146-R146</x:f>
        <x:v>37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176</x:v>
      </x:c>
      <x:c r="Y146" t="n">
        <x:v>176</x:v>
      </x:c>
      <x:c r="Z146" t="n">
        <x:v>37</x:v>
      </x:c>
      <x:c r="AA146" t="n">
        <x:v>0</x:v>
      </x:c>
      <x:c r="AB146" t="n">
        <x:f>IF(AND(ISNUMBER(G146),I146&lt;&gt;"Excluded INI"),MAX(0,G146-J146),"")</x:f>
        <x:v>37</x:v>
      </x:c>
      <x:c r="AC146" t="n">
        <x:v>332257</x:v>
      </x:c>
      <x:c r="AD146" t="n">
        <x:v>419036</x:v>
      </x:c>
      <x:c r="AE146"/>
      <x:c r="AF146"/>
      <x:c r="AG146"/>
      <x:c r="AH146"/>
      <x:c r="AI146"/>
      <x:c r="AJ146"/>
      <x:c r="AK146"/>
      <x:c r="AL146"/>
      <x:c r="AM146" t="str">
        <x:v>Unfilled mainly private/NRI/minority; regular R2 depends on movement</x:v>
      </x:c>
    </x:row>
    <x:row r="147">
      <x:c r="A147" t="str">
        <x:v>Karnataka</x:v>
      </x:c>
      <x:c r="B147" t="str">
        <x:v>Deemed University</x:v>
      </x:c>
      <x:c r="C147" t="str">
        <x:v>200335</x:v>
      </x:c>
      <x:c r="D147" t="str">
        <x:v>Jawaharlal Nehru Medical College, Belgaum, J.N. Medical College Campus, Nehru Nagar, Belagavi-590010. Karnataka, India.</x:v>
      </x:c>
      <x:c r="E147" t="str">
        <x:v>KA/026/P/4</x:v>
      </x:c>
      <x:c r="F147" t="str">
        <x:v>Private</x:v>
      </x:c>
      <x:c r="G147" t="n">
        <x:v>250</x:v>
      </x:c>
      <x:c r="H147" t="n">
        <x:v>100</x:v>
      </x:c>
      <x:c r="I147" t="str">
        <x:v>High-confidence fuzzy</x:v>
      </x:c>
      <x:c r="J147" t="n">
        <x:v>238</x:v>
      </x:c>
      <x:c r="K147" t="n">
        <x:v>209</x:v>
      </x:c>
      <x:c r="L147" t="n">
        <x:f>J147-K147</x:f>
        <x:v>29</x:v>
      </x:c>
      <x:c r="M147" s="20" t="n">
        <x:f>IFERROR(K147/J147,0)</x:f>
        <x:v>0.8781512605042017</x:v>
      </x:c>
      <x:c r="N147" t="n">
        <x:v>0</x:v>
      </x:c>
      <x:c r="O147" t="n">
        <x:v>0</x:v>
      </x:c>
      <x:c r="P147" t="n">
        <x:f>N147-O147</x:f>
        <x:v>0</x:v>
      </x:c>
      <x:c r="Q147" t="n">
        <x:v>238</x:v>
      </x:c>
      <x:c r="R147" t="n">
        <x:v>209</x:v>
      </x:c>
      <x:c r="S147" t="n">
        <x:f>Q147-R147</x:f>
        <x:v>29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201</x:v>
      </x:c>
      <x:c r="Y147" t="n">
        <x:v>201</x:v>
      </x:c>
      <x:c r="Z147" t="n">
        <x:v>37</x:v>
      </x:c>
      <x:c r="AA147" t="n">
        <x:v>8</x:v>
      </x:c>
      <x:c r="AB147" t="n">
        <x:f>IF(AND(ISNUMBER(G147),I147&lt;&gt;"Excluded INI"),MAX(0,G147-J147),"")</x:f>
        <x:v>12</x:v>
      </x:c>
      <x:c r="AC147" t="n">
        <x:v>163637</x:v>
      </x:c>
      <x:c r="AD147" t="n">
        <x:v>773030</x:v>
      </x:c>
      <x:c r="AE147"/>
      <x:c r="AF147"/>
      <x:c r="AG147"/>
      <x:c r="AH147"/>
      <x:c r="AI147"/>
      <x:c r="AJ147"/>
      <x:c r="AK147"/>
      <x:c r="AL147"/>
      <x:c r="AM147" t="str">
        <x:v>Unfilled mainly private/NRI/minority; regular R2 depends on movement</x:v>
      </x:c>
    </x:row>
    <x:row r="148">
      <x:c r="A148" t="str">
        <x:v>Karnataka</x:v>
      </x:c>
      <x:c r="B148" t="str">
        <x:v>Deemed University</x:v>
      </x:c>
      <x:c r="C148" t="str">
        <x:v>200338</x:v>
      </x:c>
      <x:c r="D148" t="str">
        <x:v>K S Hegde Medical Academy, Mangalore, Deralakatte, Mangaluru, Dakshina Kannada Dist, Karnataka</x:v>
      </x:c>
      <x:c r="E148" t="str">
        <x:v>KA/029/P/4</x:v>
      </x:c>
      <x:c r="F148" t="str">
        <x:v>Private</x:v>
      </x:c>
      <x:c r="G148" t="n">
        <x:v>250</x:v>
      </x:c>
      <x:c r="H148" t="n">
        <x:v>100</x:v>
      </x:c>
      <x:c r="I148" t="str">
        <x:v>High-confidence fuzzy</x:v>
      </x:c>
      <x:c r="J148" t="n">
        <x:v>212</x:v>
      </x:c>
      <x:c r="K148" t="n">
        <x:v>210</x:v>
      </x:c>
      <x:c r="L148" t="n">
        <x:f>J148-K148</x:f>
        <x:v>2</x:v>
      </x:c>
      <x:c r="M148" s="20" t="n">
        <x:f>IFERROR(K148/J148,0)</x:f>
        <x:v>0.9905660377358491</x:v>
      </x:c>
      <x:c r="N148" t="n">
        <x:v>0</x:v>
      </x:c>
      <x:c r="O148" t="n">
        <x:v>0</x:v>
      </x:c>
      <x:c r="P148" t="n">
        <x:f>N148-O148</x:f>
        <x:v>0</x:v>
      </x:c>
      <x:c r="Q148" t="n">
        <x:v>212</x:v>
      </x:c>
      <x:c r="R148" t="n">
        <x:v>210</x:v>
      </x:c>
      <x:c r="S148" t="n">
        <x:f>Q148-R148</x:f>
        <x:v>2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174</x:v>
      </x:c>
      <x:c r="Y148" t="n">
        <x:v>174</x:v>
      </x:c>
      <x:c r="Z148" t="n">
        <x:v>38</x:v>
      </x:c>
      <x:c r="AA148" t="n">
        <x:v>36</x:v>
      </x:c>
      <x:c r="AB148" t="n">
        <x:f>IF(AND(ISNUMBER(G148),I148&lt;&gt;"Excluded INI"),MAX(0,G148-J148),"")</x:f>
        <x:v>38</x:v>
      </x:c>
      <x:c r="AC148" t="n">
        <x:v>248017</x:v>
      </x:c>
      <x:c r="AD148" t="n">
        <x:v>994983</x:v>
      </x:c>
      <x:c r="AE148"/>
      <x:c r="AF148"/>
      <x:c r="AG148"/>
      <x:c r="AH148"/>
      <x:c r="AI148"/>
      <x:c r="AJ148"/>
      <x:c r="AK148"/>
      <x:c r="AL148"/>
      <x:c r="AM148" t="str">
        <x:v>Unfilled mainly private/NRI/minority; regular R2 depends on movement</x:v>
      </x:c>
    </x:row>
    <x:row r="149">
      <x:c r="A149" t="str">
        <x:v>Karnataka</x:v>
      </x:c>
      <x:c r="B149" t="str">
        <x:v>All India except Central University</x:v>
      </x:c>
      <x:c r="C149" t="str">
        <x:v>200168</x:v>
      </x:c>
      <x:c r="D149" t="str">
        <x:v>K.H. Patil Institute of Medical Sciences (previously Gadag Institute of Medical Sciences, Mallasamudra, Mulgund Road, Gadag), GADAG INSTITUTE OF MEDICAL SCIENCES GADAG Mallasamudra,Gadag-582103</x:v>
      </x:c>
      <x:c r="E149" t="str">
        <x:v>KA/031/G/1</x:v>
      </x:c>
      <x:c r="F149" t="str">
        <x:v>Government</x:v>
      </x:c>
      <x:c r="G149" t="n">
        <x:v>200</x:v>
      </x:c>
      <x:c r="H149" t="n">
        <x:v>100</x:v>
      </x:c>
      <x:c r="I149" t="str">
        <x:v>High-confidence fuzzy</x:v>
      </x:c>
      <x:c r="J149" t="n">
        <x:v>30</x:v>
      </x:c>
      <x:c r="K149" t="n">
        <x:v>30</x:v>
      </x:c>
      <x:c r="L149" t="n">
        <x:f>J149-K149</x:f>
        <x:v>0</x:v>
      </x:c>
      <x:c r="M149" s="20" t="n">
        <x:f>IFERROR(K149/J149,0)</x:f>
        <x:v>1</x:v>
      </x:c>
      <x:c r="N149" t="n">
        <x:v>30</x:v>
      </x:c>
      <x:c r="O149" t="n">
        <x:v>30</x:v>
      </x:c>
      <x:c r="P149" t="n">
        <x:f>N149-O149</x:f>
        <x:v>0</x:v>
      </x:c>
      <x:c r="Q149" t="n">
        <x:v>0</x:v>
      </x:c>
      <x:c r="R149" t="n">
        <x:v>0</x:v>
      </x:c>
      <x:c r="S149" t="n">
        <x:f>Q149-R149</x:f>
        <x:v>0</x:v>
      </x:c>
      <x:c r="T149" t="n">
        <x:v>30</x:v>
      </x:c>
      <x:c r="U149" t="n">
        <x:v>30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f>IF(AND(ISNUMBER(G149),I149&lt;&gt;"Excluded INI"),MAX(0,G149-J149),"")</x:f>
        <x:v>170</x:v>
      </x:c>
      <x:c r="AC149" t="n">
        <x:v>15793</x:v>
      </x:c>
      <x:c r="AD149" t="n">
        <x:v>16892</x:v>
      </x:c>
      <x:c r="AE149" t="n">
        <x:v>18406</x:v>
      </x:c>
      <x:c r="AF149" t="n">
        <x:v>18762</x:v>
      </x:c>
      <x:c r="AG149" t="n">
        <x:v>22918</x:v>
      </x:c>
      <x:c r="AH149" t="n">
        <x:v>23146</x:v>
      </x:c>
      <x:c r="AI149" t="n">
        <x:v>80167</x:v>
      </x:c>
      <x:c r="AJ149" t="n">
        <x:v>86109</x:v>
      </x:c>
      <x:c r="AK149" t="n">
        <x:v>98362</x:v>
      </x:c>
      <x:c r="AL149" t="n">
        <x:v>106684</x:v>
      </x:c>
      <x:c r="AM149" t="str">
        <x:v>Fully allotted in R1; R2 opportunity depends on upgrade/non-joining</x:v>
      </x:c>
    </x:row>
    <x:row r="150">
      <x:c r="A150" t="str">
        <x:v>Karnataka</x:v>
      </x:c>
      <x:c r="B150" t="str">
        <x:v>All India except Central University</x:v>
      </x:c>
      <x:c r="C150" t="str">
        <x:v>200173</x:v>
      </x:c>
      <x:c r="D150" t="str">
        <x:v>Karnataka Medical College &amp; Research Institute, Hubballi, P B ROAD VIDYANAGAR HUBBALLI</x:v>
      </x:c>
      <x:c r="E150" t="str">
        <x:v>KA/033/G/1</x:v>
      </x:c>
      <x:c r="F150" t="str">
        <x:v>Government</x:v>
      </x:c>
      <x:c r="G150" t="n">
        <x:v>250</x:v>
      </x:c>
      <x:c r="H150" t="n">
        <x:v>100</x:v>
      </x:c>
      <x:c r="I150" t="str">
        <x:v>High-confidence fuzzy</x:v>
      </x:c>
      <x:c r="J150" t="n">
        <x:v>38</x:v>
      </x:c>
      <x:c r="K150" t="n">
        <x:v>38</x:v>
      </x:c>
      <x:c r="L150" t="n">
        <x:f>J150-K150</x:f>
        <x:v>0</x:v>
      </x:c>
      <x:c r="M150" s="20" t="n">
        <x:f>IFERROR(K150/J150,0)</x:f>
        <x:v>1</x:v>
      </x:c>
      <x:c r="N150" t="n">
        <x:v>38</x:v>
      </x:c>
      <x:c r="O150" t="n">
        <x:v>38</x:v>
      </x:c>
      <x:c r="P150" t="n">
        <x:f>N150-O150</x:f>
        <x:v>0</x:v>
      </x:c>
      <x:c r="Q150" t="n">
        <x:v>0</x:v>
      </x:c>
      <x:c r="R150" t="n">
        <x:v>0</x:v>
      </x:c>
      <x:c r="S150" t="n">
        <x:f>Q150-R150</x:f>
        <x:v>0</x:v>
      </x:c>
      <x:c r="T150" t="n">
        <x:v>38</x:v>
      </x:c>
      <x:c r="U150" t="n">
        <x:v>38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f>IF(AND(ISNUMBER(G150),I150&lt;&gt;"Excluded INI"),MAX(0,G150-J150),"")</x:f>
        <x:v>212</x:v>
      </x:c>
      <x:c r="AC150" t="n">
        <x:v>5593</x:v>
      </x:c>
      <x:c r="AD150" t="n">
        <x:v>6256</x:v>
      </x:c>
      <x:c r="AE150" t="n">
        <x:v>8154</x:v>
      </x:c>
      <x:c r="AF150" t="n">
        <x:v>9055</x:v>
      </x:c>
      <x:c r="AG150" t="n">
        <x:v>8826</x:v>
      </x:c>
      <x:c r="AH150" t="n">
        <x:v>9458</x:v>
      </x:c>
      <x:c r="AI150" t="n">
        <x:v>39622</x:v>
      </x:c>
      <x:c r="AJ150" t="n">
        <x:v>49966</x:v>
      </x:c>
      <x:c r="AK150" t="n">
        <x:v>53512</x:v>
      </x:c>
      <x:c r="AL150" t="n">
        <x:v>54034</x:v>
      </x:c>
      <x:c r="AM150" t="str">
        <x:v>Fully allotted in R1; R2 opportunity depends on upgrade/non-joining</x:v>
      </x:c>
    </x:row>
    <x:row r="151">
      <x:c r="A151" t="str">
        <x:v>Karnataka</x:v>
      </x:c>
      <x:c r="B151" t="str">
        <x:v>All India except Central University</x:v>
      </x:c>
      <x:c r="C151" t="str">
        <x:v>200174</x:v>
      </x:c>
      <x:c r="D151" t="str">
        <x:v>Karwar Institute of Medical Sciences, Karwar, DISTRICT HOSPITAL PREMISES, MG ROAD, KARWAR</x:v>
      </x:c>
      <x:c r="E151" t="str">
        <x:v>KA/034/G/1</x:v>
      </x:c>
      <x:c r="F151" t="str">
        <x:v>Government</x:v>
      </x:c>
      <x:c r="G151" t="n">
        <x:v>150</x:v>
      </x:c>
      <x:c r="H151" t="n">
        <x:v>100</x:v>
      </x:c>
      <x:c r="I151" t="str">
        <x:v>High-confidence fuzzy</x:v>
      </x:c>
      <x:c r="J151" t="n">
        <x:v>30</x:v>
      </x:c>
      <x:c r="K151" t="n">
        <x:v>30</x:v>
      </x:c>
      <x:c r="L151" t="n">
        <x:f>J151-K151</x:f>
        <x:v>0</x:v>
      </x:c>
      <x:c r="M151" s="20" t="n">
        <x:f>IFERROR(K151/J151,0)</x:f>
        <x:v>1</x:v>
      </x:c>
      <x:c r="N151" t="n">
        <x:v>30</x:v>
      </x:c>
      <x:c r="O151" t="n">
        <x:v>30</x:v>
      </x:c>
      <x:c r="P151" t="n">
        <x:f>N151-O151</x:f>
        <x:v>0</x:v>
      </x:c>
      <x:c r="Q151" t="n">
        <x:v>0</x:v>
      </x:c>
      <x:c r="R151" t="n">
        <x:v>0</x:v>
      </x:c>
      <x:c r="S151" t="n">
        <x:f>Q151-R151</x:f>
        <x:v>0</x:v>
      </x:c>
      <x:c r="T151" t="n">
        <x:v>30</x:v>
      </x:c>
      <x:c r="U151" t="n">
        <x:v>30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f>IF(AND(ISNUMBER(G151),I151&lt;&gt;"Excluded INI"),MAX(0,G151-J151),"")</x:f>
        <x:v>120</x:v>
      </x:c>
      <x:c r="AC151" t="n">
        <x:v>16526</x:v>
      </x:c>
      <x:c r="AD151" t="n">
        <x:v>17372</x:v>
      </x:c>
      <x:c r="AE151" t="n">
        <x:v>18165</x:v>
      </x:c>
      <x:c r="AF151" t="n">
        <x:v>18533</x:v>
      </x:c>
      <x:c r="AG151" t="n">
        <x:v>22579</x:v>
      </x:c>
      <x:c r="AH151" t="n">
        <x:v>23921</x:v>
      </x:c>
      <x:c r="AI151" t="n">
        <x:v>88002</x:v>
      </x:c>
      <x:c r="AJ151" t="n">
        <x:v>89086</x:v>
      </x:c>
      <x:c r="AK151" t="n">
        <x:v>92065</x:v>
      </x:c>
      <x:c r="AL151" t="n">
        <x:v>102974</x:v>
      </x:c>
      <x:c r="AM151" t="str">
        <x:v>Fully allotted in R1; R2 opportunity depends on upgrade/non-joining</x:v>
      </x:c>
    </x:row>
    <x:row r="152">
      <x:c r="A152" t="str">
        <x:v>Karnataka</x:v>
      </x:c>
      <x:c r="B152" t="str">
        <x:v>Deemed University</x:v>
      </x:c>
      <x:c r="C152" t="str">
        <x:v>200339</x:v>
      </x:c>
      <x:c r="D152" t="str">
        <x:v>Kasturba Medical College, Mangalore, Light house Hill Road, Mangalore, India</x:v>
      </x:c>
      <x:c r="E152" t="str">
        <x:v>KA/035/P/3</x:v>
      </x:c>
      <x:c r="F152" t="str">
        <x:v>Private</x:v>
      </x:c>
      <x:c r="G152" t="n">
        <x:v>250</x:v>
      </x:c>
      <x:c r="H152" t="n">
        <x:v>100</x:v>
      </x:c>
      <x:c r="I152" t="str">
        <x:v>High-confidence fuzzy</x:v>
      </x:c>
      <x:c r="J152" t="n">
        <x:v>198</x:v>
      </x:c>
      <x:c r="K152" t="n">
        <x:v>198</x:v>
      </x:c>
      <x:c r="L152" t="n">
        <x:f>J152-K152</x:f>
        <x:v>0</x:v>
      </x:c>
      <x:c r="M152" s="20" t="n">
        <x:f>IFERROR(K152/J152,0)</x:f>
        <x:v>1</x:v>
      </x:c>
      <x:c r="N152" t="n">
        <x:v>0</x:v>
      </x:c>
      <x:c r="O152" t="n">
        <x:v>0</x:v>
      </x:c>
      <x:c r="P152" t="n">
        <x:f>N152-O152</x:f>
        <x:v>0</x:v>
      </x:c>
      <x:c r="Q152" t="n">
        <x:v>198</x:v>
      </x:c>
      <x:c r="R152" t="n">
        <x:v>198</x:v>
      </x:c>
      <x:c r="S152" t="n">
        <x:f>Q152-R152</x:f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160</x:v>
      </x:c>
      <x:c r="Y152" t="n">
        <x:v>160</x:v>
      </x:c>
      <x:c r="Z152" t="n">
        <x:v>38</x:v>
      </x:c>
      <x:c r="AA152" t="n">
        <x:v>38</x:v>
      </x:c>
      <x:c r="AB152" t="n">
        <x:f>IF(AND(ISNUMBER(G152),I152&lt;&gt;"Excluded INI"),MAX(0,G152-J152),"")</x:f>
        <x:v>52</x:v>
      </x:c>
      <x:c r="AC152" t="n">
        <x:v>114159</x:v>
      </x:c>
      <x:c r="AD152" t="n">
        <x:v>613252</x:v>
      </x:c>
      <x:c r="AE152"/>
      <x:c r="AF152"/>
      <x:c r="AG152"/>
      <x:c r="AH152"/>
      <x:c r="AI152"/>
      <x:c r="AJ152"/>
      <x:c r="AK152"/>
      <x:c r="AL152"/>
      <x:c r="AM152" t="str">
        <x:v>Fully allotted in R1; R2 opportunity depends on upgrade/non-joining</x:v>
      </x:c>
    </x:row>
    <x:row r="153">
      <x:c r="A153" t="str">
        <x:v>Karnataka</x:v>
      </x:c>
      <x:c r="B153" t="str">
        <x:v>Deemed University</x:v>
      </x:c>
      <x:c r="C153" t="str">
        <x:v>200340</x:v>
      </x:c>
      <x:c r="D153" t="str">
        <x:v>Kasturba Medical College, Manipal, Madhav Nagar, Manipal, Karnataka State India</x:v>
      </x:c>
      <x:c r="E153" t="str">
        <x:v>KA/036/P/3</x:v>
      </x:c>
      <x:c r="F153" t="str">
        <x:v>Private</x:v>
      </x:c>
      <x:c r="G153" t="n">
        <x:v>250</x:v>
      </x:c>
      <x:c r="H153" t="n">
        <x:v>100</x:v>
      </x:c>
      <x:c r="I153" t="str">
        <x:v>High-confidence fuzzy</x:v>
      </x:c>
      <x:c r="J153" t="n">
        <x:v>250</x:v>
      </x:c>
      <x:c r="K153" t="n">
        <x:v>250</x:v>
      </x:c>
      <x:c r="L153" t="n">
        <x:f>J153-K153</x:f>
        <x:v>0</x:v>
      </x:c>
      <x:c r="M153" s="20" t="n">
        <x:f>IFERROR(K153/J153,0)</x:f>
        <x:v>1</x:v>
      </x:c>
      <x:c r="N153" t="n">
        <x:v>0</x:v>
      </x:c>
      <x:c r="O153" t="n">
        <x:v>0</x:v>
      </x:c>
      <x:c r="P153" t="n">
        <x:f>N153-O153</x:f>
        <x:v>0</x:v>
      </x:c>
      <x:c r="Q153" t="n">
        <x:v>250</x:v>
      </x:c>
      <x:c r="R153" t="n">
        <x:v>250</x:v>
      </x:c>
      <x:c r="S153" t="n">
        <x:f>Q153-R153</x:f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213</x:v>
      </x:c>
      <x:c r="Y153" t="n">
        <x:v>213</x:v>
      </x:c>
      <x:c r="Z153" t="n">
        <x:v>37</x:v>
      </x:c>
      <x:c r="AA153" t="n">
        <x:v>37</x:v>
      </x:c>
      <x:c r="AB153" t="n">
        <x:f>IF(AND(ISNUMBER(G153),I153&lt;&gt;"Excluded INI"),MAX(0,G153-J153),"")</x:f>
        <x:v>0</x:v>
      </x:c>
      <x:c r="AC153" t="n">
        <x:v>92098</x:v>
      </x:c>
      <x:c r="AD153" t="n">
        <x:v>598830</x:v>
      </x:c>
      <x:c r="AE153"/>
      <x:c r="AF153"/>
      <x:c r="AG153"/>
      <x:c r="AH153"/>
      <x:c r="AI153"/>
      <x:c r="AJ153"/>
      <x:c r="AK153"/>
      <x:c r="AL153"/>
      <x:c r="AM153" t="str">
        <x:v>Fully allotted in R1; R2 opportunity depends on upgrade/non-joining</x:v>
      </x:c>
    </x:row>
    <x:row r="154">
      <x:c r="A154" t="str">
        <x:v>Karnataka</x:v>
      </x:c>
      <x:c r="B154" t="str">
        <x:v>All India except Central University</x:v>
      </x:c>
      <x:c r="C154" t="str">
        <x:v>200175</x:v>
      </x:c>
      <x:c r="D154" t="str">
        <x:v>Kodagu Institute of Medical Sciences, Kodagu, Kodagu Institute of Medical Sciences, Madikeri.</x:v>
      </x:c>
      <x:c r="E154" t="str">
        <x:v>KA/039/G/1</x:v>
      </x:c>
      <x:c r="F154" t="str">
        <x:v>Government</x:v>
      </x:c>
      <x:c r="G154" t="n">
        <x:v>150</x:v>
      </x:c>
      <x:c r="H154" t="n">
        <x:v>100</x:v>
      </x:c>
      <x:c r="I154" t="str">
        <x:v>High-confidence fuzzy</x:v>
      </x:c>
      <x:c r="J154" t="n">
        <x:v>22</x:v>
      </x:c>
      <x:c r="K154" t="n">
        <x:v>22</x:v>
      </x:c>
      <x:c r="L154" t="n">
        <x:f>J154-K154</x:f>
        <x:v>0</x:v>
      </x:c>
      <x:c r="M154" s="20" t="n">
        <x:f>IFERROR(K154/J154,0)</x:f>
        <x:v>1</x:v>
      </x:c>
      <x:c r="N154" t="n">
        <x:v>22</x:v>
      </x:c>
      <x:c r="O154" t="n">
        <x:v>22</x:v>
      </x:c>
      <x:c r="P154" t="n">
        <x:f>N154-O154</x:f>
        <x:v>0</x:v>
      </x:c>
      <x:c r="Q154" t="n">
        <x:v>0</x:v>
      </x:c>
      <x:c r="R154" t="n">
        <x:v>0</x:v>
      </x:c>
      <x:c r="S154" t="n">
        <x:f>Q154-R154</x:f>
        <x:v>0</x:v>
      </x:c>
      <x:c r="T154" t="n">
        <x:v>22</x:v>
      </x:c>
      <x:c r="U154" t="n">
        <x:v>22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f>IF(AND(ISNUMBER(G154),I154&lt;&gt;"Excluded INI"),MAX(0,G154-J154),"")</x:f>
        <x:v>128</x:v>
      </x:c>
      <x:c r="AC154" t="n">
        <x:v>12490</x:v>
      </x:c>
      <x:c r="AD154" t="n">
        <x:v>13482</x:v>
      </x:c>
      <x:c r="AE154" t="n">
        <x:v>14871</x:v>
      </x:c>
      <x:c r="AF154" t="n">
        <x:v>15124</x:v>
      </x:c>
      <x:c r="AG154" t="n">
        <x:v>24072</x:v>
      </x:c>
      <x:c r="AH154" t="n">
        <x:v>24272</x:v>
      </x:c>
      <x:c r="AI154" t="n">
        <x:v>75717</x:v>
      </x:c>
      <x:c r="AJ154" t="n">
        <x:v>86259</x:v>
      </x:c>
      <x:c r="AK154" t="n">
        <x:v>103065</x:v>
      </x:c>
      <x:c r="AL154" t="n">
        <x:v>103065</x:v>
      </x:c>
      <x:c r="AM154" t="str">
        <x:v>Fully allotted in R1; R2 opportunity depends on upgrade/non-joining</x:v>
      </x:c>
    </x:row>
    <x:row r="155">
      <x:c r="A155" t="str">
        <x:v>Karnataka</x:v>
      </x:c>
      <x:c r="B155" t="str">
        <x:v>All India except Central University</x:v>
      </x:c>
      <x:c r="C155" t="str">
        <x:v>200176</x:v>
      </x:c>
      <x:c r="D155" t="str">
        <x:v>Koppal Institute of Medical Sciences, Koppal, DIRECTOR, KIMS,KOPPAL. GAGNAVATI ROAD, KIDDIDAL GATE,KOPPAL- 583231</x:v>
      </x:c>
      <x:c r="E155" t="str">
        <x:v>KA/040/G/1</x:v>
      </x:c>
      <x:c r="F155" t="str">
        <x:v>Government</x:v>
      </x:c>
      <x:c r="G155" t="n">
        <x:v>150</x:v>
      </x:c>
      <x:c r="H155" t="n">
        <x:v>100</x:v>
      </x:c>
      <x:c r="I155" t="str">
        <x:v>High-confidence fuzzy</x:v>
      </x:c>
      <x:c r="J155" t="n">
        <x:v>30</x:v>
      </x:c>
      <x:c r="K155" t="n">
        <x:v>30</x:v>
      </x:c>
      <x:c r="L155" t="n">
        <x:f>J155-K155</x:f>
        <x:v>0</x:v>
      </x:c>
      <x:c r="M155" s="20" t="n">
        <x:f>IFERROR(K155/J155,0)</x:f>
        <x:v>1</x:v>
      </x:c>
      <x:c r="N155" t="n">
        <x:v>30</x:v>
      </x:c>
      <x:c r="O155" t="n">
        <x:v>30</x:v>
      </x:c>
      <x:c r="P155" t="n">
        <x:f>N155-O155</x:f>
        <x:v>0</x:v>
      </x:c>
      <x:c r="Q155" t="n">
        <x:v>0</x:v>
      </x:c>
      <x:c r="R155" t="n">
        <x:v>0</x:v>
      </x:c>
      <x:c r="S155" t="n">
        <x:f>Q155-R155</x:f>
        <x:v>0</x:v>
      </x:c>
      <x:c r="T155" t="n">
        <x:v>30</x:v>
      </x:c>
      <x:c r="U155" t="n">
        <x:v>30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f>IF(AND(ISNUMBER(G155),I155&lt;&gt;"Excluded INI"),MAX(0,G155-J155),"")</x:f>
        <x:v>120</x:v>
      </x:c>
      <x:c r="AC155" t="n">
        <x:v>17316</x:v>
      </x:c>
      <x:c r="AD155" t="n">
        <x:v>17689</x:v>
      </x:c>
      <x:c r="AE155" t="n">
        <x:v>18686</x:v>
      </x:c>
      <x:c r="AF155" t="n">
        <x:v>19017</x:v>
      </x:c>
      <x:c r="AG155" t="n">
        <x:v>24016</x:v>
      </x:c>
      <x:c r="AH155" t="n">
        <x:v>24319</x:v>
      </x:c>
      <x:c r="AI155" t="n">
        <x:v>91137</x:v>
      </x:c>
      <x:c r="AJ155" t="n">
        <x:v>95646</x:v>
      </x:c>
      <x:c r="AK155" t="n">
        <x:v>101627</x:v>
      </x:c>
      <x:c r="AL155" t="n">
        <x:v>112331</x:v>
      </x:c>
      <x:c r="AM155" t="str">
        <x:v>Fully allotted in R1; R2 opportunity depends on upgrade/non-joining</x:v>
      </x:c>
    </x:row>
    <x:row r="156">
      <x:c r="A156" t="str">
        <x:v>Karnataka</x:v>
      </x:c>
      <x:c r="B156" t="str">
        <x:v>All India except Central University</x:v>
      </x:c>
      <x:c r="C156" t="str">
        <x:v>200177</x:v>
      </x:c>
      <x:c r="D156" t="str">
        <x:v>Mandya Institute of Medical Sciences, Mandya, BANGALORE- MYSORE MAIN ROAD, MANDYA</x:v>
      </x:c>
      <x:c r="E156" t="str">
        <x:v>KA/043/G/1</x:v>
      </x:c>
      <x:c r="F156" t="str">
        <x:v>Government</x:v>
      </x:c>
      <x:c r="G156" t="n">
        <x:v>200</x:v>
      </x:c>
      <x:c r="H156" t="n">
        <x:v>100</x:v>
      </x:c>
      <x:c r="I156" t="str">
        <x:v>High-confidence fuzzy</x:v>
      </x:c>
      <x:c r="J156" t="n">
        <x:v>30</x:v>
      </x:c>
      <x:c r="K156" t="n">
        <x:v>29</x:v>
      </x:c>
      <x:c r="L156" t="n">
        <x:f>J156-K156</x:f>
        <x:v>1</x:v>
      </x:c>
      <x:c r="M156" s="20" t="n">
        <x:f>IFERROR(K156/J156,0)</x:f>
        <x:v>0.9666666666666667</x:v>
      </x:c>
      <x:c r="N156" t="n">
        <x:v>30</x:v>
      </x:c>
      <x:c r="O156" t="n">
        <x:v>29</x:v>
      </x:c>
      <x:c r="P156" t="n">
        <x:f>N156-O156</x:f>
        <x:v>1</x:v>
      </x:c>
      <x:c r="Q156" t="n">
        <x:v>0</x:v>
      </x:c>
      <x:c r="R156" t="n">
        <x:v>0</x:v>
      </x:c>
      <x:c r="S156" t="n">
        <x:f>Q156-R156</x:f>
        <x:v>0</x:v>
      </x:c>
      <x:c r="T156" t="n">
        <x:v>30</x:v>
      </x:c>
      <x:c r="U156" t="n">
        <x:v>29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f>IF(AND(ISNUMBER(G156),I156&lt;&gt;"Excluded INI"),MAX(0,G156-J156),"")</x:f>
        <x:v>170</x:v>
      </x:c>
      <x:c r="AC156" t="n">
        <x:v>6588</x:v>
      </x:c>
      <x:c r="AD156" t="n">
        <x:v>8695</x:v>
      </x:c>
      <x:c r="AE156" t="n">
        <x:v>10352</x:v>
      </x:c>
      <x:c r="AF156" t="n">
        <x:v>10786</x:v>
      </x:c>
      <x:c r="AG156" t="n">
        <x:v>11487</x:v>
      </x:c>
      <x:c r="AH156" t="n">
        <x:v>11765</x:v>
      </x:c>
      <x:c r="AI156" t="n">
        <x:v>36137</x:v>
      </x:c>
      <x:c r="AJ156" t="n">
        <x:v>46030</x:v>
      </x:c>
      <x:c r="AK156" t="n">
        <x:v>66131</x:v>
      </x:c>
      <x:c r="AL156" t="n">
        <x:v>66131</x:v>
      </x:c>
      <x:c r="AM156" t="str">
        <x:v>R1 regular-central gap visible; verify in official R2 matrix</x:v>
      </x:c>
    </x:row>
    <x:row r="157">
      <x:c r="A157" t="str">
        <x:v>Karnataka</x:v>
      </x:c>
      <x:c r="B157" t="str">
        <x:v>All India except Central University</x:v>
      </x:c>
      <x:c r="C157" t="str">
        <x:v>200178</x:v>
      </x:c>
      <x:c r="D157" t="str">
        <x:v>Mysore Medical College and Research Instt. (Prev.name Government Medical College), Mysore, Mysore Medical College and Research Institute,Irwin Road, Mysore</x:v>
      </x:c>
      <x:c r="E157" t="str">
        <x:v>KA/045/G/1</x:v>
      </x:c>
      <x:c r="F157" t="str">
        <x:v>Government</x:v>
      </x:c>
      <x:c r="G157" t="n">
        <x:v>250</x:v>
      </x:c>
      <x:c r="H157" t="n">
        <x:v>100</x:v>
      </x:c>
      <x:c r="I157" t="str">
        <x:v>High-confidence fuzzy</x:v>
      </x:c>
      <x:c r="J157" t="n">
        <x:v>38</x:v>
      </x:c>
      <x:c r="K157" t="n">
        <x:v>38</x:v>
      </x:c>
      <x:c r="L157" t="n">
        <x:f>J157-K157</x:f>
        <x:v>0</x:v>
      </x:c>
      <x:c r="M157" s="20" t="n">
        <x:f>IFERROR(K157/J157,0)</x:f>
        <x:v>1</x:v>
      </x:c>
      <x:c r="N157" t="n">
        <x:v>38</x:v>
      </x:c>
      <x:c r="O157" t="n">
        <x:v>38</x:v>
      </x:c>
      <x:c r="P157" t="n">
        <x:f>N157-O157</x:f>
        <x:v>0</x:v>
      </x:c>
      <x:c r="Q157" t="n">
        <x:v>0</x:v>
      </x:c>
      <x:c r="R157" t="n">
        <x:v>0</x:v>
      </x:c>
      <x:c r="S157" t="n">
        <x:f>Q157-R157</x:f>
        <x:v>0</x:v>
      </x:c>
      <x:c r="T157" t="n">
        <x:v>38</x:v>
      </x:c>
      <x:c r="U157" t="n">
        <x:v>38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f>IF(AND(ISNUMBER(G157),I157&lt;&gt;"Excluded INI"),MAX(0,G157-J157),"")</x:f>
        <x:v>212</x:v>
      </x:c>
      <x:c r="AC157" t="n">
        <x:v>3334</x:v>
      </x:c>
      <x:c r="AD157" t="n">
        <x:v>4060</x:v>
      </x:c>
      <x:c r="AE157" t="n">
        <x:v>4900</x:v>
      </x:c>
      <x:c r="AF157" t="n">
        <x:v>5435</x:v>
      </x:c>
      <x:c r="AG157" t="n">
        <x:v>5056</x:v>
      </x:c>
      <x:c r="AH157" t="n">
        <x:v>5748</x:v>
      </x:c>
      <x:c r="AI157" t="n">
        <x:v>24546</x:v>
      </x:c>
      <x:c r="AJ157" t="n">
        <x:v>33878</x:v>
      </x:c>
      <x:c r="AK157" t="n">
        <x:v>36105</x:v>
      </x:c>
      <x:c r="AL157" t="n">
        <x:v>36486</x:v>
      </x:c>
      <x:c r="AM157" t="str">
        <x:v>Fully allotted in R1; R2 opportunity depends on upgrade/non-joining</x:v>
      </x:c>
    </x:row>
    <x:row r="158">
      <x:c r="A158" t="str">
        <x:v>Karnataka</x:v>
      </x:c>
      <x:c r="B158" t="str">
        <x:v>All India except Central University</x:v>
      </x:c>
      <x:c r="C158" t="str">
        <x:v>200585</x:v>
      </x:c>
      <x:c r="D158" t="str">
        <x:v>Nandi Medical College and Research Institute Chikkaballapura (Chikkaballapura Institute of Medical Sciences Chikkaballapura ), AROORU VILLAGE,PERESANDRA POST, CHIKKABALLAPUR KARANATAKA</x:v>
      </x:c>
      <x:c r="E158" t="str">
        <x:v>KA/012/G/1</x:v>
      </x:c>
      <x:c r="F158" t="str">
        <x:v>Government</x:v>
      </x:c>
      <x:c r="G158" t="n">
        <x:v>150</x:v>
      </x:c>
      <x:c r="H158" t="n">
        <x:v>100</x:v>
      </x:c>
      <x:c r="I158" t="str">
        <x:v>High-confidence fuzzy</x:v>
      </x:c>
      <x:c r="J158" t="n">
        <x:v>23</x:v>
      </x:c>
      <x:c r="K158" t="n">
        <x:v>23</x:v>
      </x:c>
      <x:c r="L158" t="n">
        <x:f>J158-K158</x:f>
        <x:v>0</x:v>
      </x:c>
      <x:c r="M158" s="20" t="n">
        <x:f>IFERROR(K158/J158,0)</x:f>
        <x:v>1</x:v>
      </x:c>
      <x:c r="N158" t="n">
        <x:v>23</x:v>
      </x:c>
      <x:c r="O158" t="n">
        <x:v>23</x:v>
      </x:c>
      <x:c r="P158" t="n">
        <x:f>N158-O158</x:f>
        <x:v>0</x:v>
      </x:c>
      <x:c r="Q158" t="n">
        <x:v>0</x:v>
      </x:c>
      <x:c r="R158" t="n">
        <x:v>0</x:v>
      </x:c>
      <x:c r="S158" t="n">
        <x:f>Q158-R158</x:f>
        <x:v>0</x:v>
      </x:c>
      <x:c r="T158" t="n">
        <x:v>23</x:v>
      </x:c>
      <x:c r="U158" t="n">
        <x:v>23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f>IF(AND(ISNUMBER(G158),I158&lt;&gt;"Excluded INI"),MAX(0,G158-J158),"")</x:f>
        <x:v>127</x:v>
      </x:c>
      <x:c r="AC158" t="n">
        <x:v>12930</x:v>
      </x:c>
      <x:c r="AD158" t="n">
        <x:v>16478</x:v>
      </x:c>
      <x:c r="AE158" t="n">
        <x:v>17498</x:v>
      </x:c>
      <x:c r="AF158" t="n">
        <x:v>17814</x:v>
      </x:c>
      <x:c r="AG158" t="n">
        <x:v>20408</x:v>
      </x:c>
      <x:c r="AH158" t="n">
        <x:v>21934</x:v>
      </x:c>
      <x:c r="AI158" t="n">
        <x:v>89259</x:v>
      </x:c>
      <x:c r="AJ158" t="n">
        <x:v>96169</x:v>
      </x:c>
      <x:c r="AK158" t="n">
        <x:v>103094</x:v>
      </x:c>
      <x:c r="AL158" t="n">
        <x:v>107880</x:v>
      </x:c>
      <x:c r="AM158" t="str">
        <x:v>Fully allotted in R1; R2 opportunity depends on upgrade/non-joining</x:v>
      </x:c>
    </x:row>
    <x:row r="159">
      <x:c r="A159" t="str">
        <x:v>Karnataka</x:v>
      </x:c>
      <x:c r="B159" t="str">
        <x:v>All India except Central University</x:v>
      </x:c>
      <x:c r="C159" t="str">
        <x:v>200179</x:v>
      </x:c>
      <x:c r="D159" t="str">
        <x:v>Raichur Institute of Medical Sciences, Raichur, RAICHUR INSTITUTE OF MEDICAL SCIENCES INDUSTRIAL AREA, HYDERABAD ROAD, RAICHUR, Karnataka 584102</x:v>
      </x:c>
      <x:c r="E159" t="str">
        <x:v>KA/048/G/1</x:v>
      </x:c>
      <x:c r="F159" t="str">
        <x:v>Government</x:v>
      </x:c>
      <x:c r="G159" t="n">
        <x:v>200</x:v>
      </x:c>
      <x:c r="H159" t="n">
        <x:v>100</x:v>
      </x:c>
      <x:c r="I159" t="str">
        <x:v>High-confidence fuzzy</x:v>
      </x:c>
      <x:c r="J159" t="n">
        <x:v>30</x:v>
      </x:c>
      <x:c r="K159" t="n">
        <x:v>30</x:v>
      </x:c>
      <x:c r="L159" t="n">
        <x:f>J159-K159</x:f>
        <x:v>0</x:v>
      </x:c>
      <x:c r="M159" s="20" t="n">
        <x:f>IFERROR(K159/J159,0)</x:f>
        <x:v>1</x:v>
      </x:c>
      <x:c r="N159" t="n">
        <x:v>30</x:v>
      </x:c>
      <x:c r="O159" t="n">
        <x:v>30</x:v>
      </x:c>
      <x:c r="P159" t="n">
        <x:f>N159-O159</x:f>
        <x:v>0</x:v>
      </x:c>
      <x:c r="Q159" t="n">
        <x:v>0</x:v>
      </x:c>
      <x:c r="R159" t="n">
        <x:v>0</x:v>
      </x:c>
      <x:c r="S159" t="n">
        <x:f>Q159-R159</x:f>
        <x:v>0</x:v>
      </x:c>
      <x:c r="T159" t="n">
        <x:v>30</x:v>
      </x:c>
      <x:c r="U159" t="n">
        <x:v>30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f>IF(AND(ISNUMBER(G159),I159&lt;&gt;"Excluded INI"),MAX(0,G159-J159),"")</x:f>
        <x:v>170</x:v>
      </x:c>
      <x:c r="AC159" t="n">
        <x:v>14566</x:v>
      </x:c>
      <x:c r="AD159" t="n">
        <x:v>16771</x:v>
      </x:c>
      <x:c r="AE159" t="n">
        <x:v>17771</x:v>
      </x:c>
      <x:c r="AF159" t="n">
        <x:v>18245</x:v>
      </x:c>
      <x:c r="AG159" t="n">
        <x:v>20020</x:v>
      </x:c>
      <x:c r="AH159" t="n">
        <x:v>20853</x:v>
      </x:c>
      <x:c r="AI159" t="n">
        <x:v>83036</x:v>
      </x:c>
      <x:c r="AJ159" t="n">
        <x:v>84351</x:v>
      </x:c>
      <x:c r="AK159" t="n">
        <x:v>95254</x:v>
      </x:c>
      <x:c r="AL159" t="n">
        <x:v>95561</x:v>
      </x:c>
      <x:c r="AM159" t="str">
        <x:v>Fully allotted in R1; R2 opportunity depends on upgrade/non-joining</x:v>
      </x:c>
    </x:row>
    <x:row r="160">
      <x:c r="A160" t="str">
        <x:v>Karnataka</x:v>
      </x:c>
      <x:c r="B160" t="str">
        <x:v>Deemed University</x:v>
      </x:c>
      <x:c r="C160" t="str">
        <x:v>200469</x:v>
      </x:c>
      <x:c r="D160" t="str">
        <x:v>Raja Rajeswari Medical College &amp; Hospital, Bangalore, 202, Kambipura, Bengaluru Mysuru High Way,Kengeri Hobli, Bangalore, Karnataka</x:v>
      </x:c>
      <x:c r="E160" t="str">
        <x:v>KA/049/P/3</x:v>
      </x:c>
      <x:c r="F160" t="str">
        <x:v>Private</x:v>
      </x:c>
      <x:c r="G160" t="n">
        <x:v>250</x:v>
      </x:c>
      <x:c r="H160" t="n">
        <x:v>100</x:v>
      </x:c>
      <x:c r="I160" t="str">
        <x:v>High-confidence fuzzy</x:v>
      </x:c>
      <x:c r="J160" t="n">
        <x:v>250</x:v>
      </x:c>
      <x:c r="K160" t="n">
        <x:v>216</x:v>
      </x:c>
      <x:c r="L160" t="n">
        <x:f>J160-K160</x:f>
        <x:v>34</x:v>
      </x:c>
      <x:c r="M160" s="20" t="n">
        <x:f>IFERROR(K160/J160,0)</x:f>
        <x:v>0.864</x:v>
      </x:c>
      <x:c r="N160" t="n">
        <x:v>0</x:v>
      </x:c>
      <x:c r="O160" t="n">
        <x:v>0</x:v>
      </x:c>
      <x:c r="P160" t="n">
        <x:f>N160-O160</x:f>
        <x:v>0</x:v>
      </x:c>
      <x:c r="Q160" t="n">
        <x:v>250</x:v>
      </x:c>
      <x:c r="R160" t="n">
        <x:v>216</x:v>
      </x:c>
      <x:c r="S160" t="n">
        <x:f>Q160-R160</x:f>
        <x:v>34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212</x:v>
      </x:c>
      <x:c r="Y160" t="n">
        <x:v>212</x:v>
      </x:c>
      <x:c r="Z160" t="n">
        <x:v>38</x:v>
      </x:c>
      <x:c r="AA160" t="n">
        <x:v>4</x:v>
      </x:c>
      <x:c r="AB160" t="n">
        <x:f>IF(AND(ISNUMBER(G160),I160&lt;&gt;"Excluded INI"),MAX(0,G160-J160),"")</x:f>
        <x:v>0</x:v>
      </x:c>
      <x:c r="AC160" t="n">
        <x:v>383008</x:v>
      </x:c>
      <x:c r="AD160" t="n">
        <x:v>847135</x:v>
      </x:c>
      <x:c r="AE160"/>
      <x:c r="AF160"/>
      <x:c r="AG160"/>
      <x:c r="AH160"/>
      <x:c r="AI160"/>
      <x:c r="AJ160"/>
      <x:c r="AK160"/>
      <x:c r="AL160"/>
      <x:c r="AM160" t="str">
        <x:v>Unfilled mainly private/NRI/minority; regular R2 depends on movement</x:v>
      </x:c>
    </x:row>
    <x:row r="161">
      <x:c r="A161" t="str">
        <x:v>Karnataka</x:v>
      </x:c>
      <x:c r="B161" t="str">
        <x:v>All India except Central University</x:v>
      </x:c>
      <x:c r="C161" t="str">
        <x:v>200180</x:v>
      </x:c>
      <x:c r="D161" t="str">
        <x:v>Shimoga Institute of Medical Sciences, Shimoga, SAGAR ROAD, MCGANN HOSPITAL CAMPUS, SHIVAMOGGA</x:v>
      </x:c>
      <x:c r="E161" t="str">
        <x:v>KA/054/G/1</x:v>
      </x:c>
      <x:c r="F161" t="str">
        <x:v>Government</x:v>
      </x:c>
      <x:c r="G161" t="n">
        <x:v>150</x:v>
      </x:c>
      <x:c r="H161" t="n">
        <x:v>100</x:v>
      </x:c>
      <x:c r="I161" t="str">
        <x:v>High-confidence fuzzy</x:v>
      </x:c>
      <x:c r="J161" t="n">
        <x:v>22</x:v>
      </x:c>
      <x:c r="K161" t="n">
        <x:v>22</x:v>
      </x:c>
      <x:c r="L161" t="n">
        <x:f>J161-K161</x:f>
        <x:v>0</x:v>
      </x:c>
      <x:c r="M161" s="20" t="n">
        <x:f>IFERROR(K161/J161,0)</x:f>
        <x:v>1</x:v>
      </x:c>
      <x:c r="N161" t="n">
        <x:v>22</x:v>
      </x:c>
      <x:c r="O161" t="n">
        <x:v>22</x:v>
      </x:c>
      <x:c r="P161" t="n">
        <x:f>N161-O161</x:f>
        <x:v>0</x:v>
      </x:c>
      <x:c r="Q161" t="n">
        <x:v>0</x:v>
      </x:c>
      <x:c r="R161" t="n">
        <x:v>0</x:v>
      </x:c>
      <x:c r="S161" t="n">
        <x:f>Q161-R161</x:f>
        <x:v>0</x:v>
      </x:c>
      <x:c r="T161" t="n">
        <x:v>22</x:v>
      </x:c>
      <x:c r="U161" t="n">
        <x:v>22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f>IF(AND(ISNUMBER(G161),I161&lt;&gt;"Excluded INI"),MAX(0,G161-J161),"")</x:f>
        <x:v>128</x:v>
      </x:c>
      <x:c r="AC161" t="n">
        <x:v>9876</x:v>
      </x:c>
      <x:c r="AD161" t="n">
        <x:v>10943</x:v>
      </x:c>
      <x:c r="AE161" t="n">
        <x:v>13352</x:v>
      </x:c>
      <x:c r="AF161" t="n">
        <x:v>13767</x:v>
      </x:c>
      <x:c r="AG161" t="n">
        <x:v>15585</x:v>
      </x:c>
      <x:c r="AH161" t="n">
        <x:v>17767</x:v>
      </x:c>
      <x:c r="AI161" t="n">
        <x:v>54625</x:v>
      </x:c>
      <x:c r="AJ161" t="n">
        <x:v>59146</x:v>
      </x:c>
      <x:c r="AK161" t="n">
        <x:v>71185</x:v>
      </x:c>
      <x:c r="AL161" t="n">
        <x:v>71185</x:v>
      </x:c>
      <x:c r="AM161" t="str">
        <x:v>Fully allotted in R1; R2 opportunity depends on upgrade/non-joining</x:v>
      </x:c>
    </x:row>
    <x:row r="162">
      <x:c r="A162" t="str">
        <x:v>Karnataka</x:v>
      </x:c>
      <x:c r="B162" t="str">
        <x:v>All India except Central University</x:v>
      </x:c>
      <x:c r="C162" t="str">
        <x:v>200476</x:v>
      </x:c>
      <x:c r="D162" t="str">
        <x:v>Shri Atal Bihari Vajpayee Medical College &amp; Research Institute, SHIVAJINAGAR, BENGALURU</x:v>
      </x:c>
      <x:c r="E162" t="str">
        <x:v>KA/055/G/1</x:v>
      </x:c>
      <x:c r="F162" t="str">
        <x:v>Government</x:v>
      </x:c>
      <x:c r="G162" t="n">
        <x:v>200</x:v>
      </x:c>
      <x:c r="H162" t="n">
        <x:v>92.9</x:v>
      </x:c>
      <x:c r="I162" t="str">
        <x:v>High-confidence fuzzy</x:v>
      </x:c>
      <x:c r="J162" t="n">
        <x:v>30</x:v>
      </x:c>
      <x:c r="K162" t="n">
        <x:v>30</x:v>
      </x:c>
      <x:c r="L162" t="n">
        <x:f>J162-K162</x:f>
        <x:v>0</x:v>
      </x:c>
      <x:c r="M162" s="20" t="n">
        <x:f>IFERROR(K162/J162,0)</x:f>
        <x:v>1</x:v>
      </x:c>
      <x:c r="N162" t="n">
        <x:v>30</x:v>
      </x:c>
      <x:c r="O162" t="n">
        <x:v>30</x:v>
      </x:c>
      <x:c r="P162" t="n">
        <x:f>N162-O162</x:f>
        <x:v>0</x:v>
      </x:c>
      <x:c r="Q162" t="n">
        <x:v>0</x:v>
      </x:c>
      <x:c r="R162" t="n">
        <x:v>0</x:v>
      </x:c>
      <x:c r="S162" t="n">
        <x:f>Q162-R162</x:f>
        <x:v>0</x:v>
      </x:c>
      <x:c r="T162" t="n">
        <x:v>30</x:v>
      </x:c>
      <x:c r="U162" t="n">
        <x:v>30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f>IF(AND(ISNUMBER(G162),I162&lt;&gt;"Excluded INI"),MAX(0,G162-J162),"")</x:f>
        <x:v>170</x:v>
      </x:c>
      <x:c r="AC162" t="n">
        <x:v>3011</x:v>
      </x:c>
      <x:c r="AD162" t="n">
        <x:v>3998</x:v>
      </x:c>
      <x:c r="AE162" t="n">
        <x:v>6596</x:v>
      </x:c>
      <x:c r="AF162" t="n">
        <x:v>6897</x:v>
      </x:c>
      <x:c r="AG162" t="n">
        <x:v>7255</x:v>
      </x:c>
      <x:c r="AH162" t="n">
        <x:v>8427</x:v>
      </x:c>
      <x:c r="AI162" t="n">
        <x:v>30196</x:v>
      </x:c>
      <x:c r="AJ162" t="n">
        <x:v>34955</x:v>
      </x:c>
      <x:c r="AK162" t="n">
        <x:v>50410</x:v>
      </x:c>
      <x:c r="AL162" t="n">
        <x:v>51700</x:v>
      </x:c>
      <x:c r="AM162" t="str">
        <x:v>Fully allotted in R1; R2 opportunity depends on upgrade/non-joining</x:v>
      </x:c>
    </x:row>
    <x:row r="163">
      <x:c r="A163" t="str">
        <x:v>Karnataka</x:v>
      </x:c>
      <x:c r="B163" t="str">
        <x:v>Deemed University</x:v>
      </x:c>
      <x:c r="C163" t="str">
        <x:v>200346</x:v>
      </x:c>
      <x:c r="D163" t="str">
        <x:v>Shri B M Patil Medical College, Hospital &amp; Research Centre, Vijayapura (Bijapur, SMT BANGARAMMA SAJJAN CAMPUS B M PATIL ROAD (SOLAPUR ROAD) VIJAYAPURA KARNATAKA</x:v>
      </x:c>
      <x:c r="E163" t="str">
        <x:v>KA/056/P/4</x:v>
      </x:c>
      <x:c r="F163" t="str">
        <x:v>Private</x:v>
      </x:c>
      <x:c r="G163" t="n">
        <x:v>250</x:v>
      </x:c>
      <x:c r="H163" t="n">
        <x:v>100</x:v>
      </x:c>
      <x:c r="I163" t="str">
        <x:v>High-confidence fuzzy</x:v>
      </x:c>
      <x:c r="J163" t="n">
        <x:v>250</x:v>
      </x:c>
      <x:c r="K163" t="n">
        <x:v>230</x:v>
      </x:c>
      <x:c r="L163" t="n">
        <x:f>J163-K163</x:f>
        <x:v>20</x:v>
      </x:c>
      <x:c r="M163" s="20" t="n">
        <x:f>IFERROR(K163/J163,0)</x:f>
        <x:v>0.92</x:v>
      </x:c>
      <x:c r="N163" t="n">
        <x:v>0</x:v>
      </x:c>
      <x:c r="O163" t="n">
        <x:v>0</x:v>
      </x:c>
      <x:c r="P163" t="n">
        <x:f>N163-O163</x:f>
        <x:v>0</x:v>
      </x:c>
      <x:c r="Q163" t="n">
        <x:v>250</x:v>
      </x:c>
      <x:c r="R163" t="n">
        <x:v>230</x:v>
      </x:c>
      <x:c r="S163" t="n">
        <x:f>Q163-R163</x:f>
        <x:v>20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230</x:v>
      </x:c>
      <x:c r="Y163" t="n">
        <x:v>230</x:v>
      </x:c>
      <x:c r="Z163" t="n">
        <x:v>20</x:v>
      </x:c>
      <x:c r="AA163" t="n">
        <x:v>0</x:v>
      </x:c>
      <x:c r="AB163" t="n">
        <x:f>IF(AND(ISNUMBER(G163),I163&lt;&gt;"Excluded INI"),MAX(0,G163-J163),"")</x:f>
        <x:v>0</x:v>
      </x:c>
      <x:c r="AC163" t="n">
        <x:v>226460</x:v>
      </x:c>
      <x:c r="AD163" t="n">
        <x:v>294456</x:v>
      </x:c>
      <x:c r="AE163"/>
      <x:c r="AF163"/>
      <x:c r="AG163"/>
      <x:c r="AH163"/>
      <x:c r="AI163"/>
      <x:c r="AJ163"/>
      <x:c r="AK163"/>
      <x:c r="AL163"/>
      <x:c r="AM163" t="str">
        <x:v>Unfilled mainly private/NRI/minority; regular R2 depends on movement</x:v>
      </x:c>
    </x:row>
    <x:row r="164">
      <x:c r="A164" t="str">
        <x:v>Karnataka</x:v>
      </x:c>
      <x:c r="B164" t="str">
        <x:v>Deemed University</x:v>
      </x:c>
      <x:c r="C164" t="str">
        <x:v>200347</x:v>
      </x:c>
      <x:c r="D164" t="str">
        <x:v>Sri Devaraj URS Medical College, Kolar, Post box No.7, SRI DEVARAJ URS MEDICAL COLLEGE, TAMAKA, KOLAR</x:v>
      </x:c>
      <x:c r="E164" t="str">
        <x:v>KA/061/P/3</x:v>
      </x:c>
      <x:c r="F164" t="str">
        <x:v>Private</x:v>
      </x:c>
      <x:c r="G164" t="n">
        <x:v>250</x:v>
      </x:c>
      <x:c r="H164" t="n">
        <x:v>100</x:v>
      </x:c>
      <x:c r="I164" t="str">
        <x:v>High-confidence fuzzy</x:v>
      </x:c>
      <x:c r="J164" t="n">
        <x:v>250</x:v>
      </x:c>
      <x:c r="K164" t="n">
        <x:v>215</x:v>
      </x:c>
      <x:c r="L164" t="n">
        <x:f>J164-K164</x:f>
        <x:v>35</x:v>
      </x:c>
      <x:c r="M164" s="20" t="n">
        <x:f>IFERROR(K164/J164,0)</x:f>
        <x:v>0.86</x:v>
      </x:c>
      <x:c r="N164" t="n">
        <x:v>0</x:v>
      </x:c>
      <x:c r="O164" t="n">
        <x:v>0</x:v>
      </x:c>
      <x:c r="P164" t="n">
        <x:f>N164-O164</x:f>
        <x:v>0</x:v>
      </x:c>
      <x:c r="Q164" t="n">
        <x:v>250</x:v>
      </x:c>
      <x:c r="R164" t="n">
        <x:v>215</x:v>
      </x:c>
      <x:c r="S164" t="n">
        <x:f>Q164-R164</x:f>
        <x:v>35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212</x:v>
      </x:c>
      <x:c r="Y164" t="n">
        <x:v>212</x:v>
      </x:c>
      <x:c r="Z164" t="n">
        <x:v>38</x:v>
      </x:c>
      <x:c r="AA164" t="n">
        <x:v>3</x:v>
      </x:c>
      <x:c r="AB164" t="n">
        <x:f>IF(AND(ISNUMBER(G164),I164&lt;&gt;"Excluded INI"),MAX(0,G164-J164),"")</x:f>
        <x:v>0</x:v>
      </x:c>
      <x:c r="AC164" t="n">
        <x:v>236635</x:v>
      </x:c>
      <x:c r="AD164" t="n">
        <x:v>788472</x:v>
      </x:c>
      <x:c r="AE164"/>
      <x:c r="AF164"/>
      <x:c r="AG164"/>
      <x:c r="AH164"/>
      <x:c r="AI164"/>
      <x:c r="AJ164"/>
      <x:c r="AK164"/>
      <x:c r="AL164"/>
      <x:c r="AM164" t="str">
        <x:v>Unfilled mainly private/NRI/minority; regular R2 depends on movement</x:v>
      </x:c>
    </x:row>
    <x:row r="165">
      <x:c r="A165" t="str">
        <x:v>Karnataka</x:v>
      </x:c>
      <x:c r="B165" t="str">
        <x:v>Deemed University</x:v>
      </x:c>
      <x:c r="C165" t="str">
        <x:v>200349</x:v>
      </x:c>
      <x:c r="D165" t="str">
        <x:v>Sri Siddhartha Medical College, Tumkur, SRI SIDDHARTHA MEDICAL COLLEGE B.H. ROAD, AGALAKOTE TUMKUR</x:v>
      </x:c>
      <x:c r="E165" t="str">
        <x:v>KA/064/P/3</x:v>
      </x:c>
      <x:c r="F165" t="str">
        <x:v>Private</x:v>
      </x:c>
      <x:c r="G165" t="n">
        <x:v>250</x:v>
      </x:c>
      <x:c r="H165" t="n">
        <x:v>100</x:v>
      </x:c>
      <x:c r="I165" t="str">
        <x:v>High-confidence fuzzy</x:v>
      </x:c>
      <x:c r="J165" t="n">
        <x:v>250</x:v>
      </x:c>
      <x:c r="K165" t="n">
        <x:v>212</x:v>
      </x:c>
      <x:c r="L165" t="n">
        <x:f>J165-K165</x:f>
        <x:v>38</x:v>
      </x:c>
      <x:c r="M165" s="20" t="n">
        <x:f>IFERROR(K165/J165,0)</x:f>
        <x:v>0.848</x:v>
      </x:c>
      <x:c r="N165" t="n">
        <x:v>0</x:v>
      </x:c>
      <x:c r="O165" t="n">
        <x:v>0</x:v>
      </x:c>
      <x:c r="P165" t="n">
        <x:f>N165-O165</x:f>
        <x:v>0</x:v>
      </x:c>
      <x:c r="Q165" t="n">
        <x:v>250</x:v>
      </x:c>
      <x:c r="R165" t="n">
        <x:v>212</x:v>
      </x:c>
      <x:c r="S165" t="n">
        <x:f>Q165-R165</x:f>
        <x:v>38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212</x:v>
      </x:c>
      <x:c r="Y165" t="n">
        <x:v>212</x:v>
      </x:c>
      <x:c r="Z165" t="n">
        <x:v>38</x:v>
      </x:c>
      <x:c r="AA165" t="n">
        <x:v>0</x:v>
      </x:c>
      <x:c r="AB165" t="n">
        <x:f>IF(AND(ISNUMBER(G165),I165&lt;&gt;"Excluded INI"),MAX(0,G165-J165),"")</x:f>
        <x:v>0</x:v>
      </x:c>
      <x:c r="AC165" t="n">
        <x:v>285328</x:v>
      </x:c>
      <x:c r="AD165" t="n">
        <x:v>353346</x:v>
      </x:c>
      <x:c r="AE165"/>
      <x:c r="AF165"/>
      <x:c r="AG165"/>
      <x:c r="AH165"/>
      <x:c r="AI165"/>
      <x:c r="AJ165"/>
      <x:c r="AK165"/>
      <x:c r="AL165"/>
      <x:c r="AM165" t="str">
        <x:v>Unfilled mainly private/NRI/minority; regular R2 depends on movement</x:v>
      </x:c>
    </x:row>
    <x:row r="166">
      <x:c r="A166" t="str">
        <x:v>Karnataka</x:v>
      </x:c>
      <x:c r="B166" t="str">
        <x:v>Deemed University</x:v>
      </x:c>
      <x:c r="C166" t="str">
        <x:v>200472</x:v>
      </x:c>
      <x:c r="D166" t="str">
        <x:v>Sri siddhartha Institute of Medical Sciences &amp; Research Centre, Bangalore, SRI SIDDHARTHA INSTITUTE OF MEDICAL SCIENCES AND RESEARCH CENTRE T BEGUR NELAMANGALA TALUK BANGALOR</x:v>
      </x:c>
      <x:c r="E166" t="str">
        <x:v>KA/063/P/3</x:v>
      </x:c>
      <x:c r="F166" t="str">
        <x:v>Private</x:v>
      </x:c>
      <x:c r="G166" t="n">
        <x:v>250</x:v>
      </x:c>
      <x:c r="H166" t="n">
        <x:v>100</x:v>
      </x:c>
      <x:c r="I166" t="str">
        <x:v>High-confidence fuzzy</x:v>
      </x:c>
      <x:c r="J166" t="n">
        <x:v>250</x:v>
      </x:c>
      <x:c r="K166" t="n">
        <x:v>212</x:v>
      </x:c>
      <x:c r="L166" t="n">
        <x:f>J166-K166</x:f>
        <x:v>38</x:v>
      </x:c>
      <x:c r="M166" s="20" t="n">
        <x:f>IFERROR(K166/J166,0)</x:f>
        <x:v>0.848</x:v>
      </x:c>
      <x:c r="N166" t="n">
        <x:v>0</x:v>
      </x:c>
      <x:c r="O166" t="n">
        <x:v>0</x:v>
      </x:c>
      <x:c r="P166" t="n">
        <x:f>N166-O166</x:f>
        <x:v>0</x:v>
      </x:c>
      <x:c r="Q166" t="n">
        <x:v>250</x:v>
      </x:c>
      <x:c r="R166" t="n">
        <x:v>212</x:v>
      </x:c>
      <x:c r="S166" t="n">
        <x:f>Q166-R166</x:f>
        <x:v>38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212</x:v>
      </x:c>
      <x:c r="Y166" t="n">
        <x:v>212</x:v>
      </x:c>
      <x:c r="Z166" t="n">
        <x:v>38</x:v>
      </x:c>
      <x:c r="AA166" t="n">
        <x:v>0</x:v>
      </x:c>
      <x:c r="AB166" t="n">
        <x:f>IF(AND(ISNUMBER(G166),I166&lt;&gt;"Excluded INI"),MAX(0,G166-J166),"")</x:f>
        <x:v>0</x:v>
      </x:c>
      <x:c r="AC166" t="n">
        <x:v>370004</x:v>
      </x:c>
      <x:c r="AD166" t="n">
        <x:v>419640</x:v>
      </x:c>
      <x:c r="AE166"/>
      <x:c r="AF166"/>
      <x:c r="AG166"/>
      <x:c r="AH166"/>
      <x:c r="AI166"/>
      <x:c r="AJ166"/>
      <x:c r="AK166"/>
      <x:c r="AL166"/>
      <x:c r="AM166" t="str">
        <x:v>Unfilled mainly private/NRI/minority; regular R2 depends on movement</x:v>
      </x:c>
    </x:row>
    <x:row r="167">
      <x:c r="A167" t="str">
        <x:v>Karnataka</x:v>
      </x:c>
      <x:c r="B167" t="str">
        <x:v>All India except Central University</x:v>
      </x:c>
      <x:c r="C167" t="str">
        <x:v>200181</x:v>
      </x:c>
      <x:c r="D167" t="str">
        <x:v>Vijaynagar Institute of Medical Sciences, Bellary, Cantonment, Ballari</x:v>
      </x:c>
      <x:c r="E167" t="str">
        <x:v>KA/069/G/1</x:v>
      </x:c>
      <x:c r="F167" t="str">
        <x:v>Government</x:v>
      </x:c>
      <x:c r="G167" t="n">
        <x:v>250</x:v>
      </x:c>
      <x:c r="H167" t="n">
        <x:v>100</x:v>
      </x:c>
      <x:c r="I167" t="str">
        <x:v>High-confidence fuzzy</x:v>
      </x:c>
      <x:c r="J167" t="n">
        <x:v>38</x:v>
      </x:c>
      <x:c r="K167" t="n">
        <x:v>38</x:v>
      </x:c>
      <x:c r="L167" t="n">
        <x:f>J167-K167</x:f>
        <x:v>0</x:v>
      </x:c>
      <x:c r="M167" s="20" t="n">
        <x:f>IFERROR(K167/J167,0)</x:f>
        <x:v>1</x:v>
      </x:c>
      <x:c r="N167" t="n">
        <x:v>38</x:v>
      </x:c>
      <x:c r="O167" t="n">
        <x:v>38</x:v>
      </x:c>
      <x:c r="P167" t="n">
        <x:f>N167-O167</x:f>
        <x:v>0</x:v>
      </x:c>
      <x:c r="Q167" t="n">
        <x:v>0</x:v>
      </x:c>
      <x:c r="R167" t="n">
        <x:v>0</x:v>
      </x:c>
      <x:c r="S167" t="n">
        <x:f>Q167-R167</x:f>
        <x:v>0</x:v>
      </x:c>
      <x:c r="T167" t="n">
        <x:v>38</x:v>
      </x:c>
      <x:c r="U167" t="n">
        <x:v>38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f>IF(AND(ISNUMBER(G167),I167&lt;&gt;"Excluded INI"),MAX(0,G167-J167),"")</x:f>
        <x:v>212</x:v>
      </x:c>
      <x:c r="AC167" t="n">
        <x:v>10397</x:v>
      </x:c>
      <x:c r="AD167" t="n">
        <x:v>11615</x:v>
      </x:c>
      <x:c r="AE167" t="n">
        <x:v>12557</x:v>
      </x:c>
      <x:c r="AF167" t="n">
        <x:v>14000</x:v>
      </x:c>
      <x:c r="AG167" t="n">
        <x:v>16495</x:v>
      </x:c>
      <x:c r="AH167" t="n">
        <x:v>17141</x:v>
      </x:c>
      <x:c r="AI167" t="n">
        <x:v>55738</x:v>
      </x:c>
      <x:c r="AJ167" t="n">
        <x:v>63430</x:v>
      </x:c>
      <x:c r="AK167" t="n">
        <x:v>65907</x:v>
      </x:c>
      <x:c r="AL167" t="n">
        <x:v>67502</x:v>
      </x:c>
      <x:c r="AM167" t="str">
        <x:v>Fully allotted in R1; R2 opportunity depends on upgrade/non-joining</x:v>
      </x:c>
    </x:row>
    <x:row r="168">
      <x:c r="A168" t="str">
        <x:v>Karnataka</x:v>
      </x:c>
      <x:c r="B168" t="str">
        <x:v>All India except Central University</x:v>
      </x:c>
      <x:c r="C168" t="str">
        <x:v>200601</x:v>
      </x:c>
      <x:c r="D168" t="str">
        <x:v>Yadgiri Institute of Medical Sciences, Yadgiri, Chittapur Main Road, Yadgiri.</x:v>
      </x:c>
      <x:c r="E168" t="str">
        <x:v>KA/071/G/1</x:v>
      </x:c>
      <x:c r="F168" t="str">
        <x:v>Government</x:v>
      </x:c>
      <x:c r="G168" t="n">
        <x:v>150</x:v>
      </x:c>
      <x:c r="H168" t="n">
        <x:v>100</x:v>
      </x:c>
      <x:c r="I168" t="str">
        <x:v>High-confidence fuzzy</x:v>
      </x:c>
      <x:c r="J168" t="n">
        <x:v>22</x:v>
      </x:c>
      <x:c r="K168" t="n">
        <x:v>22</x:v>
      </x:c>
      <x:c r="L168" t="n">
        <x:f>J168-K168</x:f>
        <x:v>0</x:v>
      </x:c>
      <x:c r="M168" s="20" t="n">
        <x:f>IFERROR(K168/J168,0)</x:f>
        <x:v>1</x:v>
      </x:c>
      <x:c r="N168" t="n">
        <x:v>22</x:v>
      </x:c>
      <x:c r="O168" t="n">
        <x:v>22</x:v>
      </x:c>
      <x:c r="P168" t="n">
        <x:f>N168-O168</x:f>
        <x:v>0</x:v>
      </x:c>
      <x:c r="Q168" t="n">
        <x:v>0</x:v>
      </x:c>
      <x:c r="R168" t="n">
        <x:v>0</x:v>
      </x:c>
      <x:c r="S168" t="n">
        <x:f>Q168-R168</x:f>
        <x:v>0</x:v>
      </x:c>
      <x:c r="T168" t="n">
        <x:v>22</x:v>
      </x:c>
      <x:c r="U168" t="n">
        <x:v>22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f>IF(AND(ISNUMBER(G168),I168&lt;&gt;"Excluded INI"),MAX(0,G168-J168),"")</x:f>
        <x:v>128</x:v>
      </x:c>
      <x:c r="AC168" t="n">
        <x:v>18145</x:v>
      </x:c>
      <x:c r="AD168" t="n">
        <x:v>18415</x:v>
      </x:c>
      <x:c r="AE168" t="n">
        <x:v>19926</x:v>
      </x:c>
      <x:c r="AF168" t="n">
        <x:v>20327</x:v>
      </x:c>
      <x:c r="AG168" t="n">
        <x:v>24651</x:v>
      </x:c>
      <x:c r="AH168" t="n">
        <x:v>25022</x:v>
      </x:c>
      <x:c r="AI168" t="n">
        <x:v>97871</x:v>
      </x:c>
      <x:c r="AJ168" t="n">
        <x:v>97968</x:v>
      </x:c>
      <x:c r="AK168" t="n">
        <x:v>113224</x:v>
      </x:c>
      <x:c r="AL168" t="n">
        <x:v>113617</x:v>
      </x:c>
      <x:c r="AM168" t="str">
        <x:v>Fully allotted in R1; R2 opportunity depends on upgrade/non-joining</x:v>
      </x:c>
    </x:row>
    <x:row r="169">
      <x:c r="A169" t="str">
        <x:v>Karnataka</x:v>
      </x:c>
      <x:c r="B169" t="str">
        <x:v>Deemed University</x:v>
      </x:c>
      <x:c r="C169" t="str">
        <x:v>200351</x:v>
      </x:c>
      <x:c r="D169" t="str">
        <x:v>Yenepoya Medical College, Mangalore, University Road Deralakatte Mangaluru</x:v>
      </x:c>
      <x:c r="E169" t="str">
        <x:v>KA/072/P/3</x:v>
      </x:c>
      <x:c r="F169" t="str">
        <x:v>Private</x:v>
      </x:c>
      <x:c r="G169" t="n">
        <x:v>250</x:v>
      </x:c>
      <x:c r="H169" t="n">
        <x:v>100</x:v>
      </x:c>
      <x:c r="I169" t="str">
        <x:v>High-confidence fuzzy</x:v>
      </x:c>
      <x:c r="J169" t="n">
        <x:v>213</x:v>
      </x:c>
      <x:c r="K169" t="n">
        <x:v>179</x:v>
      </x:c>
      <x:c r="L169" t="n">
        <x:f>J169-K169</x:f>
        <x:v>34</x:v>
      </x:c>
      <x:c r="M169" s="20" t="n">
        <x:f>IFERROR(K169/J169,0)</x:f>
        <x:v>0.8403755868544601</x:v>
      </x:c>
      <x:c r="N169" t="n">
        <x:v>0</x:v>
      </x:c>
      <x:c r="O169" t="n">
        <x:v>0</x:v>
      </x:c>
      <x:c r="P169" t="n">
        <x:f>N169-O169</x:f>
        <x:v>0</x:v>
      </x:c>
      <x:c r="Q169" t="n">
        <x:v>213</x:v>
      </x:c>
      <x:c r="R169" t="n">
        <x:v>179</x:v>
      </x:c>
      <x:c r="S169" t="n">
        <x:f>Q169-R169</x:f>
        <x:v>34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110</x:v>
      </x:c>
      <x:c r="Y169" t="n">
        <x:v>110</x:v>
      </x:c>
      <x:c r="Z169" t="n">
        <x:v>38</x:v>
      </x:c>
      <x:c r="AA169" t="n">
        <x:v>4</x:v>
      </x:c>
      <x:c r="AB169" t="n">
        <x:f>IF(AND(ISNUMBER(G169),I169&lt;&gt;"Excluded INI"),MAX(0,G169-J169),"")</x:f>
        <x:v>37</x:v>
      </x:c>
      <x:c r="AC169" t="n">
        <x:v>312359</x:v>
      </x:c>
      <x:c r="AD169" t="n">
        <x:v>924010</x:v>
      </x:c>
      <x:c r="AE169"/>
      <x:c r="AF169"/>
      <x:c r="AG169"/>
      <x:c r="AH169"/>
      <x:c r="AI169"/>
      <x:c r="AJ169"/>
      <x:c r="AK169"/>
      <x:c r="AL169"/>
      <x:c r="AM169" t="str">
        <x:v>Unfilled mainly private/NRI/minority; regular R2 depends on movement</x:v>
      </x:c>
    </x:row>
    <x:row r="170">
      <x:c r="A170" t="str">
        <x:v>Kerala</x:v>
      </x:c>
      <x:c r="B170" t="str">
        <x:v>Deemed University</x:v>
      </x:c>
      <x:c r="C170" t="str">
        <x:v>200352</x:v>
      </x:c>
      <x:c r="D170" t="str">
        <x:v>Amrita School of Medicine, Elamkara, Kochi, Amrita School of Medicine, Amrita Institute of Medical Sciences AIMS Ponekkara P.O Kochi 682041</x:v>
      </x:c>
      <x:c r="E170" t="str">
        <x:v>KL/003/P/3</x:v>
      </x:c>
      <x:c r="F170" t="str">
        <x:v>Private</x:v>
      </x:c>
      <x:c r="G170" t="n">
        <x:v>149</x:v>
      </x:c>
      <x:c r="H170" t="n">
        <x:v>100</x:v>
      </x:c>
      <x:c r="I170" t="str">
        <x:v>High-confidence fuzzy</x:v>
      </x:c>
      <x:c r="J170" t="n">
        <x:v>149</x:v>
      </x:c>
      <x:c r="K170" t="n">
        <x:v>136</x:v>
      </x:c>
      <x:c r="L170" t="n">
        <x:f>J170-K170</x:f>
        <x:v>13</x:v>
      </x:c>
      <x:c r="M170" s="20" t="n">
        <x:f>IFERROR(K170/J170,0)</x:f>
        <x:v>0.912751677852349</x:v>
      </x:c>
      <x:c r="N170" t="n">
        <x:v>0</x:v>
      </x:c>
      <x:c r="O170" t="n">
        <x:v>0</x:v>
      </x:c>
      <x:c r="P170" t="n">
        <x:f>N170-O170</x:f>
        <x:v>0</x:v>
      </x:c>
      <x:c r="Q170" t="n">
        <x:v>149</x:v>
      </x:c>
      <x:c r="R170" t="n">
        <x:v>136</x:v>
      </x:c>
      <x:c r="S170" t="n">
        <x:f>Q170-R170</x:f>
        <x:v>13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126</x:v>
      </x:c>
      <x:c r="Y170" t="n">
        <x:v>126</x:v>
      </x:c>
      <x:c r="Z170" t="n">
        <x:v>23</x:v>
      </x:c>
      <x:c r="AA170" t="n">
        <x:v>10</x:v>
      </x:c>
      <x:c r="AB170" t="n">
        <x:f>IF(AND(ISNUMBER(G170),I170&lt;&gt;"Excluded INI"),MAX(0,G170-J170),"")</x:f>
        <x:v>0</x:v>
      </x:c>
      <x:c r="AC170" t="n">
        <x:v>225077</x:v>
      </x:c>
      <x:c r="AD170" t="n">
        <x:v>969765</x:v>
      </x:c>
      <x:c r="AE170"/>
      <x:c r="AF170"/>
      <x:c r="AG170"/>
      <x:c r="AH170"/>
      <x:c r="AI170"/>
      <x:c r="AJ170"/>
      <x:c r="AK170"/>
      <x:c r="AL170"/>
      <x:c r="AM170" t="str">
        <x:v>Unfilled mainly private/NRI/minority; regular R2 depends on movement</x:v>
      </x:c>
    </x:row>
    <x:row r="171">
      <x:c r="A171" t="str">
        <x:v>Kerala</x:v>
      </x:c>
      <x:c r="B171" t="str">
        <x:v>All India except Central University</x:v>
      </x:c>
      <x:c r="C171" t="str">
        <x:v>200188</x:v>
      </x:c>
      <x:c r="D171" t="str">
        <x:v>Government Medical College (Institute of Integrated Medical Sciences), Yakkara, Palakkad, NH-544, EAST YAKKARA, KUNNATHURMEDU POST, PALAKKAD-678013</x:v>
      </x:c>
      <x:c r="E171" t="str">
        <x:v>KL/008/G/1</x:v>
      </x:c>
      <x:c r="F171" t="str">
        <x:v>Government</x:v>
      </x:c>
      <x:c r="G171" t="n">
        <x:v>100</x:v>
      </x:c>
      <x:c r="H171" t="n">
        <x:v>100</x:v>
      </x:c>
      <x:c r="I171" t="str">
        <x:v>High-confidence fuzzy</x:v>
      </x:c>
      <x:c r="J171" t="n">
        <x:v>15</x:v>
      </x:c>
      <x:c r="K171" t="n">
        <x:v>15</x:v>
      </x:c>
      <x:c r="L171" t="n">
        <x:f>J171-K171</x:f>
        <x:v>0</x:v>
      </x:c>
      <x:c r="M171" s="20" t="n">
        <x:f>IFERROR(K171/J171,0)</x:f>
        <x:v>1</x:v>
      </x:c>
      <x:c r="N171" t="n">
        <x:v>15</x:v>
      </x:c>
      <x:c r="O171" t="n">
        <x:v>15</x:v>
      </x:c>
      <x:c r="P171" t="n">
        <x:f>N171-O171</x:f>
        <x:v>0</x:v>
      </x:c>
      <x:c r="Q171" t="n">
        <x:v>0</x:v>
      </x:c>
      <x:c r="R171" t="n">
        <x:v>0</x:v>
      </x:c>
      <x:c r="S171" t="n">
        <x:f>Q171-R171</x:f>
        <x:v>0</x:v>
      </x:c>
      <x:c r="T171" t="n">
        <x:v>15</x:v>
      </x:c>
      <x:c r="U171" t="n">
        <x:v>15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f>IF(AND(ISNUMBER(G171),I171&lt;&gt;"Excluded INI"),MAX(0,G171-J171),"")</x:f>
        <x:v>85</x:v>
      </x:c>
      <x:c r="AC171" t="n">
        <x:v>6561</x:v>
      </x:c>
      <x:c r="AD171" t="n">
        <x:v>6985</x:v>
      </x:c>
      <x:c r="AE171" t="n">
        <x:v>7586</x:v>
      </x:c>
      <x:c r="AF171" t="n">
        <x:v>7977</x:v>
      </x:c>
      <x:c r="AG171" t="n">
        <x:v>18048</x:v>
      </x:c>
      <x:c r="AH171" t="n">
        <x:v>18048</x:v>
      </x:c>
      <x:c r="AI171" t="n">
        <x:v>63980</x:v>
      </x:c>
      <x:c r="AJ171" t="n">
        <x:v>67705</x:v>
      </x:c>
      <x:c r="AK171" t="n">
        <x:v>97373</x:v>
      </x:c>
      <x:c r="AL171" t="n">
        <x:v>97373</x:v>
      </x:c>
      <x:c r="AM171" t="str">
        <x:v>Fully allotted in R1; R2 opportunity depends on upgrade/non-joining</x:v>
      </x:c>
    </x:row>
    <x:row r="172">
      <x:c r="A172" t="str">
        <x:v>Kerala</x:v>
      </x:c>
      <x:c r="B172" t="str">
        <x:v>All India except Central University</x:v>
      </x:c>
      <x:c r="C172" t="str">
        <x:v>904367</x:v>
      </x:c>
      <x:c r="D172" t="str">
        <x:v>Government Medical College Kasaragod, Govt. Medical College, Kasaragod, Ukkinadka, Badiadka panchayath, Kerala-671552</x:v>
      </x:c>
      <x:c r="E172" t="str">
        <x:v>KL/009/G/1</x:v>
      </x:c>
      <x:c r="F172" t="str">
        <x:v>Government</x:v>
      </x:c>
      <x:c r="G172" t="n">
        <x:v>50</x:v>
      </x:c>
      <x:c r="H172" t="n">
        <x:v>100</x:v>
      </x:c>
      <x:c r="I172" t="str">
        <x:v>High-confidence fuzzy</x:v>
      </x:c>
      <x:c r="J172" t="n">
        <x:v>8</x:v>
      </x:c>
      <x:c r="K172" t="n">
        <x:v>8</x:v>
      </x:c>
      <x:c r="L172" t="n">
        <x:f>J172-K172</x:f>
        <x:v>0</x:v>
      </x:c>
      <x:c r="M172" s="20" t="n">
        <x:f>IFERROR(K172/J172,0)</x:f>
        <x:v>1</x:v>
      </x:c>
      <x:c r="N172" t="n">
        <x:v>8</x:v>
      </x:c>
      <x:c r="O172" t="n">
        <x:v>8</x:v>
      </x:c>
      <x:c r="P172" t="n">
        <x:f>N172-O172</x:f>
        <x:v>0</x:v>
      </x:c>
      <x:c r="Q172" t="n">
        <x:v>0</x:v>
      </x:c>
      <x:c r="R172" t="n">
        <x:v>0</x:v>
      </x:c>
      <x:c r="S172" t="n">
        <x:f>Q172-R172</x:f>
        <x:v>0</x:v>
      </x:c>
      <x:c r="T172" t="n">
        <x:v>8</x:v>
      </x:c>
      <x:c r="U172" t="n">
        <x:v>8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f>IF(AND(ISNUMBER(G172),I172&lt;&gt;"Excluded INI"),MAX(0,G172-J172),"")</x:f>
        <x:v>42</x:v>
      </x:c>
      <x:c r="AC172" t="n">
        <x:v>8494</x:v>
      </x:c>
      <x:c r="AD172" t="n">
        <x:v>8552</x:v>
      </x:c>
      <x:c r="AE172" t="n">
        <x:v>8783</x:v>
      </x:c>
      <x:c r="AF172" t="n">
        <x:v>8831</x:v>
      </x:c>
      <x:c r="AG172" t="n">
        <x:v>21035</x:v>
      </x:c>
      <x:c r="AH172" t="n">
        <x:v>21035</x:v>
      </x:c>
      <x:c r="AI172" t="n">
        <x:v>79577</x:v>
      </x:c>
      <x:c r="AJ172" t="n">
        <x:v>79577</x:v>
      </x:c>
      <x:c r="AK172" t="n">
        <x:v>121466</x:v>
      </x:c>
      <x:c r="AL172" t="n">
        <x:v>121466</x:v>
      </x:c>
      <x:c r="AM172" t="str">
        <x:v>Fully allotted in R1; R2 opportunity depends on upgrade/non-joining</x:v>
      </x:c>
    </x:row>
    <x:row r="173">
      <x:c r="A173" t="str">
        <x:v>Kerala</x:v>
      </x:c>
      <x:c r="B173" t="str">
        <x:v>All India except Central University</x:v>
      </x:c>
      <x:c r="C173" t="str">
        <x:v>200187</x:v>
      </x:c>
      <x:c r="D173" t="str">
        <x:v>Government Medical College, Ernakulam, HMT COLONY P O, KALAMASSERY, ERNAKULAM DISTRICT</x:v>
      </x:c>
      <x:c r="E173" t="str">
        <x:v>KL/010/G/1</x:v>
      </x:c>
      <x:c r="F173" t="str">
        <x:v>Government</x:v>
      </x:c>
      <x:c r="G173" t="n">
        <x:v>110</x:v>
      </x:c>
      <x:c r="H173" t="n">
        <x:v>100</x:v>
      </x:c>
      <x:c r="I173" t="str">
        <x:v>High-confidence fuzzy</x:v>
      </x:c>
      <x:c r="J173" t="n">
        <x:v>17</x:v>
      </x:c>
      <x:c r="K173" t="n">
        <x:v>17</x:v>
      </x:c>
      <x:c r="L173" t="n">
        <x:f>J173-K173</x:f>
        <x:v>0</x:v>
      </x:c>
      <x:c r="M173" s="20" t="n">
        <x:f>IFERROR(K173/J173,0)</x:f>
        <x:v>1</x:v>
      </x:c>
      <x:c r="N173" t="n">
        <x:v>17</x:v>
      </x:c>
      <x:c r="O173" t="n">
        <x:v>17</x:v>
      </x:c>
      <x:c r="P173" t="n">
        <x:f>N173-O173</x:f>
        <x:v>0</x:v>
      </x:c>
      <x:c r="Q173" t="n">
        <x:v>0</x:v>
      </x:c>
      <x:c r="R173" t="n">
        <x:v>0</x:v>
      </x:c>
      <x:c r="S173" t="n">
        <x:f>Q173-R173</x:f>
        <x:v>0</x:v>
      </x:c>
      <x:c r="T173" t="n">
        <x:v>17</x:v>
      </x:c>
      <x:c r="U173" t="n">
        <x:v>17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f>IF(AND(ISNUMBER(G173),I173&lt;&gt;"Excluded INI"),MAX(0,G173-J173),"")</x:f>
        <x:v>93</x:v>
      </x:c>
      <x:c r="AC173" t="n">
        <x:v>4206</x:v>
      </x:c>
      <x:c r="AD173" t="n">
        <x:v>4582</x:v>
      </x:c>
      <x:c r="AE173" t="n">
        <x:v>5138</x:v>
      </x:c>
      <x:c r="AF173" t="n">
        <x:v>5192</x:v>
      </x:c>
      <x:c r="AG173" t="n">
        <x:v>15754</x:v>
      </x:c>
      <x:c r="AH173" t="n">
        <x:v>15800</x:v>
      </x:c>
      <x:c r="AI173" t="n">
        <x:v>54459</x:v>
      </x:c>
      <x:c r="AJ173" t="n">
        <x:v>64894</x:v>
      </x:c>
      <x:c r="AK173" t="n">
        <x:v>80017</x:v>
      </x:c>
      <x:c r="AL173" t="n">
        <x:v>80017</x:v>
      </x:c>
      <x:c r="AM173" t="str">
        <x:v>Fully allotted in R1; R2 opportunity depends on upgrade/non-joining</x:v>
      </x:c>
    </x:row>
    <x:row r="174">
      <x:c r="A174" t="str">
        <x:v>Kerala</x:v>
      </x:c>
      <x:c r="B174" t="str">
        <x:v>All India except Central University</x:v>
      </x:c>
      <x:c r="C174" t="str">
        <x:v>200593</x:v>
      </x:c>
      <x:c r="D174" t="str">
        <x:v>Government Medical College, Idukki, Principal, Govt Medical College Idukki, Idukki colony P.O.,Idukki District</x:v>
      </x:c>
      <x:c r="E174" t="str">
        <x:v>KL/011/G/1</x:v>
      </x:c>
      <x:c r="F174" t="str">
        <x:v>Government</x:v>
      </x:c>
      <x:c r="G174" t="n">
        <x:v>100</x:v>
      </x:c>
      <x:c r="H174" t="n">
        <x:v>100</x:v>
      </x:c>
      <x:c r="I174" t="str">
        <x:v>High-confidence fuzzy</x:v>
      </x:c>
      <x:c r="J174" t="n">
        <x:v>15</x:v>
      </x:c>
      <x:c r="K174" t="n">
        <x:v>15</x:v>
      </x:c>
      <x:c r="L174" t="n">
        <x:f>J174-K174</x:f>
        <x:v>0</x:v>
      </x:c>
      <x:c r="M174" s="20" t="n">
        <x:f>IFERROR(K174/J174,0)</x:f>
        <x:v>1</x:v>
      </x:c>
      <x:c r="N174" t="n">
        <x:v>15</x:v>
      </x:c>
      <x:c r="O174" t="n">
        <x:v>15</x:v>
      </x:c>
      <x:c r="P174" t="n">
        <x:f>N174-O174</x:f>
        <x:v>0</x:v>
      </x:c>
      <x:c r="Q174" t="n">
        <x:v>0</x:v>
      </x:c>
      <x:c r="R174" t="n">
        <x:v>0</x:v>
      </x:c>
      <x:c r="S174" t="n">
        <x:f>Q174-R174</x:f>
        <x:v>0</x:v>
      </x:c>
      <x:c r="T174" t="n">
        <x:v>15</x:v>
      </x:c>
      <x:c r="U174" t="n">
        <x:v>15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f>IF(AND(ISNUMBER(G174),I174&lt;&gt;"Excluded INI"),MAX(0,G174-J174),"")</x:f>
        <x:v>85</x:v>
      </x:c>
      <x:c r="AC174" t="n">
        <x:v>7084</x:v>
      </x:c>
      <x:c r="AD174" t="n">
        <x:v>7258</x:v>
      </x:c>
      <x:c r="AE174" t="n">
        <x:v>7802</x:v>
      </x:c>
      <x:c r="AF174" t="n">
        <x:v>7947</x:v>
      </x:c>
      <x:c r="AG174" t="n">
        <x:v>22614</x:v>
      </x:c>
      <x:c r="AH174" t="n">
        <x:v>22614</x:v>
      </x:c>
      <x:c r="AI174" t="n">
        <x:v>75820</x:v>
      </x:c>
      <x:c r="AJ174" t="n">
        <x:v>79281</x:v>
      </x:c>
      <x:c r="AK174" t="n">
        <x:v>109898</x:v>
      </x:c>
      <x:c r="AL174" t="n">
        <x:v>109898</x:v>
      </x:c>
      <x:c r="AM174" t="str">
        <x:v>Fully allotted in R1; R2 opportunity depends on upgrade/non-joining</x:v>
      </x:c>
    </x:row>
    <x:row r="175">
      <x:c r="A175" t="str">
        <x:v>Kerala</x:v>
      </x:c>
      <x:c r="B175" t="str">
        <x:v>All India except Central University</x:v>
      </x:c>
      <x:c r="C175" t="str">
        <x:v>200624</x:v>
      </x:c>
      <x:c r="D175" t="str">
        <x:v>Government Medical College, Konni, GOVERNMENT MEDICAL COLLEGE KONNI KUMMANNOOR PO KONNI PATHANAMTHITTA 689691</x:v>
      </x:c>
      <x:c r="E175" t="str">
        <x:v>KL/012/G/1</x:v>
      </x:c>
      <x:c r="F175" t="str">
        <x:v>Government</x:v>
      </x:c>
      <x:c r="G175" t="n">
        <x:v>100</x:v>
      </x:c>
      <x:c r="H175" t="n">
        <x:v>100</x:v>
      </x:c>
      <x:c r="I175" t="str">
        <x:v>High-confidence fuzzy</x:v>
      </x:c>
      <x:c r="J175" t="n">
        <x:v>15</x:v>
      </x:c>
      <x:c r="K175" t="n">
        <x:v>14</x:v>
      </x:c>
      <x:c r="L175" t="n">
        <x:f>J175-K175</x:f>
        <x:v>1</x:v>
      </x:c>
      <x:c r="M175" s="20" t="n">
        <x:f>IFERROR(K175/J175,0)</x:f>
        <x:v>0.9333333333333333</x:v>
      </x:c>
      <x:c r="N175" t="n">
        <x:v>15</x:v>
      </x:c>
      <x:c r="O175" t="n">
        <x:v>14</x:v>
      </x:c>
      <x:c r="P175" t="n">
        <x:f>N175-O175</x:f>
        <x:v>1</x:v>
      </x:c>
      <x:c r="Q175" t="n">
        <x:v>0</x:v>
      </x:c>
      <x:c r="R175" t="n">
        <x:v>0</x:v>
      </x:c>
      <x:c r="S175" t="n">
        <x:f>Q175-R175</x:f>
        <x:v>0</x:v>
      </x:c>
      <x:c r="T175" t="n">
        <x:v>15</x:v>
      </x:c>
      <x:c r="U175" t="n">
        <x:v>14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f>IF(AND(ISNUMBER(G175),I175&lt;&gt;"Excluded INI"),MAX(0,G175-J175),"")</x:f>
        <x:v>85</x:v>
      </x:c>
      <x:c r="AC175" t="n">
        <x:v>7646</x:v>
      </x:c>
      <x:c r="AD175" t="n">
        <x:v>7976</x:v>
      </x:c>
      <x:c r="AE175" t="n">
        <x:v>8188</x:v>
      </x:c>
      <x:c r="AF175" t="n">
        <x:v>8268</x:v>
      </x:c>
      <x:c r="AG175" t="n">
        <x:v>22323</x:v>
      </x:c>
      <x:c r="AH175" t="n">
        <x:v>22323</x:v>
      </x:c>
      <x:c r="AI175" t="n">
        <x:v>68032</x:v>
      </x:c>
      <x:c r="AJ175" t="n">
        <x:v>68032</x:v>
      </x:c>
      <x:c r="AK175"/>
      <x:c r="AL175"/>
      <x:c r="AM175" t="str">
        <x:v>R1 regular-central gap visible; verify in official R2 matrix</x:v>
      </x:c>
    </x:row>
    <x:row r="176">
      <x:c r="A176" t="str">
        <x:v>Kerala</x:v>
      </x:c>
      <x:c r="B176" t="str">
        <x:v>All India except Central University</x:v>
      </x:c>
      <x:c r="C176" t="str">
        <x:v>200193</x:v>
      </x:c>
      <x:c r="D176" t="str">
        <x:v>Government Medical College, Kottayam, GANDHINAGAR P O KOTTAYAM KERALA 686008</x:v>
      </x:c>
      <x:c r="E176" t="str">
        <x:v>KL/013/G/1</x:v>
      </x:c>
      <x:c r="F176" t="str">
        <x:v>Government</x:v>
      </x:c>
      <x:c r="G176" t="n">
        <x:v>175</x:v>
      </x:c>
      <x:c r="H176" t="n">
        <x:v>100</x:v>
      </x:c>
      <x:c r="I176" t="str">
        <x:v>High-confidence fuzzy</x:v>
      </x:c>
      <x:c r="J176" t="n">
        <x:v>26</x:v>
      </x:c>
      <x:c r="K176" t="n">
        <x:v>26</x:v>
      </x:c>
      <x:c r="L176" t="n">
        <x:f>J176-K176</x:f>
        <x:v>0</x:v>
      </x:c>
      <x:c r="M176" s="20" t="n">
        <x:f>IFERROR(K176/J176,0)</x:f>
        <x:v>1</x:v>
      </x:c>
      <x:c r="N176" t="n">
        <x:v>26</x:v>
      </x:c>
      <x:c r="O176" t="n">
        <x:v>26</x:v>
      </x:c>
      <x:c r="P176" t="n">
        <x:f>N176-O176</x:f>
        <x:v>0</x:v>
      </x:c>
      <x:c r="Q176" t="n">
        <x:v>0</x:v>
      </x:c>
      <x:c r="R176" t="n">
        <x:v>0</x:v>
      </x:c>
      <x:c r="S176" t="n">
        <x:f>Q176-R176</x:f>
        <x:v>0</x:v>
      </x:c>
      <x:c r="T176" t="n">
        <x:v>26</x:v>
      </x:c>
      <x:c r="U176" t="n">
        <x:v>26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f>IF(AND(ISNUMBER(G176),I176&lt;&gt;"Excluded INI"),MAX(0,G176-J176),"")</x:f>
        <x:v>149</x:v>
      </x:c>
      <x:c r="AC176" t="n">
        <x:v>2535</x:v>
      </x:c>
      <x:c r="AD176" t="n">
        <x:v>2905</x:v>
      </x:c>
      <x:c r="AE176" t="n">
        <x:v>3167</x:v>
      </x:c>
      <x:c r="AF176" t="n">
        <x:v>3223</x:v>
      </x:c>
      <x:c r="AG176" t="n">
        <x:v>10750</x:v>
      </x:c>
      <x:c r="AH176" t="n">
        <x:v>11004</x:v>
      </x:c>
      <x:c r="AI176" t="n">
        <x:v>42426</x:v>
      </x:c>
      <x:c r="AJ176" t="n">
        <x:v>43679</x:v>
      </x:c>
      <x:c r="AK176" t="n">
        <x:v>63906</x:v>
      </x:c>
      <x:c r="AL176" t="n">
        <x:v>70118</x:v>
      </x:c>
      <x:c r="AM176" t="str">
        <x:v>Fully allotted in R1; R2 opportunity depends on upgrade/non-joining</x:v>
      </x:c>
    </x:row>
    <x:row r="177">
      <x:c r="A177" t="str">
        <x:v>Kerala</x:v>
      </x:c>
      <x:c r="B177" t="str">
        <x:v>All India except Central University</x:v>
      </x:c>
      <x:c r="C177" t="str">
        <x:v>200194</x:v>
      </x:c>
      <x:c r="D177" t="str">
        <x:v>Government Medical College, Kozhikode, Calicut, Principal, Govt. Medical College, Medical College (P.O)- Kozhikode</x:v>
      </x:c>
      <x:c r="E177" t="str">
        <x:v>KL/014/G/1</x:v>
      </x:c>
      <x:c r="F177" t="str">
        <x:v>Government</x:v>
      </x:c>
      <x:c r="G177" t="n">
        <x:v>250</x:v>
      </x:c>
      <x:c r="H177" t="n">
        <x:v>100</x:v>
      </x:c>
      <x:c r="I177" t="str">
        <x:v>High-confidence fuzzy</x:v>
      </x:c>
      <x:c r="J177" t="n">
        <x:v>37</x:v>
      </x:c>
      <x:c r="K177" t="n">
        <x:v>37</x:v>
      </x:c>
      <x:c r="L177" t="n">
        <x:f>J177-K177</x:f>
        <x:v>0</x:v>
      </x:c>
      <x:c r="M177" s="20" t="n">
        <x:f>IFERROR(K177/J177,0)</x:f>
        <x:v>1</x:v>
      </x:c>
      <x:c r="N177" t="n">
        <x:v>37</x:v>
      </x:c>
      <x:c r="O177" t="n">
        <x:v>37</x:v>
      </x:c>
      <x:c r="P177" t="n">
        <x:f>N177-O177</x:f>
        <x:v>0</x:v>
      </x:c>
      <x:c r="Q177" t="n">
        <x:v>0</x:v>
      </x:c>
      <x:c r="R177" t="n">
        <x:v>0</x:v>
      </x:c>
      <x:c r="S177" t="n">
        <x:f>Q177-R177</x:f>
        <x:v>0</x:v>
      </x:c>
      <x:c r="T177" t="n">
        <x:v>37</x:v>
      </x:c>
      <x:c r="U177" t="n">
        <x:v>37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f>IF(AND(ISNUMBER(G177),I177&lt;&gt;"Excluded INI"),MAX(0,G177-J177),"")</x:f>
        <x:v>213</x:v>
      </x:c>
      <x:c r="AC177" t="n">
        <x:v>826</x:v>
      </x:c>
      <x:c r="AD177" t="n">
        <x:v>1251</x:v>
      </x:c>
      <x:c r="AE177" t="n">
        <x:v>1401</x:v>
      </x:c>
      <x:c r="AF177" t="n">
        <x:v>1594</x:v>
      </x:c>
      <x:c r="AG177" t="n">
        <x:v>7440</x:v>
      </x:c>
      <x:c r="AH177" t="n">
        <x:v>8553</x:v>
      </x:c>
      <x:c r="AI177" t="n">
        <x:v>26220</x:v>
      </x:c>
      <x:c r="AJ177" t="n">
        <x:v>33140</x:v>
      </x:c>
      <x:c r="AK177" t="n">
        <x:v>34612</x:v>
      </x:c>
      <x:c r="AL177" t="n">
        <x:v>37140</x:v>
      </x:c>
      <x:c r="AM177" t="str">
        <x:v>Fully allotted in R1; R2 opportunity depends on upgrade/non-joining</x:v>
      </x:c>
    </x:row>
    <x:row r="178">
      <x:c r="A178" t="str">
        <x:v>Kerala</x:v>
      </x:c>
      <x:c r="B178" t="str">
        <x:v>All India except Central University</x:v>
      </x:c>
      <x:c r="C178" t="str">
        <x:v>200183</x:v>
      </x:c>
      <x:c r="D178" t="str">
        <x:v>Government Medical College, Manjeri, Malapuram Dist., GOVERNMENT MEDICAL COLLEGE, MANJERI, MALAPPURAM</x:v>
      </x:c>
      <x:c r="E178" t="str">
        <x:v>KL/015/G/1</x:v>
      </x:c>
      <x:c r="F178" t="str">
        <x:v>Government</x:v>
      </x:c>
      <x:c r="G178" t="n">
        <x:v>110</x:v>
      </x:c>
      <x:c r="H178" t="n">
        <x:v>100</x:v>
      </x:c>
      <x:c r="I178" t="str">
        <x:v>High-confidence fuzzy</x:v>
      </x:c>
      <x:c r="J178" t="n">
        <x:v>16</x:v>
      </x:c>
      <x:c r="K178" t="n">
        <x:v>16</x:v>
      </x:c>
      <x:c r="L178" t="n">
        <x:f>J178-K178</x:f>
        <x:v>0</x:v>
      </x:c>
      <x:c r="M178" s="20" t="n">
        <x:f>IFERROR(K178/J178,0)</x:f>
        <x:v>1</x:v>
      </x:c>
      <x:c r="N178" t="n">
        <x:v>16</x:v>
      </x:c>
      <x:c r="O178" t="n">
        <x:v>16</x:v>
      </x:c>
      <x:c r="P178" t="n">
        <x:f>N178-O178</x:f>
        <x:v>0</x:v>
      </x:c>
      <x:c r="Q178" t="n">
        <x:v>0</x:v>
      </x:c>
      <x:c r="R178" t="n">
        <x:v>0</x:v>
      </x:c>
      <x:c r="S178" t="n">
        <x:f>Q178-R178</x:f>
        <x:v>0</x:v>
      </x:c>
      <x:c r="T178" t="n">
        <x:v>16</x:v>
      </x:c>
      <x:c r="U178" t="n">
        <x:v>16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f>IF(AND(ISNUMBER(G178),I178&lt;&gt;"Excluded INI"),MAX(0,G178-J178),"")</x:f>
        <x:v>94</x:v>
      </x:c>
      <x:c r="AC178" t="n">
        <x:v>4387</x:v>
      </x:c>
      <x:c r="AD178" t="n">
        <x:v>5045</x:v>
      </x:c>
      <x:c r="AE178" t="n">
        <x:v>5804</x:v>
      </x:c>
      <x:c r="AF178" t="n">
        <x:v>6202</x:v>
      </x:c>
      <x:c r="AG178" t="n">
        <x:v>15354</x:v>
      </x:c>
      <x:c r="AH178" t="n">
        <x:v>15563</x:v>
      </x:c>
      <x:c r="AI178" t="n">
        <x:v>61494</x:v>
      </x:c>
      <x:c r="AJ178" t="n">
        <x:v>65600</x:v>
      </x:c>
      <x:c r="AK178" t="n">
        <x:v>74362</x:v>
      </x:c>
      <x:c r="AL178" t="n">
        <x:v>74362</x:v>
      </x:c>
      <x:c r="AM178" t="str">
        <x:v>Fully allotted in R1; R2 opportunity depends on upgrade/non-joining</x:v>
      </x:c>
    </x:row>
    <x:row r="179">
      <x:c r="A179" t="str">
        <x:v>Kerala</x:v>
      </x:c>
      <x:c r="B179" t="str">
        <x:v>All India except Central University</x:v>
      </x:c>
      <x:c r="C179" t="str">
        <x:v>200195</x:v>
      </x:c>
      <x:c r="D179" t="str">
        <x:v>Government Medical College, Thrissur, Govt.Medical College,Thrissur,Medical College P.O, Pin -680596, Thrissur District.</x:v>
      </x:c>
      <x:c r="E179" t="str">
        <x:v>KL/017/G/1</x:v>
      </x:c>
      <x:c r="F179" t="str">
        <x:v>Government</x:v>
      </x:c>
      <x:c r="G179" t="n">
        <x:v>175</x:v>
      </x:c>
      <x:c r="H179" t="n">
        <x:v>100</x:v>
      </x:c>
      <x:c r="I179" t="str">
        <x:v>High-confidence fuzzy</x:v>
      </x:c>
      <x:c r="J179" t="n">
        <x:v>26</x:v>
      </x:c>
      <x:c r="K179" t="n">
        <x:v>26</x:v>
      </x:c>
      <x:c r="L179" t="n">
        <x:f>J179-K179</x:f>
        <x:v>0</x:v>
      </x:c>
      <x:c r="M179" s="20" t="n">
        <x:f>IFERROR(K179/J179,0)</x:f>
        <x:v>1</x:v>
      </x:c>
      <x:c r="N179" t="n">
        <x:v>26</x:v>
      </x:c>
      <x:c r="O179" t="n">
        <x:v>26</x:v>
      </x:c>
      <x:c r="P179" t="n">
        <x:f>N179-O179</x:f>
        <x:v>0</x:v>
      </x:c>
      <x:c r="Q179" t="n">
        <x:v>0</x:v>
      </x:c>
      <x:c r="R179" t="n">
        <x:v>0</x:v>
      </x:c>
      <x:c r="S179" t="n">
        <x:f>Q179-R179</x:f>
        <x:v>0</x:v>
      </x:c>
      <x:c r="T179" t="n">
        <x:v>26</x:v>
      </x:c>
      <x:c r="U179" t="n">
        <x:v>26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f>IF(AND(ISNUMBER(G179),I179&lt;&gt;"Excluded INI"),MAX(0,G179-J179),"")</x:f>
        <x:v>149</x:v>
      </x:c>
      <x:c r="AC179" t="n">
        <x:v>2124</x:v>
      </x:c>
      <x:c r="AD179" t="n">
        <x:v>3091</x:v>
      </x:c>
      <x:c r="AE179" t="n">
        <x:v>3628</x:v>
      </x:c>
      <x:c r="AF179" t="n">
        <x:v>3714</x:v>
      </x:c>
      <x:c r="AG179" t="n">
        <x:v>11383</x:v>
      </x:c>
      <x:c r="AH179" t="n">
        <x:v>12351</x:v>
      </x:c>
      <x:c r="AI179" t="n">
        <x:v>43930</x:v>
      </x:c>
      <x:c r="AJ179" t="n">
        <x:v>48928</x:v>
      </x:c>
      <x:c r="AK179" t="n">
        <x:v>59362</x:v>
      </x:c>
      <x:c r="AL179" t="n">
        <x:v>77901</x:v>
      </x:c>
      <x:c r="AM179" t="str">
        <x:v>Fully allotted in R1; R2 opportunity depends on upgrade/non-joining</x:v>
      </x:c>
    </x:row>
    <x:row r="180">
      <x:c r="A180" t="str">
        <x:v>Kerala</x:v>
      </x:c>
      <x:c r="B180" t="str">
        <x:v>All India except Central University</x:v>
      </x:c>
      <x:c r="C180" t="str">
        <x:v>904368</x:v>
      </x:c>
      <x:c r="D180" t="str">
        <x:v>Government Medical College, Wayanad, Government Medical College, Wayanad, Mananthavady P.O., Wayanad, Kerala- 670645</x:v>
      </x:c>
      <x:c r="E180" t="str">
        <x:v>KL/018/G/1</x:v>
      </x:c>
      <x:c r="F180" t="str">
        <x:v>Government</x:v>
      </x:c>
      <x:c r="G180" t="n">
        <x:v>50</x:v>
      </x:c>
      <x:c r="H180" t="n">
        <x:v>100</x:v>
      </x:c>
      <x:c r="I180" t="str">
        <x:v>High-confidence fuzzy</x:v>
      </x:c>
      <x:c r="J180" t="n">
        <x:v>8</x:v>
      </x:c>
      <x:c r="K180" t="n">
        <x:v>8</x:v>
      </x:c>
      <x:c r="L180" t="n">
        <x:f>J180-K180</x:f>
        <x:v>0</x:v>
      </x:c>
      <x:c r="M180" s="20" t="n">
        <x:f>IFERROR(K180/J180,0)</x:f>
        <x:v>1</x:v>
      </x:c>
      <x:c r="N180" t="n">
        <x:v>8</x:v>
      </x:c>
      <x:c r="O180" t="n">
        <x:v>8</x:v>
      </x:c>
      <x:c r="P180" t="n">
        <x:f>N180-O180</x:f>
        <x:v>0</x:v>
      </x:c>
      <x:c r="Q180" t="n">
        <x:v>0</x:v>
      </x:c>
      <x:c r="R180" t="n">
        <x:v>0</x:v>
      </x:c>
      <x:c r="S180" t="n">
        <x:f>Q180-R180</x:f>
        <x:v>0</x:v>
      </x:c>
      <x:c r="T180" t="n">
        <x:v>8</x:v>
      </x:c>
      <x:c r="U180" t="n">
        <x:v>8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f>IF(AND(ISNUMBER(G180),I180&lt;&gt;"Excluded INI"),MAX(0,G180-J180),"")</x:f>
        <x:v>42</x:v>
      </x:c>
      <x:c r="AC180" t="n">
        <x:v>8009</x:v>
      </x:c>
      <x:c r="AD180" t="n">
        <x:v>8125</x:v>
      </x:c>
      <x:c r="AE180" t="n">
        <x:v>8197</x:v>
      </x:c>
      <x:c r="AF180" t="n">
        <x:v>8197</x:v>
      </x:c>
      <x:c r="AG180" t="n">
        <x:v>23675</x:v>
      </x:c>
      <x:c r="AH180" t="n">
        <x:v>23675</x:v>
      </x:c>
      <x:c r="AI180" t="n">
        <x:v>68599</x:v>
      </x:c>
      <x:c r="AJ180" t="n">
        <x:v>68599</x:v>
      </x:c>
      <x:c r="AK180" t="n">
        <x:v>123979</x:v>
      </x:c>
      <x:c r="AL180" t="n">
        <x:v>123979</x:v>
      </x:c>
      <x:c r="AM180" t="str">
        <x:v>Fully allotted in R1; R2 opportunity depends on upgrade/non-joining</x:v>
      </x:c>
    </x:row>
    <x:row r="181">
      <x:c r="A181" t="str">
        <x:v>Kerala</x:v>
      </x:c>
      <x:c r="B181" t="str">
        <x:v>All India except Central University</x:v>
      </x:c>
      <x:c r="C181" t="str">
        <x:v>200186</x:v>
      </x:c>
      <x:c r="D181" t="str">
        <x:v>Government Medical College,ESIC, Parippally, Kollam, Parippally Kollam 691574</x:v>
      </x:c>
      <x:c r="E181" t="str">
        <x:v>KL/016/G/1</x:v>
      </x:c>
      <x:c r="F181" t="str">
        <x:v>Government</x:v>
      </x:c>
      <x:c r="G181" t="n">
        <x:v>110</x:v>
      </x:c>
      <x:c r="H181" t="n">
        <x:v>100</x:v>
      </x:c>
      <x:c r="I181" t="str">
        <x:v>High-confidence fuzzy</x:v>
      </x:c>
      <x:c r="J181" t="n">
        <x:v>55</x:v>
      </x:c>
      <x:c r="K181" t="n">
        <x:v>52</x:v>
      </x:c>
      <x:c r="L181" t="n">
        <x:f>J181-K181</x:f>
        <x:v>3</x:v>
      </x:c>
      <x:c r="M181" s="20" t="n">
        <x:f>IFERROR(K181/J181,0)</x:f>
        <x:v>0.9454545454545454</x:v>
      </x:c>
      <x:c r="N181" t="n">
        <x:v>55</x:v>
      </x:c>
      <x:c r="O181" t="n">
        <x:v>52</x:v>
      </x:c>
      <x:c r="P181" t="n">
        <x:f>N181-O181</x:f>
        <x:v>3</x:v>
      </x:c>
      <x:c r="Q181" t="n">
        <x:v>0</x:v>
      </x:c>
      <x:c r="R181" t="n">
        <x:v>0</x:v>
      </x:c>
      <x:c r="S181" t="n">
        <x:f>Q181-R181</x:f>
        <x:v>0</x:v>
      </x:c>
      <x:c r="T181" t="n">
        <x:v>16</x:v>
      </x:c>
      <x:c r="U181" t="n">
        <x:v>16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f>IF(AND(ISNUMBER(G181),I181&lt;&gt;"Excluded INI"),MAX(0,G181-J181),"")</x:f>
        <x:v>55</x:v>
      </x:c>
      <x:c r="AC181" t="n">
        <x:v>11494</x:v>
      </x:c>
      <x:c r="AD181" t="n">
        <x:v>20506</x:v>
      </x:c>
      <x:c r="AE181" t="n">
        <x:v>19823</x:v>
      </x:c>
      <x:c r="AF181" t="n">
        <x:v>30646</x:v>
      </x:c>
      <x:c r="AG181" t="n">
        <x:v>34119</x:v>
      </x:c>
      <x:c r="AH181" t="n">
        <x:v>48251</x:v>
      </x:c>
      <x:c r="AI181" t="n">
        <x:v>129670</x:v>
      </x:c>
      <x:c r="AJ181" t="n">
        <x:v>175898</x:v>
      </x:c>
      <x:c r="AK181" t="n">
        <x:v>285815</x:v>
      </x:c>
      <x:c r="AL181" t="n">
        <x:v>361468</x:v>
      </x:c>
      <x:c r="AM181" t="str">
        <x:v>R1 regular-central gap visible; verify in official R2 matrix</x:v>
      </x:c>
    </x:row>
    <x:row r="182">
      <x:c r="A182" t="str">
        <x:v>Kerala</x:v>
      </x:c>
      <x:c r="B182" t="str">
        <x:v>All India except Central University</x:v>
      </x:c>
      <x:c r="C182" t="str">
        <x:v>200485</x:v>
      </x:c>
      <x:c r="D182" t="str">
        <x:v>Govt. Medical College,Pariyaram, Kannur (Prev. Known as Academy of Medical Sciences), P.O Pariyaram Medical College, Kannur, Kerala 670503</x:v>
      </x:c>
      <x:c r="E182" t="str">
        <x:v>KL/019/G/1</x:v>
      </x:c>
      <x:c r="F182" t="str">
        <x:v>Government</x:v>
      </x:c>
      <x:c r="G182" t="n">
        <x:v>100</x:v>
      </x:c>
      <x:c r="H182" t="n">
        <x:v>100</x:v>
      </x:c>
      <x:c r="I182" t="str">
        <x:v>High-confidence fuzzy</x:v>
      </x:c>
      <x:c r="J182" t="n">
        <x:v>15</x:v>
      </x:c>
      <x:c r="K182" t="n">
        <x:v>15</x:v>
      </x:c>
      <x:c r="L182" t="n">
        <x:f>J182-K182</x:f>
        <x:v>0</x:v>
      </x:c>
      <x:c r="M182" s="20" t="n">
        <x:f>IFERROR(K182/J182,0)</x:f>
        <x:v>1</x:v>
      </x:c>
      <x:c r="N182" t="n">
        <x:v>15</x:v>
      </x:c>
      <x:c r="O182" t="n">
        <x:v>15</x:v>
      </x:c>
      <x:c r="P182" t="n">
        <x:f>N182-O182</x:f>
        <x:v>0</x:v>
      </x:c>
      <x:c r="Q182" t="n">
        <x:v>0</x:v>
      </x:c>
      <x:c r="R182" t="n">
        <x:v>0</x:v>
      </x:c>
      <x:c r="S182" t="n">
        <x:f>Q182-R182</x:f>
        <x:v>0</x:v>
      </x:c>
      <x:c r="T182" t="n">
        <x:v>15</x:v>
      </x:c>
      <x:c r="U182" t="n">
        <x:v>15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f>IF(AND(ISNUMBER(G182),I182&lt;&gt;"Excluded INI"),MAX(0,G182-J182),"")</x:f>
        <x:v>85</x:v>
      </x:c>
      <x:c r="AC182" t="n">
        <x:v>5158</x:v>
      </x:c>
      <x:c r="AD182" t="n">
        <x:v>5723</x:v>
      </x:c>
      <x:c r="AE182" t="n">
        <x:v>6383</x:v>
      </x:c>
      <x:c r="AF182" t="n">
        <x:v>6532</x:v>
      </x:c>
      <x:c r="AG182" t="n">
        <x:v>16578</x:v>
      </x:c>
      <x:c r="AH182" t="n">
        <x:v>16853</x:v>
      </x:c>
      <x:c r="AI182" t="n">
        <x:v>62964</x:v>
      </x:c>
      <x:c r="AJ182" t="n">
        <x:v>64024</x:v>
      </x:c>
      <x:c r="AK182" t="n">
        <x:v>95821</x:v>
      </x:c>
      <x:c r="AL182" t="n">
        <x:v>95821</x:v>
      </x:c>
      <x:c r="AM182" t="str">
        <x:v>Fully allotted in R1; R2 opportunity depends on upgrade/non-joining</x:v>
      </x:c>
    </x:row>
    <x:row r="183">
      <x:c r="A183" t="str">
        <x:v>Kerala</x:v>
      </x:c>
      <x:c r="B183" t="str">
        <x:v>All India except Central University</x:v>
      </x:c>
      <x:c r="C183" t="str">
        <x:v>200196</x:v>
      </x:c>
      <x:c r="D183" t="str">
        <x:v>Medical College, Thiruvananthapuram, OFFICE OF THE PRINCIPAL,GOVT.MEDICAL COLLEGE THIRUVANANTHAPURAM,MEDICAL COLLEGE PO,KERALA</x:v>
      </x:c>
      <x:c r="E183" t="str">
        <x:v>KL/027/G/1</x:v>
      </x:c>
      <x:c r="F183" t="str">
        <x:v>Government</x:v>
      </x:c>
      <x:c r="G183" t="n">
        <x:v>250</x:v>
      </x:c>
      <x:c r="H183" t="n">
        <x:v>100</x:v>
      </x:c>
      <x:c r="I183" t="str">
        <x:v>High-confidence fuzzy</x:v>
      </x:c>
      <x:c r="J183" t="n">
        <x:v>37</x:v>
      </x:c>
      <x:c r="K183" t="n">
        <x:v>37</x:v>
      </x:c>
      <x:c r="L183" t="n">
        <x:f>J183-K183</x:f>
        <x:v>0</x:v>
      </x:c>
      <x:c r="M183" s="20" t="n">
        <x:f>IFERROR(K183/J183,0)</x:f>
        <x:v>1</x:v>
      </x:c>
      <x:c r="N183" t="n">
        <x:v>37</x:v>
      </x:c>
      <x:c r="O183" t="n">
        <x:v>37</x:v>
      </x:c>
      <x:c r="P183" t="n">
        <x:f>N183-O183</x:f>
        <x:v>0</x:v>
      </x:c>
      <x:c r="Q183" t="n">
        <x:v>0</x:v>
      </x:c>
      <x:c r="R183" t="n">
        <x:v>0</x:v>
      </x:c>
      <x:c r="S183" t="n">
        <x:f>Q183-R183</x:f>
        <x:v>0</x:v>
      </x:c>
      <x:c r="T183" t="n">
        <x:v>37</x:v>
      </x:c>
      <x:c r="U183" t="n">
        <x:v>37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f>IF(AND(ISNUMBER(G183),I183&lt;&gt;"Excluded INI"),MAX(0,G183-J183),"")</x:f>
        <x:v>213</x:v>
      </x:c>
      <x:c r="AC183" t="n">
        <x:v>1751</x:v>
      </x:c>
      <x:c r="AD183" t="n">
        <x:v>2074</x:v>
      </x:c>
      <x:c r="AE183" t="n">
        <x:v>2380</x:v>
      </x:c>
      <x:c r="AF183" t="n">
        <x:v>2688</x:v>
      </x:c>
      <x:c r="AG183" t="n">
        <x:v>8478</x:v>
      </x:c>
      <x:c r="AH183" t="n">
        <x:v>8900</x:v>
      </x:c>
      <x:c r="AI183" t="n">
        <x:v>35238</x:v>
      </x:c>
      <x:c r="AJ183" t="n">
        <x:v>41750</x:v>
      </x:c>
      <x:c r="AK183" t="n">
        <x:v>54884</x:v>
      </x:c>
      <x:c r="AL183" t="n">
        <x:v>62360</x:v>
      </x:c>
      <x:c r="AM183" t="str">
        <x:v>Fully allotted in R1; R2 opportunity depends on upgrade/non-joining</x:v>
      </x:c>
    </x:row>
    <x:row r="184">
      <x:c r="A184" t="str">
        <x:v>Kerala</x:v>
      </x:c>
      <x:c r="B184" t="str">
        <x:v>All India except Central University</x:v>
      </x:c>
      <x:c r="C184" t="str">
        <x:v>200197</x:v>
      </x:c>
      <x:c r="D184" t="str">
        <x:v>T D Medical College, Alleppey (Allappuzha), GOVERNMENT T.D.MEDICAL COLLEGE, VANDANAM.PO, ALAPPUZHA</x:v>
      </x:c>
      <x:c r="E184" t="str">
        <x:v>KL/035/G/1</x:v>
      </x:c>
      <x:c r="F184" t="str">
        <x:v>Government</x:v>
      </x:c>
      <x:c r="G184" t="n">
        <x:v>175</x:v>
      </x:c>
      <x:c r="H184" t="n">
        <x:v>100</x:v>
      </x:c>
      <x:c r="I184" t="str">
        <x:v>High-confidence fuzzy</x:v>
      </x:c>
      <x:c r="J184" t="n">
        <x:v>26</x:v>
      </x:c>
      <x:c r="K184" t="n">
        <x:v>26</x:v>
      </x:c>
      <x:c r="L184" t="n">
        <x:f>J184-K184</x:f>
        <x:v>0</x:v>
      </x:c>
      <x:c r="M184" s="20" t="n">
        <x:f>IFERROR(K184/J184,0)</x:f>
        <x:v>1</x:v>
      </x:c>
      <x:c r="N184" t="n">
        <x:v>26</x:v>
      </x:c>
      <x:c r="O184" t="n">
        <x:v>26</x:v>
      </x:c>
      <x:c r="P184" t="n">
        <x:f>N184-O184</x:f>
        <x:v>0</x:v>
      </x:c>
      <x:c r="Q184" t="n">
        <x:v>0</x:v>
      </x:c>
      <x:c r="R184" t="n">
        <x:v>0</x:v>
      </x:c>
      <x:c r="S184" t="n">
        <x:f>Q184-R184</x:f>
        <x:v>0</x:v>
      </x:c>
      <x:c r="T184" t="n">
        <x:v>26</x:v>
      </x:c>
      <x:c r="U184" t="n">
        <x:v>26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f>IF(AND(ISNUMBER(G184),I184&lt;&gt;"Excluded INI"),MAX(0,G184-J184),"")</x:f>
        <x:v>149</x:v>
      </x:c>
      <x:c r="AC184" t="n">
        <x:v>4056</x:v>
      </x:c>
      <x:c r="AD184" t="n">
        <x:v>4325</x:v>
      </x:c>
      <x:c r="AE184" t="n">
        <x:v>4726</x:v>
      </x:c>
      <x:c r="AF184" t="n">
        <x:v>4936</x:v>
      </x:c>
      <x:c r="AG184" t="n">
        <x:v>12574</x:v>
      </x:c>
      <x:c r="AH184" t="n">
        <x:v>12574</x:v>
      </x:c>
      <x:c r="AI184" t="n">
        <x:v>60538</x:v>
      </x:c>
      <x:c r="AJ184" t="n">
        <x:v>62644</x:v>
      </x:c>
      <x:c r="AK184" t="n">
        <x:v>90972</x:v>
      </x:c>
      <x:c r="AL184" t="n">
        <x:v>94760</x:v>
      </x:c>
      <x:c r="AM184" t="str">
        <x:v>Fully allotted in R1; R2 opportunity depends on upgrade/non-joining</x:v>
      </x:c>
    </x:row>
    <x:row r="185">
      <x:c r="A185" t="str">
        <x:v>Madhya Pradesh</x:v>
      </x:c>
      <x:c r="B185" t="str">
        <x:v>All India Institute Of Medical Science(AIIMS)</x:v>
      </x:c>
      <x:c r="C185" t="str">
        <x:v>200503</x:v>
      </x:c>
      <x:c r="D185" t="str">
        <x:v>AIIMS-Bhopal,, SAKET NAGAR BHOPAL</x:v>
      </x:c>
      <x:c r="E185" t="str"/>
      <x:c r="F185" t="str"/>
      <x:c r="G185"/>
      <x:c r="H185" t="n">
        <x:v>100</x:v>
      </x:c>
      <x:c r="I185" t="str">
        <x:v>Excluded INI</x:v>
      </x:c>
      <x:c r="J185" t="n">
        <x:v>125</x:v>
      </x:c>
      <x:c r="K185" t="n">
        <x:v>125</x:v>
      </x:c>
      <x:c r="L185" t="n">
        <x:f>J185-K185</x:f>
        <x:v>0</x:v>
      </x:c>
      <x:c r="M185" s="20" t="n">
        <x:f>IFERROR(K185/J185,0)</x:f>
        <x:v>1</x:v>
      </x:c>
      <x:c r="N185" t="n">
        <x:v>125</x:v>
      </x:c>
      <x:c r="O185" t="n">
        <x:v>125</x:v>
      </x:c>
      <x:c r="P185" t="n">
        <x:f>N185-O185</x:f>
        <x:v>0</x:v>
      </x:c>
      <x:c r="Q185" t="n">
        <x:v>0</x:v>
      </x:c>
      <x:c r="R185" t="n">
        <x:v>0</x:v>
      </x:c>
      <x:c r="S185" t="n">
        <x:f>Q185-R185</x:f>
        <x:v>0</x:v>
      </x:c>
      <x:c r="T185" t="n">
        <x:v>0</x:v>
      </x:c>
      <x:c r="U185" t="n">
        <x:v>0</x:v>
      </x:c>
      <x:c r="V185" t="n">
        <x:v>125</x:v>
      </x:c>
      <x:c r="W185" t="n">
        <x:v>125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str">
        <x:f>IF(AND(ISNUMBER(G185),I185&lt;&gt;"Excluded INI"),MAX(0,G185-J185),"")</x:f>
      </x:c>
      <x:c r="AC185" t="n">
        <x:v>451</x:v>
      </x:c>
      <x:c r="AD185" t="n">
        <x:v>571</x:v>
      </x:c>
      <x:c r="AE185" t="n">
        <x:v>913</x:v>
      </x:c>
      <x:c r="AF185" t="n">
        <x:v>1084</x:v>
      </x:c>
      <x:c r="AG185" t="n">
        <x:v>1116</x:v>
      </x:c>
      <x:c r="AH185" t="n">
        <x:v>1220</x:v>
      </x:c>
      <x:c r="AI185" t="n">
        <x:v>6576</x:v>
      </x:c>
      <x:c r="AJ185" t="n">
        <x:v>7782</x:v>
      </x:c>
      <x:c r="AK185" t="n">
        <x:v>5338</x:v>
      </x:c>
      <x:c r="AL185" t="n">
        <x:v>8673</x:v>
      </x:c>
      <x:c r="AM185" t="str">
        <x:v>Fully allotted in R1; R2 opportunity depends on upgrade/non-joining</x:v>
      </x:c>
    </x:row>
    <x:row r="186">
      <x:c r="A186" t="str">
        <x:v>Madhya Pradesh</x:v>
      </x:c>
      <x:c r="B186" t="str">
        <x:v>All India except Central University</x:v>
      </x:c>
      <x:c r="C186" t="str">
        <x:v>200198</x:v>
      </x:c>
      <x:c r="D186" t="str">
        <x:v>Bundelkhand Medical College, Sagar, Shivaji ward, tili Road, Sagar</x:v>
      </x:c>
      <x:c r="E186" t="str">
        <x:v>MP/002/G/1</x:v>
      </x:c>
      <x:c r="F186" t="str">
        <x:v>Government</x:v>
      </x:c>
      <x:c r="G186" t="n">
        <x:v>150</x:v>
      </x:c>
      <x:c r="H186" t="n">
        <x:v>100</x:v>
      </x:c>
      <x:c r="I186" t="str">
        <x:v>High-confidence fuzzy</x:v>
      </x:c>
      <x:c r="J186" t="n">
        <x:v>23</x:v>
      </x:c>
      <x:c r="K186" t="n">
        <x:v>23</x:v>
      </x:c>
      <x:c r="L186" t="n">
        <x:f>J186-K186</x:f>
        <x:v>0</x:v>
      </x:c>
      <x:c r="M186" s="20" t="n">
        <x:f>IFERROR(K186/J186,0)</x:f>
        <x:v>1</x:v>
      </x:c>
      <x:c r="N186" t="n">
        <x:v>23</x:v>
      </x:c>
      <x:c r="O186" t="n">
        <x:v>23</x:v>
      </x:c>
      <x:c r="P186" t="n">
        <x:f>N186-O186</x:f>
        <x:v>0</x:v>
      </x:c>
      <x:c r="Q186" t="n">
        <x:v>0</x:v>
      </x:c>
      <x:c r="R186" t="n">
        <x:v>0</x:v>
      </x:c>
      <x:c r="S186" t="n">
        <x:f>Q186-R186</x:f>
        <x:v>0</x:v>
      </x:c>
      <x:c r="T186" t="n">
        <x:v>23</x:v>
      </x:c>
      <x:c r="U186" t="n">
        <x:v>23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f>IF(AND(ISNUMBER(G186),I186&lt;&gt;"Excluded INI"),MAX(0,G186-J186),"")</x:f>
        <x:v>127</x:v>
      </x:c>
      <x:c r="AC186" t="n">
        <x:v>9799</x:v>
      </x:c>
      <x:c r="AD186" t="n">
        <x:v>10356</x:v>
      </x:c>
      <x:c r="AE186" t="n">
        <x:v>10694</x:v>
      </x:c>
      <x:c r="AF186" t="n">
        <x:v>11083</x:v>
      </x:c>
      <x:c r="AG186" t="n">
        <x:v>12726</x:v>
      </x:c>
      <x:c r="AH186" t="n">
        <x:v>13435</x:v>
      </x:c>
      <x:c r="AI186" t="n">
        <x:v>55246</x:v>
      </x:c>
      <x:c r="AJ186" t="n">
        <x:v>60346</x:v>
      </x:c>
      <x:c r="AK186" t="n">
        <x:v>77868</x:v>
      </x:c>
      <x:c r="AL186" t="n">
        <x:v>78408</x:v>
      </x:c>
      <x:c r="AM186" t="str">
        <x:v>Fully allotted in R1; R2 opportunity depends on upgrade/non-joining</x:v>
      </x:c>
    </x:row>
    <x:row r="187">
      <x:c r="A187" t="str">
        <x:v>Madhya Pradesh</x:v>
      </x:c>
      <x:c r="B187" t="str">
        <x:v>All India except Central University</x:v>
      </x:c>
      <x:c r="C187" t="str">
        <x:v>200479</x:v>
      </x:c>
      <x:c r="D187" t="str">
        <x:v>Dr. LAXMINARAYAN PANDEY GOVT. MEDICAL COLLEGE, RATLAM, Gram Banjali, Sailana Road, NH927A, Madhya Pradesh 457001, India</x:v>
      </x:c>
      <x:c r="E187" t="str">
        <x:v>MP/012/G/1</x:v>
      </x:c>
      <x:c r="F187" t="str">
        <x:v>Government</x:v>
      </x:c>
      <x:c r="G187" t="n">
        <x:v>200</x:v>
      </x:c>
      <x:c r="H187" t="n">
        <x:v>96.8</x:v>
      </x:c>
      <x:c r="I187" t="str">
        <x:v>High-confidence fuzzy</x:v>
      </x:c>
      <x:c r="J187" t="n">
        <x:v>30</x:v>
      </x:c>
      <x:c r="K187" t="n">
        <x:v>30</x:v>
      </x:c>
      <x:c r="L187" t="n">
        <x:f>J187-K187</x:f>
        <x:v>0</x:v>
      </x:c>
      <x:c r="M187" s="20" t="n">
        <x:f>IFERROR(K187/J187,0)</x:f>
        <x:v>1</x:v>
      </x:c>
      <x:c r="N187" t="n">
        <x:v>30</x:v>
      </x:c>
      <x:c r="O187" t="n">
        <x:v>30</x:v>
      </x:c>
      <x:c r="P187" t="n">
        <x:f>N187-O187</x:f>
        <x:v>0</x:v>
      </x:c>
      <x:c r="Q187" t="n">
        <x:v>0</x:v>
      </x:c>
      <x:c r="R187" t="n">
        <x:v>0</x:v>
      </x:c>
      <x:c r="S187" t="n">
        <x:f>Q187-R187</x:f>
        <x:v>0</x:v>
      </x:c>
      <x:c r="T187" t="n">
        <x:v>30</x:v>
      </x:c>
      <x:c r="U187" t="n">
        <x:v>30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f>IF(AND(ISNUMBER(G187),I187&lt;&gt;"Excluded INI"),MAX(0,G187-J187),"")</x:f>
        <x:v>170</x:v>
      </x:c>
      <x:c r="AC187" t="n">
        <x:v>10058</x:v>
      </x:c>
      <x:c r="AD187" t="n">
        <x:v>10585</x:v>
      </x:c>
      <x:c r="AE187" t="n">
        <x:v>11294</x:v>
      </x:c>
      <x:c r="AF187" t="n">
        <x:v>11426</x:v>
      </x:c>
      <x:c r="AG187" t="n">
        <x:v>12593</x:v>
      </x:c>
      <x:c r="AH187" t="n">
        <x:v>12730</x:v>
      </x:c>
      <x:c r="AI187" t="n">
        <x:v>62526</x:v>
      </x:c>
      <x:c r="AJ187" t="n">
        <x:v>64444</x:v>
      </x:c>
      <x:c r="AK187" t="n">
        <x:v>74995</x:v>
      </x:c>
      <x:c r="AL187" t="n">
        <x:v>74995</x:v>
      </x:c>
      <x:c r="AM187" t="str">
        <x:v>Fully allotted in R1; R2 opportunity depends on upgrade/non-joining</x:v>
      </x:c>
    </x:row>
    <x:row r="188">
      <x:c r="A188" t="str">
        <x:v>Madhya Pradesh</x:v>
      </x:c>
      <x:c r="B188" t="str">
        <x:v>All India except Central University</x:v>
      </x:c>
      <x:c r="C188" t="str">
        <x:v>904548</x:v>
      </x:c>
      <x:c r="D188" t="str">
        <x:v>ESIC MEDICAL COLLEGE AND HOSPITAL,INDORE, ESIC Medical College and Hospital, Nanda Nagar, Indore</x:v>
      </x:c>
      <x:c r="E188" t="str">
        <x:v>MP/004/G/1</x:v>
      </x:c>
      <x:c r="F188" t="str">
        <x:v>Government</x:v>
      </x:c>
      <x:c r="G188" t="n">
        <x:v>50</x:v>
      </x:c>
      <x:c r="H188" t="n">
        <x:v>100</x:v>
      </x:c>
      <x:c r="I188" t="str">
        <x:v>High-confidence fuzzy</x:v>
      </x:c>
      <x:c r="J188" t="n">
        <x:v>25</x:v>
      </x:c>
      <x:c r="K188" t="n">
        <x:v>25</x:v>
      </x:c>
      <x:c r="L188" t="n">
        <x:f>J188-K188</x:f>
        <x:v>0</x:v>
      </x:c>
      <x:c r="M188" s="20" t="n">
        <x:f>IFERROR(K188/J188,0)</x:f>
        <x:v>1</x:v>
      </x:c>
      <x:c r="N188" t="n">
        <x:v>25</x:v>
      </x:c>
      <x:c r="O188" t="n">
        <x:v>25</x:v>
      </x:c>
      <x:c r="P188" t="n">
        <x:f>N188-O188</x:f>
        <x:v>0</x:v>
      </x:c>
      <x:c r="Q188" t="n">
        <x:v>0</x:v>
      </x:c>
      <x:c r="R188" t="n">
        <x:v>0</x:v>
      </x:c>
      <x:c r="S188" t="n">
        <x:f>Q188-R188</x:f>
        <x:v>0</x:v>
      </x:c>
      <x:c r="T188" t="n">
        <x:v>7</x:v>
      </x:c>
      <x:c r="U188" t="n">
        <x:v>7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f>IF(AND(ISNUMBER(G188),I188&lt;&gt;"Excluded INI"),MAX(0,G188-J188),"")</x:f>
        <x:v>25</x:v>
      </x:c>
      <x:c r="AC188" t="n">
        <x:v>16951</x:v>
      </x:c>
      <x:c r="AD188" t="n">
        <x:v>24742</x:v>
      </x:c>
      <x:c r="AE188" t="n">
        <x:v>20955</x:v>
      </x:c>
      <x:c r="AF188" t="n">
        <x:v>26466</x:v>
      </x:c>
      <x:c r="AG188" t="n">
        <x:v>27530</x:v>
      </x:c>
      <x:c r="AH188" t="n">
        <x:v>28240</x:v>
      </x:c>
      <x:c r="AI188" t="n">
        <x:v>138814</x:v>
      </x:c>
      <x:c r="AJ188" t="n">
        <x:v>172552</x:v>
      </x:c>
      <x:c r="AK188" t="n">
        <x:v>190392</x:v>
      </x:c>
      <x:c r="AL188" t="n">
        <x:v>207537</x:v>
      </x:c>
      <x:c r="AM188" t="str">
        <x:v>Fully allotted in R1; R2 opportunity depends on upgrade/non-joining</x:v>
      </x:c>
    </x:row>
    <x:row r="189">
      <x:c r="A189" t="str">
        <x:v>Madhya Pradesh</x:v>
      </x:c>
      <x:c r="B189" t="str">
        <x:v>All India except Central University</x:v>
      </x:c>
      <x:c r="C189" t="str">
        <x:v>904352</x:v>
      </x:c>
      <x:c r="D189" t="str">
        <x:v>GOVERMENT MEDICAL COLLEGE, SHEOPUR, GOVERNMENT MEDICAL COLLEGE Village Nagda, near Nageshwar Mandir Sheopur M.P.</x:v>
      </x:c>
      <x:c r="E189" t="str">
        <x:v>MP/007/G/1</x:v>
      </x:c>
      <x:c r="F189" t="str">
        <x:v>Government</x:v>
      </x:c>
      <x:c r="G189" t="n">
        <x:v>100</x:v>
      </x:c>
      <x:c r="H189" t="n">
        <x:v>100</x:v>
      </x:c>
      <x:c r="I189" t="str">
        <x:v>High-confidence fuzzy</x:v>
      </x:c>
      <x:c r="J189" t="n">
        <x:v>15</x:v>
      </x:c>
      <x:c r="K189" t="n">
        <x:v>15</x:v>
      </x:c>
      <x:c r="L189" t="n">
        <x:f>J189-K189</x:f>
        <x:v>0</x:v>
      </x:c>
      <x:c r="M189" s="20" t="n">
        <x:f>IFERROR(K189/J189,0)</x:f>
        <x:v>1</x:v>
      </x:c>
      <x:c r="N189" t="n">
        <x:v>15</x:v>
      </x:c>
      <x:c r="O189" t="n">
        <x:v>15</x:v>
      </x:c>
      <x:c r="P189" t="n">
        <x:f>N189-O189</x:f>
        <x:v>0</x:v>
      </x:c>
      <x:c r="Q189" t="n">
        <x:v>0</x:v>
      </x:c>
      <x:c r="R189" t="n">
        <x:v>0</x:v>
      </x:c>
      <x:c r="S189" t="n">
        <x:f>Q189-R189</x:f>
        <x:v>0</x:v>
      </x:c>
      <x:c r="T189" t="n">
        <x:v>15</x:v>
      </x:c>
      <x:c r="U189" t="n">
        <x:v>15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f>IF(AND(ISNUMBER(G189),I189&lt;&gt;"Excluded INI"),MAX(0,G189-J189),"")</x:f>
        <x:v>85</x:v>
      </x:c>
      <x:c r="AC189" t="n">
        <x:v>14691</x:v>
      </x:c>
      <x:c r="AD189" t="n">
        <x:v>15720</x:v>
      </x:c>
      <x:c r="AE189" t="n">
        <x:v>16240</x:v>
      </x:c>
      <x:c r="AF189" t="n">
        <x:v>16626</x:v>
      </x:c>
      <x:c r="AG189" t="n">
        <x:v>17737</x:v>
      </x:c>
      <x:c r="AH189" t="n">
        <x:v>17737</x:v>
      </x:c>
      <x:c r="AI189" t="n">
        <x:v>83191</x:v>
      </x:c>
      <x:c r="AJ189" t="n">
        <x:v>84857</x:v>
      </x:c>
      <x:c r="AK189" t="n">
        <x:v>91711</x:v>
      </x:c>
      <x:c r="AL189" t="n">
        <x:v>91711</x:v>
      </x:c>
      <x:c r="AM189" t="str">
        <x:v>Fully allotted in R1; R2 opportunity depends on upgrade/non-joining</x:v>
      </x:c>
    </x:row>
    <x:row r="190">
      <x:c r="A190" t="str">
        <x:v>Madhya Pradesh</x:v>
      </x:c>
      <x:c r="B190" t="str">
        <x:v>All India except Central University</x:v>
      </x:c>
      <x:c r="C190" t="str">
        <x:v>904351</x:v>
      </x:c>
      <x:c r="D190" t="str">
        <x:v>GOVERNMENT MEDICAL COLLEGE SINGRAULI , Government Medical College Village Naugadh Waidhan Singrauli Madhya Pradesh</x:v>
      </x:c>
      <x:c r="E190" t="str">
        <x:v>MP/008/G/1</x:v>
      </x:c>
      <x:c r="F190" t="str">
        <x:v>Government</x:v>
      </x:c>
      <x:c r="G190" t="n">
        <x:v>100</x:v>
      </x:c>
      <x:c r="H190" t="n">
        <x:v>100</x:v>
      </x:c>
      <x:c r="I190" t="str">
        <x:v>High-confidence fuzzy</x:v>
      </x:c>
      <x:c r="J190" t="n">
        <x:v>15</x:v>
      </x:c>
      <x:c r="K190" t="n">
        <x:v>15</x:v>
      </x:c>
      <x:c r="L190" t="n">
        <x:f>J190-K190</x:f>
        <x:v>0</x:v>
      </x:c>
      <x:c r="M190" s="20" t="n">
        <x:f>IFERROR(K190/J190,0)</x:f>
        <x:v>1</x:v>
      </x:c>
      <x:c r="N190" t="n">
        <x:v>15</x:v>
      </x:c>
      <x:c r="O190" t="n">
        <x:v>15</x:v>
      </x:c>
      <x:c r="P190" t="n">
        <x:f>N190-O190</x:f>
        <x:v>0</x:v>
      </x:c>
      <x:c r="Q190" t="n">
        <x:v>0</x:v>
      </x:c>
      <x:c r="R190" t="n">
        <x:v>0</x:v>
      </x:c>
      <x:c r="S190" t="n">
        <x:f>Q190-R190</x:f>
        <x:v>0</x:v>
      </x:c>
      <x:c r="T190" t="n">
        <x:v>15</x:v>
      </x:c>
      <x:c r="U190" t="n">
        <x:v>15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f>IF(AND(ISNUMBER(G190),I190&lt;&gt;"Excluded INI"),MAX(0,G190-J190),"")</x:f>
        <x:v>85</x:v>
      </x:c>
      <x:c r="AC190" t="n">
        <x:v>16230</x:v>
      </x:c>
      <x:c r="AD190" t="n">
        <x:v>16309</x:v>
      </x:c>
      <x:c r="AE190" t="n">
        <x:v>17574</x:v>
      </x:c>
      <x:c r="AF190" t="n">
        <x:v>17702</x:v>
      </x:c>
      <x:c r="AG190" t="n">
        <x:v>18759</x:v>
      </x:c>
      <x:c r="AH190" t="n">
        <x:v>19018</x:v>
      </x:c>
      <x:c r="AI190" t="n">
        <x:v>89294</x:v>
      </x:c>
      <x:c r="AJ190" t="n">
        <x:v>89424</x:v>
      </x:c>
      <x:c r="AK190" t="n">
        <x:v>110270</x:v>
      </x:c>
      <x:c r="AL190" t="n">
        <x:v>110270</x:v>
      </x:c>
      <x:c r="AM190" t="str">
        <x:v>Fully allotted in R1; R2 opportunity depends on upgrade/non-joining</x:v>
      </x:c>
    </x:row>
    <x:row r="191">
      <x:c r="A191" t="str">
        <x:v>Madhya Pradesh</x:v>
      </x:c>
      <x:c r="B191" t="str">
        <x:v>All India except Central University</x:v>
      </x:c>
      <x:c r="C191" t="str">
        <x:v>200199</x:v>
      </x:c>
      <x:c r="D191" t="str">
        <x:v>Gajra Raja Medical College, Gwalior, VEER SAVARKAR ROAD, GWALIOR</x:v>
      </x:c>
      <x:c r="E191" t="str">
        <x:v>MP/005/G/1</x:v>
      </x:c>
      <x:c r="F191" t="str">
        <x:v>Government</x:v>
      </x:c>
      <x:c r="G191" t="n">
        <x:v>250</x:v>
      </x:c>
      <x:c r="H191" t="n">
        <x:v>100</x:v>
      </x:c>
      <x:c r="I191" t="str">
        <x:v>High-confidence fuzzy</x:v>
      </x:c>
      <x:c r="J191" t="n">
        <x:v>37</x:v>
      </x:c>
      <x:c r="K191" t="n">
        <x:v>37</x:v>
      </x:c>
      <x:c r="L191" t="n">
        <x:f>J191-K191</x:f>
        <x:v>0</x:v>
      </x:c>
      <x:c r="M191" s="20" t="n">
        <x:f>IFERROR(K191/J191,0)</x:f>
        <x:v>1</x:v>
      </x:c>
      <x:c r="N191" t="n">
        <x:v>37</x:v>
      </x:c>
      <x:c r="O191" t="n">
        <x:v>37</x:v>
      </x:c>
      <x:c r="P191" t="n">
        <x:f>N191-O191</x:f>
        <x:v>0</x:v>
      </x:c>
      <x:c r="Q191" t="n">
        <x:v>0</x:v>
      </x:c>
      <x:c r="R191" t="n">
        <x:v>0</x:v>
      </x:c>
      <x:c r="S191" t="n">
        <x:f>Q191-R191</x:f>
        <x:v>0</x:v>
      </x:c>
      <x:c r="T191" t="n">
        <x:v>37</x:v>
      </x:c>
      <x:c r="U191" t="n">
        <x:v>37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f>IF(AND(ISNUMBER(G191),I191&lt;&gt;"Excluded INI"),MAX(0,G191-J191),"")</x:f>
        <x:v>213</x:v>
      </x:c>
      <x:c r="AC191" t="n">
        <x:v>5746</x:v>
      </x:c>
      <x:c r="AD191" t="n">
        <x:v>6548</x:v>
      </x:c>
      <x:c r="AE191" t="n">
        <x:v>7446</x:v>
      </x:c>
      <x:c r="AF191" t="n">
        <x:v>7949</x:v>
      </x:c>
      <x:c r="AG191" t="n">
        <x:v>8398</x:v>
      </x:c>
      <x:c r="AH191" t="n">
        <x:v>9444</x:v>
      </x:c>
      <x:c r="AI191" t="n">
        <x:v>30984</x:v>
      </x:c>
      <x:c r="AJ191" t="n">
        <x:v>44214</x:v>
      </x:c>
      <x:c r="AK191" t="n">
        <x:v>62947</x:v>
      </x:c>
      <x:c r="AL191" t="n">
        <x:v>64271</x:v>
      </x:c>
      <x:c r="AM191" t="str">
        <x:v>Fully allotted in R1; R2 opportunity depends on upgrade/non-joining</x:v>
      </x:c>
    </x:row>
    <x:row r="192">
      <x:c r="A192" t="str">
        <x:v>Madhya Pradesh</x:v>
      </x:c>
      <x:c r="B192" t="str">
        <x:v>All India except Central University</x:v>
      </x:c>
      <x:c r="C192" t="str">
        <x:v>200200</x:v>
      </x:c>
      <x:c r="D192" t="str">
        <x:v>Gandhi Medical College, Bhopal, Royal Market Sultania Road Bhopal</x:v>
      </x:c>
      <x:c r="E192" t="str">
        <x:v>MP/006/G/1</x:v>
      </x:c>
      <x:c r="F192" t="str">
        <x:v>Government</x:v>
      </x:c>
      <x:c r="G192" t="n">
        <x:v>250</x:v>
      </x:c>
      <x:c r="H192" t="n">
        <x:v>100</x:v>
      </x:c>
      <x:c r="I192" t="str">
        <x:v>High-confidence fuzzy</x:v>
      </x:c>
      <x:c r="J192" t="n">
        <x:v>37</x:v>
      </x:c>
      <x:c r="K192" t="n">
        <x:v>37</x:v>
      </x:c>
      <x:c r="L192" t="n">
        <x:f>J192-K192</x:f>
        <x:v>0</x:v>
      </x:c>
      <x:c r="M192" s="20" t="n">
        <x:f>IFERROR(K192/J192,0)</x:f>
        <x:v>1</x:v>
      </x:c>
      <x:c r="N192" t="n">
        <x:v>37</x:v>
      </x:c>
      <x:c r="O192" t="n">
        <x:v>37</x:v>
      </x:c>
      <x:c r="P192" t="n">
        <x:f>N192-O192</x:f>
        <x:v>0</x:v>
      </x:c>
      <x:c r="Q192" t="n">
        <x:v>0</x:v>
      </x:c>
      <x:c r="R192" t="n">
        <x:v>0</x:v>
      </x:c>
      <x:c r="S192" t="n">
        <x:f>Q192-R192</x:f>
        <x:v>0</x:v>
      </x:c>
      <x:c r="T192" t="n">
        <x:v>37</x:v>
      </x:c>
      <x:c r="U192" t="n">
        <x:v>37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f>IF(AND(ISNUMBER(G192),I192&lt;&gt;"Excluded INI"),MAX(0,G192-J192),"")</x:f>
        <x:v>213</x:v>
      </x:c>
      <x:c r="AC192" t="n">
        <x:v>4210</x:v>
      </x:c>
      <x:c r="AD192" t="n">
        <x:v>5072</x:v>
      </x:c>
      <x:c r="AE192" t="n">
        <x:v>6407</x:v>
      </x:c>
      <x:c r="AF192" t="n">
        <x:v>6807</x:v>
      </x:c>
      <x:c r="AG192" t="n">
        <x:v>6594</x:v>
      </x:c>
      <x:c r="AH192" t="n">
        <x:v>6990</x:v>
      </x:c>
      <x:c r="AI192" t="n">
        <x:v>38455</x:v>
      </x:c>
      <x:c r="AJ192" t="n">
        <x:v>39526</x:v>
      </x:c>
      <x:c r="AK192" t="n">
        <x:v>48745</x:v>
      </x:c>
      <x:c r="AL192" t="n">
        <x:v>49940</x:v>
      </x:c>
      <x:c r="AM192" t="str">
        <x:v>Fully allotted in R1; R2 opportunity depends on upgrade/non-joining</x:v>
      </x:c>
    </x:row>
    <x:row r="193">
      <x:c r="A193" t="str">
        <x:v>Madhya Pradesh</x:v>
      </x:c>
      <x:c r="B193" t="str">
        <x:v>All India except Central University</x:v>
      </x:c>
      <x:c r="C193" t="str">
        <x:v>200468</x:v>
      </x:c>
      <x:c r="D193" t="str">
        <x:v>Government Medical College, Chhindwara, MP, Teachers Colony, Chhindwara, Madhya Pradesh 480001</x:v>
      </x:c>
      <x:c r="E193" t="str">
        <x:v>MP/009/G/1</x:v>
      </x:c>
      <x:c r="F193" t="str">
        <x:v>Government</x:v>
      </x:c>
      <x:c r="G193" t="n">
        <x:v>150</x:v>
      </x:c>
      <x:c r="H193" t="n">
        <x:v>100</x:v>
      </x:c>
      <x:c r="I193" t="str">
        <x:v>High-confidence fuzzy</x:v>
      </x:c>
      <x:c r="J193" t="n">
        <x:v>23</x:v>
      </x:c>
      <x:c r="K193" t="n">
        <x:v>23</x:v>
      </x:c>
      <x:c r="L193" t="n">
        <x:f>J193-K193</x:f>
        <x:v>0</x:v>
      </x:c>
      <x:c r="M193" s="20" t="n">
        <x:f>IFERROR(K193/J193,0)</x:f>
        <x:v>1</x:v>
      </x:c>
      <x:c r="N193" t="n">
        <x:v>23</x:v>
      </x:c>
      <x:c r="O193" t="n">
        <x:v>23</x:v>
      </x:c>
      <x:c r="P193" t="n">
        <x:f>N193-O193</x:f>
        <x:v>0</x:v>
      </x:c>
      <x:c r="Q193" t="n">
        <x:v>0</x:v>
      </x:c>
      <x:c r="R193" t="n">
        <x:v>0</x:v>
      </x:c>
      <x:c r="S193" t="n">
        <x:f>Q193-R193</x:f>
        <x:v>0</x:v>
      </x:c>
      <x:c r="T193" t="n">
        <x:v>23</x:v>
      </x:c>
      <x:c r="U193" t="n">
        <x:v>23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f>IF(AND(ISNUMBER(G193),I193&lt;&gt;"Excluded INI"),MAX(0,G193-J193),"")</x:f>
        <x:v>127</x:v>
      </x:c>
      <x:c r="AC193" t="n">
        <x:v>13339</x:v>
      </x:c>
      <x:c r="AD193" t="n">
        <x:v>14251</x:v>
      </x:c>
      <x:c r="AE193" t="n">
        <x:v>15544</x:v>
      </x:c>
      <x:c r="AF193" t="n">
        <x:v>16144</x:v>
      </x:c>
      <x:c r="AG193" t="n">
        <x:v>14845</x:v>
      </x:c>
      <x:c r="AH193" t="n">
        <x:v>14845</x:v>
      </x:c>
      <x:c r="AI193" t="n">
        <x:v>75572</x:v>
      </x:c>
      <x:c r="AJ193" t="n">
        <x:v>75914</x:v>
      </x:c>
      <x:c r="AK193" t="n">
        <x:v>99243</x:v>
      </x:c>
      <x:c r="AL193" t="n">
        <x:v>99826</x:v>
      </x:c>
      <x:c r="AM193" t="str">
        <x:v>Fully allotted in R1; R2 opportunity depends on upgrade/non-joining</x:v>
      </x:c>
    </x:row>
    <x:row r="194">
      <x:c r="A194" t="str">
        <x:v>Madhya Pradesh</x:v>
      </x:c>
      <x:c r="B194" t="str">
        <x:v>All India except Central University</x:v>
      </x:c>
      <x:c r="C194" t="str">
        <x:v>200431</x:v>
      </x:c>
      <x:c r="D194" t="str">
        <x:v>Government Medical College, Datia, MP, NEAR 29TH BATTALION, N.H.75, DATIA</x:v>
      </x:c>
      <x:c r="E194" t="str">
        <x:v>MP/010/G/1</x:v>
      </x:c>
      <x:c r="F194" t="str">
        <x:v>Government</x:v>
      </x:c>
      <x:c r="G194" t="n">
        <x:v>120</x:v>
      </x:c>
      <x:c r="H194" t="n">
        <x:v>100</x:v>
      </x:c>
      <x:c r="I194" t="str">
        <x:v>High-confidence fuzzy</x:v>
      </x:c>
      <x:c r="J194" t="n">
        <x:v>18</x:v>
      </x:c>
      <x:c r="K194" t="n">
        <x:v>18</x:v>
      </x:c>
      <x:c r="L194" t="n">
        <x:f>J194-K194</x:f>
        <x:v>0</x:v>
      </x:c>
      <x:c r="M194" s="20" t="n">
        <x:f>IFERROR(K194/J194,0)</x:f>
        <x:v>1</x:v>
      </x:c>
      <x:c r="N194" t="n">
        <x:v>18</x:v>
      </x:c>
      <x:c r="O194" t="n">
        <x:v>18</x:v>
      </x:c>
      <x:c r="P194" t="n">
        <x:f>N194-O194</x:f>
        <x:v>0</x:v>
      </x:c>
      <x:c r="Q194" t="n">
        <x:v>0</x:v>
      </x:c>
      <x:c r="R194" t="n">
        <x:v>0</x:v>
      </x:c>
      <x:c r="S194" t="n">
        <x:f>Q194-R194</x:f>
        <x:v>0</x:v>
      </x:c>
      <x:c r="T194" t="n">
        <x:v>18</x:v>
      </x:c>
      <x:c r="U194" t="n">
        <x:v>18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f>IF(AND(ISNUMBER(G194),I194&lt;&gt;"Excluded INI"),MAX(0,G194-J194),"")</x:f>
        <x:v>102</x:v>
      </x:c>
      <x:c r="AC194" t="n">
        <x:v>12496</x:v>
      </x:c>
      <x:c r="AD194" t="n">
        <x:v>13019</x:v>
      </x:c>
      <x:c r="AE194" t="n">
        <x:v>13552</x:v>
      </x:c>
      <x:c r="AF194" t="n">
        <x:v>13924</x:v>
      </x:c>
      <x:c r="AG194" t="n">
        <x:v>13999</x:v>
      </x:c>
      <x:c r="AH194" t="n">
        <x:v>14535</x:v>
      </x:c>
      <x:c r="AI194" t="n">
        <x:v>73423</x:v>
      </x:c>
      <x:c r="AJ194" t="n">
        <x:v>75194</x:v>
      </x:c>
      <x:c r="AK194" t="n">
        <x:v>82903</x:v>
      </x:c>
      <x:c r="AL194" t="n">
        <x:v>82903</x:v>
      </x:c>
      <x:c r="AM194" t="str">
        <x:v>Fully allotted in R1; R2 opportunity depends on upgrade/non-joining</x:v>
      </x:c>
    </x:row>
    <x:row r="195">
      <x:c r="A195" t="str">
        <x:v>Madhya Pradesh</x:v>
      </x:c>
      <x:c r="B195" t="str">
        <x:v>All India except Central University</x:v>
      </x:c>
      <x:c r="C195" t="str">
        <x:v>200480</x:v>
      </x:c>
      <x:c r="D195" t="str">
        <x:v>Government Medical College, Khandwa, MP, Luv-Kush Nagar,Mundi Road,Khandwa (M.P.)</x:v>
      </x:c>
      <x:c r="E195" t="str">
        <x:v>MP/011/G/1</x:v>
      </x:c>
      <x:c r="F195" t="str">
        <x:v>Government</x:v>
      </x:c>
      <x:c r="G195" t="n">
        <x:v>120</x:v>
      </x:c>
      <x:c r="H195" t="n">
        <x:v>100</x:v>
      </x:c>
      <x:c r="I195" t="str">
        <x:v>High-confidence fuzzy</x:v>
      </x:c>
      <x:c r="J195" t="n">
        <x:v>18</x:v>
      </x:c>
      <x:c r="K195" t="n">
        <x:v>18</x:v>
      </x:c>
      <x:c r="L195" t="n">
        <x:f>J195-K195</x:f>
        <x:v>0</x:v>
      </x:c>
      <x:c r="M195" s="20" t="n">
        <x:f>IFERROR(K195/J195,0)</x:f>
        <x:v>1</x:v>
      </x:c>
      <x:c r="N195" t="n">
        <x:v>18</x:v>
      </x:c>
      <x:c r="O195" t="n">
        <x:v>18</x:v>
      </x:c>
      <x:c r="P195" t="n">
        <x:f>N195-O195</x:f>
        <x:v>0</x:v>
      </x:c>
      <x:c r="Q195" t="n">
        <x:v>0</x:v>
      </x:c>
      <x:c r="R195" t="n">
        <x:v>0</x:v>
      </x:c>
      <x:c r="S195" t="n">
        <x:f>Q195-R195</x:f>
        <x:v>0</x:v>
      </x:c>
      <x:c r="T195" t="n">
        <x:v>18</x:v>
      </x:c>
      <x:c r="U195" t="n">
        <x:v>18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f>IF(AND(ISNUMBER(G195),I195&lt;&gt;"Excluded INI"),MAX(0,G195-J195),"")</x:f>
        <x:v>102</x:v>
      </x:c>
      <x:c r="AC195" t="n">
        <x:v>12819</x:v>
      </x:c>
      <x:c r="AD195" t="n">
        <x:v>13177</x:v>
      </x:c>
      <x:c r="AE195" t="n">
        <x:v>13395</x:v>
      </x:c>
      <x:c r="AF195" t="n">
        <x:v>13844</x:v>
      </x:c>
      <x:c r="AG195" t="n">
        <x:v>15454</x:v>
      </x:c>
      <x:c r="AH195" t="n">
        <x:v>15454</x:v>
      </x:c>
      <x:c r="AI195" t="n">
        <x:v>70844</x:v>
      </x:c>
      <x:c r="AJ195" t="n">
        <x:v>72199</x:v>
      </x:c>
      <x:c r="AK195" t="n">
        <x:v>93166</x:v>
      </x:c>
      <x:c r="AL195" t="n">
        <x:v>98792</x:v>
      </x:c>
      <x:c r="AM195" t="str">
        <x:v>Fully allotted in R1; R2 opportunity depends on upgrade/non-joining</x:v>
      </x:c>
    </x:row>
    <x:row r="196">
      <x:c r="A196" t="str">
        <x:v>Madhya Pradesh</x:v>
      </x:c>
      <x:c r="B196" t="str">
        <x:v>All India except Central University</x:v>
      </x:c>
      <x:c r="C196" t="str">
        <x:v>200657</x:v>
      </x:c>
      <x:c r="D196" t="str">
        <x:v>Government Medical College, Satna, Near Kendriya Vidyalaya No. 2, Kripalpur Satna</x:v>
      </x:c>
      <x:c r="E196" t="str">
        <x:v>MP/013/G/1</x:v>
      </x:c>
      <x:c r="F196" t="str">
        <x:v>Government</x:v>
      </x:c>
      <x:c r="G196" t="n">
        <x:v>150</x:v>
      </x:c>
      <x:c r="H196" t="n">
        <x:v>100</x:v>
      </x:c>
      <x:c r="I196" t="str">
        <x:v>High-confidence fuzzy</x:v>
      </x:c>
      <x:c r="J196" t="n">
        <x:v>22</x:v>
      </x:c>
      <x:c r="K196" t="n">
        <x:v>22</x:v>
      </x:c>
      <x:c r="L196" t="n">
        <x:f>J196-K196</x:f>
        <x:v>0</x:v>
      </x:c>
      <x:c r="M196" s="20" t="n">
        <x:f>IFERROR(K196/J196,0)</x:f>
        <x:v>1</x:v>
      </x:c>
      <x:c r="N196" t="n">
        <x:v>22</x:v>
      </x:c>
      <x:c r="O196" t="n">
        <x:v>22</x:v>
      </x:c>
      <x:c r="P196" t="n">
        <x:f>N196-O196</x:f>
        <x:v>0</x:v>
      </x:c>
      <x:c r="Q196" t="n">
        <x:v>0</x:v>
      </x:c>
      <x:c r="R196" t="n">
        <x:v>0</x:v>
      </x:c>
      <x:c r="S196" t="n">
        <x:f>Q196-R196</x:f>
        <x:v>0</x:v>
      </x:c>
      <x:c r="T196" t="n">
        <x:v>22</x:v>
      </x:c>
      <x:c r="U196" t="n">
        <x:v>22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f>IF(AND(ISNUMBER(G196),I196&lt;&gt;"Excluded INI"),MAX(0,G196-J196),"")</x:f>
        <x:v>128</x:v>
      </x:c>
      <x:c r="AC196" t="n">
        <x:v>14962</x:v>
      </x:c>
      <x:c r="AD196" t="n">
        <x:v>15536</x:v>
      </x:c>
      <x:c r="AE196" t="n">
        <x:v>16164</x:v>
      </x:c>
      <x:c r="AF196" t="n">
        <x:v>16711</x:v>
      </x:c>
      <x:c r="AG196" t="n">
        <x:v>17078</x:v>
      </x:c>
      <x:c r="AH196" t="n">
        <x:v>17752</x:v>
      </x:c>
      <x:c r="AI196" t="n">
        <x:v>87339</x:v>
      </x:c>
      <x:c r="AJ196" t="n">
        <x:v>88808</x:v>
      </x:c>
      <x:c r="AK196" t="n">
        <x:v>102487</x:v>
      </x:c>
      <x:c r="AL196" t="n">
        <x:v>102487</x:v>
      </x:c>
      <x:c r="AM196" t="str">
        <x:v>Fully allotted in R1; R2 opportunity depends on upgrade/non-joining</x:v>
      </x:c>
    </x:row>
    <x:row r="197">
      <x:c r="A197" t="str">
        <x:v>Madhya Pradesh</x:v>
      </x:c>
      <x:c r="B197" t="str">
        <x:v>All India except Central University</x:v>
      </x:c>
      <x:c r="C197" t="str">
        <x:v>902825</x:v>
      </x:c>
      <x:c r="D197" t="str">
        <x:v>Government Medical College, Seoni, Government Medical College, Kandipaar Village, Seoni</x:v>
      </x:c>
      <x:c r="E197" t="str">
        <x:v>MP/014/G/1</x:v>
      </x:c>
      <x:c r="F197" t="str">
        <x:v>Government</x:v>
      </x:c>
      <x:c r="G197" t="n">
        <x:v>100</x:v>
      </x:c>
      <x:c r="H197" t="n">
        <x:v>100</x:v>
      </x:c>
      <x:c r="I197" t="str">
        <x:v>High-confidence fuzzy</x:v>
      </x:c>
      <x:c r="J197" t="n">
        <x:v>15</x:v>
      </x:c>
      <x:c r="K197" t="n">
        <x:v>15</x:v>
      </x:c>
      <x:c r="L197" t="n">
        <x:f>J197-K197</x:f>
        <x:v>0</x:v>
      </x:c>
      <x:c r="M197" s="20" t="n">
        <x:f>IFERROR(K197/J197,0)</x:f>
        <x:v>1</x:v>
      </x:c>
      <x:c r="N197" t="n">
        <x:v>15</x:v>
      </x:c>
      <x:c r="O197" t="n">
        <x:v>15</x:v>
      </x:c>
      <x:c r="P197" t="n">
        <x:f>N197-O197</x:f>
        <x:v>0</x:v>
      </x:c>
      <x:c r="Q197" t="n">
        <x:v>0</x:v>
      </x:c>
      <x:c r="R197" t="n">
        <x:v>0</x:v>
      </x:c>
      <x:c r="S197" t="n">
        <x:f>Q197-R197</x:f>
        <x:v>0</x:v>
      </x:c>
      <x:c r="T197" t="n">
        <x:v>15</x:v>
      </x:c>
      <x:c r="U197" t="n">
        <x:v>15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f>IF(AND(ISNUMBER(G197),I197&lt;&gt;"Excluded INI"),MAX(0,G197-J197),"")</x:f>
        <x:v>85</x:v>
      </x:c>
      <x:c r="AC197" t="n">
        <x:v>15389</x:v>
      </x:c>
      <x:c r="AD197" t="n">
        <x:v>15877</x:v>
      </x:c>
      <x:c r="AE197" t="n">
        <x:v>16573</x:v>
      </x:c>
      <x:c r="AF197" t="n">
        <x:v>16687</x:v>
      </x:c>
      <x:c r="AG197" t="n">
        <x:v>17376</x:v>
      </x:c>
      <x:c r="AH197" t="n">
        <x:v>17376</x:v>
      </x:c>
      <x:c r="AI197" t="n">
        <x:v>74144</x:v>
      </x:c>
      <x:c r="AJ197" t="n">
        <x:v>75825</x:v>
      </x:c>
      <x:c r="AK197" t="n">
        <x:v>104543</x:v>
      </x:c>
      <x:c r="AL197" t="n">
        <x:v>104543</x:v>
      </x:c>
      <x:c r="AM197" t="str">
        <x:v>Fully allotted in R1; R2 opportunity depends on upgrade/non-joining</x:v>
      </x:c>
    </x:row>
    <x:row r="198">
      <x:c r="A198" t="str">
        <x:v>Madhya Pradesh</x:v>
      </x:c>
      <x:c r="B198" t="str">
        <x:v>All India except Central University</x:v>
      </x:c>
      <x:c r="C198" t="str">
        <x:v>200471</x:v>
      </x:c>
      <x:c r="D198" t="str">
        <x:v>Government Medical College, Shahdol, MP, GRAM CHAMPA KUDRI ROAD NEAR NEW BUS STAND SHAHDOL MP</x:v>
      </x:c>
      <x:c r="E198" t="str">
        <x:v>MP/015/G/1</x:v>
      </x:c>
      <x:c r="F198" t="str">
        <x:v>Government</x:v>
      </x:c>
      <x:c r="G198" t="n">
        <x:v>100</x:v>
      </x:c>
      <x:c r="H198" t="n">
        <x:v>100</x:v>
      </x:c>
      <x:c r="I198" t="str">
        <x:v>High-confidence fuzzy</x:v>
      </x:c>
      <x:c r="J198" t="n">
        <x:v>15</x:v>
      </x:c>
      <x:c r="K198" t="n">
        <x:v>15</x:v>
      </x:c>
      <x:c r="L198" t="n">
        <x:f>J198-K198</x:f>
        <x:v>0</x:v>
      </x:c>
      <x:c r="M198" s="20" t="n">
        <x:f>IFERROR(K198/J198,0)</x:f>
        <x:v>1</x:v>
      </x:c>
      <x:c r="N198" t="n">
        <x:v>15</x:v>
      </x:c>
      <x:c r="O198" t="n">
        <x:v>15</x:v>
      </x:c>
      <x:c r="P198" t="n">
        <x:f>N198-O198</x:f>
        <x:v>0</x:v>
      </x:c>
      <x:c r="Q198" t="n">
        <x:v>0</x:v>
      </x:c>
      <x:c r="R198" t="n">
        <x:v>0</x:v>
      </x:c>
      <x:c r="S198" t="n">
        <x:f>Q198-R198</x:f>
        <x:v>0</x:v>
      </x:c>
      <x:c r="T198" t="n">
        <x:v>15</x:v>
      </x:c>
      <x:c r="U198" t="n">
        <x:v>15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f>IF(AND(ISNUMBER(G198),I198&lt;&gt;"Excluded INI"),MAX(0,G198-J198),"")</x:f>
        <x:v>85</x:v>
      </x:c>
      <x:c r="AC198" t="n">
        <x:v>13929</x:v>
      </x:c>
      <x:c r="AD198" t="n">
        <x:v>14717</x:v>
      </x:c>
      <x:c r="AE198" t="n">
        <x:v>15412</x:v>
      </x:c>
      <x:c r="AF198" t="n">
        <x:v>15687</x:v>
      </x:c>
      <x:c r="AG198" t="n">
        <x:v>15664</x:v>
      </x:c>
      <x:c r="AH198" t="n">
        <x:v>15745</x:v>
      </x:c>
      <x:c r="AI198" t="n">
        <x:v>82428</x:v>
      </x:c>
      <x:c r="AJ198" t="n">
        <x:v>82476</x:v>
      </x:c>
      <x:c r="AK198" t="n">
        <x:v>99692</x:v>
      </x:c>
      <x:c r="AL198" t="n">
        <x:v>99692</x:v>
      </x:c>
      <x:c r="AM198" t="str">
        <x:v>Fully allotted in R1; R2 opportunity depends on upgrade/non-joining</x:v>
      </x:c>
    </x:row>
    <x:row r="199">
      <x:c r="A199" t="str">
        <x:v>Madhya Pradesh</x:v>
      </x:c>
      <x:c r="B199" t="str">
        <x:v>All India except Central University</x:v>
      </x:c>
      <x:c r="C199" t="str">
        <x:v>200488</x:v>
      </x:c>
      <x:c r="D199" t="str">
        <x:v>Government Medical College, Shivpuri, MP, Near Katha Mill, Gwalior Bypass Highway, Shivpuri</x:v>
      </x:c>
      <x:c r="E199" t="str">
        <x:v>MP/016/G/1</x:v>
      </x:c>
      <x:c r="F199" t="str">
        <x:v>Government</x:v>
      </x:c>
      <x:c r="G199" t="n">
        <x:v>100</x:v>
      </x:c>
      <x:c r="H199" t="n">
        <x:v>100</x:v>
      </x:c>
      <x:c r="I199" t="str">
        <x:v>High-confidence fuzzy</x:v>
      </x:c>
      <x:c r="J199" t="n">
        <x:v>15</x:v>
      </x:c>
      <x:c r="K199" t="n">
        <x:v>15</x:v>
      </x:c>
      <x:c r="L199" t="n">
        <x:f>J199-K199</x:f>
        <x:v>0</x:v>
      </x:c>
      <x:c r="M199" s="20" t="n">
        <x:f>IFERROR(K199/J199,0)</x:f>
        <x:v>1</x:v>
      </x:c>
      <x:c r="N199" t="n">
        <x:v>15</x:v>
      </x:c>
      <x:c r="O199" t="n">
        <x:v>15</x:v>
      </x:c>
      <x:c r="P199" t="n">
        <x:f>N199-O199</x:f>
        <x:v>0</x:v>
      </x:c>
      <x:c r="Q199" t="n">
        <x:v>0</x:v>
      </x:c>
      <x:c r="R199" t="n">
        <x:v>0</x:v>
      </x:c>
      <x:c r="S199" t="n">
        <x:f>Q199-R199</x:f>
        <x:v>0</x:v>
      </x:c>
      <x:c r="T199" t="n">
        <x:v>15</x:v>
      </x:c>
      <x:c r="U199" t="n">
        <x:v>15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f>IF(AND(ISNUMBER(G199),I199&lt;&gt;"Excluded INI"),MAX(0,G199-J199),"")</x:f>
        <x:v>85</x:v>
      </x:c>
      <x:c r="AC199" t="n">
        <x:v>11791</x:v>
      </x:c>
      <x:c r="AD199" t="n">
        <x:v>12037</x:v>
      </x:c>
      <x:c r="AE199" t="n">
        <x:v>12762</x:v>
      </x:c>
      <x:c r="AF199" t="n">
        <x:v>12916</x:v>
      </x:c>
      <x:c r="AG199" t="n">
        <x:v>15332</x:v>
      </x:c>
      <x:c r="AH199" t="n">
        <x:v>15332</x:v>
      </x:c>
      <x:c r="AI199" t="n">
        <x:v>59688</x:v>
      </x:c>
      <x:c r="AJ199" t="n">
        <x:v>60728</x:v>
      </x:c>
      <x:c r="AK199" t="n">
        <x:v>90382</x:v>
      </x:c>
      <x:c r="AL199" t="n">
        <x:v>96664</x:v>
      </x:c>
      <x:c r="AM199" t="str">
        <x:v>Fully allotted in R1; R2 opportunity depends on upgrade/non-joining</x:v>
      </x:c>
    </x:row>
    <x:row r="200">
      <x:c r="A200" t="str">
        <x:v>Madhya Pradesh</x:v>
      </x:c>
      <x:c r="B200" t="str">
        <x:v>All India except Central University</x:v>
      </x:c>
      <x:c r="C200" t="str">
        <x:v>200483</x:v>
      </x:c>
      <x:c r="D200" t="str">
        <x:v>Government Medical College, Vidisha, MP, NH 86 INFRONT OF KHEL PARISAR SANCHI ROAD VIDISHA</x:v>
      </x:c>
      <x:c r="E200" t="str">
        <x:v>MP/017/G/1</x:v>
      </x:c>
      <x:c r="F200" t="str">
        <x:v>Government</x:v>
      </x:c>
      <x:c r="G200" t="n">
        <x:v>180</x:v>
      </x:c>
      <x:c r="H200" t="n">
        <x:v>100</x:v>
      </x:c>
      <x:c r="I200" t="str">
        <x:v>High-confidence fuzzy</x:v>
      </x:c>
      <x:c r="J200" t="n">
        <x:v>27</x:v>
      </x:c>
      <x:c r="K200" t="n">
        <x:v>27</x:v>
      </x:c>
      <x:c r="L200" t="n">
        <x:f>J200-K200</x:f>
        <x:v>0</x:v>
      </x:c>
      <x:c r="M200" s="20" t="n">
        <x:f>IFERROR(K200/J200,0)</x:f>
        <x:v>1</x:v>
      </x:c>
      <x:c r="N200" t="n">
        <x:v>27</x:v>
      </x:c>
      <x:c r="O200" t="n">
        <x:v>27</x:v>
      </x:c>
      <x:c r="P200" t="n">
        <x:f>N200-O200</x:f>
        <x:v>0</x:v>
      </x:c>
      <x:c r="Q200" t="n">
        <x:v>0</x:v>
      </x:c>
      <x:c r="R200" t="n">
        <x:v>0</x:v>
      </x:c>
      <x:c r="S200" t="n">
        <x:f>Q200-R200</x:f>
        <x:v>0</x:v>
      </x:c>
      <x:c r="T200" t="n">
        <x:v>27</x:v>
      </x:c>
      <x:c r="U200" t="n">
        <x:v>27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f>IF(AND(ISNUMBER(G200),I200&lt;&gt;"Excluded INI"),MAX(0,G200-J200),"")</x:f>
        <x:v>153</x:v>
      </x:c>
      <x:c r="AC200" t="n">
        <x:v>9460</x:v>
      </x:c>
      <x:c r="AD200" t="n">
        <x:v>10175</x:v>
      </x:c>
      <x:c r="AE200" t="n">
        <x:v>11640</x:v>
      </x:c>
      <x:c r="AF200" t="n">
        <x:v>12023</x:v>
      </x:c>
      <x:c r="AG200" t="n">
        <x:v>13129</x:v>
      </x:c>
      <x:c r="AH200" t="n">
        <x:v>13294</x:v>
      </x:c>
      <x:c r="AI200" t="n">
        <x:v>61833</x:v>
      </x:c>
      <x:c r="AJ200" t="n">
        <x:v>68294</x:v>
      </x:c>
      <x:c r="AK200" t="n">
        <x:v>74674</x:v>
      </x:c>
      <x:c r="AL200" t="n">
        <x:v>74674</x:v>
      </x:c>
      <x:c r="AM200" t="str">
        <x:v>Fully allotted in R1; R2 opportunity depends on upgrade/non-joining</x:v>
      </x:c>
    </x:row>
    <x:row r="201">
      <x:c r="A201" t="str">
        <x:v>Madhya Pradesh</x:v>
      </x:c>
      <x:c r="B201" t="str">
        <x:v>All India except Central University</x:v>
      </x:c>
      <x:c r="C201" t="str">
        <x:v>200202</x:v>
      </x:c>
      <x:c r="D201" t="str">
        <x:v>M G M Medical College, Indore, AB ROAD INDORE</x:v>
      </x:c>
      <x:c r="E201" t="str">
        <x:v>MP/021/G/1</x:v>
      </x:c>
      <x:c r="F201" t="str">
        <x:v>Government</x:v>
      </x:c>
      <x:c r="G201" t="n">
        <x:v>250</x:v>
      </x:c>
      <x:c r="H201" t="n">
        <x:v>100</x:v>
      </x:c>
      <x:c r="I201" t="str">
        <x:v>High-confidence fuzzy</x:v>
      </x:c>
      <x:c r="J201" t="n">
        <x:v>37</x:v>
      </x:c>
      <x:c r="K201" t="n">
        <x:v>37</x:v>
      </x:c>
      <x:c r="L201" t="n">
        <x:f>J201-K201</x:f>
        <x:v>0</x:v>
      </x:c>
      <x:c r="M201" s="20" t="n">
        <x:f>IFERROR(K201/J201,0)</x:f>
        <x:v>1</x:v>
      </x:c>
      <x:c r="N201" t="n">
        <x:v>37</x:v>
      </x:c>
      <x:c r="O201" t="n">
        <x:v>37</x:v>
      </x:c>
      <x:c r="P201" t="n">
        <x:f>N201-O201</x:f>
        <x:v>0</x:v>
      </x:c>
      <x:c r="Q201" t="n">
        <x:v>0</x:v>
      </x:c>
      <x:c r="R201" t="n">
        <x:v>0</x:v>
      </x:c>
      <x:c r="S201" t="n">
        <x:f>Q201-R201</x:f>
        <x:v>0</x:v>
      </x:c>
      <x:c r="T201" t="n">
        <x:v>37</x:v>
      </x:c>
      <x:c r="U201" t="n">
        <x:v>37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f>IF(AND(ISNUMBER(G201),I201&lt;&gt;"Excluded INI"),MAX(0,G201-J201),"")</x:f>
        <x:v>213</x:v>
      </x:c>
      <x:c r="AC201" t="n">
        <x:v>3411</x:v>
      </x:c>
      <x:c r="AD201" t="n">
        <x:v>4163</x:v>
      </x:c>
      <x:c r="AE201" t="n">
        <x:v>5319</x:v>
      </x:c>
      <x:c r="AF201" t="n">
        <x:v>5752</x:v>
      </x:c>
      <x:c r="AG201" t="n">
        <x:v>5360</x:v>
      </x:c>
      <x:c r="AH201" t="n">
        <x:v>6157</x:v>
      </x:c>
      <x:c r="AI201" t="n">
        <x:v>28486</x:v>
      </x:c>
      <x:c r="AJ201" t="n">
        <x:v>34020</x:v>
      </x:c>
      <x:c r="AK201" t="n">
        <x:v>41279</x:v>
      </x:c>
      <x:c r="AL201" t="n">
        <x:v>41407</x:v>
      </x:c>
      <x:c r="AM201" t="str">
        <x:v>Fully allotted in R1; R2 opportunity depends on upgrade/non-joining</x:v>
      </x:c>
    </x:row>
    <x:row r="202">
      <x:c r="A202" t="str">
        <x:v>Madhya Pradesh</x:v>
      </x:c>
      <x:c r="B202" t="str">
        <x:v>All India except Central University</x:v>
      </x:c>
      <x:c r="C202" t="str">
        <x:v>200203</x:v>
      </x:c>
      <x:c r="D202" t="str">
        <x:v>Netaji Subhash Chandra Bose Medical College, Jabalpur, NAGPUR ROAD, JABALPUR, STATE-M.P.PIN-482003</x:v>
      </x:c>
      <x:c r="E202" t="str">
        <x:v>MP/024/G/1</x:v>
      </x:c>
      <x:c r="F202" t="str">
        <x:v>Government</x:v>
      </x:c>
      <x:c r="G202" t="n">
        <x:v>250</x:v>
      </x:c>
      <x:c r="H202" t="n">
        <x:v>100</x:v>
      </x:c>
      <x:c r="I202" t="str">
        <x:v>High-confidence fuzzy</x:v>
      </x:c>
      <x:c r="J202" t="n">
        <x:v>37</x:v>
      </x:c>
      <x:c r="K202" t="n">
        <x:v>37</x:v>
      </x:c>
      <x:c r="L202" t="n">
        <x:f>J202-K202</x:f>
        <x:v>0</x:v>
      </x:c>
      <x:c r="M202" s="20" t="n">
        <x:f>IFERROR(K202/J202,0)</x:f>
        <x:v>1</x:v>
      </x:c>
      <x:c r="N202" t="n">
        <x:v>37</x:v>
      </x:c>
      <x:c r="O202" t="n">
        <x:v>37</x:v>
      </x:c>
      <x:c r="P202" t="n">
        <x:f>N202-O202</x:f>
        <x:v>0</x:v>
      </x:c>
      <x:c r="Q202" t="n">
        <x:v>0</x:v>
      </x:c>
      <x:c r="R202" t="n">
        <x:v>0</x:v>
      </x:c>
      <x:c r="S202" t="n">
        <x:f>Q202-R202</x:f>
        <x:v>0</x:v>
      </x:c>
      <x:c r="T202" t="n">
        <x:v>37</x:v>
      </x:c>
      <x:c r="U202" t="n">
        <x:v>37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f>IF(AND(ISNUMBER(G202),I202&lt;&gt;"Excluded INI"),MAX(0,G202-J202),"")</x:f>
        <x:v>213</x:v>
      </x:c>
      <x:c r="AC202" t="n">
        <x:v>7063</x:v>
      </x:c>
      <x:c r="AD202" t="n">
        <x:v>7515</x:v>
      </x:c>
      <x:c r="AE202" t="n">
        <x:v>8476</x:v>
      </x:c>
      <x:c r="AF202" t="n">
        <x:v>8816</x:v>
      </x:c>
      <x:c r="AG202" t="n">
        <x:v>8585</x:v>
      </x:c>
      <x:c r="AH202" t="n">
        <x:v>9023</x:v>
      </x:c>
      <x:c r="AI202" t="n">
        <x:v>52017</x:v>
      </x:c>
      <x:c r="AJ202" t="n">
        <x:v>56031</x:v>
      </x:c>
      <x:c r="AK202" t="n">
        <x:v>71418</x:v>
      </x:c>
      <x:c r="AL202" t="n">
        <x:v>71890</x:v>
      </x:c>
      <x:c r="AM202" t="str">
        <x:v>Fully allotted in R1; R2 opportunity depends on upgrade/non-joining</x:v>
      </x:c>
    </x:row>
    <x:row r="203">
      <x:c r="A203" t="str">
        <x:v>Madhya Pradesh</x:v>
      </x:c>
      <x:c r="B203" t="str">
        <x:v>All India except Central University</x:v>
      </x:c>
      <x:c r="C203" t="str">
        <x:v>200204</x:v>
      </x:c>
      <x:c r="D203" t="str">
        <x:v>Shyam Shah Medical College, Rewa, NEAR DHOBIYA TANKI, JAIL ROAD, REWA</x:v>
      </x:c>
      <x:c r="E203" t="str">
        <x:v>MP/030/G/1</x:v>
      </x:c>
      <x:c r="F203" t="str">
        <x:v>Government</x:v>
      </x:c>
      <x:c r="G203" t="n">
        <x:v>200</x:v>
      </x:c>
      <x:c r="H203" t="n">
        <x:v>100</x:v>
      </x:c>
      <x:c r="I203" t="str">
        <x:v>High-confidence fuzzy</x:v>
      </x:c>
      <x:c r="J203" t="n">
        <x:v>30</x:v>
      </x:c>
      <x:c r="K203" t="n">
        <x:v>30</x:v>
      </x:c>
      <x:c r="L203" t="n">
        <x:f>J203-K203</x:f>
        <x:v>0</x:v>
      </x:c>
      <x:c r="M203" s="20" t="n">
        <x:f>IFERROR(K203/J203,0)</x:f>
        <x:v>1</x:v>
      </x:c>
      <x:c r="N203" t="n">
        <x:v>30</x:v>
      </x:c>
      <x:c r="O203" t="n">
        <x:v>30</x:v>
      </x:c>
      <x:c r="P203" t="n">
        <x:f>N203-O203</x:f>
        <x:v>0</x:v>
      </x:c>
      <x:c r="Q203" t="n">
        <x:v>0</x:v>
      </x:c>
      <x:c r="R203" t="n">
        <x:v>0</x:v>
      </x:c>
      <x:c r="S203" t="n">
        <x:f>Q203-R203</x:f>
        <x:v>0</x:v>
      </x:c>
      <x:c r="T203" t="n">
        <x:v>30</x:v>
      </x:c>
      <x:c r="U203" t="n">
        <x:v>30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f>IF(AND(ISNUMBER(G203),I203&lt;&gt;"Excluded INI"),MAX(0,G203-J203),"")</x:f>
        <x:v>170</x:v>
      </x:c>
      <x:c r="AC203" t="n">
        <x:v>8492</x:v>
      </x:c>
      <x:c r="AD203" t="n">
        <x:v>8863</x:v>
      </x:c>
      <x:c r="AE203" t="n">
        <x:v>9992</x:v>
      </x:c>
      <x:c r="AF203" t="n">
        <x:v>10525</x:v>
      </x:c>
      <x:c r="AG203" t="n">
        <x:v>10280</x:v>
      </x:c>
      <x:c r="AH203" t="n">
        <x:v>10783</x:v>
      </x:c>
      <x:c r="AI203" t="n">
        <x:v>57752</x:v>
      </x:c>
      <x:c r="AJ203" t="n">
        <x:v>63320</x:v>
      </x:c>
      <x:c r="AK203" t="n">
        <x:v>79426</x:v>
      </x:c>
      <x:c r="AL203" t="n">
        <x:v>82290</x:v>
      </x:c>
      <x:c r="AM203" t="str">
        <x:v>Fully allotted in R1; R2 opportunity depends on upgrade/non-joining</x:v>
      </x:c>
    </x:row>
    <x:row r="204">
      <x:c r="A204" t="str">
        <x:v>Madhya Pradesh</x:v>
      </x:c>
      <x:c r="B204" t="str">
        <x:v>All India except Central University</x:v>
      </x:c>
      <x:c r="C204" t="str">
        <x:v>902826</x:v>
      </x:c>
      <x:c r="D204" t="str">
        <x:v>Sundarlal Patwa Govt. Medical College, Dean Office, Sunderlal Patwa Government Medical College, Mhow Neemuch Bypass, Mandsaur M.P.</x:v>
      </x:c>
      <x:c r="E204" t="str">
        <x:v>MP/033/G/1</x:v>
      </x:c>
      <x:c r="F204" t="str">
        <x:v>Government</x:v>
      </x:c>
      <x:c r="G204" t="n">
        <x:v>100</x:v>
      </x:c>
      <x:c r="H204" t="n">
        <x:v>100</x:v>
      </x:c>
      <x:c r="I204" t="str">
        <x:v>High-confidence fuzzy</x:v>
      </x:c>
      <x:c r="J204" t="n">
        <x:v>15</x:v>
      </x:c>
      <x:c r="K204" t="n">
        <x:v>15</x:v>
      </x:c>
      <x:c r="L204" t="n">
        <x:f>J204-K204</x:f>
        <x:v>0</x:v>
      </x:c>
      <x:c r="M204" s="20" t="n">
        <x:f>IFERROR(K204/J204,0)</x:f>
        <x:v>1</x:v>
      </x:c>
      <x:c r="N204" t="n">
        <x:v>15</x:v>
      </x:c>
      <x:c r="O204" t="n">
        <x:v>15</x:v>
      </x:c>
      <x:c r="P204" t="n">
        <x:f>N204-O204</x:f>
        <x:v>0</x:v>
      </x:c>
      <x:c r="Q204" t="n">
        <x:v>0</x:v>
      </x:c>
      <x:c r="R204" t="n">
        <x:v>0</x:v>
      </x:c>
      <x:c r="S204" t="n">
        <x:f>Q204-R204</x:f>
        <x:v>0</x:v>
      </x:c>
      <x:c r="T204" t="n">
        <x:v>15</x:v>
      </x:c>
      <x:c r="U204" t="n">
        <x:v>15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f>IF(AND(ISNUMBER(G204),I204&lt;&gt;"Excluded INI"),MAX(0,G204-J204),"")</x:f>
        <x:v>85</x:v>
      </x:c>
      <x:c r="AC204" t="n">
        <x:v>13923</x:v>
      </x:c>
      <x:c r="AD204" t="n">
        <x:v>14416</x:v>
      </x:c>
      <x:c r="AE204" t="n">
        <x:v>14841</x:v>
      </x:c>
      <x:c r="AF204" t="n">
        <x:v>15168</x:v>
      </x:c>
      <x:c r="AG204" t="n">
        <x:v>16422</x:v>
      </x:c>
      <x:c r="AH204" t="n">
        <x:v>16666</x:v>
      </x:c>
      <x:c r="AI204" t="n">
        <x:v>74782</x:v>
      </x:c>
      <x:c r="AJ204" t="n">
        <x:v>76523</x:v>
      </x:c>
      <x:c r="AK204" t="n">
        <x:v>104221</x:v>
      </x:c>
      <x:c r="AL204" t="n">
        <x:v>104510</x:v>
      </x:c>
      <x:c r="AM204" t="str">
        <x:v>Fully allotted in R1; R2 opportunity depends on upgrade/non-joining</x:v>
      </x:c>
    </x:row>
    <x:row r="205">
      <x:c r="A205" t="str">
        <x:v>Madhya Pradesh</x:v>
      </x:c>
      <x:c r="B205" t="str">
        <x:v>All India except Central University</x:v>
      </x:c>
      <x:c r="C205" t="str">
        <x:v>902827</x:v>
      </x:c>
      <x:c r="D205" t="str">
        <x:v>Virendra Kumar Sakhlecha Government Medical College, Kanawati, Mhow-Naseerabad Road, Neemuch</x:v>
      </x:c>
      <x:c r="E205" t="str">
        <x:v>MP/034/G/1</x:v>
      </x:c>
      <x:c r="F205" t="str">
        <x:v>Government</x:v>
      </x:c>
      <x:c r="G205" t="n">
        <x:v>100</x:v>
      </x:c>
      <x:c r="H205" t="n">
        <x:v>100</x:v>
      </x:c>
      <x:c r="I205" t="str">
        <x:v>High-confidence fuzzy</x:v>
      </x:c>
      <x:c r="J205" t="n">
        <x:v>15</x:v>
      </x:c>
      <x:c r="K205" t="n">
        <x:v>15</x:v>
      </x:c>
      <x:c r="L205" t="n">
        <x:f>J205-K205</x:f>
        <x:v>0</x:v>
      </x:c>
      <x:c r="M205" s="20" t="n">
        <x:f>IFERROR(K205/J205,0)</x:f>
        <x:v>1</x:v>
      </x:c>
      <x:c r="N205" t="n">
        <x:v>15</x:v>
      </x:c>
      <x:c r="O205" t="n">
        <x:v>15</x:v>
      </x:c>
      <x:c r="P205" t="n">
        <x:f>N205-O205</x:f>
        <x:v>0</x:v>
      </x:c>
      <x:c r="Q205" t="n">
        <x:v>0</x:v>
      </x:c>
      <x:c r="R205" t="n">
        <x:v>0</x:v>
      </x:c>
      <x:c r="S205" t="n">
        <x:f>Q205-R205</x:f>
        <x:v>0</x:v>
      </x:c>
      <x:c r="T205" t="n">
        <x:v>15</x:v>
      </x:c>
      <x:c r="U205" t="n">
        <x:v>15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f>IF(AND(ISNUMBER(G205),I205&lt;&gt;"Excluded INI"),MAX(0,G205-J205),"")</x:f>
        <x:v>85</x:v>
      </x:c>
      <x:c r="AC205" t="n">
        <x:v>11749</x:v>
      </x:c>
      <x:c r="AD205" t="n">
        <x:v>12353</x:v>
      </x:c>
      <x:c r="AE205" t="n">
        <x:v>14220</x:v>
      </x:c>
      <x:c r="AF205" t="n">
        <x:v>14342</x:v>
      </x:c>
      <x:c r="AG205" t="n">
        <x:v>15155</x:v>
      </x:c>
      <x:c r="AH205" t="n">
        <x:v>16577</x:v>
      </x:c>
      <x:c r="AI205" t="n">
        <x:v>74222</x:v>
      </x:c>
      <x:c r="AJ205" t="n">
        <x:v>74222</x:v>
      </x:c>
      <x:c r="AK205" t="n">
        <x:v>98103</x:v>
      </x:c>
      <x:c r="AL205" t="n">
        <x:v>98103</x:v>
      </x:c>
      <x:c r="AM205" t="str">
        <x:v>Fully allotted in R1; R2 opportunity depends on upgrade/non-joining</x:v>
      </x:c>
    </x:row>
    <x:row r="206">
      <x:c r="A206" t="str">
        <x:v>Maharashtra</x:v>
      </x:c>
      <x:c r="B206" t="str">
        <x:v>All India Institute Of Medical Science(AIIMS)</x:v>
      </x:c>
      <x:c r="C206" t="str">
        <x:v>200509</x:v>
      </x:c>
      <x:c r="D206" t="str">
        <x:v>AIIMS, Nagpur, PLOT NO 2 SECTOR 20 MIHAN NAGPUR</x:v>
      </x:c>
      <x:c r="E206" t="str"/>
      <x:c r="F206" t="str"/>
      <x:c r="G206"/>
      <x:c r="H206" t="n">
        <x:v>100</x:v>
      </x:c>
      <x:c r="I206" t="str">
        <x:v>Excluded INI</x:v>
      </x:c>
      <x:c r="J206" t="n">
        <x:v>125</x:v>
      </x:c>
      <x:c r="K206" t="n">
        <x:v>125</x:v>
      </x:c>
      <x:c r="L206" t="n">
        <x:f>J206-K206</x:f>
        <x:v>0</x:v>
      </x:c>
      <x:c r="M206" s="20" t="n">
        <x:f>IFERROR(K206/J206,0)</x:f>
        <x:v>1</x:v>
      </x:c>
      <x:c r="N206" t="n">
        <x:v>125</x:v>
      </x:c>
      <x:c r="O206" t="n">
        <x:v>125</x:v>
      </x:c>
      <x:c r="P206" t="n">
        <x:f>N206-O206</x:f>
        <x:v>0</x:v>
      </x:c>
      <x:c r="Q206" t="n">
        <x:v>0</x:v>
      </x:c>
      <x:c r="R206" t="n">
        <x:v>0</x:v>
      </x:c>
      <x:c r="S206" t="n">
        <x:f>Q206-R206</x:f>
        <x:v>0</x:v>
      </x:c>
      <x:c r="T206" t="n">
        <x:v>0</x:v>
      </x:c>
      <x:c r="U206" t="n">
        <x:v>0</x:v>
      </x:c>
      <x:c r="V206" t="n">
        <x:v>125</x:v>
      </x:c>
      <x:c r="W206" t="n">
        <x:v>125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str">
        <x:f>IF(AND(ISNUMBER(G206),I206&lt;&gt;"Excluded INI"),MAX(0,G206-J206),"")</x:f>
      </x:c>
      <x:c r="AC206" t="n">
        <x:v>674</x:v>
      </x:c>
      <x:c r="AD206" t="n">
        <x:v>792</x:v>
      </x:c>
      <x:c r="AE206" t="n">
        <x:v>1211</x:v>
      </x:c>
      <x:c r="AF206" t="n">
        <x:v>1350</x:v>
      </x:c>
      <x:c r="AG206" t="n">
        <x:v>1488</x:v>
      </x:c>
      <x:c r="AH206" t="n">
        <x:v>1839</x:v>
      </x:c>
      <x:c r="AI206" t="n">
        <x:v>6560</x:v>
      </x:c>
      <x:c r="AJ206" t="n">
        <x:v>8360</x:v>
      </x:c>
      <x:c r="AK206" t="n">
        <x:v>11050</x:v>
      </x:c>
      <x:c r="AL206" t="n">
        <x:v>13431</x:v>
      </x:c>
      <x:c r="AM206" t="str">
        <x:v>Fully allotted in R1; R2 opportunity depends on upgrade/non-joining</x:v>
      </x:c>
    </x:row>
    <x:row r="207">
      <x:c r="A207" t="str">
        <x:v>Maharashtra</x:v>
      </x:c>
      <x:c r="B207" t="str">
        <x:v>All India except Central University</x:v>
      </x:c>
      <x:c r="C207" t="str">
        <x:v>200205</x:v>
      </x:c>
      <x:c r="D207" t="str">
        <x:v>B. J. Govt. Medical College, Pune, Sassoon Hospital Compound, Near Pune Railway station J.P. Narayan Road, Pune</x:v>
      </x:c>
      <x:c r="E207" t="str">
        <x:v>MH/004/G/1</x:v>
      </x:c>
      <x:c r="F207" t="str">
        <x:v>Government</x:v>
      </x:c>
      <x:c r="G207" t="n">
        <x:v>250</x:v>
      </x:c>
      <x:c r="H207" t="n">
        <x:v>100</x:v>
      </x:c>
      <x:c r="I207" t="str">
        <x:v>High-confidence fuzzy</x:v>
      </x:c>
      <x:c r="J207" t="n">
        <x:v>38</x:v>
      </x:c>
      <x:c r="K207" t="n">
        <x:v>38</x:v>
      </x:c>
      <x:c r="L207" t="n">
        <x:f>J207-K207</x:f>
        <x:v>0</x:v>
      </x:c>
      <x:c r="M207" s="20" t="n">
        <x:f>IFERROR(K207/J207,0)</x:f>
        <x:v>1</x:v>
      </x:c>
      <x:c r="N207" t="n">
        <x:v>38</x:v>
      </x:c>
      <x:c r="O207" t="n">
        <x:v>38</x:v>
      </x:c>
      <x:c r="P207" t="n">
        <x:f>N207-O207</x:f>
        <x:v>0</x:v>
      </x:c>
      <x:c r="Q207" t="n">
        <x:v>0</x:v>
      </x:c>
      <x:c r="R207" t="n">
        <x:v>0</x:v>
      </x:c>
      <x:c r="S207" t="n">
        <x:f>Q207-R207</x:f>
        <x:v>0</x:v>
      </x:c>
      <x:c r="T207" t="n">
        <x:v>38</x:v>
      </x:c>
      <x:c r="U207" t="n">
        <x:v>38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f>IF(AND(ISNUMBER(G207),I207&lt;&gt;"Excluded INI"),MAX(0,G207-J207),"")</x:f>
        <x:v>212</x:v>
      </x:c>
      <x:c r="AC207" t="n">
        <x:v>2419</x:v>
      </x:c>
      <x:c r="AD207" t="n">
        <x:v>2770</x:v>
      </x:c>
      <x:c r="AE207" t="n">
        <x:v>4425</x:v>
      </x:c>
      <x:c r="AF207" t="n">
        <x:v>4724</x:v>
      </x:c>
      <x:c r="AG207" t="n">
        <x:v>4552</x:v>
      </x:c>
      <x:c r="AH207" t="n">
        <x:v>4673</x:v>
      </x:c>
      <x:c r="AI207" t="n">
        <x:v>27116</x:v>
      </x:c>
      <x:c r="AJ207" t="n">
        <x:v>28830</x:v>
      </x:c>
      <x:c r="AK207" t="n">
        <x:v>52359</x:v>
      </x:c>
      <x:c r="AL207" t="n">
        <x:v>55528</x:v>
      </x:c>
      <x:c r="AM207" t="str">
        <x:v>Fully allotted in R1; R2 opportunity depends on upgrade/non-joining</x:v>
      </x:c>
    </x:row>
    <x:row r="208">
      <x:c r="A208" t="str">
        <x:v>Maharashtra</x:v>
      </x:c>
      <x:c r="B208" t="str">
        <x:v>Deemed University</x:v>
      </x:c>
      <x:c r="C208" t="str">
        <x:v>200355</x:v>
      </x:c>
      <x:c r="D208" t="str">
        <x:v>Bharati Vidyapeeth Deemed University Medical College &amp; Hospital, Sangli, Sangli Miraj Road Wanlesswadi Sangli Maharashtra</x:v>
      </x:c>
      <x:c r="E208" t="str">
        <x:v>MH/006/P/3</x:v>
      </x:c>
      <x:c r="F208" t="str">
        <x:v>Private</x:v>
      </x:c>
      <x:c r="G208" t="n">
        <x:v>250</x:v>
      </x:c>
      <x:c r="H208" t="n">
        <x:v>100</x:v>
      </x:c>
      <x:c r="I208" t="str">
        <x:v>High-confidence fuzzy</x:v>
      </x:c>
      <x:c r="J208" t="n">
        <x:v>250</x:v>
      </x:c>
      <x:c r="K208" t="n">
        <x:v>212</x:v>
      </x:c>
      <x:c r="L208" t="n">
        <x:f>J208-K208</x:f>
        <x:v>38</x:v>
      </x:c>
      <x:c r="M208" s="20" t="n">
        <x:f>IFERROR(K208/J208,0)</x:f>
        <x:v>0.848</x:v>
      </x:c>
      <x:c r="N208" t="n">
        <x:v>0</x:v>
      </x:c>
      <x:c r="O208" t="n">
        <x:v>0</x:v>
      </x:c>
      <x:c r="P208" t="n">
        <x:f>N208-O208</x:f>
        <x:v>0</x:v>
      </x:c>
      <x:c r="Q208" t="n">
        <x:v>250</x:v>
      </x:c>
      <x:c r="R208" t="n">
        <x:v>212</x:v>
      </x:c>
      <x:c r="S208" t="n">
        <x:f>Q208-R208</x:f>
        <x:v>38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212</x:v>
      </x:c>
      <x:c r="Y208" t="n">
        <x:v>212</x:v>
      </x:c>
      <x:c r="Z208" t="n">
        <x:v>38</x:v>
      </x:c>
      <x:c r="AA208" t="n">
        <x:v>0</x:v>
      </x:c>
      <x:c r="AB208" t="n">
        <x:f>IF(AND(ISNUMBER(G208),I208&lt;&gt;"Excluded INI"),MAX(0,G208-J208),"")</x:f>
        <x:v>0</x:v>
      </x:c>
      <x:c r="AC208" t="n">
        <x:v>548822</x:v>
      </x:c>
      <x:c r="AD208" t="n">
        <x:v>600808</x:v>
      </x:c>
      <x:c r="AE208"/>
      <x:c r="AF208"/>
      <x:c r="AG208"/>
      <x:c r="AH208"/>
      <x:c r="AI208"/>
      <x:c r="AJ208"/>
      <x:c r="AK208"/>
      <x:c r="AL208"/>
      <x:c r="AM208" t="str">
        <x:v>Unfilled mainly private/NRI/minority; regular R2 depends on movement</x:v>
      </x:c>
    </x:row>
    <x:row r="209">
      <x:c r="A209" t="str">
        <x:v>Maharashtra</x:v>
      </x:c>
      <x:c r="B209" t="str">
        <x:v>Deemed University</x:v>
      </x:c>
      <x:c r="C209" t="str">
        <x:v>200356</x:v>
      </x:c>
      <x:c r="D209" t="str">
        <x:v>Bharati Vidyapeeth University Medical College, Pune, Dhankawadi, Pune-Satara Road, Pune</x:v>
      </x:c>
      <x:c r="E209" t="str">
        <x:v>MH/007/P/3</x:v>
      </x:c>
      <x:c r="F209" t="str">
        <x:v>Private</x:v>
      </x:c>
      <x:c r="G209" t="n">
        <x:v>250</x:v>
      </x:c>
      <x:c r="H209" t="n">
        <x:v>100</x:v>
      </x:c>
      <x:c r="I209" t="str">
        <x:v>High-confidence fuzzy</x:v>
      </x:c>
      <x:c r="J209" t="n">
        <x:v>250</x:v>
      </x:c>
      <x:c r="K209" t="n">
        <x:v>213</x:v>
      </x:c>
      <x:c r="L209" t="n">
        <x:f>J209-K209</x:f>
        <x:v>37</x:v>
      </x:c>
      <x:c r="M209" s="20" t="n">
        <x:f>IFERROR(K209/J209,0)</x:f>
        <x:v>0.852</x:v>
      </x:c>
      <x:c r="N209" t="n">
        <x:v>0</x:v>
      </x:c>
      <x:c r="O209" t="n">
        <x:v>0</x:v>
      </x:c>
      <x:c r="P209" t="n">
        <x:f>N209-O209</x:f>
        <x:v>0</x:v>
      </x:c>
      <x:c r="Q209" t="n">
        <x:v>250</x:v>
      </x:c>
      <x:c r="R209" t="n">
        <x:v>213</x:v>
      </x:c>
      <x:c r="S209" t="n">
        <x:f>Q209-R209</x:f>
        <x:v>37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212</x:v>
      </x:c>
      <x:c r="Y209" t="n">
        <x:v>212</x:v>
      </x:c>
      <x:c r="Z209" t="n">
        <x:v>38</x:v>
      </x:c>
      <x:c r="AA209" t="n">
        <x:v>1</x:v>
      </x:c>
      <x:c r="AB209" t="n">
        <x:f>IF(AND(ISNUMBER(G209),I209&lt;&gt;"Excluded INI"),MAX(0,G209-J209),"")</x:f>
        <x:v>0</x:v>
      </x:c>
      <x:c r="AC209" t="n">
        <x:v>382506</x:v>
      </x:c>
      <x:c r="AD209" t="n">
        <x:v>724261</x:v>
      </x:c>
      <x:c r="AE209"/>
      <x:c r="AF209"/>
      <x:c r="AG209"/>
      <x:c r="AH209"/>
      <x:c r="AI209"/>
      <x:c r="AJ209"/>
      <x:c r="AK209"/>
      <x:c r="AL209"/>
      <x:c r="AM209" t="str">
        <x:v>Unfilled mainly private/NRI/minority; regular R2 depends on movement</x:v>
      </x:c>
    </x:row>
    <x:row r="210">
      <x:c r="A210" t="str">
        <x:v>Maharashtra</x:v>
      </x:c>
      <x:c r="B210" t="str">
        <x:v>Deemed University</x:v>
      </x:c>
      <x:c r="C210" t="str">
        <x:v>904369</x:v>
      </x:c>
      <x:c r="D210" t="str">
        <x:v>DY Patil University, School of Medicine, Survey no 124&amp;126, MIDC Road , Ambi, Taluka Maval, Dist Pune</x:v>
      </x:c>
      <x:c r="E210" t="str">
        <x:v>MH/020/P/3</x:v>
      </x:c>
      <x:c r="F210" t="str">
        <x:v>Private</x:v>
      </x:c>
      <x:c r="G210" t="n">
        <x:v>100</x:v>
      </x:c>
      <x:c r="H210" t="n">
        <x:v>100</x:v>
      </x:c>
      <x:c r="I210" t="str">
        <x:v>High-confidence fuzzy</x:v>
      </x:c>
      <x:c r="J210" t="n">
        <x:v>100</x:v>
      </x:c>
      <x:c r="K210" t="n">
        <x:v>86</x:v>
      </x:c>
      <x:c r="L210" t="n">
        <x:f>J210-K210</x:f>
        <x:v>14</x:v>
      </x:c>
      <x:c r="M210" s="20" t="n">
        <x:f>IFERROR(K210/J210,0)</x:f>
        <x:v>0.86</x:v>
      </x:c>
      <x:c r="N210" t="n">
        <x:v>0</x:v>
      </x:c>
      <x:c r="O210" t="n">
        <x:v>0</x:v>
      </x:c>
      <x:c r="P210" t="n">
        <x:f>N210-O210</x:f>
        <x:v>0</x:v>
      </x:c>
      <x:c r="Q210" t="n">
        <x:v>100</x:v>
      </x:c>
      <x:c r="R210" t="n">
        <x:v>86</x:v>
      </x:c>
      <x:c r="S210" t="n">
        <x:f>Q210-R210</x:f>
        <x:v>14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85</x:v>
      </x:c>
      <x:c r="Y210" t="n">
        <x:v>85</x:v>
      </x:c>
      <x:c r="Z210" t="n">
        <x:v>15</x:v>
      </x:c>
      <x:c r="AA210" t="n">
        <x:v>1</x:v>
      </x:c>
      <x:c r="AB210" t="n">
        <x:f>IF(AND(ISNUMBER(G210),I210&lt;&gt;"Excluded INI"),MAX(0,G210-J210),"")</x:f>
        <x:v>0</x:v>
      </x:c>
      <x:c r="AC210" t="n">
        <x:v>508113</x:v>
      </x:c>
      <x:c r="AD210" t="n">
        <x:v>559501</x:v>
      </x:c>
      <x:c r="AE210"/>
      <x:c r="AF210"/>
      <x:c r="AG210"/>
      <x:c r="AH210"/>
      <x:c r="AI210"/>
      <x:c r="AJ210"/>
      <x:c r="AK210"/>
      <x:c r="AL210"/>
      <x:c r="AM210" t="str">
        <x:v>Unfilled mainly private/NRI/minority; regular R2 depends on movement</x:v>
      </x:c>
    </x:row>
    <x:row r="211">
      <x:c r="A211" t="str">
        <x:v>Maharashtra</x:v>
      </x:c>
      <x:c r="B211" t="str">
        <x:v>Deemed University</x:v>
      </x:c>
      <x:c r="C211" t="str">
        <x:v>200525</x:v>
      </x:c>
      <x:c r="D211" t="str">
        <x:v>Datta Meghe Medical College, Nagpur, Hingna Road Wanadongri Nagpur Maharashtra India</x:v>
      </x:c>
      <x:c r="E211" t="str">
        <x:v>MH/009/P/3</x:v>
      </x:c>
      <x:c r="F211" t="str">
        <x:v>Private</x:v>
      </x:c>
      <x:c r="G211" t="n">
        <x:v>250</x:v>
      </x:c>
      <x:c r="H211" t="n">
        <x:v>100</x:v>
      </x:c>
      <x:c r="I211" t="str">
        <x:v>High-confidence fuzzy</x:v>
      </x:c>
      <x:c r="J211" t="n">
        <x:v>250</x:v>
      </x:c>
      <x:c r="K211" t="n">
        <x:v>213</x:v>
      </x:c>
      <x:c r="L211" t="n">
        <x:f>J211-K211</x:f>
        <x:v>37</x:v>
      </x:c>
      <x:c r="M211" s="20" t="n">
        <x:f>IFERROR(K211/J211,0)</x:f>
        <x:v>0.852</x:v>
      </x:c>
      <x:c r="N211" t="n">
        <x:v>0</x:v>
      </x:c>
      <x:c r="O211" t="n">
        <x:v>0</x:v>
      </x:c>
      <x:c r="P211" t="n">
        <x:f>N211-O211</x:f>
        <x:v>0</x:v>
      </x:c>
      <x:c r="Q211" t="n">
        <x:v>250</x:v>
      </x:c>
      <x:c r="R211" t="n">
        <x:v>213</x:v>
      </x:c>
      <x:c r="S211" t="n">
        <x:f>Q211-R211</x:f>
        <x:v>37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213</x:v>
      </x:c>
      <x:c r="Y211" t="n">
        <x:v>213</x:v>
      </x:c>
      <x:c r="Z211" t="n">
        <x:v>37</x:v>
      </x:c>
      <x:c r="AA211" t="n">
        <x:v>0</x:v>
      </x:c>
      <x:c r="AB211" t="n">
        <x:f>IF(AND(ISNUMBER(G211),I211&lt;&gt;"Excluded INI"),MAX(0,G211-J211),"")</x:f>
        <x:v>0</x:v>
      </x:c>
      <x:c r="AC211" t="n">
        <x:v>574993</x:v>
      </x:c>
      <x:c r="AD211" t="n">
        <x:v>648817</x:v>
      </x:c>
      <x:c r="AE211"/>
      <x:c r="AF211"/>
      <x:c r="AG211"/>
      <x:c r="AH211"/>
      <x:c r="AI211"/>
      <x:c r="AJ211"/>
      <x:c r="AK211"/>
      <x:c r="AL211"/>
      <x:c r="AM211" t="str">
        <x:v>Unfilled mainly private/NRI/minority; regular R2 depends on movement</x:v>
      </x:c>
    </x:row>
    <x:row r="212">
      <x:c r="A212" t="str">
        <x:v>Maharashtra</x:v>
      </x:c>
      <x:c r="B212" t="str">
        <x:v>All India except Central University</x:v>
      </x:c>
      <x:c r="C212" t="str">
        <x:v>200207</x:v>
      </x:c>
      <x:c r="D212" t="str">
        <x:v>Dr Vaishampayan Memorial Medical College, Solapur, In Front of District Civil Court, Solapur.</x:v>
      </x:c>
      <x:c r="E212" t="str">
        <x:v>MH/010/G/1</x:v>
      </x:c>
      <x:c r="F212" t="str">
        <x:v>Government</x:v>
      </x:c>
      <x:c r="G212" t="n">
        <x:v>200</x:v>
      </x:c>
      <x:c r="H212" t="n">
        <x:v>100</x:v>
      </x:c>
      <x:c r="I212" t="str">
        <x:v>High-confidence fuzzy</x:v>
      </x:c>
      <x:c r="J212" t="n">
        <x:v>30</x:v>
      </x:c>
      <x:c r="K212" t="n">
        <x:v>30</x:v>
      </x:c>
      <x:c r="L212" t="n">
        <x:f>J212-K212</x:f>
        <x:v>0</x:v>
      </x:c>
      <x:c r="M212" s="20" t="n">
        <x:f>IFERROR(K212/J212,0)</x:f>
        <x:v>1</x:v>
      </x:c>
      <x:c r="N212" t="n">
        <x:v>30</x:v>
      </x:c>
      <x:c r="O212" t="n">
        <x:v>30</x:v>
      </x:c>
      <x:c r="P212" t="n">
        <x:f>N212-O212</x:f>
        <x:v>0</x:v>
      </x:c>
      <x:c r="Q212" t="n">
        <x:v>0</x:v>
      </x:c>
      <x:c r="R212" t="n">
        <x:v>0</x:v>
      </x:c>
      <x:c r="S212" t="n">
        <x:f>Q212-R212</x:f>
        <x:v>0</x:v>
      </x:c>
      <x:c r="T212" t="n">
        <x:v>30</x:v>
      </x:c>
      <x:c r="U212" t="n">
        <x:v>30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f>IF(AND(ISNUMBER(G212),I212&lt;&gt;"Excluded INI"),MAX(0,G212-J212),"")</x:f>
        <x:v>170</x:v>
      </x:c>
      <x:c r="AC212" t="n">
        <x:v>10342</x:v>
      </x:c>
      <x:c r="AD212" t="n">
        <x:v>10935</x:v>
      </x:c>
      <x:c r="AE212" t="n">
        <x:v>12226</x:v>
      </x:c>
      <x:c r="AF212" t="n">
        <x:v>12673</x:v>
      </x:c>
      <x:c r="AG212" t="n">
        <x:v>13708</x:v>
      </x:c>
      <x:c r="AH212" t="n">
        <x:v>13953</x:v>
      </x:c>
      <x:c r="AI212" t="n">
        <x:v>57487</x:v>
      </x:c>
      <x:c r="AJ212" t="n">
        <x:v>64183</x:v>
      </x:c>
      <x:c r="AK212" t="n">
        <x:v>91303</x:v>
      </x:c>
      <x:c r="AL212" t="n">
        <x:v>95199</x:v>
      </x:c>
      <x:c r="AM212" t="str">
        <x:v>Fully allotted in R1; R2 opportunity depends on upgrade/non-joining</x:v>
      </x:c>
    </x:row>
    <x:row r="213">
      <x:c r="A213" t="str">
        <x:v>Maharashtra</x:v>
      </x:c>
      <x:c r="B213" t="str">
        <x:v>Deemed University</x:v>
      </x:c>
      <x:c r="C213" t="str">
        <x:v>200361</x:v>
      </x:c>
      <x:c r="D213" t="str">
        <x:v>Dr. D Y Patil Medical College, Hospital and Research Centre, Pimpri, Pune, Dr. D. Y. Patil Medical College, Hospital and Research Centre, Sant Tukaram Nagar, Pimpri, Pune.</x:v>
      </x:c>
      <x:c r="E213" t="str">
        <x:v>MH/011/P/3</x:v>
      </x:c>
      <x:c r="F213" t="str">
        <x:v>Private</x:v>
      </x:c>
      <x:c r="G213" t="n">
        <x:v>250</x:v>
      </x:c>
      <x:c r="H213" t="n">
        <x:v>100</x:v>
      </x:c>
      <x:c r="I213" t="str">
        <x:v>High-confidence fuzzy</x:v>
      </x:c>
      <x:c r="J213" t="n">
        <x:v>250</x:v>
      </x:c>
      <x:c r="K213" t="n">
        <x:v>214</x:v>
      </x:c>
      <x:c r="L213" t="n">
        <x:f>J213-K213</x:f>
        <x:v>36</x:v>
      </x:c>
      <x:c r="M213" s="20" t="n">
        <x:f>IFERROR(K213/J213,0)</x:f>
        <x:v>0.856</x:v>
      </x:c>
      <x:c r="N213" t="n">
        <x:v>0</x:v>
      </x:c>
      <x:c r="O213" t="n">
        <x:v>0</x:v>
      </x:c>
      <x:c r="P213" t="n">
        <x:f>N213-O213</x:f>
        <x:v>0</x:v>
      </x:c>
      <x:c r="Q213" t="n">
        <x:v>250</x:v>
      </x:c>
      <x:c r="R213" t="n">
        <x:v>214</x:v>
      </x:c>
      <x:c r="S213" t="n">
        <x:f>Q213-R213</x:f>
        <x:v>36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212</x:v>
      </x:c>
      <x:c r="Y213" t="n">
        <x:v>212</x:v>
      </x:c>
      <x:c r="Z213" t="n">
        <x:v>38</x:v>
      </x:c>
      <x:c r="AA213" t="n">
        <x:v>2</x:v>
      </x:c>
      <x:c r="AB213" t="n">
        <x:f>IF(AND(ISNUMBER(G213),I213&lt;&gt;"Excluded INI"),MAX(0,G213-J213),"")</x:f>
        <x:v>0</x:v>
      </x:c>
      <x:c r="AC213" t="n">
        <x:v>356161</x:v>
      </x:c>
      <x:c r="AD213" t="n">
        <x:v>907478</x:v>
      </x:c>
      <x:c r="AE213"/>
      <x:c r="AF213"/>
      <x:c r="AG213"/>
      <x:c r="AH213"/>
      <x:c r="AI213"/>
      <x:c r="AJ213"/>
      <x:c r="AK213"/>
      <x:c r="AL213"/>
      <x:c r="AM213" t="str">
        <x:v>Unfilled mainly private/NRI/minority; regular R2 depends on movement</x:v>
      </x:c>
    </x:row>
    <x:row r="214">
      <x:c r="A214" t="str">
        <x:v>Maharashtra</x:v>
      </x:c>
      <x:c r="B214" t="str">
        <x:v>Deemed University</x:v>
      </x:c>
      <x:c r="C214" t="str">
        <x:v>200363</x:v>
      </x:c>
      <x:c r="D214" t="str">
        <x:v>Dr. D Y Patil Medical College, Kolhapur, 869, E Ward, D. Y. Patil Vidyanagar, Kasaba Bavada, Kolhapur 416006</x:v>
      </x:c>
      <x:c r="E214" t="str">
        <x:v>MH/012/P/1</x:v>
      </x:c>
      <x:c r="F214" t="str">
        <x:v>Private</x:v>
      </x:c>
      <x:c r="G214" t="n">
        <x:v>200</x:v>
      </x:c>
      <x:c r="H214" t="n">
        <x:v>100</x:v>
      </x:c>
      <x:c r="I214" t="str">
        <x:v>High-confidence fuzzy</x:v>
      </x:c>
      <x:c r="J214" t="n">
        <x:v>200</x:v>
      </x:c>
      <x:c r="K214" t="n">
        <x:v>170</x:v>
      </x:c>
      <x:c r="L214" t="n">
        <x:f>J214-K214</x:f>
        <x:v>30</x:v>
      </x:c>
      <x:c r="M214" s="20" t="n">
        <x:f>IFERROR(K214/J214,0)</x:f>
        <x:v>0.85</x:v>
      </x:c>
      <x:c r="N214" t="n">
        <x:v>0</x:v>
      </x:c>
      <x:c r="O214" t="n">
        <x:v>0</x:v>
      </x:c>
      <x:c r="P214" t="n">
        <x:f>N214-O214</x:f>
        <x:v>0</x:v>
      </x:c>
      <x:c r="Q214" t="n">
        <x:v>200</x:v>
      </x:c>
      <x:c r="R214" t="n">
        <x:v>170</x:v>
      </x:c>
      <x:c r="S214" t="n">
        <x:f>Q214-R214</x:f>
        <x:v>30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170</x:v>
      </x:c>
      <x:c r="Y214" t="n">
        <x:v>170</x:v>
      </x:c>
      <x:c r="Z214" t="n">
        <x:v>30</x:v>
      </x:c>
      <x:c r="AA214" t="n">
        <x:v>0</x:v>
      </x:c>
      <x:c r="AB214" t="n">
        <x:f>IF(AND(ISNUMBER(G214),I214&lt;&gt;"Excluded INI"),MAX(0,G214-J214),"")</x:f>
        <x:v>0</x:v>
      </x:c>
      <x:c r="AC214" t="n">
        <x:v>370971</x:v>
      </x:c>
      <x:c r="AD214" t="n">
        <x:v>466435</x:v>
      </x:c>
      <x:c r="AE214"/>
      <x:c r="AF214"/>
      <x:c r="AG214"/>
      <x:c r="AH214"/>
      <x:c r="AI214"/>
      <x:c r="AJ214"/>
      <x:c r="AK214"/>
      <x:c r="AL214"/>
      <x:c r="AM214" t="str">
        <x:v>Unfilled mainly private/NRI/minority; regular R2 depends on movement</x:v>
      </x:c>
    </x:row>
    <x:row r="215">
      <x:c r="A215" t="str">
        <x:v>Maharashtra</x:v>
      </x:c>
      <x:c r="B215" t="str">
        <x:v>All India except Central University</x:v>
      </x:c>
      <x:c r="C215" t="str">
        <x:v>200208</x:v>
      </x:c>
      <x:c r="D215" t="str">
        <x:v>Dr. Shankarrao Chavan Govt. Medical College, Nanded, VISHNUPURI NANDED MAHARASHTRA 431606</x:v>
      </x:c>
      <x:c r="E215" t="str">
        <x:v>MH/016/G/1</x:v>
      </x:c>
      <x:c r="F215" t="str">
        <x:v>Government</x:v>
      </x:c>
      <x:c r="G215" t="n">
        <x:v>150</x:v>
      </x:c>
      <x:c r="H215" t="n">
        <x:v>100</x:v>
      </x:c>
      <x:c r="I215" t="str">
        <x:v>High-confidence fuzzy</x:v>
      </x:c>
      <x:c r="J215" t="n">
        <x:v>23</x:v>
      </x:c>
      <x:c r="K215" t="n">
        <x:v>23</x:v>
      </x:c>
      <x:c r="L215" t="n">
        <x:f>J215-K215</x:f>
        <x:v>0</x:v>
      </x:c>
      <x:c r="M215" s="20" t="n">
        <x:f>IFERROR(K215/J215,0)</x:f>
        <x:v>1</x:v>
      </x:c>
      <x:c r="N215" t="n">
        <x:v>23</x:v>
      </x:c>
      <x:c r="O215" t="n">
        <x:v>23</x:v>
      </x:c>
      <x:c r="P215" t="n">
        <x:f>N215-O215</x:f>
        <x:v>0</x:v>
      </x:c>
      <x:c r="Q215" t="n">
        <x:v>0</x:v>
      </x:c>
      <x:c r="R215" t="n">
        <x:v>0</x:v>
      </x:c>
      <x:c r="S215" t="n">
        <x:f>Q215-R215</x:f>
        <x:v>0</x:v>
      </x:c>
      <x:c r="T215" t="n">
        <x:v>23</x:v>
      </x:c>
      <x:c r="U215" t="n">
        <x:v>23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f>IF(AND(ISNUMBER(G215),I215&lt;&gt;"Excluded INI"),MAX(0,G215-J215),"")</x:f>
        <x:v>127</x:v>
      </x:c>
      <x:c r="AC215" t="n">
        <x:v>10618</x:v>
      </x:c>
      <x:c r="AD215" t="n">
        <x:v>12136</x:v>
      </x:c>
      <x:c r="AE215" t="n">
        <x:v>13790</x:v>
      </x:c>
      <x:c r="AF215" t="n">
        <x:v>14035</x:v>
      </x:c>
      <x:c r="AG215" t="n">
        <x:v>14543</x:v>
      </x:c>
      <x:c r="AH215" t="n">
        <x:v>15394</x:v>
      </x:c>
      <x:c r="AI215" t="n">
        <x:v>72759</x:v>
      </x:c>
      <x:c r="AJ215" t="n">
        <x:v>74954</x:v>
      </x:c>
      <x:c r="AK215" t="n">
        <x:v>97544</x:v>
      </x:c>
      <x:c r="AL215" t="n">
        <x:v>97544</x:v>
      </x:c>
      <x:c r="AM215" t="str">
        <x:v>Fully allotted in R1; R2 opportunity depends on upgrade/non-joining</x:v>
      </x:c>
    </x:row>
    <x:row r="216">
      <x:c r="A216" t="str">
        <x:v>Maharashtra</x:v>
      </x:c>
      <x:c r="B216" t="str">
        <x:v>All India except Central University</x:v>
      </x:c>
      <x:c r="C216" t="str">
        <x:v>904357</x:v>
      </x:c>
      <x:c r="D216" t="str">
        <x:v>ESIC MEDICAL COLLEGE AND HOSPITAL, ANDHERI, CENTRAL ROAD, MIDC, ANDHERI (EAST) MUMBAI</x:v>
      </x:c>
      <x:c r="E216" t="str">
        <x:v>MH/021/G/1</x:v>
      </x:c>
      <x:c r="F216" t="str">
        <x:v>Government</x:v>
      </x:c>
      <x:c r="G216" t="n">
        <x:v>50</x:v>
      </x:c>
      <x:c r="H216" t="n">
        <x:v>100</x:v>
      </x:c>
      <x:c r="I216" t="str">
        <x:v>High-confidence fuzzy</x:v>
      </x:c>
      <x:c r="J216" t="n">
        <x:v>32</x:v>
      </x:c>
      <x:c r="K216" t="n">
        <x:v>31</x:v>
      </x:c>
      <x:c r="L216" t="n">
        <x:f>J216-K216</x:f>
        <x:v>1</x:v>
      </x:c>
      <x:c r="M216" s="20" t="n">
        <x:f>IFERROR(K216/J216,0)</x:f>
        <x:v>0.96875</x:v>
      </x:c>
      <x:c r="N216" t="n">
        <x:v>32</x:v>
      </x:c>
      <x:c r="O216" t="n">
        <x:v>31</x:v>
      </x:c>
      <x:c r="P216" t="n">
        <x:f>N216-O216</x:f>
        <x:v>1</x:v>
      </x:c>
      <x:c r="Q216" t="n">
        <x:v>0</x:v>
      </x:c>
      <x:c r="R216" t="n">
        <x:v>0</x:v>
      </x:c>
      <x:c r="S216" t="n">
        <x:f>Q216-R216</x:f>
        <x:v>0</x:v>
      </x:c>
      <x:c r="T216" t="n">
        <x:v>7</x:v>
      </x:c>
      <x:c r="U216" t="n">
        <x:v>7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f>IF(AND(ISNUMBER(G216),I216&lt;&gt;"Excluded INI"),MAX(0,G216-J216),"")</x:f>
        <x:v>18</x:v>
      </x:c>
      <x:c r="AC216" t="n">
        <x:v>27926</x:v>
      </x:c>
      <x:c r="AD216" t="n">
        <x:v>37871</x:v>
      </x:c>
      <x:c r="AE216" t="n">
        <x:v>32119</x:v>
      </x:c>
      <x:c r="AF216" t="n">
        <x:v>39990</x:v>
      </x:c>
      <x:c r="AG216" t="n">
        <x:v>31083</x:v>
      </x:c>
      <x:c r="AH216" t="n">
        <x:v>40477</x:v>
      </x:c>
      <x:c r="AI216" t="n">
        <x:v>148300</x:v>
      </x:c>
      <x:c r="AJ216" t="n">
        <x:v>185808</x:v>
      </x:c>
      <x:c r="AK216" t="n">
        <x:v>182042</x:v>
      </x:c>
      <x:c r="AL216" t="n">
        <x:v>281146</x:v>
      </x:c>
      <x:c r="AM216" t="str">
        <x:v>R1 regular-central gap visible; verify in official R2 matrix</x:v>
      </x:c>
    </x:row>
    <x:row r="217">
      <x:c r="A217" t="str">
        <x:v>Maharashtra</x:v>
      </x:c>
      <x:c r="B217" t="str">
        <x:v>All India except Central University</x:v>
      </x:c>
      <x:c r="C217" t="str">
        <x:v>200497</x:v>
      </x:c>
      <x:c r="D217" t="str">
        <x:v>Government Medical College &amp; Hospital, Baramati, Plot No P107 MIDC area Opposite Women Hospital Baramati Taluka Baramati District Pune</x:v>
      </x:c>
      <x:c r="E217" t="str">
        <x:v>MH/022/G/1</x:v>
      </x:c>
      <x:c r="F217" t="str">
        <x:v>Government</x:v>
      </x:c>
      <x:c r="G217" t="n">
        <x:v>100</x:v>
      </x:c>
      <x:c r="H217" t="n">
        <x:v>100</x:v>
      </x:c>
      <x:c r="I217" t="str">
        <x:v>High-confidence fuzzy</x:v>
      </x:c>
      <x:c r="J217" t="n">
        <x:v>15</x:v>
      </x:c>
      <x:c r="K217" t="n">
        <x:v>15</x:v>
      </x:c>
      <x:c r="L217" t="n">
        <x:f>J217-K217</x:f>
        <x:v>0</x:v>
      </x:c>
      <x:c r="M217" s="20" t="n">
        <x:f>IFERROR(K217/J217,0)</x:f>
        <x:v>1</x:v>
      </x:c>
      <x:c r="N217" t="n">
        <x:v>15</x:v>
      </x:c>
      <x:c r="O217" t="n">
        <x:v>15</x:v>
      </x:c>
      <x:c r="P217" t="n">
        <x:f>N217-O217</x:f>
        <x:v>0</x:v>
      </x:c>
      <x:c r="Q217" t="n">
        <x:v>0</x:v>
      </x:c>
      <x:c r="R217" t="n">
        <x:v>0</x:v>
      </x:c>
      <x:c r="S217" t="n">
        <x:f>Q217-R217</x:f>
        <x:v>0</x:v>
      </x:c>
      <x:c r="T217" t="n">
        <x:v>15</x:v>
      </x:c>
      <x:c r="U217" t="n">
        <x:v>15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f>IF(AND(ISNUMBER(G217),I217&lt;&gt;"Excluded INI"),MAX(0,G217-J217),"")</x:f>
        <x:v>85</x:v>
      </x:c>
      <x:c r="AC217" t="n">
        <x:v>7206</x:v>
      </x:c>
      <x:c r="AD217" t="n">
        <x:v>7805</x:v>
      </x:c>
      <x:c r="AE217" t="n">
        <x:v>11036</x:v>
      </x:c>
      <x:c r="AF217" t="n">
        <x:v>11391</x:v>
      </x:c>
      <x:c r="AG217" t="n">
        <x:v>12686</x:v>
      </x:c>
      <x:c r="AH217" t="n">
        <x:v>13574</x:v>
      </x:c>
      <x:c r="AI217" t="n">
        <x:v>56016</x:v>
      </x:c>
      <x:c r="AJ217" t="n">
        <x:v>59428</x:v>
      </x:c>
      <x:c r="AK217" t="n">
        <x:v>64851</x:v>
      </x:c>
      <x:c r="AL217" t="n">
        <x:v>64851</x:v>
      </x:c>
      <x:c r="AM217" t="str">
        <x:v>Fully allotted in R1; R2 opportunity depends on upgrade/non-joining</x:v>
      </x:c>
    </x:row>
    <x:row r="218">
      <x:c r="A218" t="str">
        <x:v>Maharashtra</x:v>
      </x:c>
      <x:c r="B218" t="str">
        <x:v>All India except Central University</x:v>
      </x:c>
      <x:c r="C218" t="str">
        <x:v>902828</x:v>
      </x:c>
      <x:c r="D218" t="str">
        <x:v>Government Medical College L.T. Marg, Near L.T. Marg Police Station, Mumbai - 400001, Gokuldas Tejpal Hospital Premises L T Marg Near L T Marg Police Station Near Crawford Market Mumbai</x:v>
      </x:c>
      <x:c r="E218" t="str">
        <x:v>MH/024/G/1</x:v>
      </x:c>
      <x:c r="F218" t="str">
        <x:v>Government</x:v>
      </x:c>
      <x:c r="G218" t="n">
        <x:v>50</x:v>
      </x:c>
      <x:c r="H218" t="n">
        <x:v>100</x:v>
      </x:c>
      <x:c r="I218" t="str">
        <x:v>High-confidence fuzzy</x:v>
      </x:c>
      <x:c r="J218" t="n">
        <x:v>8</x:v>
      </x:c>
      <x:c r="K218" t="n">
        <x:v>8</x:v>
      </x:c>
      <x:c r="L218" t="n">
        <x:f>J218-K218</x:f>
        <x:v>0</x:v>
      </x:c>
      <x:c r="M218" s="20" t="n">
        <x:f>IFERROR(K218/J218,0)</x:f>
        <x:v>1</x:v>
      </x:c>
      <x:c r="N218" t="n">
        <x:v>8</x:v>
      </x:c>
      <x:c r="O218" t="n">
        <x:v>8</x:v>
      </x:c>
      <x:c r="P218" t="n">
        <x:f>N218-O218</x:f>
        <x:v>0</x:v>
      </x:c>
      <x:c r="Q218" t="n">
        <x:v>0</x:v>
      </x:c>
      <x:c r="R218" t="n">
        <x:v>0</x:v>
      </x:c>
      <x:c r="S218" t="n">
        <x:f>Q218-R218</x:f>
        <x:v>0</x:v>
      </x:c>
      <x:c r="T218" t="n">
        <x:v>8</x:v>
      </x:c>
      <x:c r="U218" t="n">
        <x:v>8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f>IF(AND(ISNUMBER(G218),I218&lt;&gt;"Excluded INI"),MAX(0,G218-J218),"")</x:f>
        <x:v>42</x:v>
      </x:c>
      <x:c r="AC218" t="n">
        <x:v>4926</x:v>
      </x:c>
      <x:c r="AD218" t="n">
        <x:v>5230</x:v>
      </x:c>
      <x:c r="AE218" t="n">
        <x:v>7492</x:v>
      </x:c>
      <x:c r="AF218" t="n">
        <x:v>7507</x:v>
      </x:c>
      <x:c r="AG218"/>
      <x:c r="AH218"/>
      <x:c r="AI218"/>
      <x:c r="AJ218"/>
      <x:c r="AK218"/>
      <x:c r="AL218"/>
      <x:c r="AM218" t="str">
        <x:v>Fully allotted in R1; R2 opportunity depends on upgrade/non-joining</x:v>
      </x:c>
    </x:row>
    <x:row r="219">
      <x:c r="A219" t="str">
        <x:v>Maharashtra</x:v>
      </x:c>
      <x:c r="B219" t="str">
        <x:v>All India except Central University</x:v>
      </x:c>
      <x:c r="C219" t="str">
        <x:v>200210</x:v>
      </x:c>
      <x:c r="D219" t="str">
        <x:v>Government Medical College, Akola, Collector Office Road, Near Ashok Watika, Akola. State Maharashtra. Pin 444001</x:v>
      </x:c>
      <x:c r="E219" t="str">
        <x:v>MH/025/G/1</x:v>
      </x:c>
      <x:c r="F219" t="str">
        <x:v>Government</x:v>
      </x:c>
      <x:c r="G219" t="n">
        <x:v>200</x:v>
      </x:c>
      <x:c r="H219" t="n">
        <x:v>100</x:v>
      </x:c>
      <x:c r="I219" t="str">
        <x:v>High-confidence fuzzy</x:v>
      </x:c>
      <x:c r="J219" t="n">
        <x:v>30</x:v>
      </x:c>
      <x:c r="K219" t="n">
        <x:v>30</x:v>
      </x:c>
      <x:c r="L219" t="n">
        <x:f>J219-K219</x:f>
        <x:v>0</x:v>
      </x:c>
      <x:c r="M219" s="20" t="n">
        <x:f>IFERROR(K219/J219,0)</x:f>
        <x:v>1</x:v>
      </x:c>
      <x:c r="N219" t="n">
        <x:v>30</x:v>
      </x:c>
      <x:c r="O219" t="n">
        <x:v>30</x:v>
      </x:c>
      <x:c r="P219" t="n">
        <x:f>N219-O219</x:f>
        <x:v>0</x:v>
      </x:c>
      <x:c r="Q219" t="n">
        <x:v>0</x:v>
      </x:c>
      <x:c r="R219" t="n">
        <x:v>0</x:v>
      </x:c>
      <x:c r="S219" t="n">
        <x:f>Q219-R219</x:f>
        <x:v>0</x:v>
      </x:c>
      <x:c r="T219" t="n">
        <x:v>30</x:v>
      </x:c>
      <x:c r="U219" t="n">
        <x:v>30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f>IF(AND(ISNUMBER(G219),I219&lt;&gt;"Excluded INI"),MAX(0,G219-J219),"")</x:f>
        <x:v>170</x:v>
      </x:c>
      <x:c r="AC219" t="n">
        <x:v>13218</x:v>
      </x:c>
      <x:c r="AD219" t="n">
        <x:v>13994</x:v>
      </x:c>
      <x:c r="AE219" t="n">
        <x:v>14616</x:v>
      </x:c>
      <x:c r="AF219" t="n">
        <x:v>15099</x:v>
      </x:c>
      <x:c r="AG219" t="n">
        <x:v>17092</x:v>
      </x:c>
      <x:c r="AH219" t="n">
        <x:v>17412</x:v>
      </x:c>
      <x:c r="AI219" t="n">
        <x:v>68372</x:v>
      </x:c>
      <x:c r="AJ219" t="n">
        <x:v>72318</x:v>
      </x:c>
      <x:c r="AK219" t="n">
        <x:v>97276</x:v>
      </x:c>
      <x:c r="AL219" t="n">
        <x:v>98091</x:v>
      </x:c>
      <x:c r="AM219" t="str">
        <x:v>Fully allotted in R1; R2 opportunity depends on upgrade/non-joining</x:v>
      </x:c>
    </x:row>
    <x:row r="220">
      <x:c r="A220" t="str">
        <x:v>Maharashtra</x:v>
      </x:c>
      <x:c r="B220" t="str">
        <x:v>All India except Central University</x:v>
      </x:c>
      <x:c r="C220" t="str">
        <x:v>200579</x:v>
      </x:c>
      <x:c r="D220" t="str">
        <x:v>Government Medical College, Alibag, Government Medical College, District Civil Hospital area, Beach Road, Limaye wadi, Alibag, Dist. Rai</x:v>
      </x:c>
      <x:c r="E220" t="str">
        <x:v>MH/026/G/1</x:v>
      </x:c>
      <x:c r="F220" t="str">
        <x:v>Government</x:v>
      </x:c>
      <x:c r="G220" t="n">
        <x:v>100</x:v>
      </x:c>
      <x:c r="H220" t="n">
        <x:v>100</x:v>
      </x:c>
      <x:c r="I220" t="str">
        <x:v>High-confidence fuzzy</x:v>
      </x:c>
      <x:c r="J220" t="n">
        <x:v>15</x:v>
      </x:c>
      <x:c r="K220" t="n">
        <x:v>15</x:v>
      </x:c>
      <x:c r="L220" t="n">
        <x:f>J220-K220</x:f>
        <x:v>0</x:v>
      </x:c>
      <x:c r="M220" s="20" t="n">
        <x:f>IFERROR(K220/J220,0)</x:f>
        <x:v>1</x:v>
      </x:c>
      <x:c r="N220" t="n">
        <x:v>15</x:v>
      </x:c>
      <x:c r="O220" t="n">
        <x:v>15</x:v>
      </x:c>
      <x:c r="P220" t="n">
        <x:f>N220-O220</x:f>
        <x:v>0</x:v>
      </x:c>
      <x:c r="Q220" t="n">
        <x:v>0</x:v>
      </x:c>
      <x:c r="R220" t="n">
        <x:v>0</x:v>
      </x:c>
      <x:c r="S220" t="n">
        <x:f>Q220-R220</x:f>
        <x:v>0</x:v>
      </x:c>
      <x:c r="T220" t="n">
        <x:v>15</x:v>
      </x:c>
      <x:c r="U220" t="n">
        <x:v>15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f>IF(AND(ISNUMBER(G220),I220&lt;&gt;"Excluded INI"),MAX(0,G220-J220),"")</x:f>
        <x:v>85</x:v>
      </x:c>
      <x:c r="AC220" t="n">
        <x:v>13657</x:v>
      </x:c>
      <x:c r="AD220" t="n">
        <x:v>14395</x:v>
      </x:c>
      <x:c r="AE220" t="n">
        <x:v>17268</x:v>
      </x:c>
      <x:c r="AF220" t="n">
        <x:v>17561</x:v>
      </x:c>
      <x:c r="AG220" t="n">
        <x:v>19752</x:v>
      </x:c>
      <x:c r="AH220" t="n">
        <x:v>20120</x:v>
      </x:c>
      <x:c r="AI220" t="n">
        <x:v>69704</x:v>
      </x:c>
      <x:c r="AJ220" t="n">
        <x:v>70284</x:v>
      </x:c>
      <x:c r="AK220" t="n">
        <x:v>87720</x:v>
      </x:c>
      <x:c r="AL220" t="n">
        <x:v>87720</x:v>
      </x:c>
      <x:c r="AM220" t="str">
        <x:v>Fully allotted in R1; R2 opportunity depends on upgrade/non-joining</x:v>
      </x:c>
    </x:row>
    <x:row r="221">
      <x:c r="A221" t="str">
        <x:v>Maharashtra</x:v>
      </x:c>
      <x:c r="B221" t="str">
        <x:v>All India except Central University</x:v>
      </x:c>
      <x:c r="C221" t="str">
        <x:v>903357</x:v>
      </x:c>
      <x:c r="D221" t="str">
        <x:v>Government Medical College, Ambernath, Survey No.128, Jambhulgaon Road, Ambernath West, District Thane</x:v>
      </x:c>
      <x:c r="E221" t="str">
        <x:v>MH/027/G/1</x:v>
      </x:c>
      <x:c r="F221" t="str">
        <x:v>Government</x:v>
      </x:c>
      <x:c r="G221" t="n">
        <x:v>100</x:v>
      </x:c>
      <x:c r="H221" t="n">
        <x:v>100</x:v>
      </x:c>
      <x:c r="I221" t="str">
        <x:v>High-confidence fuzzy</x:v>
      </x:c>
      <x:c r="J221" t="n">
        <x:v>15</x:v>
      </x:c>
      <x:c r="K221" t="n">
        <x:v>15</x:v>
      </x:c>
      <x:c r="L221" t="n">
        <x:f>J221-K221</x:f>
        <x:v>0</x:v>
      </x:c>
      <x:c r="M221" s="20" t="n">
        <x:f>IFERROR(K221/J221,0)</x:f>
        <x:v>1</x:v>
      </x:c>
      <x:c r="N221" t="n">
        <x:v>15</x:v>
      </x:c>
      <x:c r="O221" t="n">
        <x:v>15</x:v>
      </x:c>
      <x:c r="P221" t="n">
        <x:f>N221-O221</x:f>
        <x:v>0</x:v>
      </x:c>
      <x:c r="Q221" t="n">
        <x:v>0</x:v>
      </x:c>
      <x:c r="R221" t="n">
        <x:v>0</x:v>
      </x:c>
      <x:c r="S221" t="n">
        <x:f>Q221-R221</x:f>
        <x:v>0</x:v>
      </x:c>
      <x:c r="T221" t="n">
        <x:v>15</x:v>
      </x:c>
      <x:c r="U221" t="n">
        <x:v>15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f>IF(AND(ISNUMBER(G221),I221&lt;&gt;"Excluded INI"),MAX(0,G221-J221),"")</x:f>
        <x:v>85</x:v>
      </x:c>
      <x:c r="AC221" t="n">
        <x:v>14326</x:v>
      </x:c>
      <x:c r="AD221" t="n">
        <x:v>15669</x:v>
      </x:c>
      <x:c r="AE221" t="n">
        <x:v>16384</x:v>
      </x:c>
      <x:c r="AF221" t="n">
        <x:v>16474</x:v>
      </x:c>
      <x:c r="AG221" t="n">
        <x:v>16736</x:v>
      </x:c>
      <x:c r="AH221" t="n">
        <x:v>16736</x:v>
      </x:c>
      <x:c r="AI221" t="n">
        <x:v>78382</x:v>
      </x:c>
      <x:c r="AJ221" t="n">
        <x:v>78480</x:v>
      </x:c>
      <x:c r="AK221" t="n">
        <x:v>120581</x:v>
      </x:c>
      <x:c r="AL221" t="n">
        <x:v>120581</x:v>
      </x:c>
      <x:c r="AM221" t="str">
        <x:v>Fully allotted in R1; R2 opportunity depends on upgrade/non-joining</x:v>
      </x:c>
    </x:row>
    <x:row r="222">
      <x:c r="A222" t="str">
        <x:v>Maharashtra</x:v>
      </x:c>
      <x:c r="B222" t="str">
        <x:v>All India except Central University</x:v>
      </x:c>
      <x:c r="C222" t="str">
        <x:v>903360</x:v>
      </x:c>
      <x:c r="D222" t="str">
        <x:v>Government Medical College, Amravati, Government Medical College District Women Hospital Campus Daffrin Shrikrishna Peth Amravati</x:v>
      </x:c>
      <x:c r="E222" t="str">
        <x:v>MH/028/G/1</x:v>
      </x:c>
      <x:c r="F222" t="str">
        <x:v>Government</x:v>
      </x:c>
      <x:c r="G222" t="n">
        <x:v>100</x:v>
      </x:c>
      <x:c r="H222" t="n">
        <x:v>100</x:v>
      </x:c>
      <x:c r="I222" t="str">
        <x:v>High-confidence fuzzy</x:v>
      </x:c>
      <x:c r="J222" t="n">
        <x:v>15</x:v>
      </x:c>
      <x:c r="K222" t="n">
        <x:v>15</x:v>
      </x:c>
      <x:c r="L222" t="n">
        <x:f>J222-K222</x:f>
        <x:v>0</x:v>
      </x:c>
      <x:c r="M222" s="20" t="n">
        <x:f>IFERROR(K222/J222,0)</x:f>
        <x:v>1</x:v>
      </x:c>
      <x:c r="N222" t="n">
        <x:v>15</x:v>
      </x:c>
      <x:c r="O222" t="n">
        <x:v>15</x:v>
      </x:c>
      <x:c r="P222" t="n">
        <x:f>N222-O222</x:f>
        <x:v>0</x:v>
      </x:c>
      <x:c r="Q222" t="n">
        <x:v>0</x:v>
      </x:c>
      <x:c r="R222" t="n">
        <x:v>0</x:v>
      </x:c>
      <x:c r="S222" t="n">
        <x:f>Q222-R222</x:f>
        <x:v>0</x:v>
      </x:c>
      <x:c r="T222" t="n">
        <x:v>15</x:v>
      </x:c>
      <x:c r="U222" t="n">
        <x:v>15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f>IF(AND(ISNUMBER(G222),I222&lt;&gt;"Excluded INI"),MAX(0,G222-J222),"")</x:f>
        <x:v>85</x:v>
      </x:c>
      <x:c r="AC222" t="n">
        <x:v>15094</x:v>
      </x:c>
      <x:c r="AD222" t="n">
        <x:v>15208</x:v>
      </x:c>
      <x:c r="AE222" t="n">
        <x:v>16615</x:v>
      </x:c>
      <x:c r="AF222" t="n">
        <x:v>17272</x:v>
      </x:c>
      <x:c r="AG222" t="n">
        <x:v>17755</x:v>
      </x:c>
      <x:c r="AH222" t="n">
        <x:v>17755</x:v>
      </x:c>
      <x:c r="AI222" t="n">
        <x:v>65809</x:v>
      </x:c>
      <x:c r="AJ222" t="n">
        <x:v>69437</x:v>
      </x:c>
      <x:c r="AK222" t="n">
        <x:v>114652</x:v>
      </x:c>
      <x:c r="AL222" t="n">
        <x:v>115168</x:v>
      </x:c>
      <x:c r="AM222" t="str">
        <x:v>Fully allotted in R1; R2 opportunity depends on upgrade/non-joining</x:v>
      </x:c>
    </x:row>
    <x:row r="223">
      <x:c r="A223" t="str">
        <x:v>Maharashtra</x:v>
      </x:c>
      <x:c r="B223" t="str">
        <x:v>All India except Central University</x:v>
      </x:c>
      <x:c r="C223" t="str">
        <x:v>200218</x:v>
      </x:c>
      <x:c r="D223" t="str">
        <x:v>Government Medical College, Aurangabad, Government Medical College, Aurangabad, Jubli Park, Panchakki Road, Aurangabad (M.S.).</x:v>
      </x:c>
      <x:c r="E223" t="str">
        <x:v>MH/029/G/1</x:v>
      </x:c>
      <x:c r="F223" t="str">
        <x:v>Government</x:v>
      </x:c>
      <x:c r="G223" t="n">
        <x:v>200</x:v>
      </x:c>
      <x:c r="H223" t="n">
        <x:v>100</x:v>
      </x:c>
      <x:c r="I223" t="str">
        <x:v>High-confidence fuzzy</x:v>
      </x:c>
      <x:c r="J223" t="n">
        <x:v>30</x:v>
      </x:c>
      <x:c r="K223" t="n">
        <x:v>30</x:v>
      </x:c>
      <x:c r="L223" t="n">
        <x:f>J223-K223</x:f>
        <x:v>0</x:v>
      </x:c>
      <x:c r="M223" s="20" t="n">
        <x:f>IFERROR(K223/J223,0)</x:f>
        <x:v>1</x:v>
      </x:c>
      <x:c r="N223" t="n">
        <x:v>30</x:v>
      </x:c>
      <x:c r="O223" t="n">
        <x:v>30</x:v>
      </x:c>
      <x:c r="P223" t="n">
        <x:f>N223-O223</x:f>
        <x:v>0</x:v>
      </x:c>
      <x:c r="Q223" t="n">
        <x:v>0</x:v>
      </x:c>
      <x:c r="R223" t="n">
        <x:v>0</x:v>
      </x:c>
      <x:c r="S223" t="n">
        <x:f>Q223-R223</x:f>
        <x:v>0</x:v>
      </x:c>
      <x:c r="T223" t="n">
        <x:v>30</x:v>
      </x:c>
      <x:c r="U223" t="n">
        <x:v>30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f>IF(AND(ISNUMBER(G223),I223&lt;&gt;"Excluded INI"),MAX(0,G223-J223),"")</x:f>
        <x:v>170</x:v>
      </x:c>
      <x:c r="AC223" t="n">
        <x:v>6011</x:v>
      </x:c>
      <x:c r="AD223" t="n">
        <x:v>6928</x:v>
      </x:c>
      <x:c r="AE223" t="n">
        <x:v>8320</x:v>
      </x:c>
      <x:c r="AF223" t="n">
        <x:v>9734</x:v>
      </x:c>
      <x:c r="AG223" t="n">
        <x:v>11336</x:v>
      </x:c>
      <x:c r="AH223" t="n">
        <x:v>12044</x:v>
      </x:c>
      <x:c r="AI223" t="n">
        <x:v>44219</x:v>
      </x:c>
      <x:c r="AJ223" t="n">
        <x:v>52370</x:v>
      </x:c>
      <x:c r="AK223" t="n">
        <x:v>72390</x:v>
      </x:c>
      <x:c r="AL223" t="n">
        <x:v>72501</x:v>
      </x:c>
      <x:c r="AM223" t="str">
        <x:v>Fully allotted in R1; R2 opportunity depends on upgrade/non-joining</x:v>
      </x:c>
    </x:row>
    <x:row r="224">
      <x:c r="A224" t="str">
        <x:v>Maharashtra</x:v>
      </x:c>
      <x:c r="B224" t="str">
        <x:v>All India except Central University</x:v>
      </x:c>
      <x:c r="C224" t="str">
        <x:v>903359</x:v>
      </x:c>
      <x:c r="D224" t="str">
        <x:v>Government Medical College, Bhandara, District Hospital Campus, Sant Kabir Ward, Bhandara</x:v>
      </x:c>
      <x:c r="E224" t="str">
        <x:v>MH/030/G/1</x:v>
      </x:c>
      <x:c r="F224" t="str">
        <x:v>Government</x:v>
      </x:c>
      <x:c r="G224" t="n">
        <x:v>100</x:v>
      </x:c>
      <x:c r="H224" t="n">
        <x:v>100</x:v>
      </x:c>
      <x:c r="I224" t="str">
        <x:v>High-confidence fuzzy</x:v>
      </x:c>
      <x:c r="J224" t="n">
        <x:v>15</x:v>
      </x:c>
      <x:c r="K224" t="n">
        <x:v>15</x:v>
      </x:c>
      <x:c r="L224" t="n">
        <x:f>J224-K224</x:f>
        <x:v>0</x:v>
      </x:c>
      <x:c r="M224" s="20" t="n">
        <x:f>IFERROR(K224/J224,0)</x:f>
        <x:v>1</x:v>
      </x:c>
      <x:c r="N224" t="n">
        <x:v>15</x:v>
      </x:c>
      <x:c r="O224" t="n">
        <x:v>15</x:v>
      </x:c>
      <x:c r="P224" t="n">
        <x:f>N224-O224</x:f>
        <x:v>0</x:v>
      </x:c>
      <x:c r="Q224" t="n">
        <x:v>0</x:v>
      </x:c>
      <x:c r="R224" t="n">
        <x:v>0</x:v>
      </x:c>
      <x:c r="S224" t="n">
        <x:f>Q224-R224</x:f>
        <x:v>0</x:v>
      </x:c>
      <x:c r="T224" t="n">
        <x:v>15</x:v>
      </x:c>
      <x:c r="U224" t="n">
        <x:v>15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f>IF(AND(ISNUMBER(G224),I224&lt;&gt;"Excluded INI"),MAX(0,G224-J224),"")</x:f>
        <x:v>85</x:v>
      </x:c>
      <x:c r="AC224" t="n">
        <x:v>18305</x:v>
      </x:c>
      <x:c r="AD224" t="n">
        <x:v>18616</x:v>
      </x:c>
      <x:c r="AE224" t="n">
        <x:v>19278</x:v>
      </x:c>
      <x:c r="AF224" t="n">
        <x:v>19352</x:v>
      </x:c>
      <x:c r="AG224" t="n">
        <x:v>21903</x:v>
      </x:c>
      <x:c r="AH224" t="n">
        <x:v>21903</x:v>
      </x:c>
      <x:c r="AI224" t="n">
        <x:v>90731</x:v>
      </x:c>
      <x:c r="AJ224" t="n">
        <x:v>92225</x:v>
      </x:c>
      <x:c r="AK224" t="n">
        <x:v>117072</x:v>
      </x:c>
      <x:c r="AL224" t="n">
        <x:v>117072</x:v>
      </x:c>
      <x:c r="AM224" t="str">
        <x:v>Fully allotted in R1; R2 opportunity depends on upgrade/non-joining</x:v>
      </x:c>
    </x:row>
    <x:row r="225">
      <x:c r="A225" t="str">
        <x:v>Maharashtra</x:v>
      </x:c>
      <x:c r="B225" t="str">
        <x:v>All India except Central University</x:v>
      </x:c>
      <x:c r="C225" t="str">
        <x:v>903356</x:v>
      </x:c>
      <x:c r="D225" t="str">
        <x:v>Government Medical College, Buldhana, DISTRICT WOMEN HOSPITAL, T.B. HOSPITAL CAMPUS, DHAD ROAD, BULDHANA.</x:v>
      </x:c>
      <x:c r="E225" t="str">
        <x:v>MH/031/G/1</x:v>
      </x:c>
      <x:c r="F225" t="str">
        <x:v>Government</x:v>
      </x:c>
      <x:c r="G225" t="n">
        <x:v>100</x:v>
      </x:c>
      <x:c r="H225" t="n">
        <x:v>100</x:v>
      </x:c>
      <x:c r="I225" t="str">
        <x:v>High-confidence fuzzy</x:v>
      </x:c>
      <x:c r="J225" t="n">
        <x:v>15</x:v>
      </x:c>
      <x:c r="K225" t="n">
        <x:v>15</x:v>
      </x:c>
      <x:c r="L225" t="n">
        <x:f>J225-K225</x:f>
        <x:v>0</x:v>
      </x:c>
      <x:c r="M225" s="20" t="n">
        <x:f>IFERROR(K225/J225,0)</x:f>
        <x:v>1</x:v>
      </x:c>
      <x:c r="N225" t="n">
        <x:v>15</x:v>
      </x:c>
      <x:c r="O225" t="n">
        <x:v>15</x:v>
      </x:c>
      <x:c r="P225" t="n">
        <x:f>N225-O225</x:f>
        <x:v>0</x:v>
      </x:c>
      <x:c r="Q225" t="n">
        <x:v>0</x:v>
      </x:c>
      <x:c r="R225" t="n">
        <x:v>0</x:v>
      </x:c>
      <x:c r="S225" t="n">
        <x:f>Q225-R225</x:f>
        <x:v>0</x:v>
      </x:c>
      <x:c r="T225" t="n">
        <x:v>15</x:v>
      </x:c>
      <x:c r="U225" t="n">
        <x:v>15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f>IF(AND(ISNUMBER(G225),I225&lt;&gt;"Excluded INI"),MAX(0,G225-J225),"")</x:f>
        <x:v>85</x:v>
      </x:c>
      <x:c r="AC225" t="n">
        <x:v>18198</x:v>
      </x:c>
      <x:c r="AD225" t="n">
        <x:v>18456</x:v>
      </x:c>
      <x:c r="AE225" t="n">
        <x:v>18611</x:v>
      </x:c>
      <x:c r="AF225" t="n">
        <x:v>19183</x:v>
      </x:c>
      <x:c r="AG225" t="n">
        <x:v>21652</x:v>
      </x:c>
      <x:c r="AH225" t="n">
        <x:v>21652</x:v>
      </x:c>
      <x:c r="AI225" t="n">
        <x:v>84294</x:v>
      </x:c>
      <x:c r="AJ225" t="n">
        <x:v>85509</x:v>
      </x:c>
      <x:c r="AK225" t="n">
        <x:v>117206</x:v>
      </x:c>
      <x:c r="AL225" t="n">
        <x:v>117206</x:v>
      </x:c>
      <x:c r="AM225" t="str">
        <x:v>Fully allotted in R1; R2 opportunity depends on upgrade/non-joining</x:v>
      </x:c>
    </x:row>
    <x:row r="226">
      <x:c r="A226" t="str">
        <x:v>Maharashtra</x:v>
      </x:c>
      <x:c r="B226" t="str">
        <x:v>All India except Central University</x:v>
      </x:c>
      <x:c r="C226" t="str">
        <x:v>200216</x:v>
      </x:c>
      <x:c r="D226" t="str">
        <x:v>Government Medical College, Chandrapur, KMSK GOVT. MEDICAL COLLEGE CHANDRAPUR, RAM NAGAR, CHANDRAPUR</x:v>
      </x:c>
      <x:c r="E226" t="str">
        <x:v>MH/032/G/1</x:v>
      </x:c>
      <x:c r="F226" t="str">
        <x:v>Government</x:v>
      </x:c>
      <x:c r="G226" t="n">
        <x:v>150</x:v>
      </x:c>
      <x:c r="H226" t="n">
        <x:v>100</x:v>
      </x:c>
      <x:c r="I226" t="str">
        <x:v>High-confidence fuzzy</x:v>
      </x:c>
      <x:c r="J226" t="n">
        <x:v>22</x:v>
      </x:c>
      <x:c r="K226" t="n">
        <x:v>22</x:v>
      </x:c>
      <x:c r="L226" t="n">
        <x:f>J226-K226</x:f>
        <x:v>0</x:v>
      </x:c>
      <x:c r="M226" s="20" t="n">
        <x:f>IFERROR(K226/J226,0)</x:f>
        <x:v>1</x:v>
      </x:c>
      <x:c r="N226" t="n">
        <x:v>22</x:v>
      </x:c>
      <x:c r="O226" t="n">
        <x:v>22</x:v>
      </x:c>
      <x:c r="P226" t="n">
        <x:f>N226-O226</x:f>
        <x:v>0</x:v>
      </x:c>
      <x:c r="Q226" t="n">
        <x:v>0</x:v>
      </x:c>
      <x:c r="R226" t="n">
        <x:v>0</x:v>
      </x:c>
      <x:c r="S226" t="n">
        <x:f>Q226-R226</x:f>
        <x:v>0</x:v>
      </x:c>
      <x:c r="T226" t="n">
        <x:v>22</x:v>
      </x:c>
      <x:c r="U226" t="n">
        <x:v>22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f>IF(AND(ISNUMBER(G226),I226&lt;&gt;"Excluded INI"),MAX(0,G226-J226),"")</x:f>
        <x:v>128</x:v>
      </x:c>
      <x:c r="AC226" t="n">
        <x:v>14672</x:v>
      </x:c>
      <x:c r="AD226" t="n">
        <x:v>15048</x:v>
      </x:c>
      <x:c r="AE226" t="n">
        <x:v>15887</x:v>
      </x:c>
      <x:c r="AF226" t="n">
        <x:v>16378</x:v>
      </x:c>
      <x:c r="AG226" t="n">
        <x:v>19110</x:v>
      </x:c>
      <x:c r="AH226" t="n">
        <x:v>19175</x:v>
      </x:c>
      <x:c r="AI226" t="n">
        <x:v>67622</x:v>
      </x:c>
      <x:c r="AJ226" t="n">
        <x:v>69776</x:v>
      </x:c>
      <x:c r="AK226" t="n">
        <x:v>109182</x:v>
      </x:c>
      <x:c r="AL226" t="n">
        <x:v>109487</x:v>
      </x:c>
      <x:c r="AM226" t="str">
        <x:v>Fully allotted in R1; R2 opportunity depends on upgrade/non-joining</x:v>
      </x:c>
    </x:row>
    <x:row r="227">
      <x:c r="A227" t="str">
        <x:v>Maharashtra</x:v>
      </x:c>
      <x:c r="B227" t="str">
        <x:v>All India except Central University</x:v>
      </x:c>
      <x:c r="C227" t="str">
        <x:v>903363</x:v>
      </x:c>
      <x:c r="D227" t="str">
        <x:v>Government Medical College, Gadchiroli, Government Medical College, Mul road complex, Gadchiroli</x:v>
      </x:c>
      <x:c r="E227" t="str">
        <x:v>MH/033/G/1</x:v>
      </x:c>
      <x:c r="F227" t="str">
        <x:v>Government</x:v>
      </x:c>
      <x:c r="G227" t="n">
        <x:v>100</x:v>
      </x:c>
      <x:c r="H227" t="n">
        <x:v>100</x:v>
      </x:c>
      <x:c r="I227" t="str">
        <x:v>High-confidence fuzzy</x:v>
      </x:c>
      <x:c r="J227" t="n">
        <x:v>15</x:v>
      </x:c>
      <x:c r="K227" t="n">
        <x:v>15</x:v>
      </x:c>
      <x:c r="L227" t="n">
        <x:f>J227-K227</x:f>
        <x:v>0</x:v>
      </x:c>
      <x:c r="M227" s="20" t="n">
        <x:f>IFERROR(K227/J227,0)</x:f>
        <x:v>1</x:v>
      </x:c>
      <x:c r="N227" t="n">
        <x:v>15</x:v>
      </x:c>
      <x:c r="O227" t="n">
        <x:v>15</x:v>
      </x:c>
      <x:c r="P227" t="n">
        <x:f>N227-O227</x:f>
        <x:v>0</x:v>
      </x:c>
      <x:c r="Q227" t="n">
        <x:v>0</x:v>
      </x:c>
      <x:c r="R227" t="n">
        <x:v>0</x:v>
      </x:c>
      <x:c r="S227" t="n">
        <x:f>Q227-R227</x:f>
        <x:v>0</x:v>
      </x:c>
      <x:c r="T227" t="n">
        <x:v>15</x:v>
      </x:c>
      <x:c r="U227" t="n">
        <x:v>15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f>IF(AND(ISNUMBER(G227),I227&lt;&gt;"Excluded INI"),MAX(0,G227-J227),"")</x:f>
        <x:v>85</x:v>
      </x:c>
      <x:c r="AC227" t="n">
        <x:v>18084</x:v>
      </x:c>
      <x:c r="AD227" t="n">
        <x:v>19220</x:v>
      </x:c>
      <x:c r="AE227" t="n">
        <x:v>19848</x:v>
      </x:c>
      <x:c r="AF227" t="n">
        <x:v>20057</x:v>
      </x:c>
      <x:c r="AG227" t="n">
        <x:v>22488</x:v>
      </x:c>
      <x:c r="AH227" t="n">
        <x:v>23057</x:v>
      </x:c>
      <x:c r="AI227" t="n">
        <x:v>94713</x:v>
      </x:c>
      <x:c r="AJ227" t="n">
        <x:v>94904</x:v>
      </x:c>
      <x:c r="AK227" t="n">
        <x:v>123137</x:v>
      </x:c>
      <x:c r="AL227" t="n">
        <x:v>123137</x:v>
      </x:c>
      <x:c r="AM227" t="str">
        <x:v>Fully allotted in R1; R2 opportunity depends on upgrade/non-joining</x:v>
      </x:c>
    </x:row>
    <x:row r="228">
      <x:c r="A228" t="str">
        <x:v>Maharashtra</x:v>
      </x:c>
      <x:c r="B228" t="str">
        <x:v>All India except Central University</x:v>
      </x:c>
      <x:c r="C228" t="str">
        <x:v>200209</x:v>
      </x:c>
      <x:c r="D228" t="str">
        <x:v>Government Medical College, Gondia, NEAR NEHRU CHOWK, K.T.S. HOSPITAL CAMPUS, GONDIA.</x:v>
      </x:c>
      <x:c r="E228" t="str">
        <x:v>MH/034/G/1</x:v>
      </x:c>
      <x:c r="F228" t="str">
        <x:v>Government</x:v>
      </x:c>
      <x:c r="G228" t="n">
        <x:v>150</x:v>
      </x:c>
      <x:c r="H228" t="n">
        <x:v>100</x:v>
      </x:c>
      <x:c r="I228" t="str">
        <x:v>High-confidence fuzzy</x:v>
      </x:c>
      <x:c r="J228" t="n">
        <x:v>22</x:v>
      </x:c>
      <x:c r="K228" t="n">
        <x:v>22</x:v>
      </x:c>
      <x:c r="L228" t="n">
        <x:f>J228-K228</x:f>
        <x:v>0</x:v>
      </x:c>
      <x:c r="M228" s="20" t="n">
        <x:f>IFERROR(K228/J228,0)</x:f>
        <x:v>1</x:v>
      </x:c>
      <x:c r="N228" t="n">
        <x:v>22</x:v>
      </x:c>
      <x:c r="O228" t="n">
        <x:v>22</x:v>
      </x:c>
      <x:c r="P228" t="n">
        <x:f>N228-O228</x:f>
        <x:v>0</x:v>
      </x:c>
      <x:c r="Q228" t="n">
        <x:v>0</x:v>
      </x:c>
      <x:c r="R228" t="n">
        <x:v>0</x:v>
      </x:c>
      <x:c r="S228" t="n">
        <x:f>Q228-R228</x:f>
        <x:v>0</x:v>
      </x:c>
      <x:c r="T228" t="n">
        <x:v>22</x:v>
      </x:c>
      <x:c r="U228" t="n">
        <x:v>22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0</x:v>
      </x:c>
      <x:c r="AB228" t="n">
        <x:f>IF(AND(ISNUMBER(G228),I228&lt;&gt;"Excluded INI"),MAX(0,G228-J228),"")</x:f>
        <x:v>128</x:v>
      </x:c>
      <x:c r="AC228" t="n">
        <x:v>16531</x:v>
      </x:c>
      <x:c r="AD228" t="n">
        <x:v>16627</x:v>
      </x:c>
      <x:c r="AE228" t="n">
        <x:v>16764</x:v>
      </x:c>
      <x:c r="AF228" t="n">
        <x:v>16966</x:v>
      </x:c>
      <x:c r="AG228" t="n">
        <x:v>19582</x:v>
      </x:c>
      <x:c r="AH228" t="n">
        <x:v>19638</x:v>
      </x:c>
      <x:c r="AI228" t="n">
        <x:v>81956</x:v>
      </x:c>
      <x:c r="AJ228" t="n">
        <x:v>86899</x:v>
      </x:c>
      <x:c r="AK228" t="n">
        <x:v>111164</x:v>
      </x:c>
      <x:c r="AL228" t="n">
        <x:v>112490</x:v>
      </x:c>
      <x:c r="AM228" t="str">
        <x:v>Fully allotted in R1; R2 opportunity depends on upgrade/non-joining</x:v>
      </x:c>
    </x:row>
    <x:row r="229">
      <x:c r="A229" t="str">
        <x:v>Maharashtra</x:v>
      </x:c>
      <x:c r="B229" t="str">
        <x:v>All India except Central University</x:v>
      </x:c>
      <x:c r="C229" t="str">
        <x:v>903358</x:v>
      </x:c>
      <x:c r="D229" t="str">
        <x:v>Government Medical College, Hingoli, Government Medical College, Washim Road, Balsond, Hingoli</x:v>
      </x:c>
      <x:c r="E229" t="str">
        <x:v>MH/035/G/1</x:v>
      </x:c>
      <x:c r="F229" t="str">
        <x:v>Government</x:v>
      </x:c>
      <x:c r="G229" t="n">
        <x:v>100</x:v>
      </x:c>
      <x:c r="H229" t="n">
        <x:v>100</x:v>
      </x:c>
      <x:c r="I229" t="str">
        <x:v>High-confidence fuzzy</x:v>
      </x:c>
      <x:c r="J229" t="n">
        <x:v>15</x:v>
      </x:c>
      <x:c r="K229" t="n">
        <x:v>15</x:v>
      </x:c>
      <x:c r="L229" t="n">
        <x:f>J229-K229</x:f>
        <x:v>0</x:v>
      </x:c>
      <x:c r="M229" s="20" t="n">
        <x:f>IFERROR(K229/J229,0)</x:f>
        <x:v>1</x:v>
      </x:c>
      <x:c r="N229" t="n">
        <x:v>15</x:v>
      </x:c>
      <x:c r="O229" t="n">
        <x:v>15</x:v>
      </x:c>
      <x:c r="P229" t="n">
        <x:f>N229-O229</x:f>
        <x:v>0</x:v>
      </x:c>
      <x:c r="Q229" t="n">
        <x:v>0</x:v>
      </x:c>
      <x:c r="R229" t="n">
        <x:v>0</x:v>
      </x:c>
      <x:c r="S229" t="n">
        <x:f>Q229-R229</x:f>
        <x:v>0</x:v>
      </x:c>
      <x:c r="T229" t="n">
        <x:v>15</x:v>
      </x:c>
      <x:c r="U229" t="n">
        <x:v>15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f>IF(AND(ISNUMBER(G229),I229&lt;&gt;"Excluded INI"),MAX(0,G229-J229),"")</x:f>
        <x:v>85</x:v>
      </x:c>
      <x:c r="AC229" t="n">
        <x:v>19243</x:v>
      </x:c>
      <x:c r="AD229" t="n">
        <x:v>19381</x:v>
      </x:c>
      <x:c r="AE229" t="n">
        <x:v>19966</x:v>
      </x:c>
      <x:c r="AF229" t="n">
        <x:v>20080</x:v>
      </x:c>
      <x:c r="AG229" t="n">
        <x:v>22890</x:v>
      </x:c>
      <x:c r="AH229" t="n">
        <x:v>22890</x:v>
      </x:c>
      <x:c r="AI229" t="n">
        <x:v>97764</x:v>
      </x:c>
      <x:c r="AJ229" t="n">
        <x:v>98451</x:v>
      </x:c>
      <x:c r="AK229" t="n">
        <x:v>123878</x:v>
      </x:c>
      <x:c r="AL229" t="n">
        <x:v>123878</x:v>
      </x:c>
      <x:c r="AM229" t="str">
        <x:v>Fully allotted in R1; R2 opportunity depends on upgrade/non-joining</x:v>
      </x:c>
    </x:row>
    <x:row r="230">
      <x:c r="A230" t="str">
        <x:v>Maharashtra</x:v>
      </x:c>
      <x:c r="B230" t="str">
        <x:v>All India except Central University</x:v>
      </x:c>
      <x:c r="C230" t="str">
        <x:v>200440</x:v>
      </x:c>
      <x:c r="D230" t="str">
        <x:v>Government Medical College, Jalgaon, GOVERNMENT MEDICAL COLLEGE, JILHA PETH, NEAR MAIN POST OFFICE, JALGAON</x:v>
      </x:c>
      <x:c r="E230" t="str">
        <x:v>MH/036/G/1</x:v>
      </x:c>
      <x:c r="F230" t="str">
        <x:v>Government</x:v>
      </x:c>
      <x:c r="G230" t="n">
        <x:v>150</x:v>
      </x:c>
      <x:c r="H230" t="n">
        <x:v>100</x:v>
      </x:c>
      <x:c r="I230" t="str">
        <x:v>High-confidence fuzzy</x:v>
      </x:c>
      <x:c r="J230" t="n">
        <x:v>22</x:v>
      </x:c>
      <x:c r="K230" t="n">
        <x:v>22</x:v>
      </x:c>
      <x:c r="L230" t="n">
        <x:f>J230-K230</x:f>
        <x:v>0</x:v>
      </x:c>
      <x:c r="M230" s="20" t="n">
        <x:f>IFERROR(K230/J230,0)</x:f>
        <x:v>1</x:v>
      </x:c>
      <x:c r="N230" t="n">
        <x:v>22</x:v>
      </x:c>
      <x:c r="O230" t="n">
        <x:v>22</x:v>
      </x:c>
      <x:c r="P230" t="n">
        <x:f>N230-O230</x:f>
        <x:v>0</x:v>
      </x:c>
      <x:c r="Q230" t="n">
        <x:v>0</x:v>
      </x:c>
      <x:c r="R230" t="n">
        <x:v>0</x:v>
      </x:c>
      <x:c r="S230" t="n">
        <x:f>Q230-R230</x:f>
        <x:v>0</x:v>
      </x:c>
      <x:c r="T230" t="n">
        <x:v>22</x:v>
      </x:c>
      <x:c r="U230" t="n">
        <x:v>22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f>IF(AND(ISNUMBER(G230),I230&lt;&gt;"Excluded INI"),MAX(0,G230-J230),"")</x:f>
        <x:v>128</x:v>
      </x:c>
      <x:c r="AC230" t="n">
        <x:v>14712</x:v>
      </x:c>
      <x:c r="AD230" t="n">
        <x:v>15571</x:v>
      </x:c>
      <x:c r="AE230" t="n">
        <x:v>15971</x:v>
      </x:c>
      <x:c r="AF230" t="n">
        <x:v>16340</x:v>
      </x:c>
      <x:c r="AG230" t="n">
        <x:v>18720</x:v>
      </x:c>
      <x:c r="AH230" t="n">
        <x:v>19153</x:v>
      </x:c>
      <x:c r="AI230" t="n">
        <x:v>81633</x:v>
      </x:c>
      <x:c r="AJ230" t="n">
        <x:v>82038</x:v>
      </x:c>
      <x:c r="AK230" t="n">
        <x:v>110253</x:v>
      </x:c>
      <x:c r="AL230" t="n">
        <x:v>110253</x:v>
      </x:c>
      <x:c r="AM230" t="str">
        <x:v>Fully allotted in R1; R2 opportunity depends on upgrade/non-joining</x:v>
      </x:c>
    </x:row>
    <x:row r="231">
      <x:c r="A231" t="str">
        <x:v>Maharashtra</x:v>
      </x:c>
      <x:c r="B231" t="str">
        <x:v>All India except Central University</x:v>
      </x:c>
      <x:c r="C231" t="str">
        <x:v>903364</x:v>
      </x:c>
      <x:c r="D231" t="str">
        <x:v>Government Medical College, Jalna, Government Medical College, Global Gurukul School, in front of Sushiladevi Lawns, Ambad- Mantha Bypas</x:v>
      </x:c>
      <x:c r="E231" t="str">
        <x:v>MH/037/G/1</x:v>
      </x:c>
      <x:c r="F231" t="str">
        <x:v>Government</x:v>
      </x:c>
      <x:c r="G231" t="n">
        <x:v>100</x:v>
      </x:c>
      <x:c r="H231" t="n">
        <x:v>100</x:v>
      </x:c>
      <x:c r="I231" t="str">
        <x:v>High-confidence fuzzy</x:v>
      </x:c>
      <x:c r="J231" t="n">
        <x:v>15</x:v>
      </x:c>
      <x:c r="K231" t="n">
        <x:v>15</x:v>
      </x:c>
      <x:c r="L231" t="n">
        <x:f>J231-K231</x:f>
        <x:v>0</x:v>
      </x:c>
      <x:c r="M231" s="20" t="n">
        <x:f>IFERROR(K231/J231,0)</x:f>
        <x:v>1</x:v>
      </x:c>
      <x:c r="N231" t="n">
        <x:v>15</x:v>
      </x:c>
      <x:c r="O231" t="n">
        <x:v>15</x:v>
      </x:c>
      <x:c r="P231" t="n">
        <x:f>N231-O231</x:f>
        <x:v>0</x:v>
      </x:c>
      <x:c r="Q231" t="n">
        <x:v>0</x:v>
      </x:c>
      <x:c r="R231" t="n">
        <x:v>0</x:v>
      </x:c>
      <x:c r="S231" t="n">
        <x:f>Q231-R231</x:f>
        <x:v>0</x:v>
      </x:c>
      <x:c r="T231" t="n">
        <x:v>15</x:v>
      </x:c>
      <x:c r="U231" t="n">
        <x:v>15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f>IF(AND(ISNUMBER(G231),I231&lt;&gt;"Excluded INI"),MAX(0,G231-J231),"")</x:f>
        <x:v>85</x:v>
      </x:c>
      <x:c r="AC231" t="n">
        <x:v>16558</x:v>
      </x:c>
      <x:c r="AD231" t="n">
        <x:v>17070</x:v>
      </x:c>
      <x:c r="AE231" t="n">
        <x:v>19560</x:v>
      </x:c>
      <x:c r="AF231" t="n">
        <x:v>20106</x:v>
      </x:c>
      <x:c r="AG231" t="n">
        <x:v>19862</x:v>
      </x:c>
      <x:c r="AH231" t="n">
        <x:v>20093</x:v>
      </x:c>
      <x:c r="AI231" t="n">
        <x:v>80786</x:v>
      </x:c>
      <x:c r="AJ231" t="n">
        <x:v>83688</x:v>
      </x:c>
      <x:c r="AK231" t="n">
        <x:v>121540</x:v>
      </x:c>
      <x:c r="AL231" t="n">
        <x:v>121540</x:v>
      </x:c>
      <x:c r="AM231" t="str">
        <x:v>Fully allotted in R1; R2 opportunity depends on upgrade/non-joining</x:v>
      </x:c>
    </x:row>
    <x:row r="232">
      <x:c r="A232" t="str">
        <x:v>Maharashtra</x:v>
      </x:c>
      <x:c r="B232" t="str">
        <x:v>All India except Central University</x:v>
      </x:c>
      <x:c r="C232" t="str">
        <x:v>200211</x:v>
      </x:c>
      <x:c r="D232" t="str">
        <x:v>Government Medical College, Latur, Government Medical College, Latur, Behind Old Railway Station, Near Marwadi Rajasthan Vidyalaya, Lat</x:v>
      </x:c>
      <x:c r="E232" t="str">
        <x:v>MH/038/G/1</x:v>
      </x:c>
      <x:c r="F232" t="str">
        <x:v>Government</x:v>
      </x:c>
      <x:c r="G232" t="n">
        <x:v>150</x:v>
      </x:c>
      <x:c r="H232" t="n">
        <x:v>100</x:v>
      </x:c>
      <x:c r="I232" t="str">
        <x:v>High-confidence fuzzy</x:v>
      </x:c>
      <x:c r="J232" t="n">
        <x:v>23</x:v>
      </x:c>
      <x:c r="K232" t="n">
        <x:v>22</x:v>
      </x:c>
      <x:c r="L232" t="n">
        <x:f>J232-K232</x:f>
        <x:v>1</x:v>
      </x:c>
      <x:c r="M232" s="20" t="n">
        <x:f>IFERROR(K232/J232,0)</x:f>
        <x:v>0.9565217391304348</x:v>
      </x:c>
      <x:c r="N232" t="n">
        <x:v>23</x:v>
      </x:c>
      <x:c r="O232" t="n">
        <x:v>22</x:v>
      </x:c>
      <x:c r="P232" t="n">
        <x:f>N232-O232</x:f>
        <x:v>1</x:v>
      </x:c>
      <x:c r="Q232" t="n">
        <x:v>0</x:v>
      </x:c>
      <x:c r="R232" t="n">
        <x:v>0</x:v>
      </x:c>
      <x:c r="S232" t="n">
        <x:f>Q232-R232</x:f>
        <x:v>0</x:v>
      </x:c>
      <x:c r="T232" t="n">
        <x:v>23</x:v>
      </x:c>
      <x:c r="U232" t="n">
        <x:v>22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f>IF(AND(ISNUMBER(G232),I232&lt;&gt;"Excluded INI"),MAX(0,G232-J232),"")</x:f>
        <x:v>127</x:v>
      </x:c>
      <x:c r="AC232" t="n">
        <x:v>13635</x:v>
      </x:c>
      <x:c r="AD232" t="n">
        <x:v>13905</x:v>
      </x:c>
      <x:c r="AE232" t="n">
        <x:v>15067</x:v>
      </x:c>
      <x:c r="AF232" t="n">
        <x:v>15416</x:v>
      </x:c>
      <x:c r="AG232" t="n">
        <x:v>15868</x:v>
      </x:c>
      <x:c r="AH232" t="n">
        <x:v>16651</x:v>
      </x:c>
      <x:c r="AI232" t="n">
        <x:v>75506</x:v>
      </x:c>
      <x:c r="AJ232" t="n">
        <x:v>76943</x:v>
      </x:c>
      <x:c r="AK232" t="n">
        <x:v>109268</x:v>
      </x:c>
      <x:c r="AL232" t="n">
        <x:v>109268</x:v>
      </x:c>
      <x:c r="AM232" t="str">
        <x:v>R1 regular-central gap visible; verify in official R2 matrix</x:v>
      </x:c>
    </x:row>
    <x:row r="233">
      <x:c r="A233" t="str">
        <x:v>Maharashtra</x:v>
      </x:c>
      <x:c r="B233" t="str">
        <x:v>All India except Central University</x:v>
      </x:c>
      <x:c r="C233" t="str">
        <x:v>200212</x:v>
      </x:c>
      <x:c r="D233" t="str">
        <x:v>Government Medical College, Miraj, Pandharpur Road Miraj tal Miraj Dist sangli</x:v>
      </x:c>
      <x:c r="E233" t="str">
        <x:v>MH/039/G/1</x:v>
      </x:c>
      <x:c r="F233" t="str">
        <x:v>Government</x:v>
      </x:c>
      <x:c r="G233" t="n">
        <x:v>200</x:v>
      </x:c>
      <x:c r="H233" t="n">
        <x:v>100</x:v>
      </x:c>
      <x:c r="I233" t="str">
        <x:v>High-confidence fuzzy</x:v>
      </x:c>
      <x:c r="J233" t="n">
        <x:v>30</x:v>
      </x:c>
      <x:c r="K233" t="n">
        <x:v>30</x:v>
      </x:c>
      <x:c r="L233" t="n">
        <x:f>J233-K233</x:f>
        <x:v>0</x:v>
      </x:c>
      <x:c r="M233" s="20" t="n">
        <x:f>IFERROR(K233/J233,0)</x:f>
        <x:v>1</x:v>
      </x:c>
      <x:c r="N233" t="n">
        <x:v>30</x:v>
      </x:c>
      <x:c r="O233" t="n">
        <x:v>30</x:v>
      </x:c>
      <x:c r="P233" t="n">
        <x:f>N233-O233</x:f>
        <x:v>0</x:v>
      </x:c>
      <x:c r="Q233" t="n">
        <x:v>0</x:v>
      </x:c>
      <x:c r="R233" t="n">
        <x:v>0</x:v>
      </x:c>
      <x:c r="S233" t="n">
        <x:f>Q233-R233</x:f>
        <x:v>0</x:v>
      </x:c>
      <x:c r="T233" t="n">
        <x:v>30</x:v>
      </x:c>
      <x:c r="U233" t="n">
        <x:v>30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f>IF(AND(ISNUMBER(G233),I233&lt;&gt;"Excluded INI"),MAX(0,G233-J233),"")</x:f>
        <x:v>170</x:v>
      </x:c>
      <x:c r="AC233" t="n">
        <x:v>10248</x:v>
      </x:c>
      <x:c r="AD233" t="n">
        <x:v>11405</x:v>
      </x:c>
      <x:c r="AE233" t="n">
        <x:v>12675</x:v>
      </x:c>
      <x:c r="AF233" t="n">
        <x:v>13064</x:v>
      </x:c>
      <x:c r="AG233" t="n">
        <x:v>14400</x:v>
      </x:c>
      <x:c r="AH233" t="n">
        <x:v>14404</x:v>
      </x:c>
      <x:c r="AI233" t="n">
        <x:v>63169</x:v>
      </x:c>
      <x:c r="AJ233" t="n">
        <x:v>65554</x:v>
      </x:c>
      <x:c r="AK233" t="n">
        <x:v>85910</x:v>
      </x:c>
      <x:c r="AL233" t="n">
        <x:v>95884</x:v>
      </x:c>
      <x:c r="AM233" t="str">
        <x:v>Fully allotted in R1; R2 opportunity depends on upgrade/non-joining</x:v>
      </x:c>
    </x:row>
    <x:row r="234">
      <x:c r="A234" t="str">
        <x:v>Maharashtra</x:v>
      </x:c>
      <x:c r="B234" t="str">
        <x:v>All India except Central University</x:v>
      </x:c>
      <x:c r="C234" t="str">
        <x:v>200217</x:v>
      </x:c>
      <x:c r="D234" t="str">
        <x:v>Government Medical College, Nagpur, Hanuman Nagar,Nagpur</x:v>
      </x:c>
      <x:c r="E234" t="str">
        <x:v>MH/040/G/1</x:v>
      </x:c>
      <x:c r="F234" t="str">
        <x:v>Government</x:v>
      </x:c>
      <x:c r="G234" t="n">
        <x:v>250</x:v>
      </x:c>
      <x:c r="H234" t="n">
        <x:v>100</x:v>
      </x:c>
      <x:c r="I234" t="str">
        <x:v>High-confidence fuzzy</x:v>
      </x:c>
      <x:c r="J234" t="n">
        <x:v>38</x:v>
      </x:c>
      <x:c r="K234" t="n">
        <x:v>38</x:v>
      </x:c>
      <x:c r="L234" t="n">
        <x:f>J234-K234</x:f>
        <x:v>0</x:v>
      </x:c>
      <x:c r="M234" s="20" t="n">
        <x:f>IFERROR(K234/J234,0)</x:f>
        <x:v>1</x:v>
      </x:c>
      <x:c r="N234" t="n">
        <x:v>38</x:v>
      </x:c>
      <x:c r="O234" t="n">
        <x:v>38</x:v>
      </x:c>
      <x:c r="P234" t="n">
        <x:f>N234-O234</x:f>
        <x:v>0</x:v>
      </x:c>
      <x:c r="Q234" t="n">
        <x:v>0</x:v>
      </x:c>
      <x:c r="R234" t="n">
        <x:v>0</x:v>
      </x:c>
      <x:c r="S234" t="n">
        <x:f>Q234-R234</x:f>
        <x:v>0</x:v>
      </x:c>
      <x:c r="T234" t="n">
        <x:v>38</x:v>
      </x:c>
      <x:c r="U234" t="n">
        <x:v>38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f>IF(AND(ISNUMBER(G234),I234&lt;&gt;"Excluded INI"),MAX(0,G234-J234),"")</x:f>
        <x:v>212</x:v>
      </x:c>
      <x:c r="AC234" t="n">
        <x:v>3691</x:v>
      </x:c>
      <x:c r="AD234" t="n">
        <x:v>4044</x:v>
      </x:c>
      <x:c r="AE234" t="n">
        <x:v>5418</x:v>
      </x:c>
      <x:c r="AF234" t="n">
        <x:v>6120</x:v>
      </x:c>
      <x:c r="AG234" t="n">
        <x:v>7200</x:v>
      </x:c>
      <x:c r="AH234" t="n">
        <x:v>8392</x:v>
      </x:c>
      <x:c r="AI234" t="n">
        <x:v>27537</x:v>
      </x:c>
      <x:c r="AJ234" t="n">
        <x:v>30736</x:v>
      </x:c>
      <x:c r="AK234" t="n">
        <x:v>55971</x:v>
      </x:c>
      <x:c r="AL234" t="n">
        <x:v>60380</x:v>
      </x:c>
      <x:c r="AM234" t="str">
        <x:v>Fully allotted in R1; R2 opportunity depends on upgrade/non-joining</x:v>
      </x:c>
    </x:row>
    <x:row r="235">
      <x:c r="A235" t="str">
        <x:v>Maharashtra</x:v>
      </x:c>
      <x:c r="B235" t="str">
        <x:v>All India except Central University</x:v>
      </x:c>
      <x:c r="C235" t="str">
        <x:v>200535</x:v>
      </x:c>
      <x:c r="D235" t="str">
        <x:v>Government Medical College, Nandurbar, DISTRICT CIVIL HOSPITAL CAMPUS SAKRI ROAD NANDURBAR</x:v>
      </x:c>
      <x:c r="E235" t="str">
        <x:v>MH/041/G/1</x:v>
      </x:c>
      <x:c r="F235" t="str">
        <x:v>Government</x:v>
      </x:c>
      <x:c r="G235" t="n">
        <x:v>100</x:v>
      </x:c>
      <x:c r="H235" t="n">
        <x:v>100</x:v>
      </x:c>
      <x:c r="I235" t="str">
        <x:v>High-confidence fuzzy</x:v>
      </x:c>
      <x:c r="J235" t="n">
        <x:v>15</x:v>
      </x:c>
      <x:c r="K235" t="n">
        <x:v>15</x:v>
      </x:c>
      <x:c r="L235" t="n">
        <x:f>J235-K235</x:f>
        <x:v>0</x:v>
      </x:c>
      <x:c r="M235" s="20" t="n">
        <x:f>IFERROR(K235/J235,0)</x:f>
        <x:v>1</x:v>
      </x:c>
      <x:c r="N235" t="n">
        <x:v>15</x:v>
      </x:c>
      <x:c r="O235" t="n">
        <x:v>15</x:v>
      </x:c>
      <x:c r="P235" t="n">
        <x:f>N235-O235</x:f>
        <x:v>0</x:v>
      </x:c>
      <x:c r="Q235" t="n">
        <x:v>0</x:v>
      </x:c>
      <x:c r="R235" t="n">
        <x:v>0</x:v>
      </x:c>
      <x:c r="S235" t="n">
        <x:f>Q235-R235</x:f>
        <x:v>0</x:v>
      </x:c>
      <x:c r="T235" t="n">
        <x:v>15</x:v>
      </x:c>
      <x:c r="U235" t="n">
        <x:v>15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f>IF(AND(ISNUMBER(G235),I235&lt;&gt;"Excluded INI"),MAX(0,G235-J235),"")</x:f>
        <x:v>85</x:v>
      </x:c>
      <x:c r="AC235" t="n">
        <x:v>16074</x:v>
      </x:c>
      <x:c r="AD235" t="n">
        <x:v>16589</x:v>
      </x:c>
      <x:c r="AE235" t="n">
        <x:v>16744</x:v>
      </x:c>
      <x:c r="AF235" t="n">
        <x:v>16949</x:v>
      </x:c>
      <x:c r="AG235" t="n">
        <x:v>20467</x:v>
      </x:c>
      <x:c r="AH235" t="n">
        <x:v>20467</x:v>
      </x:c>
      <x:c r="AI235" t="n">
        <x:v>84998</x:v>
      </x:c>
      <x:c r="AJ235" t="n">
        <x:v>85663</x:v>
      </x:c>
      <x:c r="AK235" t="n">
        <x:v>113389</x:v>
      </x:c>
      <x:c r="AL235" t="n">
        <x:v>113389</x:v>
      </x:c>
      <x:c r="AM235" t="str">
        <x:v>Fully allotted in R1; R2 opportunity depends on upgrade/non-joining</x:v>
      </x:c>
    </x:row>
    <x:row r="236">
      <x:c r="A236" t="str">
        <x:v>Maharashtra</x:v>
      </x:c>
      <x:c r="B236" t="str">
        <x:v>All India except Central University</x:v>
      </x:c>
      <x:c r="C236" t="str">
        <x:v>200638</x:v>
      </x:c>
      <x:c r="D236" t="str">
        <x:v>Government Medical College, Osmanabad, New Building, Civil Hospital Compound, Marwad Galli, Osmanabad</x:v>
      </x:c>
      <x:c r="E236" t="str">
        <x:v>MH/042/G/1</x:v>
      </x:c>
      <x:c r="F236" t="str">
        <x:v>Government</x:v>
      </x:c>
      <x:c r="G236" t="n">
        <x:v>100</x:v>
      </x:c>
      <x:c r="H236" t="n">
        <x:v>100</x:v>
      </x:c>
      <x:c r="I236" t="str">
        <x:v>High-confidence fuzzy</x:v>
      </x:c>
      <x:c r="J236" t="n">
        <x:v>15</x:v>
      </x:c>
      <x:c r="K236" t="n">
        <x:v>15</x:v>
      </x:c>
      <x:c r="L236" t="n">
        <x:f>J236-K236</x:f>
        <x:v>0</x:v>
      </x:c>
      <x:c r="M236" s="20" t="n">
        <x:f>IFERROR(K236/J236,0)</x:f>
        <x:v>1</x:v>
      </x:c>
      <x:c r="N236" t="n">
        <x:v>15</x:v>
      </x:c>
      <x:c r="O236" t="n">
        <x:v>15</x:v>
      </x:c>
      <x:c r="P236" t="n">
        <x:f>N236-O236</x:f>
        <x:v>0</x:v>
      </x:c>
      <x:c r="Q236" t="n">
        <x:v>0</x:v>
      </x:c>
      <x:c r="R236" t="n">
        <x:v>0</x:v>
      </x:c>
      <x:c r="S236" t="n">
        <x:f>Q236-R236</x:f>
        <x:v>0</x:v>
      </x:c>
      <x:c r="T236" t="n">
        <x:v>15</x:v>
      </x:c>
      <x:c r="U236" t="n">
        <x:v>15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f>IF(AND(ISNUMBER(G236),I236&lt;&gt;"Excluded INI"),MAX(0,G236-J236),"")</x:f>
        <x:v>85</x:v>
      </x:c>
      <x:c r="AC236" t="n">
        <x:v>17006</x:v>
      </x:c>
      <x:c r="AD236" t="n">
        <x:v>17519</x:v>
      </x:c>
      <x:c r="AE236" t="n">
        <x:v>18065</x:v>
      </x:c>
      <x:c r="AF236" t="n">
        <x:v>18125</x:v>
      </x:c>
      <x:c r="AG236" t="n">
        <x:v>20858</x:v>
      </x:c>
      <x:c r="AH236" t="n">
        <x:v>21333</x:v>
      </x:c>
      <x:c r="AI236" t="n">
        <x:v>84584</x:v>
      </x:c>
      <x:c r="AJ236" t="n">
        <x:v>85020</x:v>
      </x:c>
      <x:c r="AK236" t="n">
        <x:v>115627</x:v>
      </x:c>
      <x:c r="AL236" t="n">
        <x:v>115627</x:v>
      </x:c>
      <x:c r="AM236" t="str">
        <x:v>Fully allotted in R1; R2 opportunity depends on upgrade/non-joining</x:v>
      </x:c>
    </x:row>
    <x:row r="237">
      <x:c r="A237" t="str">
        <x:v>Maharashtra</x:v>
      </x:c>
      <x:c r="B237" t="str">
        <x:v>All India except Central University</x:v>
      </x:c>
      <x:c r="C237" t="str">
        <x:v>200679</x:v>
      </x:c>
      <x:c r="D237" t="str">
        <x:v>Government Medical College, Parbhani, ITI CAMPUS, BEHIND DSM COLLEGE, JINTUR ROAD, PARBHANI - 431401</x:v>
      </x:c>
      <x:c r="E237" t="str">
        <x:v>MH/043/G/1</x:v>
      </x:c>
      <x:c r="F237" t="str">
        <x:v>Government</x:v>
      </x:c>
      <x:c r="G237" t="n">
        <x:v>100</x:v>
      </x:c>
      <x:c r="H237" t="n">
        <x:v>100</x:v>
      </x:c>
      <x:c r="I237" t="str">
        <x:v>High-confidence fuzzy</x:v>
      </x:c>
      <x:c r="J237" t="n">
        <x:v>15</x:v>
      </x:c>
      <x:c r="K237" t="n">
        <x:v>15</x:v>
      </x:c>
      <x:c r="L237" t="n">
        <x:f>J237-K237</x:f>
        <x:v>0</x:v>
      </x:c>
      <x:c r="M237" s="20" t="n">
        <x:f>IFERROR(K237/J237,0)</x:f>
        <x:v>1</x:v>
      </x:c>
      <x:c r="N237" t="n">
        <x:v>15</x:v>
      </x:c>
      <x:c r="O237" t="n">
        <x:v>15</x:v>
      </x:c>
      <x:c r="P237" t="n">
        <x:f>N237-O237</x:f>
        <x:v>0</x:v>
      </x:c>
      <x:c r="Q237" t="n">
        <x:v>0</x:v>
      </x:c>
      <x:c r="R237" t="n">
        <x:v>0</x:v>
      </x:c>
      <x:c r="S237" t="n">
        <x:f>Q237-R237</x:f>
        <x:v>0</x:v>
      </x:c>
      <x:c r="T237" t="n">
        <x:v>15</x:v>
      </x:c>
      <x:c r="U237" t="n">
        <x:v>15</x:v>
      </x:c>
      <x:c r="V237" t="n">
        <x:v>0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0</x:v>
      </x:c>
      <x:c r="AB237" t="n">
        <x:f>IF(AND(ISNUMBER(G237),I237&lt;&gt;"Excluded INI"),MAX(0,G237-J237),"")</x:f>
        <x:v>85</x:v>
      </x:c>
      <x:c r="AC237" t="n">
        <x:v>17657</x:v>
      </x:c>
      <x:c r="AD237" t="n">
        <x:v>17836</x:v>
      </x:c>
      <x:c r="AE237" t="n">
        <x:v>18162</x:v>
      </x:c>
      <x:c r="AF237" t="n">
        <x:v>18189</x:v>
      </x:c>
      <x:c r="AG237" t="n">
        <x:v>21360</x:v>
      </x:c>
      <x:c r="AH237" t="n">
        <x:v>21360</x:v>
      </x:c>
      <x:c r="AI237" t="n">
        <x:v>91559</x:v>
      </x:c>
      <x:c r="AJ237" t="n">
        <x:v>93833</x:v>
      </x:c>
      <x:c r="AK237" t="n">
        <x:v>120054</x:v>
      </x:c>
      <x:c r="AL237" t="n">
        <x:v>120720</x:v>
      </x:c>
      <x:c r="AM237" t="str">
        <x:v>Fully allotted in R1; R2 opportunity depends on upgrade/non-joining</x:v>
      </x:c>
    </x:row>
    <x:row r="238">
      <x:c r="A238" t="str">
        <x:v>Maharashtra</x:v>
      </x:c>
      <x:c r="B238" t="str">
        <x:v>All India except Central University</x:v>
      </x:c>
      <x:c r="C238" t="str">
        <x:v>200576</x:v>
      </x:c>
      <x:c r="D238" t="str">
        <x:v>Government Medical College, Satara, GOVERNMENT MEDICAL COLLEGE AND GENERAL HOSPITAL SATARA DISTRICT CIVIL HOSPITAL CAMPUS SADAR BAZAR CA</x:v>
      </x:c>
      <x:c r="E238" t="str">
        <x:v>MH/044/G/1</x:v>
      </x:c>
      <x:c r="F238" t="str">
        <x:v>Government</x:v>
      </x:c>
      <x:c r="G238" t="n">
        <x:v>100</x:v>
      </x:c>
      <x:c r="H238" t="n">
        <x:v>100</x:v>
      </x:c>
      <x:c r="I238" t="str">
        <x:v>High-confidence fuzzy</x:v>
      </x:c>
      <x:c r="J238" t="n">
        <x:v>15</x:v>
      </x:c>
      <x:c r="K238" t="n">
        <x:v>15</x:v>
      </x:c>
      <x:c r="L238" t="n">
        <x:f>J238-K238</x:f>
        <x:v>0</x:v>
      </x:c>
      <x:c r="M238" s="20" t="n">
        <x:f>IFERROR(K238/J238,0)</x:f>
        <x:v>1</x:v>
      </x:c>
      <x:c r="N238" t="n">
        <x:v>15</x:v>
      </x:c>
      <x:c r="O238" t="n">
        <x:v>15</x:v>
      </x:c>
      <x:c r="P238" t="n">
        <x:f>N238-O238</x:f>
        <x:v>0</x:v>
      </x:c>
      <x:c r="Q238" t="n">
        <x:v>0</x:v>
      </x:c>
      <x:c r="R238" t="n">
        <x:v>0</x:v>
      </x:c>
      <x:c r="S238" t="n">
        <x:f>Q238-R238</x:f>
        <x:v>0</x:v>
      </x:c>
      <x:c r="T238" t="n">
        <x:v>15</x:v>
      </x:c>
      <x:c r="U238" t="n">
        <x:v>15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f>IF(AND(ISNUMBER(G238),I238&lt;&gt;"Excluded INI"),MAX(0,G238-J238),"")</x:f>
        <x:v>85</x:v>
      </x:c>
      <x:c r="AC238" t="n">
        <x:v>14005</x:v>
      </x:c>
      <x:c r="AD238" t="n">
        <x:v>14366</x:v>
      </x:c>
      <x:c r="AE238" t="n">
        <x:v>15175</x:v>
      </x:c>
      <x:c r="AF238" t="n">
        <x:v>15868</x:v>
      </x:c>
      <x:c r="AG238" t="n">
        <x:v>17988</x:v>
      </x:c>
      <x:c r="AH238" t="n">
        <x:v>17988</x:v>
      </x:c>
      <x:c r="AI238" t="n">
        <x:v>67143</x:v>
      </x:c>
      <x:c r="AJ238" t="n">
        <x:v>67143</x:v>
      </x:c>
      <x:c r="AK238" t="n">
        <x:v>116386</x:v>
      </x:c>
      <x:c r="AL238" t="n">
        <x:v>116386</x:v>
      </x:c>
      <x:c r="AM238" t="str">
        <x:v>Fully allotted in R1; R2 opportunity depends on upgrade/non-joining</x:v>
      </x:c>
    </x:row>
    <x:row r="239">
      <x:c r="A239" t="str">
        <x:v>Maharashtra</x:v>
      </x:c>
      <x:c r="B239" t="str">
        <x:v>All India except Central University</x:v>
      </x:c>
      <x:c r="C239" t="str">
        <x:v>200587</x:v>
      </x:c>
      <x:c r="D239" t="str">
        <x:v>Government Medical College, Sindhudurg, Dean Government Medical College Sindhudurg</x:v>
      </x:c>
      <x:c r="E239" t="str">
        <x:v>MH/045/G/1</x:v>
      </x:c>
      <x:c r="F239" t="str">
        <x:v>Government</x:v>
      </x:c>
      <x:c r="G239" t="n">
        <x:v>100</x:v>
      </x:c>
      <x:c r="H239" t="n">
        <x:v>100</x:v>
      </x:c>
      <x:c r="I239" t="str">
        <x:v>High-confidence fuzzy</x:v>
      </x:c>
      <x:c r="J239" t="n">
        <x:v>15</x:v>
      </x:c>
      <x:c r="K239" t="n">
        <x:v>15</x:v>
      </x:c>
      <x:c r="L239" t="n">
        <x:f>J239-K239</x:f>
        <x:v>0</x:v>
      </x:c>
      <x:c r="M239" s="20" t="n">
        <x:f>IFERROR(K239/J239,0)</x:f>
        <x:v>1</x:v>
      </x:c>
      <x:c r="N239" t="n">
        <x:v>15</x:v>
      </x:c>
      <x:c r="O239" t="n">
        <x:v>15</x:v>
      </x:c>
      <x:c r="P239" t="n">
        <x:f>N239-O239</x:f>
        <x:v>0</x:v>
      </x:c>
      <x:c r="Q239" t="n">
        <x:v>0</x:v>
      </x:c>
      <x:c r="R239" t="n">
        <x:v>0</x:v>
      </x:c>
      <x:c r="S239" t="n">
        <x:f>Q239-R239</x:f>
        <x:v>0</x:v>
      </x:c>
      <x:c r="T239" t="n">
        <x:v>15</x:v>
      </x:c>
      <x:c r="U239" t="n">
        <x:v>15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f>IF(AND(ISNUMBER(G239),I239&lt;&gt;"Excluded INI"),MAX(0,G239-J239),"")</x:f>
        <x:v>85</x:v>
      </x:c>
      <x:c r="AC239" t="n">
        <x:v>17354</x:v>
      </x:c>
      <x:c r="AD239" t="n">
        <x:v>17506</x:v>
      </x:c>
      <x:c r="AE239" t="n">
        <x:v>17738</x:v>
      </x:c>
      <x:c r="AF239" t="n">
        <x:v>17884</x:v>
      </x:c>
      <x:c r="AG239" t="n">
        <x:v>20500</x:v>
      </x:c>
      <x:c r="AH239" t="n">
        <x:v>20500</x:v>
      </x:c>
      <x:c r="AI239" t="n">
        <x:v>82634</x:v>
      </x:c>
      <x:c r="AJ239" t="n">
        <x:v>86690</x:v>
      </x:c>
      <x:c r="AK239" t="n">
        <x:v>117297</x:v>
      </x:c>
      <x:c r="AL239" t="n">
        <x:v>117297</x:v>
      </x:c>
      <x:c r="AM239" t="str">
        <x:v>Fully allotted in R1; R2 opportunity depends on upgrade/non-joining</x:v>
      </x:c>
    </x:row>
    <x:row r="240">
      <x:c r="A240" t="str">
        <x:v>Maharashtra</x:v>
      </x:c>
      <x:c r="B240" t="str">
        <x:v>All India except Central University</x:v>
      </x:c>
      <x:c r="C240" t="str">
        <x:v>903361</x:v>
      </x:c>
      <x:c r="D240" t="str">
        <x:v>Government Medical College, Washim, Government Medical College, Washim District womens Hospital building, Nalanda Nagar, Chikhali Road</x:v>
      </x:c>
      <x:c r="E240" t="str">
        <x:v>MH/046/G/1</x:v>
      </x:c>
      <x:c r="F240" t="str">
        <x:v>Government</x:v>
      </x:c>
      <x:c r="G240" t="n">
        <x:v>100</x:v>
      </x:c>
      <x:c r="H240" t="n">
        <x:v>100</x:v>
      </x:c>
      <x:c r="I240" t="str">
        <x:v>High-confidence fuzzy</x:v>
      </x:c>
      <x:c r="J240" t="n">
        <x:v>15</x:v>
      </x:c>
      <x:c r="K240" t="n">
        <x:v>15</x:v>
      </x:c>
      <x:c r="L240" t="n">
        <x:f>J240-K240</x:f>
        <x:v>0</x:v>
      </x:c>
      <x:c r="M240" s="20" t="n">
        <x:f>IFERROR(K240/J240,0)</x:f>
        <x:v>1</x:v>
      </x:c>
      <x:c r="N240" t="n">
        <x:v>15</x:v>
      </x:c>
      <x:c r="O240" t="n">
        <x:v>15</x:v>
      </x:c>
      <x:c r="P240" t="n">
        <x:f>N240-O240</x:f>
        <x:v>0</x:v>
      </x:c>
      <x:c r="Q240" t="n">
        <x:v>0</x:v>
      </x:c>
      <x:c r="R240" t="n">
        <x:v>0</x:v>
      </x:c>
      <x:c r="S240" t="n">
        <x:f>Q240-R240</x:f>
        <x:v>0</x:v>
      </x:c>
      <x:c r="T240" t="n">
        <x:v>15</x:v>
      </x:c>
      <x:c r="U240" t="n">
        <x:v>15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f>IF(AND(ISNUMBER(G240),I240&lt;&gt;"Excluded INI"),MAX(0,G240-J240),"")</x:f>
        <x:v>85</x:v>
      </x:c>
      <x:c r="AC240" t="n">
        <x:v>18488</x:v>
      </x:c>
      <x:c r="AD240" t="n">
        <x:v>19088</x:v>
      </x:c>
      <x:c r="AE240" t="n">
        <x:v>19936</x:v>
      </x:c>
      <x:c r="AF240" t="n">
        <x:v>20197</x:v>
      </x:c>
      <x:c r="AG240" t="n">
        <x:v>22617</x:v>
      </x:c>
      <x:c r="AH240" t="n">
        <x:v>23096</x:v>
      </x:c>
      <x:c r="AI240" t="n">
        <x:v>94342</x:v>
      </x:c>
      <x:c r="AJ240" t="n">
        <x:v>94740</x:v>
      </x:c>
      <x:c r="AK240" t="n">
        <x:v>122976</x:v>
      </x:c>
      <x:c r="AL240" t="n">
        <x:v>122976</x:v>
      </x:c>
      <x:c r="AM240" t="str">
        <x:v>Fully allotted in R1; R2 opportunity depends on upgrade/non-joining</x:v>
      </x:c>
    </x:row>
    <x:row r="241">
      <x:c r="A241" t="str">
        <x:v>Maharashtra</x:v>
      </x:c>
      <x:c r="B241" t="str">
        <x:v>All India except Central University</x:v>
      </x:c>
      <x:c r="C241" t="str">
        <x:v>902836</x:v>
      </x:c>
      <x:c r="D241" t="str">
        <x:v>Government Medical College,Nashik, Hindu Hruday Samrat Vandaniya Balasaheb Thakare Hospital and Bytco Hospital Near Durga Mata Mandir R</x:v>
      </x:c>
      <x:c r="E241" t="str">
        <x:v>MH/047/G/1</x:v>
      </x:c>
      <x:c r="F241" t="str">
        <x:v>Government</x:v>
      </x:c>
      <x:c r="G241" t="n">
        <x:v>100</x:v>
      </x:c>
      <x:c r="H241" t="n">
        <x:v>100</x:v>
      </x:c>
      <x:c r="I241" t="str">
        <x:v>High-confidence fuzzy</x:v>
      </x:c>
      <x:c r="J241" t="n">
        <x:v>15</x:v>
      </x:c>
      <x:c r="K241" t="n">
        <x:v>15</x:v>
      </x:c>
      <x:c r="L241" t="n">
        <x:f>J241-K241</x:f>
        <x:v>0</x:v>
      </x:c>
      <x:c r="M241" s="20" t="n">
        <x:f>IFERROR(K241/J241,0)</x:f>
        <x:v>1</x:v>
      </x:c>
      <x:c r="N241" t="n">
        <x:v>15</x:v>
      </x:c>
      <x:c r="O241" t="n">
        <x:v>15</x:v>
      </x:c>
      <x:c r="P241" t="n">
        <x:f>N241-O241</x:f>
        <x:v>0</x:v>
      </x:c>
      <x:c r="Q241" t="n">
        <x:v>0</x:v>
      </x:c>
      <x:c r="R241" t="n">
        <x:v>0</x:v>
      </x:c>
      <x:c r="S241" t="n">
        <x:f>Q241-R241</x:f>
        <x:v>0</x:v>
      </x:c>
      <x:c r="T241" t="n">
        <x:v>15</x:v>
      </x:c>
      <x:c r="U241" t="n">
        <x:v>15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f>IF(AND(ISNUMBER(G241),I241&lt;&gt;"Excluded INI"),MAX(0,G241-J241),"")</x:f>
        <x:v>85</x:v>
      </x:c>
      <x:c r="AC241" t="n">
        <x:v>9076</x:v>
      </x:c>
      <x:c r="AD241" t="n">
        <x:v>9749</x:v>
      </x:c>
      <x:c r="AE241" t="n">
        <x:v>10968</x:v>
      </x:c>
      <x:c r="AF241" t="n">
        <x:v>11213</x:v>
      </x:c>
      <x:c r="AG241" t="n">
        <x:v>12271</x:v>
      </x:c>
      <x:c r="AH241" t="n">
        <x:v>12271</x:v>
      </x:c>
      <x:c r="AI241" t="n">
        <x:v>67813</x:v>
      </x:c>
      <x:c r="AJ241" t="n">
        <x:v>68310</x:v>
      </x:c>
      <x:c r="AK241" t="n">
        <x:v>94965</x:v>
      </x:c>
      <x:c r="AL241" t="n">
        <x:v>94965</x:v>
      </x:c>
      <x:c r="AM241" t="str">
        <x:v>Fully allotted in R1; R2 opportunity depends on upgrade/non-joining</x:v>
      </x:c>
    </x:row>
    <x:row r="242">
      <x:c r="A242" t="str">
        <x:v>Maharashtra</x:v>
      </x:c>
      <x:c r="B242" t="str">
        <x:v>All India except Central University</x:v>
      </x:c>
      <x:c r="C242" t="str">
        <x:v>200664</x:v>
      </x:c>
      <x:c r="D242" t="str">
        <x:v>Government Medical college and District Hospital, Ratnagiri, Hodekar Road, Udyamnagar, Patwardhanwadi, Ratnagiri, Maharashtra-415612</x:v>
      </x:c>
      <x:c r="E242" t="str">
        <x:v>MH/023/G/1</x:v>
      </x:c>
      <x:c r="F242" t="str">
        <x:v>Government</x:v>
      </x:c>
      <x:c r="G242" t="n">
        <x:v>100</x:v>
      </x:c>
      <x:c r="H242" t="n">
        <x:v>100</x:v>
      </x:c>
      <x:c r="I242" t="str">
        <x:v>High-confidence fuzzy</x:v>
      </x:c>
      <x:c r="J242" t="n">
        <x:v>15</x:v>
      </x:c>
      <x:c r="K242" t="n">
        <x:v>15</x:v>
      </x:c>
      <x:c r="L242" t="n">
        <x:f>J242-K242</x:f>
        <x:v>0</x:v>
      </x:c>
      <x:c r="M242" s="20" t="n">
        <x:f>IFERROR(K242/J242,0)</x:f>
        <x:v>1</x:v>
      </x:c>
      <x:c r="N242" t="n">
        <x:v>15</x:v>
      </x:c>
      <x:c r="O242" t="n">
        <x:v>15</x:v>
      </x:c>
      <x:c r="P242" t="n">
        <x:f>N242-O242</x:f>
        <x:v>0</x:v>
      </x:c>
      <x:c r="Q242" t="n">
        <x:v>0</x:v>
      </x:c>
      <x:c r="R242" t="n">
        <x:v>0</x:v>
      </x:c>
      <x:c r="S242" t="n">
        <x:f>Q242-R242</x:f>
        <x:v>0</x:v>
      </x:c>
      <x:c r="T242" t="n">
        <x:v>15</x:v>
      </x:c>
      <x:c r="U242" t="n">
        <x:v>15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f>IF(AND(ISNUMBER(G242),I242&lt;&gt;"Excluded INI"),MAX(0,G242-J242),"")</x:f>
        <x:v>85</x:v>
      </x:c>
      <x:c r="AC242" t="n">
        <x:v>15893</x:v>
      </x:c>
      <x:c r="AD242" t="n">
        <x:v>16233</x:v>
      </x:c>
      <x:c r="AE242" t="n">
        <x:v>17107</x:v>
      </x:c>
      <x:c r="AF242" t="n">
        <x:v>17164</x:v>
      </x:c>
      <x:c r="AG242" t="n">
        <x:v>18239</x:v>
      </x:c>
      <x:c r="AH242" t="n">
        <x:v>18239</x:v>
      </x:c>
      <x:c r="AI242" t="n">
        <x:v>77896</x:v>
      </x:c>
      <x:c r="AJ242" t="n">
        <x:v>80714</x:v>
      </x:c>
      <x:c r="AK242" t="n">
        <x:v>96915</x:v>
      </x:c>
      <x:c r="AL242" t="n">
        <x:v>96915</x:v>
      </x:c>
      <x:c r="AM242" t="str">
        <x:v>Fully allotted in R1; R2 opportunity depends on upgrade/non-joining</x:v>
      </x:c>
    </x:row>
    <x:row r="243">
      <x:c r="A243" t="str">
        <x:v>Maharashtra</x:v>
      </x:c>
      <x:c r="B243" t="str">
        <x:v>All India except Central University</x:v>
      </x:c>
      <x:c r="C243" t="str">
        <x:v>200219</x:v>
      </x:c>
      <x:c r="D243" t="str">
        <x:v>Grant Medical College, Mumbai, Sir JJ Group of Hospital Compound, Sir JJ Road, Byculla Mumbai</x:v>
      </x:c>
      <x:c r="E243" t="str">
        <x:v>MH/048/G/1</x:v>
      </x:c>
      <x:c r="F243" t="str">
        <x:v>Government</x:v>
      </x:c>
      <x:c r="G243" t="n">
        <x:v>250</x:v>
      </x:c>
      <x:c r="H243" t="n">
        <x:v>100</x:v>
      </x:c>
      <x:c r="I243" t="str">
        <x:v>High-confidence fuzzy</x:v>
      </x:c>
      <x:c r="J243" t="n">
        <x:v>38</x:v>
      </x:c>
      <x:c r="K243" t="n">
        <x:v>38</x:v>
      </x:c>
      <x:c r="L243" t="n">
        <x:f>J243-K243</x:f>
        <x:v>0</x:v>
      </x:c>
      <x:c r="M243" s="20" t="n">
        <x:f>IFERROR(K243/J243,0)</x:f>
        <x:v>1</x:v>
      </x:c>
      <x:c r="N243" t="n">
        <x:v>38</x:v>
      </x:c>
      <x:c r="O243" t="n">
        <x:v>38</x:v>
      </x:c>
      <x:c r="P243" t="n">
        <x:f>N243-O243</x:f>
        <x:v>0</x:v>
      </x:c>
      <x:c r="Q243" t="n">
        <x:v>0</x:v>
      </x:c>
      <x:c r="R243" t="n">
        <x:v>0</x:v>
      </x:c>
      <x:c r="S243" t="n">
        <x:f>Q243-R243</x:f>
        <x:v>0</x:v>
      </x:c>
      <x:c r="T243" t="n">
        <x:v>38</x:v>
      </x:c>
      <x:c r="U243" t="n">
        <x:v>38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f>IF(AND(ISNUMBER(G243),I243&lt;&gt;"Excluded INI"),MAX(0,G243-J243),"")</x:f>
        <x:v>212</x:v>
      </x:c>
      <x:c r="AC243" t="n">
        <x:v>1863</x:v>
      </x:c>
      <x:c r="AD243" t="n">
        <x:v>2379</x:v>
      </x:c>
      <x:c r="AE243" t="n">
        <x:v>3770</x:v>
      </x:c>
      <x:c r="AF243" t="n">
        <x:v>4108</x:v>
      </x:c>
      <x:c r="AG243" t="n">
        <x:v>3779</x:v>
      </x:c>
      <x:c r="AH243" t="n">
        <x:v>4065</x:v>
      </x:c>
      <x:c r="AI243" t="n">
        <x:v>21969</x:v>
      </x:c>
      <x:c r="AJ243" t="n">
        <x:v>22986</x:v>
      </x:c>
      <x:c r="AK243" t="n">
        <x:v>47033</x:v>
      </x:c>
      <x:c r="AL243" t="n">
        <x:v>47680</x:v>
      </x:c>
      <x:c r="AM243" t="str">
        <x:v>Fully allotted in R1; R2 opportunity depends on upgrade/non-joining</x:v>
      </x:c>
    </x:row>
    <x:row r="244">
      <x:c r="A244" t="str">
        <x:v>Maharashtra</x:v>
      </x:c>
      <x:c r="B244" t="str">
        <x:v>All India except Central University</x:v>
      </x:c>
      <x:c r="C244" t="str">
        <x:v>200206</x:v>
      </x:c>
      <x:c r="D244" t="str">
        <x:v>H.B.T. Medical College &amp; Dr. R.N. Cooper Municipal General Hospital, Juhu, Mumbai, JUHU, VILEPARLE WEST MUMBAI</x:v>
      </x:c>
      <x:c r="E244" t="str">
        <x:v>MH/049/G/1</x:v>
      </x:c>
      <x:c r="F244" t="str">
        <x:v>Government</x:v>
      </x:c>
      <x:c r="G244" t="n">
        <x:v>200</x:v>
      </x:c>
      <x:c r="H244" t="n">
        <x:v>100</x:v>
      </x:c>
      <x:c r="I244" t="str">
        <x:v>High-confidence fuzzy</x:v>
      </x:c>
      <x:c r="J244" t="n">
        <x:v>30</x:v>
      </x:c>
      <x:c r="K244" t="n">
        <x:v>30</x:v>
      </x:c>
      <x:c r="L244" t="n">
        <x:f>J244-K244</x:f>
        <x:v>0</x:v>
      </x:c>
      <x:c r="M244" s="20" t="n">
        <x:f>IFERROR(K244/J244,0)</x:f>
        <x:v>1</x:v>
      </x:c>
      <x:c r="N244" t="n">
        <x:v>30</x:v>
      </x:c>
      <x:c r="O244" t="n">
        <x:v>30</x:v>
      </x:c>
      <x:c r="P244" t="n">
        <x:f>N244-O244</x:f>
        <x:v>0</x:v>
      </x:c>
      <x:c r="Q244" t="n">
        <x:v>0</x:v>
      </x:c>
      <x:c r="R244" t="n">
        <x:v>0</x:v>
      </x:c>
      <x:c r="S244" t="n">
        <x:f>Q244-R244</x:f>
        <x:v>0</x:v>
      </x:c>
      <x:c r="T244" t="n">
        <x:v>30</x:v>
      </x:c>
      <x:c r="U244" t="n">
        <x:v>30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f>IF(AND(ISNUMBER(G244),I244&lt;&gt;"Excluded INI"),MAX(0,G244-J244),"")</x:f>
        <x:v>170</x:v>
      </x:c>
      <x:c r="AC244" t="n">
        <x:v>4098</x:v>
      </x:c>
      <x:c r="AD244" t="n">
        <x:v>4191</x:v>
      </x:c>
      <x:c r="AE244" t="n">
        <x:v>6011</x:v>
      </x:c>
      <x:c r="AF244" t="n">
        <x:v>6395</x:v>
      </x:c>
      <x:c r="AG244" t="n">
        <x:v>6695</x:v>
      </x:c>
      <x:c r="AH244" t="n">
        <x:v>7741</x:v>
      </x:c>
      <x:c r="AI244" t="n">
        <x:v>39174</x:v>
      </x:c>
      <x:c r="AJ244" t="n">
        <x:v>42210</x:v>
      </x:c>
      <x:c r="AK244" t="n">
        <x:v>68828</x:v>
      </x:c>
      <x:c r="AL244" t="n">
        <x:v>69492</x:v>
      </x:c>
      <x:c r="AM244" t="str">
        <x:v>Fully allotted in R1; R2 opportunity depends on upgrade/non-joining</x:v>
      </x:c>
    </x:row>
    <x:row r="245">
      <x:c r="A245" t="str">
        <x:v>Maharashtra</x:v>
      </x:c>
      <x:c r="B245" t="str">
        <x:v>All India except Central University</x:v>
      </x:c>
      <x:c r="C245" t="str">
        <x:v>200220</x:v>
      </x:c>
      <x:c r="D245" t="str">
        <x:v>Indira Gandhi Medical College &amp; Hospital, Nagpur, MAYO HOSPITAL CENTRAL AVENUE ROAD NEAR RAM ZULA NAGPUR</x:v>
      </x:c>
      <x:c r="E245" t="str">
        <x:v>MH/051/G/1</x:v>
      </x:c>
      <x:c r="F245" t="str">
        <x:v>Government</x:v>
      </x:c>
      <x:c r="G245" t="n">
        <x:v>200</x:v>
      </x:c>
      <x:c r="H245" t="n">
        <x:v>100</x:v>
      </x:c>
      <x:c r="I245" t="str">
        <x:v>High-confidence fuzzy</x:v>
      </x:c>
      <x:c r="J245" t="n">
        <x:v>30</x:v>
      </x:c>
      <x:c r="K245" t="n">
        <x:v>30</x:v>
      </x:c>
      <x:c r="L245" t="n">
        <x:f>J245-K245</x:f>
        <x:v>0</x:v>
      </x:c>
      <x:c r="M245" s="20" t="n">
        <x:f>IFERROR(K245/J245,0)</x:f>
        <x:v>1</x:v>
      </x:c>
      <x:c r="N245" t="n">
        <x:v>30</x:v>
      </x:c>
      <x:c r="O245" t="n">
        <x:v>30</x:v>
      </x:c>
      <x:c r="P245" t="n">
        <x:f>N245-O245</x:f>
        <x:v>0</x:v>
      </x:c>
      <x:c r="Q245" t="n">
        <x:v>0</x:v>
      </x:c>
      <x:c r="R245" t="n">
        <x:v>0</x:v>
      </x:c>
      <x:c r="S245" t="n">
        <x:f>Q245-R245</x:f>
        <x:v>0</x:v>
      </x:c>
      <x:c r="T245" t="n">
        <x:v>30</x:v>
      </x:c>
      <x:c r="U245" t="n">
        <x:v>30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f>IF(AND(ISNUMBER(G245),I245&lt;&gt;"Excluded INI"),MAX(0,G245-J245),"")</x:f>
        <x:v>170</x:v>
      </x:c>
      <x:c r="AC245" t="n">
        <x:v>5742</x:v>
      </x:c>
      <x:c r="AD245" t="n">
        <x:v>6186</x:v>
      </x:c>
      <x:c r="AE245" t="n">
        <x:v>7365</x:v>
      </x:c>
      <x:c r="AF245" t="n">
        <x:v>7836</x:v>
      </x:c>
      <x:c r="AG245" t="n">
        <x:v>8306</x:v>
      </x:c>
      <x:c r="AH245" t="n">
        <x:v>8515</x:v>
      </x:c>
      <x:c r="AI245" t="n">
        <x:v>40383</x:v>
      </x:c>
      <x:c r="AJ245" t="n">
        <x:v>41138</x:v>
      </x:c>
      <x:c r="AK245" t="n">
        <x:v>74524</x:v>
      </x:c>
      <x:c r="AL245" t="n">
        <x:v>74524</x:v>
      </x:c>
      <x:c r="AM245" t="str">
        <x:v>Fully allotted in R1; R2 opportunity depends on upgrade/non-joining</x:v>
      </x:c>
    </x:row>
    <x:row r="246">
      <x:c r="A246" t="str">
        <x:v>Maharashtra</x:v>
      </x:c>
      <x:c r="B246" t="str">
        <x:v>Deemed University</x:v>
      </x:c>
      <x:c r="C246" t="str">
        <x:v>200364</x:v>
      </x:c>
      <x:c r="D246" t="str">
        <x:v>Jawaharlal Nehru Medical College, Sawangi (Meghe), Wardha, Sawangi (Meghe), Wardha, Maharashtra State, India</x:v>
      </x:c>
      <x:c r="E246" t="str">
        <x:v>MH/052/P/3</x:v>
      </x:c>
      <x:c r="F246" t="str">
        <x:v>Private</x:v>
      </x:c>
      <x:c r="G246" t="n">
        <x:v>250</x:v>
      </x:c>
      <x:c r="H246" t="n">
        <x:v>100</x:v>
      </x:c>
      <x:c r="I246" t="str">
        <x:v>High-confidence fuzzy</x:v>
      </x:c>
      <x:c r="J246" t="n">
        <x:v>250</x:v>
      </x:c>
      <x:c r="K246" t="n">
        <x:v>212</x:v>
      </x:c>
      <x:c r="L246" t="n">
        <x:f>J246-K246</x:f>
        <x:v>38</x:v>
      </x:c>
      <x:c r="M246" s="20" t="n">
        <x:f>IFERROR(K246/J246,0)</x:f>
        <x:v>0.848</x:v>
      </x:c>
      <x:c r="N246" t="n">
        <x:v>0</x:v>
      </x:c>
      <x:c r="O246" t="n">
        <x:v>0</x:v>
      </x:c>
      <x:c r="P246" t="n">
        <x:f>N246-O246</x:f>
        <x:v>0</x:v>
      </x:c>
      <x:c r="Q246" t="n">
        <x:v>250</x:v>
      </x:c>
      <x:c r="R246" t="n">
        <x:v>212</x:v>
      </x:c>
      <x:c r="S246" t="n">
        <x:f>Q246-R246</x:f>
        <x:v>38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212</x:v>
      </x:c>
      <x:c r="Y246" t="n">
        <x:v>212</x:v>
      </x:c>
      <x:c r="Z246" t="n">
        <x:v>38</x:v>
      </x:c>
      <x:c r="AA246" t="n">
        <x:v>0</x:v>
      </x:c>
      <x:c r="AB246" t="n">
        <x:f>IF(AND(ISNUMBER(G246),I246&lt;&gt;"Excluded INI"),MAX(0,G246-J246),"")</x:f>
        <x:v>0</x:v>
      </x:c>
      <x:c r="AC246" t="n">
        <x:v>574386</x:v>
      </x:c>
      <x:c r="AD246" t="n">
        <x:v>645866</x:v>
      </x:c>
      <x:c r="AE246"/>
      <x:c r="AF246"/>
      <x:c r="AG246"/>
      <x:c r="AH246"/>
      <x:c r="AI246"/>
      <x:c r="AJ246"/>
      <x:c r="AK246"/>
      <x:c r="AL246"/>
      <x:c r="AM246" t="str">
        <x:v>Unfilled mainly private/NRI/minority; regular R2 depends on movement</x:v>
      </x:c>
    </x:row>
    <x:row r="247">
      <x:c r="A247" t="str">
        <x:v>Maharashtra</x:v>
      </x:c>
      <x:c r="B247" t="str">
        <x:v>Deemed University</x:v>
      </x:c>
      <x:c r="C247" t="str">
        <x:v>200365</x:v>
      </x:c>
      <x:c r="D247" t="str">
        <x:v>Krishna Institute of Medical Sciences, Karad, KARAD, DIST. SATARA (MAHARASHTRA STATE).</x:v>
      </x:c>
      <x:c r="E247" t="str">
        <x:v>MH/054/P/3</x:v>
      </x:c>
      <x:c r="F247" t="str">
        <x:v>Private</x:v>
      </x:c>
      <x:c r="G247" t="n">
        <x:v>250</x:v>
      </x:c>
      <x:c r="H247" t="n">
        <x:v>100</x:v>
      </x:c>
      <x:c r="I247" t="str">
        <x:v>High-confidence fuzzy</x:v>
      </x:c>
      <x:c r="J247" t="n">
        <x:v>250</x:v>
      </x:c>
      <x:c r="K247" t="n">
        <x:v>213</x:v>
      </x:c>
      <x:c r="L247" t="n">
        <x:f>J247-K247</x:f>
        <x:v>37</x:v>
      </x:c>
      <x:c r="M247" s="20" t="n">
        <x:f>IFERROR(K247/J247,0)</x:f>
        <x:v>0.852</x:v>
      </x:c>
      <x:c r="N247" t="n">
        <x:v>0</x:v>
      </x:c>
      <x:c r="O247" t="n">
        <x:v>0</x:v>
      </x:c>
      <x:c r="P247" t="n">
        <x:f>N247-O247</x:f>
        <x:v>0</x:v>
      </x:c>
      <x:c r="Q247" t="n">
        <x:v>250</x:v>
      </x:c>
      <x:c r="R247" t="n">
        <x:v>213</x:v>
      </x:c>
      <x:c r="S247" t="n">
        <x:f>Q247-R247</x:f>
        <x:v>37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212</x:v>
      </x:c>
      <x:c r="Y247" t="n">
        <x:v>212</x:v>
      </x:c>
      <x:c r="Z247" t="n">
        <x:v>38</x:v>
      </x:c>
      <x:c r="AA247" t="n">
        <x:v>1</x:v>
      </x:c>
      <x:c r="AB247" t="n">
        <x:f>IF(AND(ISNUMBER(G247),I247&lt;&gt;"Excluded INI"),MAX(0,G247-J247),"")</x:f>
        <x:v>0</x:v>
      </x:c>
      <x:c r="AC247" t="n">
        <x:v>464355</x:v>
      </x:c>
      <x:c r="AD247" t="n">
        <x:v>800909</x:v>
      </x:c>
      <x:c r="AE247"/>
      <x:c r="AF247"/>
      <x:c r="AG247"/>
      <x:c r="AH247"/>
      <x:c r="AI247"/>
      <x:c r="AJ247"/>
      <x:c r="AK247"/>
      <x:c r="AL247"/>
      <x:c r="AM247" t="str">
        <x:v>Unfilled mainly private/NRI/minority; regular R2 depends on movement</x:v>
      </x:c>
    </x:row>
    <x:row r="248">
      <x:c r="A248" t="str">
        <x:v>Maharashtra</x:v>
      </x:c>
      <x:c r="B248" t="str">
        <x:v>All India except Central University</x:v>
      </x:c>
      <x:c r="C248" t="str">
        <x:v>200221</x:v>
      </x:c>
      <x:c r="D248" t="str">
        <x:v>Lokmanya Tilak Municipal Medical College, Sion, Mumbai, Dr. Babasaheb Ambedkar Road, Sion, Mumbai</x:v>
      </x:c>
      <x:c r="E248" t="str">
        <x:v>MH/055/G/1</x:v>
      </x:c>
      <x:c r="F248" t="str">
        <x:v>Government</x:v>
      </x:c>
      <x:c r="G248" t="n">
        <x:v>200</x:v>
      </x:c>
      <x:c r="H248" t="n">
        <x:v>100</x:v>
      </x:c>
      <x:c r="I248" t="str">
        <x:v>High-confidence fuzzy</x:v>
      </x:c>
      <x:c r="J248" t="n">
        <x:v>30</x:v>
      </x:c>
      <x:c r="K248" t="n">
        <x:v>30</x:v>
      </x:c>
      <x:c r="L248" t="n">
        <x:f>J248-K248</x:f>
        <x:v>0</x:v>
      </x:c>
      <x:c r="M248" s="20" t="n">
        <x:f>IFERROR(K248/J248,0)</x:f>
        <x:v>1</x:v>
      </x:c>
      <x:c r="N248" t="n">
        <x:v>30</x:v>
      </x:c>
      <x:c r="O248" t="n">
        <x:v>30</x:v>
      </x:c>
      <x:c r="P248" t="n">
        <x:f>N248-O248</x:f>
        <x:v>0</x:v>
      </x:c>
      <x:c r="Q248" t="n">
        <x:v>0</x:v>
      </x:c>
      <x:c r="R248" t="n">
        <x:v>0</x:v>
      </x:c>
      <x:c r="S248" t="n">
        <x:f>Q248-R248</x:f>
        <x:v>0</x:v>
      </x:c>
      <x:c r="T248" t="n">
        <x:v>30</x:v>
      </x:c>
      <x:c r="U248" t="n">
        <x:v>30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f>IF(AND(ISNUMBER(G248),I248&lt;&gt;"Excluded INI"),MAX(0,G248-J248),"")</x:f>
        <x:v>170</x:v>
      </x:c>
      <x:c r="AC248" t="n">
        <x:v>2167</x:v>
      </x:c>
      <x:c r="AD248" t="n">
        <x:v>2736</x:v>
      </x:c>
      <x:c r="AE248" t="n">
        <x:v>5010</x:v>
      </x:c>
      <x:c r="AF248" t="n">
        <x:v>5566</x:v>
      </x:c>
      <x:c r="AG248" t="n">
        <x:v>5766</x:v>
      </x:c>
      <x:c r="AH248" t="n">
        <x:v>5811</x:v>
      </x:c>
      <x:c r="AI248" t="n">
        <x:v>31494</x:v>
      </x:c>
      <x:c r="AJ248" t="n">
        <x:v>34032</x:v>
      </x:c>
      <x:c r="AK248" t="n">
        <x:v>59947</x:v>
      </x:c>
      <x:c r="AL248" t="n">
        <x:v>62041</x:v>
      </x:c>
      <x:c r="AM248" t="str">
        <x:v>Fully allotted in R1; R2 opportunity depends on upgrade/non-joining</x:v>
      </x:c>
    </x:row>
    <x:row r="249">
      <x:c r="A249" t="str">
        <x:v>Maharashtra</x:v>
      </x:c>
      <x:c r="B249" t="str">
        <x:v>All India except Central University</x:v>
      </x:c>
      <x:c r="C249" t="str">
        <x:v>200366</x:v>
      </x:c>
      <x:c r="D249" t="str">
        <x:v>Mahatma Gandhi Institute of Medical Sciences, Sevagram, Wardha, VILLAGE AND PO SEVAGRAM DISTRICT WARDHA MAHARASHTRA 442102</x:v>
      </x:c>
      <x:c r="E249" t="str">
        <x:v>MH/058/P/4</x:v>
      </x:c>
      <x:c r="F249" t="str">
        <x:v>Private</x:v>
      </x:c>
      <x:c r="G249" t="n">
        <x:v>100</x:v>
      </x:c>
      <x:c r="H249" t="n">
        <x:v>100</x:v>
      </x:c>
      <x:c r="I249" t="str">
        <x:v>High-confidence fuzzy</x:v>
      </x:c>
      <x:c r="J249" t="n">
        <x:v>46</x:v>
      </x:c>
      <x:c r="K249" t="n">
        <x:v>46</x:v>
      </x:c>
      <x:c r="L249" t="n">
        <x:f>J249-K249</x:f>
        <x:v>0</x:v>
      </x:c>
      <x:c r="M249" s="20" t="n">
        <x:f>IFERROR(K249/J249,0)</x:f>
        <x:v>1</x:v>
      </x:c>
      <x:c r="N249" t="n">
        <x:v>46</x:v>
      </x:c>
      <x:c r="O249" t="n">
        <x:v>46</x:v>
      </x:c>
      <x:c r="P249" t="n">
        <x:f>N249-O249</x:f>
        <x:v>0</x:v>
      </x:c>
      <x:c r="Q249" t="n">
        <x:v>0</x:v>
      </x:c>
      <x:c r="R249" t="n">
        <x:v>0</x:v>
      </x:c>
      <x:c r="S249" t="n">
        <x:f>Q249-R249</x:f>
        <x:v>0</x:v>
      </x:c>
      <x:c r="T249" t="n">
        <x:v>46</x:v>
      </x:c>
      <x:c r="U249" t="n">
        <x:v>46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f>IF(AND(ISNUMBER(G249),I249&lt;&gt;"Excluded INI"),MAX(0,G249-J249),"")</x:f>
        <x:v>54</x:v>
      </x:c>
      <x:c r="AC249" t="n">
        <x:v>9149</x:v>
      </x:c>
      <x:c r="AD249" t="n">
        <x:v>10502</x:v>
      </x:c>
      <x:c r="AE249" t="n">
        <x:v>13916</x:v>
      </x:c>
      <x:c r="AF249" t="n">
        <x:v>14345</x:v>
      </x:c>
      <x:c r="AG249" t="n">
        <x:v>15608</x:v>
      </x:c>
      <x:c r="AH249" t="n">
        <x:v>15718</x:v>
      </x:c>
      <x:c r="AI249" t="n">
        <x:v>64942</x:v>
      </x:c>
      <x:c r="AJ249" t="n">
        <x:v>71390</x:v>
      </x:c>
      <x:c r="AK249" t="n">
        <x:v>99074</x:v>
      </x:c>
      <x:c r="AL249" t="n">
        <x:v>100482</x:v>
      </x:c>
      <x:c r="AM249" t="str">
        <x:v>Fully allotted in R1; R2 opportunity depends on upgrade/non-joining</x:v>
      </x:c>
    </x:row>
    <x:row r="250">
      <x:c r="A250" t="str">
        <x:v>Maharashtra</x:v>
      </x:c>
      <x:c r="B250" t="str">
        <x:v>Deemed University</x:v>
      </x:c>
      <x:c r="C250" t="str">
        <x:v>200654</x:v>
      </x:c>
      <x:c r="D250" t="str">
        <x:v>Mahatma Gandhi Mission Medical College, Vashi, Sector 30, Vashi, Navi Mumbai</x:v>
      </x:c>
      <x:c r="E250" t="str">
        <x:v>MH/059/P/3</x:v>
      </x:c>
      <x:c r="F250" t="str">
        <x:v>Private</x:v>
      </x:c>
      <x:c r="G250" t="n">
        <x:v>100</x:v>
      </x:c>
      <x:c r="H250" t="n">
        <x:v>100</x:v>
      </x:c>
      <x:c r="I250" t="str">
        <x:v>High-confidence fuzzy</x:v>
      </x:c>
      <x:c r="J250" t="n">
        <x:v>100</x:v>
      </x:c>
      <x:c r="K250" t="n">
        <x:v>88</x:v>
      </x:c>
      <x:c r="L250" t="n">
        <x:f>J250-K250</x:f>
        <x:v>12</x:v>
      </x:c>
      <x:c r="M250" s="20" t="n">
        <x:f>IFERROR(K250/J250,0)</x:f>
        <x:v>0.88</x:v>
      </x:c>
      <x:c r="N250" t="n">
        <x:v>0</x:v>
      </x:c>
      <x:c r="O250" t="n">
        <x:v>0</x:v>
      </x:c>
      <x:c r="P250" t="n">
        <x:f>N250-O250</x:f>
        <x:v>0</x:v>
      </x:c>
      <x:c r="Q250" t="n">
        <x:v>100</x:v>
      </x:c>
      <x:c r="R250" t="n">
        <x:v>88</x:v>
      </x:c>
      <x:c r="S250" t="n">
        <x:f>Q250-R250</x:f>
        <x:v>12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85</x:v>
      </x:c>
      <x:c r="Y250" t="n">
        <x:v>85</x:v>
      </x:c>
      <x:c r="Z250" t="n">
        <x:v>15</x:v>
      </x:c>
      <x:c r="AA250" t="n">
        <x:v>3</x:v>
      </x:c>
      <x:c r="AB250" t="n">
        <x:f>IF(AND(ISNUMBER(G250),I250&lt;&gt;"Excluded INI"),MAX(0,G250-J250),"")</x:f>
        <x:v>0</x:v>
      </x:c>
      <x:c r="AC250" t="n">
        <x:v>265746</x:v>
      </x:c>
      <x:c r="AD250" t="n">
        <x:v>848152</x:v>
      </x:c>
      <x:c r="AE250"/>
      <x:c r="AF250"/>
      <x:c r="AG250"/>
      <x:c r="AH250"/>
      <x:c r="AI250"/>
      <x:c r="AJ250"/>
      <x:c r="AK250"/>
      <x:c r="AL250"/>
      <x:c r="AM250" t="str">
        <x:v>Unfilled mainly private/NRI/minority; regular R2 depends on movement</x:v>
      </x:c>
    </x:row>
    <x:row r="251">
      <x:c r="A251" t="str">
        <x:v>Maharashtra</x:v>
      </x:c>
      <x:c r="B251" t="str">
        <x:v>Deemed University</x:v>
      </x:c>
      <x:c r="C251" t="str">
        <x:v>200367</x:v>
      </x:c>
      <x:c r="D251" t="str">
        <x:v>Mahatma Gandhi Missions Medical College, Aurangabad, N-6, Cidco, Chhatrapati Sambhajinagar -Aurangabad</x:v>
      </x:c>
      <x:c r="E251" t="str">
        <x:v>MH/060/P/3</x:v>
      </x:c>
      <x:c r="F251" t="str">
        <x:v>Private</x:v>
      </x:c>
      <x:c r="G251" t="n">
        <x:v>250</x:v>
      </x:c>
      <x:c r="H251" t="n">
        <x:v>100</x:v>
      </x:c>
      <x:c r="I251" t="str">
        <x:v>High-confidence fuzzy</x:v>
      </x:c>
      <x:c r="J251" t="n">
        <x:v>250</x:v>
      </x:c>
      <x:c r="K251" t="n">
        <x:v>217</x:v>
      </x:c>
      <x:c r="L251" t="n">
        <x:f>J251-K251</x:f>
        <x:v>33</x:v>
      </x:c>
      <x:c r="M251" s="20" t="n">
        <x:f>IFERROR(K251/J251,0)</x:f>
        <x:v>0.868</x:v>
      </x:c>
      <x:c r="N251" t="n">
        <x:v>0</x:v>
      </x:c>
      <x:c r="O251" t="n">
        <x:v>0</x:v>
      </x:c>
      <x:c r="P251" t="n">
        <x:f>N251-O251</x:f>
        <x:v>0</x:v>
      </x:c>
      <x:c r="Q251" t="n">
        <x:v>250</x:v>
      </x:c>
      <x:c r="R251" t="n">
        <x:v>217</x:v>
      </x:c>
      <x:c r="S251" t="n">
        <x:f>Q251-R251</x:f>
        <x:v>33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213</x:v>
      </x:c>
      <x:c r="Y251" t="n">
        <x:v>213</x:v>
      </x:c>
      <x:c r="Z251" t="n">
        <x:v>37</x:v>
      </x:c>
      <x:c r="AA251" t="n">
        <x:v>4</x:v>
      </x:c>
      <x:c r="AB251" t="n">
        <x:f>IF(AND(ISNUMBER(G251),I251&lt;&gt;"Excluded INI"),MAX(0,G251-J251),"")</x:f>
        <x:v>0</x:v>
      </x:c>
      <x:c r="AC251" t="n">
        <x:v>266853</x:v>
      </x:c>
      <x:c r="AD251" t="n">
        <x:v>901299</x:v>
      </x:c>
      <x:c r="AE251"/>
      <x:c r="AF251"/>
      <x:c r="AG251"/>
      <x:c r="AH251"/>
      <x:c r="AI251"/>
      <x:c r="AJ251"/>
      <x:c r="AK251"/>
      <x:c r="AL251"/>
      <x:c r="AM251" t="str">
        <x:v>Unfilled mainly private/NRI/minority; regular R2 depends on movement</x:v>
      </x:c>
    </x:row>
    <x:row r="252">
      <x:c r="A252" t="str">
        <x:v>Maharashtra</x:v>
      </x:c>
      <x:c r="B252" t="str">
        <x:v>Deemed University</x:v>
      </x:c>
      <x:c r="C252" t="str">
        <x:v>200368</x:v>
      </x:c>
      <x:c r="D252" t="str">
        <x:v>Mahatma Gandhi Missions Medical College, Navi Mumbai, MGM Medical College, Plot No. 1-2, Sector 1, Kamothe, Navi Mumbai - 410 209</x:v>
      </x:c>
      <x:c r="E252" t="str">
        <x:v>MH/061/P/3</x:v>
      </x:c>
      <x:c r="F252" t="str">
        <x:v>Private</x:v>
      </x:c>
      <x:c r="G252" t="n">
        <x:v>250</x:v>
      </x:c>
      <x:c r="H252" t="n">
        <x:v>100</x:v>
      </x:c>
      <x:c r="I252" t="str">
        <x:v>High-confidence fuzzy</x:v>
      </x:c>
      <x:c r="J252" t="n">
        <x:v>250</x:v>
      </x:c>
      <x:c r="K252" t="n">
        <x:v>235</x:v>
      </x:c>
      <x:c r="L252" t="n">
        <x:f>J252-K252</x:f>
        <x:v>15</x:v>
      </x:c>
      <x:c r="M252" s="20" t="n">
        <x:f>IFERROR(K252/J252,0)</x:f>
        <x:v>0.94</x:v>
      </x:c>
      <x:c r="N252" t="n">
        <x:v>0</x:v>
      </x:c>
      <x:c r="O252" t="n">
        <x:v>0</x:v>
      </x:c>
      <x:c r="P252" t="n">
        <x:f>N252-O252</x:f>
        <x:v>0</x:v>
      </x:c>
      <x:c r="Q252" t="n">
        <x:v>250</x:v>
      </x:c>
      <x:c r="R252" t="n">
        <x:v>235</x:v>
      </x:c>
      <x:c r="S252" t="n">
        <x:f>Q252-R252</x:f>
        <x:v>15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213</x:v>
      </x:c>
      <x:c r="Y252" t="n">
        <x:v>213</x:v>
      </x:c>
      <x:c r="Z252" t="n">
        <x:v>37</x:v>
      </x:c>
      <x:c r="AA252" t="n">
        <x:v>22</x:v>
      </x:c>
      <x:c r="AB252" t="n">
        <x:f>IF(AND(ISNUMBER(G252),I252&lt;&gt;"Excluded INI"),MAX(0,G252-J252),"")</x:f>
        <x:v>0</x:v>
      </x:c>
      <x:c r="AC252" t="n">
        <x:v>216476</x:v>
      </x:c>
      <x:c r="AD252" t="n">
        <x:v>948744</x:v>
      </x:c>
      <x:c r="AE252"/>
      <x:c r="AF252"/>
      <x:c r="AG252"/>
      <x:c r="AH252"/>
      <x:c r="AI252"/>
      <x:c r="AJ252"/>
      <x:c r="AK252"/>
      <x:c r="AL252"/>
      <x:c r="AM252" t="str">
        <x:v>Unfilled mainly private/NRI/minority; regular R2 depends on movement</x:v>
      </x:c>
    </x:row>
    <x:row r="253">
      <x:c r="A253" t="str">
        <x:v>Maharashtra</x:v>
      </x:c>
      <x:c r="B253" t="str">
        <x:v>Deemed University</x:v>
      </x:c>
      <x:c r="C253" t="str">
        <x:v>902807</x:v>
      </x:c>
      <x:c r="D253" t="str">
        <x:v>Mahatma Gandhi Missions Medical College, Nerul, Navi Mumbai, Sector-8, Nerul West Navi Mumbai</x:v>
      </x:c>
      <x:c r="E253" t="str">
        <x:v>MH/062/P/3</x:v>
      </x:c>
      <x:c r="F253" t="str">
        <x:v>Private</x:v>
      </x:c>
      <x:c r="G253" t="n">
        <x:v>50</x:v>
      </x:c>
      <x:c r="H253" t="n">
        <x:v>100</x:v>
      </x:c>
      <x:c r="I253" t="str">
        <x:v>High-confidence fuzzy</x:v>
      </x:c>
      <x:c r="J253" t="n">
        <x:v>50</x:v>
      </x:c>
      <x:c r="K253" t="n">
        <x:v>43</x:v>
      </x:c>
      <x:c r="L253" t="n">
        <x:f>J253-K253</x:f>
        <x:v>7</x:v>
      </x:c>
      <x:c r="M253" s="20" t="n">
        <x:f>IFERROR(K253/J253,0)</x:f>
        <x:v>0.86</x:v>
      </x:c>
      <x:c r="N253" t="n">
        <x:v>0</x:v>
      </x:c>
      <x:c r="O253" t="n">
        <x:v>0</x:v>
      </x:c>
      <x:c r="P253" t="n">
        <x:f>N253-O253</x:f>
        <x:v>0</x:v>
      </x:c>
      <x:c r="Q253" t="n">
        <x:v>50</x:v>
      </x:c>
      <x:c r="R253" t="n">
        <x:v>43</x:v>
      </x:c>
      <x:c r="S253" t="n">
        <x:f>Q253-R253</x:f>
        <x:v>7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43</x:v>
      </x:c>
      <x:c r="Y253" t="n">
        <x:v>43</x:v>
      </x:c>
      <x:c r="Z253" t="n">
        <x:v>7</x:v>
      </x:c>
      <x:c r="AA253" t="n">
        <x:v>0</x:v>
      </x:c>
      <x:c r="AB253" t="n">
        <x:f>IF(AND(ISNUMBER(G253),I253&lt;&gt;"Excluded INI"),MAX(0,G253-J253),"")</x:f>
        <x:v>0</x:v>
      </x:c>
      <x:c r="AC253" t="n">
        <x:v>336954</x:v>
      </x:c>
      <x:c r="AD253" t="n">
        <x:v>368433</x:v>
      </x:c>
      <x:c r="AE253"/>
      <x:c r="AF253"/>
      <x:c r="AG253"/>
      <x:c r="AH253"/>
      <x:c r="AI253"/>
      <x:c r="AJ253"/>
      <x:c r="AK253"/>
      <x:c r="AL253"/>
      <x:c r="AM253" t="str">
        <x:v>Unfilled mainly private/NRI/minority; regular R2 depends on movement</x:v>
      </x:c>
    </x:row>
    <x:row r="254">
      <x:c r="A254" t="str">
        <x:v>Maharashtra</x:v>
      </x:c>
      <x:c r="B254" t="str">
        <x:v>Deemed University</x:v>
      </x:c>
      <x:c r="C254" t="str">
        <x:v>904553</x:v>
      </x:c>
      <x:c r="D254" t="str">
        <x:v>Mahatma Gandhi Missions Medical College, Panvel, Gate No. 2, MGM Education Campus, Near Kalamboli Circle, Panvel, Raigad</x:v>
      </x:c>
      <x:c r="E254" t="str">
        <x:v>MH/063/P/3</x:v>
      </x:c>
      <x:c r="F254" t="str">
        <x:v>Private</x:v>
      </x:c>
      <x:c r="G254" t="n">
        <x:v>100</x:v>
      </x:c>
      <x:c r="H254" t="n">
        <x:v>100</x:v>
      </x:c>
      <x:c r="I254" t="str">
        <x:v>High-confidence fuzzy</x:v>
      </x:c>
      <x:c r="J254" t="n">
        <x:v>100</x:v>
      </x:c>
      <x:c r="K254" t="n">
        <x:v>85</x:v>
      </x:c>
      <x:c r="L254" t="n">
        <x:f>J254-K254</x:f>
        <x:v>15</x:v>
      </x:c>
      <x:c r="M254" s="20" t="n">
        <x:f>IFERROR(K254/J254,0)</x:f>
        <x:v>0.85</x:v>
      </x:c>
      <x:c r="N254" t="n">
        <x:v>0</x:v>
      </x:c>
      <x:c r="O254" t="n">
        <x:v>0</x:v>
      </x:c>
      <x:c r="P254" t="n">
        <x:f>N254-O254</x:f>
        <x:v>0</x:v>
      </x:c>
      <x:c r="Q254" t="n">
        <x:v>100</x:v>
      </x:c>
      <x:c r="R254" t="n">
        <x:v>85</x:v>
      </x:c>
      <x:c r="S254" t="n">
        <x:f>Q254-R254</x:f>
        <x:v>15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85</x:v>
      </x:c>
      <x:c r="Y254" t="n">
        <x:v>85</x:v>
      </x:c>
      <x:c r="Z254" t="n">
        <x:v>15</x:v>
      </x:c>
      <x:c r="AA254" t="n">
        <x:v>0</x:v>
      </x:c>
      <x:c r="AB254" t="n">
        <x:f>IF(AND(ISNUMBER(G254),I254&lt;&gt;"Excluded INI"),MAX(0,G254-J254),"")</x:f>
        <x:v>0</x:v>
      </x:c>
      <x:c r="AC254" t="n">
        <x:v>388755</x:v>
      </x:c>
      <x:c r="AD254" t="n">
        <x:v>446811</x:v>
      </x:c>
      <x:c r="AE254"/>
      <x:c r="AF254"/>
      <x:c r="AG254"/>
      <x:c r="AH254"/>
      <x:c r="AI254"/>
      <x:c r="AJ254"/>
      <x:c r="AK254"/>
      <x:c r="AL254"/>
      <x:c r="AM254" t="str">
        <x:v>Unfilled mainly private/NRI/minority; regular R2 depends on movement</x:v>
      </x:c>
    </x:row>
    <x:row r="255">
      <x:c r="A255" t="str">
        <x:v>Maharashtra</x:v>
      </x:c>
      <x:c r="B255" t="str">
        <x:v>Deemed University</x:v>
      </x:c>
      <x:c r="C255" t="str">
        <x:v>904758</x:v>
      </x:c>
      <x:c r="D255" t="str">
        <x:v>Padmashree Dr. DY. Patil Medical College, Navi Mumbai, Sector 5, Nerul, Navi Mumbai,</x:v>
      </x:c>
      <x:c r="E255" t="str">
        <x:v>MH/066/P/3</x:v>
      </x:c>
      <x:c r="F255" t="str">
        <x:v>Private</x:v>
      </x:c>
      <x:c r="G255" t="n">
        <x:v>250</x:v>
      </x:c>
      <x:c r="H255" t="n">
        <x:v>96.2</x:v>
      </x:c>
      <x:c r="I255" t="str">
        <x:v>High-confidence fuzzy</x:v>
      </x:c>
      <x:c r="J255" t="n">
        <x:v>250</x:v>
      </x:c>
      <x:c r="K255" t="n">
        <x:v>214</x:v>
      </x:c>
      <x:c r="L255" t="n">
        <x:f>J255-K255</x:f>
        <x:v>36</x:v>
      </x:c>
      <x:c r="M255" s="20" t="n">
        <x:f>IFERROR(K255/J255,0)</x:f>
        <x:v>0.856</x:v>
      </x:c>
      <x:c r="N255" t="n">
        <x:v>0</x:v>
      </x:c>
      <x:c r="O255" t="n">
        <x:v>0</x:v>
      </x:c>
      <x:c r="P255" t="n">
        <x:f>N255-O255</x:f>
        <x:v>0</x:v>
      </x:c>
      <x:c r="Q255" t="n">
        <x:v>250</x:v>
      </x:c>
      <x:c r="R255" t="n">
        <x:v>214</x:v>
      </x:c>
      <x:c r="S255" t="n">
        <x:f>Q255-R255</x:f>
        <x:v>36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212</x:v>
      </x:c>
      <x:c r="Y255" t="n">
        <x:v>212</x:v>
      </x:c>
      <x:c r="Z255" t="n">
        <x:v>38</x:v>
      </x:c>
      <x:c r="AA255" t="n">
        <x:v>2</x:v>
      </x:c>
      <x:c r="AB255" t="n">
        <x:f>IF(AND(ISNUMBER(G255),I255&lt;&gt;"Excluded INI"),MAX(0,G255-J255),"")</x:f>
        <x:v>0</x:v>
      </x:c>
      <x:c r="AC255" t="n">
        <x:v>433067</x:v>
      </x:c>
      <x:c r="AD255" t="n">
        <x:v>942886</x:v>
      </x:c>
      <x:c r="AE255"/>
      <x:c r="AF255"/>
      <x:c r="AG255"/>
      <x:c r="AH255"/>
      <x:c r="AI255"/>
      <x:c r="AJ255"/>
      <x:c r="AK255"/>
      <x:c r="AL255"/>
      <x:c r="AM255" t="str">
        <x:v>Unfilled mainly private/NRI/minority; regular R2 depends on movement</x:v>
      </x:c>
    </x:row>
    <x:row r="256">
      <x:c r="A256" t="str">
        <x:v>Maharashtra</x:v>
      </x:c>
      <x:c r="B256" t="str">
        <x:v>All India except Central University</x:v>
      </x:c>
      <x:c r="C256" t="str">
        <x:v>200225</x:v>
      </x:c>
      <x:c r="D256" t="str">
        <x:v>Rajashree Chatrapati Shahu Maharaj Government Medical College, Kolhapur, Rajarshee Chhatrapati Shahu Maharaj Government Medical College, R. K. Nagar Road, Shenda Park, Kol</x:v>
      </x:c>
      <x:c r="E256" t="str">
        <x:v>MH/069/G/1</x:v>
      </x:c>
      <x:c r="F256" t="str">
        <x:v>Government</x:v>
      </x:c>
      <x:c r="G256" t="n">
        <x:v>150</x:v>
      </x:c>
      <x:c r="H256" t="n">
        <x:v>100</x:v>
      </x:c>
      <x:c r="I256" t="str">
        <x:v>High-confidence fuzzy</x:v>
      </x:c>
      <x:c r="J256" t="n">
        <x:v>23</x:v>
      </x:c>
      <x:c r="K256" t="n">
        <x:v>23</x:v>
      </x:c>
      <x:c r="L256" t="n">
        <x:f>J256-K256</x:f>
        <x:v>0</x:v>
      </x:c>
      <x:c r="M256" s="20" t="n">
        <x:f>IFERROR(K256/J256,0)</x:f>
        <x:v>1</x:v>
      </x:c>
      <x:c r="N256" t="n">
        <x:v>23</x:v>
      </x:c>
      <x:c r="O256" t="n">
        <x:v>23</x:v>
      </x:c>
      <x:c r="P256" t="n">
        <x:f>N256-O256</x:f>
        <x:v>0</x:v>
      </x:c>
      <x:c r="Q256" t="n">
        <x:v>0</x:v>
      </x:c>
      <x:c r="R256" t="n">
        <x:v>0</x:v>
      </x:c>
      <x:c r="S256" t="n">
        <x:f>Q256-R256</x:f>
        <x:v>0</x:v>
      </x:c>
      <x:c r="T256" t="n">
        <x:v>23</x:v>
      </x:c>
      <x:c r="U256" t="n">
        <x:v>23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f>IF(AND(ISNUMBER(G256),I256&lt;&gt;"Excluded INI"),MAX(0,G256-J256),"")</x:f>
        <x:v>127</x:v>
      </x:c>
      <x:c r="AC256" t="n">
        <x:v>10189</x:v>
      </x:c>
      <x:c r="AD256" t="n">
        <x:v>11493</x:v>
      </x:c>
      <x:c r="AE256" t="n">
        <x:v>12721</x:v>
      </x:c>
      <x:c r="AF256" t="n">
        <x:v>12899</x:v>
      </x:c>
      <x:c r="AG256" t="n">
        <x:v>14616</x:v>
      </x:c>
      <x:c r="AH256" t="n">
        <x:v>14747</x:v>
      </x:c>
      <x:c r="AI256" t="n">
        <x:v>55658</x:v>
      </x:c>
      <x:c r="AJ256" t="n">
        <x:v>62403</x:v>
      </x:c>
      <x:c r="AK256" t="n">
        <x:v>82437</x:v>
      </x:c>
      <x:c r="AL256" t="n">
        <x:v>90270</x:v>
      </x:c>
      <x:c r="AM256" t="str">
        <x:v>Fully allotted in R1; R2 opportunity depends on upgrade/non-joining</x:v>
      </x:c>
    </x:row>
    <x:row r="257">
      <x:c r="A257" t="str">
        <x:v>Maharashtra</x:v>
      </x:c>
      <x:c r="B257" t="str">
        <x:v>All India except Central University</x:v>
      </x:c>
      <x:c r="C257" t="str">
        <x:v>200224</x:v>
      </x:c>
      <x:c r="D257" t="str">
        <x:v>Rajiv Gandhi Medical College and Chhatrapati Shivaji Maharaj Hospital, Thane, THANE BELAPUR ROAD KALWA THANE WEST</x:v>
      </x:c>
      <x:c r="E257" t="str">
        <x:v>MH/070/G/1</x:v>
      </x:c>
      <x:c r="F257" t="str">
        <x:v>Government</x:v>
      </x:c>
      <x:c r="G257" t="n">
        <x:v>100</x:v>
      </x:c>
      <x:c r="H257" t="n">
        <x:v>100</x:v>
      </x:c>
      <x:c r="I257" t="str">
        <x:v>High-confidence fuzzy</x:v>
      </x:c>
      <x:c r="J257" t="n">
        <x:v>15</x:v>
      </x:c>
      <x:c r="K257" t="n">
        <x:v>15</x:v>
      </x:c>
      <x:c r="L257" t="n">
        <x:f>J257-K257</x:f>
        <x:v>0</x:v>
      </x:c>
      <x:c r="M257" s="20" t="n">
        <x:f>IFERROR(K257/J257,0)</x:f>
        <x:v>1</x:v>
      </x:c>
      <x:c r="N257" t="n">
        <x:v>15</x:v>
      </x:c>
      <x:c r="O257" t="n">
        <x:v>15</x:v>
      </x:c>
      <x:c r="P257" t="n">
        <x:f>N257-O257</x:f>
        <x:v>0</x:v>
      </x:c>
      <x:c r="Q257" t="n">
        <x:v>0</x:v>
      </x:c>
      <x:c r="R257" t="n">
        <x:v>0</x:v>
      </x:c>
      <x:c r="S257" t="n">
        <x:f>Q257-R257</x:f>
        <x:v>0</x:v>
      </x:c>
      <x:c r="T257" t="n">
        <x:v>15</x:v>
      </x:c>
      <x:c r="U257" t="n">
        <x:v>15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f>IF(AND(ISNUMBER(G257),I257&lt;&gt;"Excluded INI"),MAX(0,G257-J257),"")</x:f>
        <x:v>85</x:v>
      </x:c>
      <x:c r="AC257" t="n">
        <x:v>5422</x:v>
      </x:c>
      <x:c r="AD257" t="n">
        <x:v>5777</x:v>
      </x:c>
      <x:c r="AE257" t="n">
        <x:v>7828</x:v>
      </x:c>
      <x:c r="AF257" t="n">
        <x:v>8010</x:v>
      </x:c>
      <x:c r="AG257" t="n">
        <x:v>8099</x:v>
      </x:c>
      <x:c r="AH257" t="n">
        <x:v>8099</x:v>
      </x:c>
      <x:c r="AI257" t="n">
        <x:v>48582</x:v>
      </x:c>
      <x:c r="AJ257" t="n">
        <x:v>51566</x:v>
      </x:c>
      <x:c r="AK257" t="n">
        <x:v>66081</x:v>
      </x:c>
      <x:c r="AL257" t="n">
        <x:v>66081</x:v>
      </x:c>
      <x:c r="AM257" t="str">
        <x:v>Fully allotted in R1; R2 opportunity depends on upgrade/non-joining</x:v>
      </x:c>
    </x:row>
    <x:row r="258">
      <x:c r="A258" t="str">
        <x:v>Maharashtra</x:v>
      </x:c>
      <x:c r="B258" t="str">
        <x:v>Deemed University</x:v>
      </x:c>
      <x:c r="C258" t="str">
        <x:v>200370</x:v>
      </x:c>
      <x:c r="D258" t="str">
        <x:v>Rural Medical College, Loni, Dr. Balasheb Vikhe Patil Rural Medical College At Loni BK Tal Rahata Dist. Ahilyanagar Maha</x:v>
      </x:c>
      <x:c r="E258" t="str">
        <x:v>MH/072/P/3</x:v>
      </x:c>
      <x:c r="F258" t="str">
        <x:v>Private</x:v>
      </x:c>
      <x:c r="G258" t="n">
        <x:v>200</x:v>
      </x:c>
      <x:c r="H258" t="n">
        <x:v>100</x:v>
      </x:c>
      <x:c r="I258" t="str">
        <x:v>High-confidence fuzzy</x:v>
      </x:c>
      <x:c r="J258" t="n">
        <x:v>200</x:v>
      </x:c>
      <x:c r="K258" t="n">
        <x:v>171</x:v>
      </x:c>
      <x:c r="L258" t="n">
        <x:f>J258-K258</x:f>
        <x:v>29</x:v>
      </x:c>
      <x:c r="M258" s="20" t="n">
        <x:f>IFERROR(K258/J258,0)</x:f>
        <x:v>0.855</x:v>
      </x:c>
      <x:c r="N258" t="n">
        <x:v>0</x:v>
      </x:c>
      <x:c r="O258" t="n">
        <x:v>0</x:v>
      </x:c>
      <x:c r="P258" t="n">
        <x:f>N258-O258</x:f>
        <x:v>0</x:v>
      </x:c>
      <x:c r="Q258" t="n">
        <x:v>200</x:v>
      </x:c>
      <x:c r="R258" t="n">
        <x:v>171</x:v>
      </x:c>
      <x:c r="S258" t="n">
        <x:f>Q258-R258</x:f>
        <x:v>29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170</x:v>
      </x:c>
      <x:c r="Y258" t="n">
        <x:v>170</x:v>
      </x:c>
      <x:c r="Z258" t="n">
        <x:v>30</x:v>
      </x:c>
      <x:c r="AA258" t="n">
        <x:v>1</x:v>
      </x:c>
      <x:c r="AB258" t="n">
        <x:f>IF(AND(ISNUMBER(G258),I258&lt;&gt;"Excluded INI"),MAX(0,G258-J258),"")</x:f>
        <x:v>0</x:v>
      </x:c>
      <x:c r="AC258" t="n">
        <x:v>121307</x:v>
      </x:c>
      <x:c r="AD258" t="n">
        <x:v>646268</x:v>
      </x:c>
      <x:c r="AE258"/>
      <x:c r="AF258"/>
      <x:c r="AG258"/>
      <x:c r="AH258"/>
      <x:c r="AI258"/>
      <x:c r="AJ258"/>
      <x:c r="AK258"/>
      <x:c r="AL258"/>
      <x:c r="AM258" t="str">
        <x:v>Unfilled mainly private/NRI/minority; regular R2 depends on movement</x:v>
      </x:c>
    </x:row>
    <x:row r="259">
      <x:c r="A259" t="str">
        <x:v>Maharashtra</x:v>
      </x:c>
      <x:c r="B259" t="str">
        <x:v>All India except Central University</x:v>
      </x:c>
      <x:c r="C259" t="str">
        <x:v>200229</x:v>
      </x:c>
      <x:c r="D259" t="str">
        <x:v>SRTR Medical College, Ambajogai, SWAMI RAMNAND TEERTH RURAL GOVERNMENT MEDICAL COLLEGE AMBAJOGAI DIST BEED MAHARASHTRA PIN-431517</x:v>
      </x:c>
      <x:c r="E259" t="str">
        <x:v>MH/080/G/1</x:v>
      </x:c>
      <x:c r="F259" t="str">
        <x:v>Government</x:v>
      </x:c>
      <x:c r="G259" t="n">
        <x:v>150</x:v>
      </x:c>
      <x:c r="H259" t="n">
        <x:v>100</x:v>
      </x:c>
      <x:c r="I259" t="str">
        <x:v>High-confidence fuzzy</x:v>
      </x:c>
      <x:c r="J259" t="n">
        <x:v>22</x:v>
      </x:c>
      <x:c r="K259" t="n">
        <x:v>22</x:v>
      </x:c>
      <x:c r="L259" t="n">
        <x:f>J259-K259</x:f>
        <x:v>0</x:v>
      </x:c>
      <x:c r="M259" s="20" t="n">
        <x:f>IFERROR(K259/J259,0)</x:f>
        <x:v>1</x:v>
      </x:c>
      <x:c r="N259" t="n">
        <x:v>22</x:v>
      </x:c>
      <x:c r="O259" t="n">
        <x:v>22</x:v>
      </x:c>
      <x:c r="P259" t="n">
        <x:f>N259-O259</x:f>
        <x:v>0</x:v>
      </x:c>
      <x:c r="Q259" t="n">
        <x:v>0</x:v>
      </x:c>
      <x:c r="R259" t="n">
        <x:v>0</x:v>
      </x:c>
      <x:c r="S259" t="n">
        <x:f>Q259-R259</x:f>
        <x:v>0</x:v>
      </x:c>
      <x:c r="T259" t="n">
        <x:v>22</x:v>
      </x:c>
      <x:c r="U259" t="n">
        <x:v>22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f>IF(AND(ISNUMBER(G259),I259&lt;&gt;"Excluded INI"),MAX(0,G259-J259),"")</x:f>
        <x:v>128</x:v>
      </x:c>
      <x:c r="AC259" t="n">
        <x:v>14200</x:v>
      </x:c>
      <x:c r="AD259" t="n">
        <x:v>14536</x:v>
      </x:c>
      <x:c r="AE259" t="n">
        <x:v>15302</x:v>
      </x:c>
      <x:c r="AF259" t="n">
        <x:v>15650</x:v>
      </x:c>
      <x:c r="AG259" t="n">
        <x:v>17801</x:v>
      </x:c>
      <x:c r="AH259" t="n">
        <x:v>18680</x:v>
      </x:c>
      <x:c r="AI259" t="n">
        <x:v>70179</x:v>
      </x:c>
      <x:c r="AJ259" t="n">
        <x:v>73309</x:v>
      </x:c>
      <x:c r="AK259" t="n">
        <x:v>97728</x:v>
      </x:c>
      <x:c r="AL259" t="n">
        <x:v>97728</x:v>
      </x:c>
      <x:c r="AM259" t="str">
        <x:v>Fully allotted in R1; R2 opportunity depends on upgrade/non-joining</x:v>
      </x:c>
    </x:row>
    <x:row r="260">
      <x:c r="A260" t="str">
        <x:v>Maharashtra</x:v>
      </x:c>
      <x:c r="B260" t="str">
        <x:v>All India except Central University</x:v>
      </x:c>
      <x:c r="C260" t="str">
        <x:v>200226</x:v>
      </x:c>
      <x:c r="D260" t="str">
        <x:v>Seth GS Medical College, Mumbai, ACHARYA DONDE MARG PAREL MUMBAI</x:v>
      </x:c>
      <x:c r="E260" t="str">
        <x:v>MH/073/G/1</x:v>
      </x:c>
      <x:c r="F260" t="str">
        <x:v>Government</x:v>
      </x:c>
      <x:c r="G260" t="n">
        <x:v>250</x:v>
      </x:c>
      <x:c r="H260" t="n">
        <x:v>100</x:v>
      </x:c>
      <x:c r="I260" t="str">
        <x:v>High-confidence fuzzy</x:v>
      </x:c>
      <x:c r="J260" t="n">
        <x:v>38</x:v>
      </x:c>
      <x:c r="K260" t="n">
        <x:v>38</x:v>
      </x:c>
      <x:c r="L260" t="n">
        <x:f>J260-K260</x:f>
        <x:v>0</x:v>
      </x:c>
      <x:c r="M260" s="20" t="n">
        <x:f>IFERROR(K260/J260,0)</x:f>
        <x:v>1</x:v>
      </x:c>
      <x:c r="N260" t="n">
        <x:v>38</x:v>
      </x:c>
      <x:c r="O260" t="n">
        <x:v>38</x:v>
      </x:c>
      <x:c r="P260" t="n">
        <x:f>N260-O260</x:f>
        <x:v>0</x:v>
      </x:c>
      <x:c r="Q260" t="n">
        <x:v>0</x:v>
      </x:c>
      <x:c r="R260" t="n">
        <x:v>0</x:v>
      </x:c>
      <x:c r="S260" t="n">
        <x:f>Q260-R260</x:f>
        <x:v>0</x:v>
      </x:c>
      <x:c r="T260" t="n">
        <x:v>38</x:v>
      </x:c>
      <x:c r="U260" t="n">
        <x:v>38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f>IF(AND(ISNUMBER(G260),I260&lt;&gt;"Excluded INI"),MAX(0,G260-J260),"")</x:f>
        <x:v>212</x:v>
      </x:c>
      <x:c r="AC260" t="n">
        <x:v>960</x:v>
      </x:c>
      <x:c r="AD260" t="n">
        <x:v>1128</x:v>
      </x:c>
      <x:c r="AE260" t="n">
        <x:v>2317</x:v>
      </x:c>
      <x:c r="AF260" t="n">
        <x:v>3187</x:v>
      </x:c>
      <x:c r="AG260" t="n">
        <x:v>3988</x:v>
      </x:c>
      <x:c r="AH260" t="n">
        <x:v>4289</x:v>
      </x:c>
      <x:c r="AI260" t="n">
        <x:v>8343</x:v>
      </x:c>
      <x:c r="AJ260" t="n">
        <x:v>14393</x:v>
      </x:c>
      <x:c r="AK260" t="n">
        <x:v>37577</x:v>
      </x:c>
      <x:c r="AL260" t="n">
        <x:v>41140</x:v>
      </x:c>
      <x:c r="AM260" t="str">
        <x:v>Fully allotted in R1; R2 opportunity depends on upgrade/non-joining</x:v>
      </x:c>
    </x:row>
    <x:row r="261">
      <x:c r="A261" t="str">
        <x:v>Maharashtra</x:v>
      </x:c>
      <x:c r="B261" t="str">
        <x:v>All India except Central University</x:v>
      </x:c>
      <x:c r="C261" t="str">
        <x:v>200227</x:v>
      </x:c>
      <x:c r="D261" t="str">
        <x:v>Shri Vasant Rao Naik Govt. Medical College, Yavatmal, CIVIL LINES YAVATMAL</x:v>
      </x:c>
      <x:c r="E261" t="str">
        <x:v>MH/074/G/1</x:v>
      </x:c>
      <x:c r="F261" t="str">
        <x:v>Government</x:v>
      </x:c>
      <x:c r="G261" t="n">
        <x:v>200</x:v>
      </x:c>
      <x:c r="H261" t="n">
        <x:v>100</x:v>
      </x:c>
      <x:c r="I261" t="str">
        <x:v>High-confidence fuzzy</x:v>
      </x:c>
      <x:c r="J261" t="n">
        <x:v>30</x:v>
      </x:c>
      <x:c r="K261" t="n">
        <x:v>30</x:v>
      </x:c>
      <x:c r="L261" t="n">
        <x:f>J261-K261</x:f>
        <x:v>0</x:v>
      </x:c>
      <x:c r="M261" s="20" t="n">
        <x:f>IFERROR(K261/J261,0)</x:f>
        <x:v>1</x:v>
      </x:c>
      <x:c r="N261" t="n">
        <x:v>30</x:v>
      </x:c>
      <x:c r="O261" t="n">
        <x:v>30</x:v>
      </x:c>
      <x:c r="P261" t="n">
        <x:f>N261-O261</x:f>
        <x:v>0</x:v>
      </x:c>
      <x:c r="Q261" t="n">
        <x:v>0</x:v>
      </x:c>
      <x:c r="R261" t="n">
        <x:v>0</x:v>
      </x:c>
      <x:c r="S261" t="n">
        <x:f>Q261-R261</x:f>
        <x:v>0</x:v>
      </x:c>
      <x:c r="T261" t="n">
        <x:v>30</x:v>
      </x:c>
      <x:c r="U261" t="n">
        <x:v>30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f>IF(AND(ISNUMBER(G261),I261&lt;&gt;"Excluded INI"),MAX(0,G261-J261),"")</x:f>
        <x:v>170</x:v>
      </x:c>
      <x:c r="AC261" t="n">
        <x:v>14492</x:v>
      </x:c>
      <x:c r="AD261" t="n">
        <x:v>15570</x:v>
      </x:c>
      <x:c r="AE261" t="n">
        <x:v>15994</x:v>
      </x:c>
      <x:c r="AF261" t="n">
        <x:v>16109</x:v>
      </x:c>
      <x:c r="AG261" t="n">
        <x:v>18786</x:v>
      </x:c>
      <x:c r="AH261" t="n">
        <x:v>19039</x:v>
      </x:c>
      <x:c r="AI261" t="n">
        <x:v>78640</x:v>
      </x:c>
      <x:c r="AJ261" t="n">
        <x:v>81130</x:v>
      </x:c>
      <x:c r="AK261" t="n">
        <x:v>105104</x:v>
      </x:c>
      <x:c r="AL261" t="n">
        <x:v>108853</x:v>
      </x:c>
      <x:c r="AM261" t="str">
        <x:v>Fully allotted in R1; R2 opportunity depends on upgrade/non-joining</x:v>
      </x:c>
    </x:row>
    <x:row r="262">
      <x:c r="A262" t="str">
        <x:v>Maharashtra</x:v>
      </x:c>
      <x:c r="B262" t="str">
        <x:v>All India except Central University</x:v>
      </x:c>
      <x:c r="C262" t="str">
        <x:v>200228</x:v>
      </x:c>
      <x:c r="D262" t="str">
        <x:v>Sri Bhausaheb Hire Government Medical College, Dhule, Shri.Bhusaheb Hire Government Medical College Malegaon Road Chakkarbardi Area Dhule</x:v>
      </x:c>
      <x:c r="E262" t="str">
        <x:v>MH/079/G/1</x:v>
      </x:c>
      <x:c r="F262" t="str">
        <x:v>Government</x:v>
      </x:c>
      <x:c r="G262" t="n">
        <x:v>150</x:v>
      </x:c>
      <x:c r="H262" t="n">
        <x:v>100</x:v>
      </x:c>
      <x:c r="I262" t="str">
        <x:v>High-confidence fuzzy</x:v>
      </x:c>
      <x:c r="J262" t="n">
        <x:v>22</x:v>
      </x:c>
      <x:c r="K262" t="n">
        <x:v>22</x:v>
      </x:c>
      <x:c r="L262" t="n">
        <x:f>J262-K262</x:f>
        <x:v>0</x:v>
      </x:c>
      <x:c r="M262" s="20" t="n">
        <x:f>IFERROR(K262/J262,0)</x:f>
        <x:v>1</x:v>
      </x:c>
      <x:c r="N262" t="n">
        <x:v>22</x:v>
      </x:c>
      <x:c r="O262" t="n">
        <x:v>22</x:v>
      </x:c>
      <x:c r="P262" t="n">
        <x:f>N262-O262</x:f>
        <x:v>0</x:v>
      </x:c>
      <x:c r="Q262" t="n">
        <x:v>0</x:v>
      </x:c>
      <x:c r="R262" t="n">
        <x:v>0</x:v>
      </x:c>
      <x:c r="S262" t="n">
        <x:f>Q262-R262</x:f>
        <x:v>0</x:v>
      </x:c>
      <x:c r="T262" t="n">
        <x:v>22</x:v>
      </x:c>
      <x:c r="U262" t="n">
        <x:v>22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f>IF(AND(ISNUMBER(G262),I262&lt;&gt;"Excluded INI"),MAX(0,G262-J262),"")</x:f>
        <x:v>128</x:v>
      </x:c>
      <x:c r="AC262" t="n">
        <x:v>12827</x:v>
      </x:c>
      <x:c r="AD262" t="n">
        <x:v>13719</x:v>
      </x:c>
      <x:c r="AE262" t="n">
        <x:v>14859</x:v>
      </x:c>
      <x:c r="AF262" t="n">
        <x:v>15113</x:v>
      </x:c>
      <x:c r="AG262" t="n">
        <x:v>16590</x:v>
      </x:c>
      <x:c r="AH262" t="n">
        <x:v>18334</x:v>
      </x:c>
      <x:c r="AI262" t="n">
        <x:v>77000</x:v>
      </x:c>
      <x:c r="AJ262" t="n">
        <x:v>78012</x:v>
      </x:c>
      <x:c r="AK262" t="n">
        <x:v>103828</x:v>
      </x:c>
      <x:c r="AL262" t="n">
        <x:v>104569</x:v>
      </x:c>
      <x:c r="AM262" t="str">
        <x:v>Fully allotted in R1; R2 opportunity depends on upgrade/non-joining</x:v>
      </x:c>
    </x:row>
    <x:row r="263">
      <x:c r="A263" t="str">
        <x:v>Maharashtra</x:v>
      </x:c>
      <x:c r="B263" t="str">
        <x:v>Deemed University</x:v>
      </x:c>
      <x:c r="C263" t="str">
        <x:v>200527</x:v>
      </x:c>
      <x:c r="D263" t="str">
        <x:v>Symbiosis Medical College for Women, Pune, Gram Lavale Tal Mulshi Pune</x:v>
      </x:c>
      <x:c r="E263" t="str">
        <x:v>MH/081/P/3</x:v>
      </x:c>
      <x:c r="F263" t="str">
        <x:v>Private</x:v>
      </x:c>
      <x:c r="G263" t="n">
        <x:v>150</x:v>
      </x:c>
      <x:c r="H263" t="n">
        <x:v>100</x:v>
      </x:c>
      <x:c r="I263" t="str">
        <x:v>High-confidence fuzzy</x:v>
      </x:c>
      <x:c r="J263" t="n">
        <x:v>150</x:v>
      </x:c>
      <x:c r="K263" t="n">
        <x:v>139</x:v>
      </x:c>
      <x:c r="L263" t="n">
        <x:f>J263-K263</x:f>
        <x:v>11</x:v>
      </x:c>
      <x:c r="M263" s="20" t="n">
        <x:f>IFERROR(K263/J263,0)</x:f>
        <x:v>0.9266666666666666</x:v>
      </x:c>
      <x:c r="N263" t="n">
        <x:v>0</x:v>
      </x:c>
      <x:c r="O263" t="n">
        <x:v>0</x:v>
      </x:c>
      <x:c r="P263" t="n">
        <x:f>N263-O263</x:f>
        <x:v>0</x:v>
      </x:c>
      <x:c r="Q263" t="n">
        <x:v>150</x:v>
      </x:c>
      <x:c r="R263" t="n">
        <x:v>139</x:v>
      </x:c>
      <x:c r="S263" t="n">
        <x:f>Q263-R263</x:f>
        <x:v>11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128</x:v>
      </x:c>
      <x:c r="Y263" t="n">
        <x:v>128</x:v>
      </x:c>
      <x:c r="Z263" t="n">
        <x:v>22</x:v>
      </x:c>
      <x:c r="AA263" t="n">
        <x:v>11</x:v>
      </x:c>
      <x:c r="AB263" t="n">
        <x:f>IF(AND(ISNUMBER(G263),I263&lt;&gt;"Excluded INI"),MAX(0,G263-J263),"")</x:f>
        <x:v>0</x:v>
      </x:c>
      <x:c r="AC263" t="n">
        <x:v>99421</x:v>
      </x:c>
      <x:c r="AD263" t="n">
        <x:v>987122</x:v>
      </x:c>
      <x:c r="AE263"/>
      <x:c r="AF263"/>
      <x:c r="AG263"/>
      <x:c r="AH263"/>
      <x:c r="AI263"/>
      <x:c r="AJ263"/>
      <x:c r="AK263"/>
      <x:c r="AL263"/>
      <x:c r="AM263" t="str">
        <x:v>Unfilled mainly private/NRI/minority; regular R2 depends on movement</x:v>
      </x:c>
    </x:row>
    <x:row r="264">
      <x:c r="A264" t="str">
        <x:v>Maharashtra</x:v>
      </x:c>
      <x:c r="B264" t="str">
        <x:v>All India except Central University</x:v>
      </x:c>
      <x:c r="C264" t="str">
        <x:v>200230</x:v>
      </x:c>
      <x:c r="D264" t="str">
        <x:v>Topiwala National Medical College, Mumbai, Dr. A.L. Nair Road, Mumbai Central, Mumbai</x:v>
      </x:c>
      <x:c r="E264" t="str">
        <x:v>MH/083/G/1</x:v>
      </x:c>
      <x:c r="F264" t="str">
        <x:v>Government</x:v>
      </x:c>
      <x:c r="G264" t="n">
        <x:v>150</x:v>
      </x:c>
      <x:c r="H264" t="n">
        <x:v>100</x:v>
      </x:c>
      <x:c r="I264" t="str">
        <x:v>High-confidence fuzzy</x:v>
      </x:c>
      <x:c r="J264" t="n">
        <x:v>23</x:v>
      </x:c>
      <x:c r="K264" t="n">
        <x:v>23</x:v>
      </x:c>
      <x:c r="L264" t="n">
        <x:f>J264-K264</x:f>
        <x:v>0</x:v>
      </x:c>
      <x:c r="M264" s="20" t="n">
        <x:f>IFERROR(K264/J264,0)</x:f>
        <x:v>1</x:v>
      </x:c>
      <x:c r="N264" t="n">
        <x:v>23</x:v>
      </x:c>
      <x:c r="O264" t="n">
        <x:v>23</x:v>
      </x:c>
      <x:c r="P264" t="n">
        <x:f>N264-O264</x:f>
        <x:v>0</x:v>
      </x:c>
      <x:c r="Q264" t="n">
        <x:v>0</x:v>
      </x:c>
      <x:c r="R264" t="n">
        <x:v>0</x:v>
      </x:c>
      <x:c r="S264" t="n">
        <x:f>Q264-R264</x:f>
        <x:v>0</x:v>
      </x:c>
      <x:c r="T264" t="n">
        <x:v>23</x:v>
      </x:c>
      <x:c r="U264" t="n">
        <x:v>23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f>IF(AND(ISNUMBER(G264),I264&lt;&gt;"Excluded INI"),MAX(0,G264-J264),"")</x:f>
        <x:v>127</x:v>
      </x:c>
      <x:c r="AC264" t="n">
        <x:v>3092</x:v>
      </x:c>
      <x:c r="AD264" t="n">
        <x:v>3572</x:v>
      </x:c>
      <x:c r="AE264" t="n">
        <x:v>5676</x:v>
      </x:c>
      <x:c r="AF264" t="n">
        <x:v>5782</x:v>
      </x:c>
      <x:c r="AG264" t="n">
        <x:v>5586</x:v>
      </x:c>
      <x:c r="AH264" t="n">
        <x:v>5884</x:v>
      </x:c>
      <x:c r="AI264" t="n">
        <x:v>30661</x:v>
      </x:c>
      <x:c r="AJ264" t="n">
        <x:v>38176</x:v>
      </x:c>
      <x:c r="AK264" t="n">
        <x:v>63463</x:v>
      </x:c>
      <x:c r="AL264" t="n">
        <x:v>63914</x:v>
      </x:c>
      <x:c r="AM264" t="str">
        <x:v>Fully allotted in R1; R2 opportunity depends on upgrade/non-joining</x:v>
      </x:c>
    </x:row>
    <x:row r="265">
      <x:c r="A265" t="str">
        <x:v>Manipur</x:v>
      </x:c>
      <x:c r="B265" t="str">
        <x:v>All India except Central University</x:v>
      </x:c>
      <x:c r="C265" t="str">
        <x:v>200592</x:v>
      </x:c>
      <x:c r="D265" t="str">
        <x:v>Government Medical College, Churachandpur, Hiangtam Lamka, I.B. Road, Churachandpur District</x:v>
      </x:c>
      <x:c r="E265" t="str">
        <x:v>MN/001/G/1</x:v>
      </x:c>
      <x:c r="F265" t="str">
        <x:v>Government</x:v>
      </x:c>
      <x:c r="G265" t="n">
        <x:v>100</x:v>
      </x:c>
      <x:c r="H265" t="n">
        <x:v>100</x:v>
      </x:c>
      <x:c r="I265" t="str">
        <x:v>High-confidence fuzzy</x:v>
      </x:c>
      <x:c r="J265" t="n">
        <x:v>15</x:v>
      </x:c>
      <x:c r="K265" t="n">
        <x:v>14</x:v>
      </x:c>
      <x:c r="L265" t="n">
        <x:f>J265-K265</x:f>
        <x:v>1</x:v>
      </x:c>
      <x:c r="M265" s="20" t="n">
        <x:f>IFERROR(K265/J265,0)</x:f>
        <x:v>0.9333333333333333</x:v>
      </x:c>
      <x:c r="N265" t="n">
        <x:v>15</x:v>
      </x:c>
      <x:c r="O265" t="n">
        <x:v>14</x:v>
      </x:c>
      <x:c r="P265" t="n">
        <x:f>N265-O265</x:f>
        <x:v>1</x:v>
      </x:c>
      <x:c r="Q265" t="n">
        <x:v>0</x:v>
      </x:c>
      <x:c r="R265" t="n">
        <x:v>0</x:v>
      </x:c>
      <x:c r="S265" t="n">
        <x:f>Q265-R265</x:f>
        <x:v>0</x:v>
      </x:c>
      <x:c r="T265" t="n">
        <x:v>15</x:v>
      </x:c>
      <x:c r="U265" t="n">
        <x:v>14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f>IF(AND(ISNUMBER(G265),I265&lt;&gt;"Excluded INI"),MAX(0,G265-J265),"")</x:f>
        <x:v>85</x:v>
      </x:c>
      <x:c r="AC265" t="n">
        <x:v>19722</x:v>
      </x:c>
      <x:c r="AD265" t="n">
        <x:v>20082</x:v>
      </x:c>
      <x:c r="AE265" t="n">
        <x:v>21366</x:v>
      </x:c>
      <x:c r="AF265" t="n">
        <x:v>21633</x:v>
      </x:c>
      <x:c r="AG265" t="n">
        <x:v>24846</x:v>
      </x:c>
      <x:c r="AH265" t="n">
        <x:v>24846</x:v>
      </x:c>
      <x:c r="AI265" t="n">
        <x:v>97368</x:v>
      </x:c>
      <x:c r="AJ265" t="n">
        <x:v>97368</x:v>
      </x:c>
      <x:c r="AK265"/>
      <x:c r="AL265"/>
      <x:c r="AM265" t="str">
        <x:v>R1 regular-central gap visible; verify in official R2 matrix</x:v>
      </x:c>
    </x:row>
    <x:row r="266">
      <x:c r="A266" t="str">
        <x:v>Manipur</x:v>
      </x:c>
      <x:c r="B266" t="str">
        <x:v>All India except Central University</x:v>
      </x:c>
      <x:c r="C266" t="str">
        <x:v>200232</x:v>
      </x:c>
      <x:c r="D266" t="str">
        <x:v>Jawaharlal Nehru Institute of Medical Sciences, Porompet, Imphal, POROMPAT, IMPHAL - EAST, MANIPUR - 795005</x:v>
      </x:c>
      <x:c r="E266" t="str">
        <x:v>MN/002/G/1</x:v>
      </x:c>
      <x:c r="F266" t="str">
        <x:v>Government</x:v>
      </x:c>
      <x:c r="G266" t="n">
        <x:v>150</x:v>
      </x:c>
      <x:c r="H266" t="n">
        <x:v>100</x:v>
      </x:c>
      <x:c r="I266" t="str">
        <x:v>High-confidence fuzzy</x:v>
      </x:c>
      <x:c r="J266" t="n">
        <x:v>22</x:v>
      </x:c>
      <x:c r="K266" t="n">
        <x:v>22</x:v>
      </x:c>
      <x:c r="L266" t="n">
        <x:f>J266-K266</x:f>
        <x:v>0</x:v>
      </x:c>
      <x:c r="M266" s="20" t="n">
        <x:f>IFERROR(K266/J266,0)</x:f>
        <x:v>1</x:v>
      </x:c>
      <x:c r="N266" t="n">
        <x:v>22</x:v>
      </x:c>
      <x:c r="O266" t="n">
        <x:v>22</x:v>
      </x:c>
      <x:c r="P266" t="n">
        <x:f>N266-O266</x:f>
        <x:v>0</x:v>
      </x:c>
      <x:c r="Q266" t="n">
        <x:v>0</x:v>
      </x:c>
      <x:c r="R266" t="n">
        <x:v>0</x:v>
      </x:c>
      <x:c r="S266" t="n">
        <x:f>Q266-R266</x:f>
        <x:v>0</x:v>
      </x:c>
      <x:c r="T266" t="n">
        <x:v>22</x:v>
      </x:c>
      <x:c r="U266" t="n">
        <x:v>22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f>IF(AND(ISNUMBER(G266),I266&lt;&gt;"Excluded INI"),MAX(0,G266-J266),"")</x:f>
        <x:v>128</x:v>
      </x:c>
      <x:c r="AC266" t="n">
        <x:v>17579</x:v>
      </x:c>
      <x:c r="AD266" t="n">
        <x:v>19181</x:v>
      </x:c>
      <x:c r="AE266" t="n">
        <x:v>20211</x:v>
      </x:c>
      <x:c r="AF266" t="n">
        <x:v>20804</x:v>
      </x:c>
      <x:c r="AG266" t="n">
        <x:v>24474</x:v>
      </x:c>
      <x:c r="AH266" t="n">
        <x:v>24671</x:v>
      </x:c>
      <x:c r="AI266" t="n">
        <x:v>72557</x:v>
      </x:c>
      <x:c r="AJ266" t="n">
        <x:v>81854</x:v>
      </x:c>
      <x:c r="AK266" t="n">
        <x:v>99432</x:v>
      </x:c>
      <x:c r="AL266" t="n">
        <x:v>99658</x:v>
      </x:c>
      <x:c r="AM266" t="str">
        <x:v>Fully allotted in R1; R2 opportunity depends on upgrade/non-joining</x:v>
      </x:c>
    </x:row>
    <x:row r="267">
      <x:c r="A267" t="str">
        <x:v>Manipur</x:v>
      </x:c>
      <x:c r="B267" t="str">
        <x:v>All India except Central University</x:v>
      </x:c>
      <x:c r="C267" t="str">
        <x:v>200233</x:v>
      </x:c>
      <x:c r="D267" t="str">
        <x:v>Regional Institute of Medical Sciences, Imphal, PO Lamphelpat, Imphal West District</x:v>
      </x:c>
      <x:c r="E267" t="str">
        <x:v>MN/003/G/1</x:v>
      </x:c>
      <x:c r="F267" t="str">
        <x:v>Government</x:v>
      </x:c>
      <x:c r="G267" t="n">
        <x:v>150</x:v>
      </x:c>
      <x:c r="H267" t="n">
        <x:v>100</x:v>
      </x:c>
      <x:c r="I267" t="str">
        <x:v>High-confidence fuzzy</x:v>
      </x:c>
      <x:c r="J267" t="n">
        <x:v>23</x:v>
      </x:c>
      <x:c r="K267" t="n">
        <x:v>23</x:v>
      </x:c>
      <x:c r="L267" t="n">
        <x:f>J267-K267</x:f>
        <x:v>0</x:v>
      </x:c>
      <x:c r="M267" s="20" t="n">
        <x:f>IFERROR(K267/J267,0)</x:f>
        <x:v>1</x:v>
      </x:c>
      <x:c r="N267" t="n">
        <x:v>23</x:v>
      </x:c>
      <x:c r="O267" t="n">
        <x:v>23</x:v>
      </x:c>
      <x:c r="P267" t="n">
        <x:f>N267-O267</x:f>
        <x:v>0</x:v>
      </x:c>
      <x:c r="Q267" t="n">
        <x:v>0</x:v>
      </x:c>
      <x:c r="R267" t="n">
        <x:v>0</x:v>
      </x:c>
      <x:c r="S267" t="n">
        <x:f>Q267-R267</x:f>
        <x:v>0</x:v>
      </x:c>
      <x:c r="T267" t="n">
        <x:v>23</x:v>
      </x:c>
      <x:c r="U267" t="n">
        <x:v>23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f>IF(AND(ISNUMBER(G267),I267&lt;&gt;"Excluded INI"),MAX(0,G267-J267),"")</x:f>
        <x:v>127</x:v>
      </x:c>
      <x:c r="AC267" t="n">
        <x:v>13574</x:v>
      </x:c>
      <x:c r="AD267" t="n">
        <x:v>14249</x:v>
      </x:c>
      <x:c r="AE267" t="n">
        <x:v>16624</x:v>
      </x:c>
      <x:c r="AF267" t="n">
        <x:v>17486</x:v>
      </x:c>
      <x:c r="AG267" t="n">
        <x:v>18322</x:v>
      </x:c>
      <x:c r="AH267" t="n">
        <x:v>20313</x:v>
      </x:c>
      <x:c r="AI267" t="n">
        <x:v>46789</x:v>
      </x:c>
      <x:c r="AJ267" t="n">
        <x:v>54199</x:v>
      </x:c>
      <x:c r="AK267" t="n">
        <x:v>47539</x:v>
      </x:c>
      <x:c r="AL267" t="n">
        <x:v>56021</x:v>
      </x:c>
      <x:c r="AM267" t="str">
        <x:v>Fully allotted in R1; R2 opportunity depends on upgrade/non-joining</x:v>
      </x:c>
    </x:row>
    <x:row r="268">
      <x:c r="A268" t="str">
        <x:v>Meghalaya</x:v>
      </x:c>
      <x:c r="B268" t="str">
        <x:v>All India except Central University</x:v>
      </x:c>
      <x:c r="C268" t="str">
        <x:v>200234</x:v>
      </x:c>
      <x:c r="D268" t="str">
        <x:v>North Eastern Indira Gandhi Regional Instt. of Health and Medical Sciences, Shillong, Mawdiangdiang Shillong East Khasi Hills District</x:v>
      </x:c>
      <x:c r="E268" t="str">
        <x:v>ML/001/G/1</x:v>
      </x:c>
      <x:c r="F268" t="str">
        <x:v>Government</x:v>
      </x:c>
      <x:c r="G268" t="n">
        <x:v>50</x:v>
      </x:c>
      <x:c r="H268" t="n">
        <x:v>100</x:v>
      </x:c>
      <x:c r="I268" t="str">
        <x:v>High-confidence fuzzy</x:v>
      </x:c>
      <x:c r="J268" t="n">
        <x:v>8</x:v>
      </x:c>
      <x:c r="K268" t="n">
        <x:v>8</x:v>
      </x:c>
      <x:c r="L268" t="n">
        <x:f>J268-K268</x:f>
        <x:v>0</x:v>
      </x:c>
      <x:c r="M268" s="20" t="n">
        <x:f>IFERROR(K268/J268,0)</x:f>
        <x:v>1</x:v>
      </x:c>
      <x:c r="N268" t="n">
        <x:v>8</x:v>
      </x:c>
      <x:c r="O268" t="n">
        <x:v>8</x:v>
      </x:c>
      <x:c r="P268" t="n">
        <x:f>N268-O268</x:f>
        <x:v>0</x:v>
      </x:c>
      <x:c r="Q268" t="n">
        <x:v>0</x:v>
      </x:c>
      <x:c r="R268" t="n">
        <x:v>0</x:v>
      </x:c>
      <x:c r="S268" t="n">
        <x:f>Q268-R268</x:f>
        <x:v>0</x:v>
      </x:c>
      <x:c r="T268" t="n">
        <x:v>8</x:v>
      </x:c>
      <x:c r="U268" t="n">
        <x:v>8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f>IF(AND(ISNUMBER(G268),I268&lt;&gt;"Excluded INI"),MAX(0,G268-J268),"")</x:f>
        <x:v>42</x:v>
      </x:c>
      <x:c r="AC268" t="n">
        <x:v>9682</x:v>
      </x:c>
      <x:c r="AD268" t="n">
        <x:v>10093</x:v>
      </x:c>
      <x:c r="AE268"/>
      <x:c r="AF268"/>
      <x:c r="AG268"/>
      <x:c r="AH268"/>
      <x:c r="AI268"/>
      <x:c r="AJ268"/>
      <x:c r="AK268"/>
      <x:c r="AL268"/>
      <x:c r="AM268" t="str">
        <x:v>Fully allotted in R1; R2 opportunity depends on upgrade/non-joining</x:v>
      </x:c>
    </x:row>
    <x:row r="269">
      <x:c r="A269" t="str">
        <x:v>Meghalaya</x:v>
      </x:c>
      <x:c r="B269" t="str">
        <x:v>All India except Central University</x:v>
      </x:c>
      <x:c r="C269" t="str">
        <x:v>904358</x:v>
      </x:c>
      <x:c r="D269" t="str">
        <x:v>Shillong Medical College, PASTEUR HILLS LAWMALI SHILLONG</x:v>
      </x:c>
      <x:c r="E269" t="str">
        <x:v>ML/003/G/5</x:v>
      </x:c>
      <x:c r="F269" t="str">
        <x:v>Government</x:v>
      </x:c>
      <x:c r="G269" t="n">
        <x:v>50</x:v>
      </x:c>
      <x:c r="H269" t="n">
        <x:v>100</x:v>
      </x:c>
      <x:c r="I269" t="str">
        <x:v>High-confidence fuzzy</x:v>
      </x:c>
      <x:c r="J269" t="n">
        <x:v>8</x:v>
      </x:c>
      <x:c r="K269" t="n">
        <x:v>8</x:v>
      </x:c>
      <x:c r="L269" t="n">
        <x:f>J269-K269</x:f>
        <x:v>0</x:v>
      </x:c>
      <x:c r="M269" s="20" t="n">
        <x:f>IFERROR(K269/J269,0)</x:f>
        <x:v>1</x:v>
      </x:c>
      <x:c r="N269" t="n">
        <x:v>8</x:v>
      </x:c>
      <x:c r="O269" t="n">
        <x:v>8</x:v>
      </x:c>
      <x:c r="P269" t="n">
        <x:f>N269-O269</x:f>
        <x:v>0</x:v>
      </x:c>
      <x:c r="Q269" t="n">
        <x:v>0</x:v>
      </x:c>
      <x:c r="R269" t="n">
        <x:v>0</x:v>
      </x:c>
      <x:c r="S269" t="n">
        <x:f>Q269-R269</x:f>
        <x:v>0</x:v>
      </x:c>
      <x:c r="T269" t="n">
        <x:v>8</x:v>
      </x:c>
      <x:c r="U269" t="n">
        <x:v>8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f>IF(AND(ISNUMBER(G269),I269&lt;&gt;"Excluded INI"),MAX(0,G269-J269),"")</x:f>
        <x:v>42</x:v>
      </x:c>
      <x:c r="AC269" t="n">
        <x:v>15700</x:v>
      </x:c>
      <x:c r="AD269" t="n">
        <x:v>15948</x:v>
      </x:c>
      <x:c r="AE269" t="n">
        <x:v>18342</x:v>
      </x:c>
      <x:c r="AF269" t="n">
        <x:v>18672</x:v>
      </x:c>
      <x:c r="AG269" t="n">
        <x:v>21261</x:v>
      </x:c>
      <x:c r="AH269" t="n">
        <x:v>21261</x:v>
      </x:c>
      <x:c r="AI269" t="n">
        <x:v>73984</x:v>
      </x:c>
      <x:c r="AJ269" t="n">
        <x:v>73984</x:v>
      </x:c>
      <x:c r="AK269"/>
      <x:c r="AL269"/>
      <x:c r="AM269" t="str">
        <x:v>Fully allotted in R1; R2 opportunity depends on upgrade/non-joining</x:v>
      </x:c>
    </x:row>
    <x:row r="270">
      <x:c r="A270" t="str">
        <x:v>Mizoram</x:v>
      </x:c>
      <x:c r="B270" t="str">
        <x:v>All India except Central University</x:v>
      </x:c>
      <x:c r="C270" t="str">
        <x:v>200427</x:v>
      </x:c>
      <x:c r="D270" t="str">
        <x:v>Zoram Medical College, Mizoram, Academic Block, Zoram Medical College and Hospital, Falkawn, Aizawl District, Mizoram - 796005</x:v>
      </x:c>
      <x:c r="E270" t="str">
        <x:v>MZ/001/G/1</x:v>
      </x:c>
      <x:c r="F270" t="str">
        <x:v>Government</x:v>
      </x:c>
      <x:c r="G270" t="n">
        <x:v>100</x:v>
      </x:c>
      <x:c r="H270" t="n">
        <x:v>100</x:v>
      </x:c>
      <x:c r="I270" t="str">
        <x:v>High-confidence fuzzy</x:v>
      </x:c>
      <x:c r="J270" t="n">
        <x:v>15</x:v>
      </x:c>
      <x:c r="K270" t="n">
        <x:v>15</x:v>
      </x:c>
      <x:c r="L270" t="n">
        <x:f>J270-K270</x:f>
        <x:v>0</x:v>
      </x:c>
      <x:c r="M270" s="20" t="n">
        <x:f>IFERROR(K270/J270,0)</x:f>
        <x:v>1</x:v>
      </x:c>
      <x:c r="N270" t="n">
        <x:v>15</x:v>
      </x:c>
      <x:c r="O270" t="n">
        <x:v>15</x:v>
      </x:c>
      <x:c r="P270" t="n">
        <x:f>N270-O270</x:f>
        <x:v>0</x:v>
      </x:c>
      <x:c r="Q270" t="n">
        <x:v>0</x:v>
      </x:c>
      <x:c r="R270" t="n">
        <x:v>0</x:v>
      </x:c>
      <x:c r="S270" t="n">
        <x:f>Q270-R270</x:f>
        <x:v>0</x:v>
      </x:c>
      <x:c r="T270" t="n">
        <x:v>15</x:v>
      </x:c>
      <x:c r="U270" t="n">
        <x:v>15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f>IF(AND(ISNUMBER(G270),I270&lt;&gt;"Excluded INI"),MAX(0,G270-J270),"")</x:f>
        <x:v>85</x:v>
      </x:c>
      <x:c r="AC270" t="n">
        <x:v>20974</x:v>
      </x:c>
      <x:c r="AD270" t="n">
        <x:v>21266</x:v>
      </x:c>
      <x:c r="AE270" t="n">
        <x:v>21992</x:v>
      </x:c>
      <x:c r="AF270" t="n">
        <x:v>22919</x:v>
      </x:c>
      <x:c r="AG270" t="n">
        <x:v>21368</x:v>
      </x:c>
      <x:c r="AH270" t="n">
        <x:v>21368</x:v>
      </x:c>
      <x:c r="AI270" t="n">
        <x:v>102590</x:v>
      </x:c>
      <x:c r="AJ270" t="n">
        <x:v>103829</x:v>
      </x:c>
      <x:c r="AK270" t="n">
        <x:v>108403</x:v>
      </x:c>
      <x:c r="AL270" t="n">
        <x:v>108403</x:v>
      </x:c>
      <x:c r="AM270" t="str">
        <x:v>Fully allotted in R1; R2 opportunity depends on upgrade/non-joining</x:v>
      </x:c>
    </x:row>
    <x:row r="271">
      <x:c r="A271" t="str">
        <x:v>Nagaland</x:v>
      </x:c>
      <x:c r="B271" t="str">
        <x:v>All India except Central University</x:v>
      </x:c>
      <x:c r="C271" t="str">
        <x:v>200680</x:v>
      </x:c>
      <x:c r="D271" t="str">
        <x:v>Nagaland Institute of Medical Sciences &amp; Research, Phreibagei, Kohima</x:v>
      </x:c>
      <x:c r="E271" t="str">
        <x:v>NL/001/G/1</x:v>
      </x:c>
      <x:c r="F271" t="str">
        <x:v>Government</x:v>
      </x:c>
      <x:c r="G271" t="n">
        <x:v>100</x:v>
      </x:c>
      <x:c r="H271" t="n">
        <x:v>100</x:v>
      </x:c>
      <x:c r="I271" t="str">
        <x:v>High-confidence fuzzy</x:v>
      </x:c>
      <x:c r="J271" t="n">
        <x:v>15</x:v>
      </x:c>
      <x:c r="K271" t="n">
        <x:v>15</x:v>
      </x:c>
      <x:c r="L271" t="n">
        <x:f>J271-K271</x:f>
        <x:v>0</x:v>
      </x:c>
      <x:c r="M271" s="20" t="n">
        <x:f>IFERROR(K271/J271,0)</x:f>
        <x:v>1</x:v>
      </x:c>
      <x:c r="N271" t="n">
        <x:v>15</x:v>
      </x:c>
      <x:c r="O271" t="n">
        <x:v>15</x:v>
      </x:c>
      <x:c r="P271" t="n">
        <x:f>N271-O271</x:f>
        <x:v>0</x:v>
      </x:c>
      <x:c r="Q271" t="n">
        <x:v>0</x:v>
      </x:c>
      <x:c r="R271" t="n">
        <x:v>0</x:v>
      </x:c>
      <x:c r="S271" t="n">
        <x:f>Q271-R271</x:f>
        <x:v>0</x:v>
      </x:c>
      <x:c r="T271" t="n">
        <x:v>15</x:v>
      </x:c>
      <x:c r="U271" t="n">
        <x:v>15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f>IF(AND(ISNUMBER(G271),I271&lt;&gt;"Excluded INI"),MAX(0,G271-J271),"")</x:f>
        <x:v>85</x:v>
      </x:c>
      <x:c r="AC271" t="n">
        <x:v>21150</x:v>
      </x:c>
      <x:c r="AD271" t="n">
        <x:v>21754</x:v>
      </x:c>
      <x:c r="AE271" t="n">
        <x:v>22836</x:v>
      </x:c>
      <x:c r="AF271" t="n">
        <x:v>22933</x:v>
      </x:c>
      <x:c r="AG271" t="n">
        <x:v>26394</x:v>
      </x:c>
      <x:c r="AH271" t="n">
        <x:v>26799</x:v>
      </x:c>
      <x:c r="AI271" t="n">
        <x:v>90408</x:v>
      </x:c>
      <x:c r="AJ271" t="n">
        <x:v>97945</x:v>
      </x:c>
      <x:c r="AK271" t="n">
        <x:v>121394</x:v>
      </x:c>
      <x:c r="AL271" t="n">
        <x:v>121394</x:v>
      </x:c>
      <x:c r="AM271" t="str">
        <x:v>Fully allotted in R1; R2 opportunity depends on upgrade/non-joining</x:v>
      </x:c>
    </x:row>
    <x:row r="272">
      <x:c r="A272" t="str">
        <x:v>Odisha</x:v>
      </x:c>
      <x:c r="B272" t="str">
        <x:v>All India Institute Of Medical Science(AIIMS)</x:v>
      </x:c>
      <x:c r="C272" t="str">
        <x:v>200504</x:v>
      </x:c>
      <x:c r="D272" t="str">
        <x:v>AIIMS, Bhubaneswar, AT - Sijua, POST - DUMUDUMA, BHUBANESWAR-751019</x:v>
      </x:c>
      <x:c r="E272" t="str"/>
      <x:c r="F272" t="str"/>
      <x:c r="G272"/>
      <x:c r="H272" t="n">
        <x:v>100</x:v>
      </x:c>
      <x:c r="I272" t="str">
        <x:v>Excluded INI</x:v>
      </x:c>
      <x:c r="J272" t="n">
        <x:v>125</x:v>
      </x:c>
      <x:c r="K272" t="n">
        <x:v>125</x:v>
      </x:c>
      <x:c r="L272" t="n">
        <x:f>J272-K272</x:f>
        <x:v>0</x:v>
      </x:c>
      <x:c r="M272" s="20" t="n">
        <x:f>IFERROR(K272/J272,0)</x:f>
        <x:v>1</x:v>
      </x:c>
      <x:c r="N272" t="n">
        <x:v>125</x:v>
      </x:c>
      <x:c r="O272" t="n">
        <x:v>125</x:v>
      </x:c>
      <x:c r="P272" t="n">
        <x:f>N272-O272</x:f>
        <x:v>0</x:v>
      </x:c>
      <x:c r="Q272" t="n">
        <x:v>0</x:v>
      </x:c>
      <x:c r="R272" t="n">
        <x:v>0</x:v>
      </x:c>
      <x:c r="S272" t="n">
        <x:f>Q272-R272</x:f>
        <x:v>0</x:v>
      </x:c>
      <x:c r="T272" t="n">
        <x:v>0</x:v>
      </x:c>
      <x:c r="U272" t="n">
        <x:v>0</x:v>
      </x:c>
      <x:c r="V272" t="n">
        <x:v>125</x:v>
      </x:c>
      <x:c r="W272" t="n">
        <x:v>125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str">
        <x:f>IF(AND(ISNUMBER(G272),I272&lt;&gt;"Excluded INI"),MAX(0,G272-J272),"")</x:f>
      </x:c>
      <x:c r="AC272" t="n">
        <x:v>462</x:v>
      </x:c>
      <x:c r="AD272" t="n">
        <x:v>664</x:v>
      </x:c>
      <x:c r="AE272" t="n">
        <x:v>1112</x:v>
      </x:c>
      <x:c r="AF272" t="n">
        <x:v>1233</x:v>
      </x:c>
      <x:c r="AG272" t="n">
        <x:v>1390</x:v>
      </x:c>
      <x:c r="AH272" t="n">
        <x:v>1660</x:v>
      </x:c>
      <x:c r="AI272" t="n">
        <x:v>3767</x:v>
      </x:c>
      <x:c r="AJ272" t="n">
        <x:v>5396</x:v>
      </x:c>
      <x:c r="AK272" t="n">
        <x:v>9221</x:v>
      </x:c>
      <x:c r="AL272" t="n">
        <x:v>10926</x:v>
      </x:c>
      <x:c r="AM272" t="str">
        <x:v>Fully allotted in R1; R2 opportunity depends on upgrade/non-joining</x:v>
      </x:c>
    </x:row>
    <x:row r="273">
      <x:c r="A273" t="str">
        <x:v>Odisha</x:v>
      </x:c>
      <x:c r="B273" t="str">
        <x:v>All India except Central University</x:v>
      </x:c>
      <x:c r="C273" t="str">
        <x:v>200590</x:v>
      </x:c>
      <x:c r="D273" t="str">
        <x:v>Dharanidhar Medical College and Hospital (previously Government Medical College, Keonjhar), AT-KABITRA, NEAR DD COLLEGE, KEONJHARGARH, PS- TOWN POLICE STATION, DIST- KEONJHAR, ODISHA</x:v>
      </x:c>
      <x:c r="E273" t="str">
        <x:v>OD/005/G/1</x:v>
      </x:c>
      <x:c r="F273" t="str">
        <x:v>Government</x:v>
      </x:c>
      <x:c r="G273" t="n">
        <x:v>100</x:v>
      </x:c>
      <x:c r="H273" t="n">
        <x:v>100</x:v>
      </x:c>
      <x:c r="I273" t="str">
        <x:v>High-confidence fuzzy</x:v>
      </x:c>
      <x:c r="J273" t="n">
        <x:v>15</x:v>
      </x:c>
      <x:c r="K273" t="n">
        <x:v>15</x:v>
      </x:c>
      <x:c r="L273" t="n">
        <x:f>J273-K273</x:f>
        <x:v>0</x:v>
      </x:c>
      <x:c r="M273" s="20" t="n">
        <x:f>IFERROR(K273/J273,0)</x:f>
        <x:v>1</x:v>
      </x:c>
      <x:c r="N273" t="n">
        <x:v>15</x:v>
      </x:c>
      <x:c r="O273" t="n">
        <x:v>15</x:v>
      </x:c>
      <x:c r="P273" t="n">
        <x:f>N273-O273</x:f>
        <x:v>0</x:v>
      </x:c>
      <x:c r="Q273" t="n">
        <x:v>0</x:v>
      </x:c>
      <x:c r="R273" t="n">
        <x:v>0</x:v>
      </x:c>
      <x:c r="S273" t="n">
        <x:f>Q273-R273</x:f>
        <x:v>0</x:v>
      </x:c>
      <x:c r="T273" t="n">
        <x:v>15</x:v>
      </x:c>
      <x:c r="U273" t="n">
        <x:v>15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f>IF(AND(ISNUMBER(G273),I273&lt;&gt;"Excluded INI"),MAX(0,G273-J273),"")</x:f>
        <x:v>85</x:v>
      </x:c>
      <x:c r="AC273" t="n">
        <x:v>10982</x:v>
      </x:c>
      <x:c r="AD273" t="n">
        <x:v>12959</x:v>
      </x:c>
      <x:c r="AE273" t="n">
        <x:v>16009</x:v>
      </x:c>
      <x:c r="AF273" t="n">
        <x:v>16578</x:v>
      </x:c>
      <x:c r="AG273" t="n">
        <x:v>19801</x:v>
      </x:c>
      <x:c r="AH273" t="n">
        <x:v>19801</x:v>
      </x:c>
      <x:c r="AI273" t="n">
        <x:v>77869</x:v>
      </x:c>
      <x:c r="AJ273" t="n">
        <x:v>88022</x:v>
      </x:c>
      <x:c r="AK273" t="n">
        <x:v>119601</x:v>
      </x:c>
      <x:c r="AL273" t="n">
        <x:v>119601</x:v>
      </x:c>
      <x:c r="AM273" t="str">
        <x:v>Fully allotted in R1; R2 opportunity depends on upgrade/non-joining</x:v>
      </x:c>
    </x:row>
    <x:row r="274">
      <x:c r="A274" t="str">
        <x:v>Odisha</x:v>
      </x:c>
      <x:c r="B274" t="str">
        <x:v>All India except Central University</x:v>
      </x:c>
      <x:c r="C274" t="str">
        <x:v>904363</x:v>
      </x:c>
      <x:c r="D274" t="str">
        <x:v>GOVERNMENT MEDICAL COLLEGE PHULBANI , KANDHAMAL, AT TILAKPADA, POST PAKALGAON, PS / TAHASIL KHAJURIPADA PHULBANI, KANDHAMAL</x:v>
      </x:c>
      <x:c r="E274" t="str">
        <x:v>OD/003/G/1</x:v>
      </x:c>
      <x:c r="F274" t="str">
        <x:v>Government</x:v>
      </x:c>
      <x:c r="G274" t="n">
        <x:v>100</x:v>
      </x:c>
      <x:c r="H274" t="n">
        <x:v>100</x:v>
      </x:c>
      <x:c r="I274" t="str">
        <x:v>High-confidence fuzzy</x:v>
      </x:c>
      <x:c r="J274" t="n">
        <x:v>15</x:v>
      </x:c>
      <x:c r="K274" t="n">
        <x:v>15</x:v>
      </x:c>
      <x:c r="L274" t="n">
        <x:f>J274-K274</x:f>
        <x:v>0</x:v>
      </x:c>
      <x:c r="M274" s="20" t="n">
        <x:f>IFERROR(K274/J274,0)</x:f>
        <x:v>1</x:v>
      </x:c>
      <x:c r="N274" t="n">
        <x:v>15</x:v>
      </x:c>
      <x:c r="O274" t="n">
        <x:v>15</x:v>
      </x:c>
      <x:c r="P274" t="n">
        <x:f>N274-O274</x:f>
        <x:v>0</x:v>
      </x:c>
      <x:c r="Q274" t="n">
        <x:v>0</x:v>
      </x:c>
      <x:c r="R274" t="n">
        <x:v>0</x:v>
      </x:c>
      <x:c r="S274" t="n">
        <x:f>Q274-R274</x:f>
        <x:v>0</x:v>
      </x:c>
      <x:c r="T274" t="n">
        <x:v>15</x:v>
      </x:c>
      <x:c r="U274" t="n">
        <x:v>15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f>IF(AND(ISNUMBER(G274),I274&lt;&gt;"Excluded INI"),MAX(0,G274-J274),"")</x:f>
        <x:v>85</x:v>
      </x:c>
      <x:c r="AC274" t="n">
        <x:v>15272</x:v>
      </x:c>
      <x:c r="AD274" t="n">
        <x:v>15473</x:v>
      </x:c>
      <x:c r="AE274" t="n">
        <x:v>19322</x:v>
      </x:c>
      <x:c r="AF274" t="n">
        <x:v>19524</x:v>
      </x:c>
      <x:c r="AG274" t="n">
        <x:v>22470</x:v>
      </x:c>
      <x:c r="AH274" t="n">
        <x:v>22522</x:v>
      </x:c>
      <x:c r="AI274" t="n">
        <x:v>84710</x:v>
      </x:c>
      <x:c r="AJ274" t="n">
        <x:v>93273</x:v>
      </x:c>
      <x:c r="AK274" t="n">
        <x:v>129479</x:v>
      </x:c>
      <x:c r="AL274" t="n">
        <x:v>129479</x:v>
      </x:c>
      <x:c r="AM274" t="str">
        <x:v>Fully allotted in R1; R2 opportunity depends on upgrade/non-joining</x:v>
      </x:c>
    </x:row>
    <x:row r="275">
      <x:c r="A275" t="str">
        <x:v>Odisha</x:v>
      </x:c>
      <x:c r="B275" t="str">
        <x:v>All India except Central University</x:v>
      </x:c>
      <x:c r="C275" t="str">
        <x:v>200428</x:v>
      </x:c>
      <x:c r="D275" t="str">
        <x:v>Government Medical College &amp; Hospital (Renamed as Bhima Bhoi Medical College &amp; Hospital), Balangir, PO - Rajendra College, District- Balangir, Odisha.</x:v>
      </x:c>
      <x:c r="E275" t="str">
        <x:v>OD/001/G/1</x:v>
      </x:c>
      <x:c r="F275" t="str">
        <x:v>Government</x:v>
      </x:c>
      <x:c r="G275" t="n">
        <x:v>100</x:v>
      </x:c>
      <x:c r="H275" t="n">
        <x:v>100</x:v>
      </x:c>
      <x:c r="I275" t="str">
        <x:v>High-confidence fuzzy</x:v>
      </x:c>
      <x:c r="J275" t="n">
        <x:v>15</x:v>
      </x:c>
      <x:c r="K275" t="n">
        <x:v>15</x:v>
      </x:c>
      <x:c r="L275" t="n">
        <x:f>J275-K275</x:f>
        <x:v>0</x:v>
      </x:c>
      <x:c r="M275" s="20" t="n">
        <x:f>IFERROR(K275/J275,0)</x:f>
        <x:v>1</x:v>
      </x:c>
      <x:c r="N275" t="n">
        <x:v>15</x:v>
      </x:c>
      <x:c r="O275" t="n">
        <x:v>15</x:v>
      </x:c>
      <x:c r="P275" t="n">
        <x:f>N275-O275</x:f>
        <x:v>0</x:v>
      </x:c>
      <x:c r="Q275" t="n">
        <x:v>0</x:v>
      </x:c>
      <x:c r="R275" t="n">
        <x:v>0</x:v>
      </x:c>
      <x:c r="S275" t="n">
        <x:f>Q275-R275</x:f>
        <x:v>0</x:v>
      </x:c>
      <x:c r="T275" t="n">
        <x:v>15</x:v>
      </x:c>
      <x:c r="U275" t="n">
        <x:v>15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f>IF(AND(ISNUMBER(G275),I275&lt;&gt;"Excluded INI"),MAX(0,G275-J275),"")</x:f>
        <x:v>85</x:v>
      </x:c>
      <x:c r="AC275" t="n">
        <x:v>7984</x:v>
      </x:c>
      <x:c r="AD275" t="n">
        <x:v>9497</x:v>
      </x:c>
      <x:c r="AE275" t="n">
        <x:v>10438</x:v>
      </x:c>
      <x:c r="AF275" t="n">
        <x:v>12112</x:v>
      </x:c>
      <x:c r="AG275" t="n">
        <x:v>18840</x:v>
      </x:c>
      <x:c r="AH275" t="n">
        <x:v>18851</x:v>
      </x:c>
      <x:c r="AI275" t="n">
        <x:v>68557</x:v>
      </x:c>
      <x:c r="AJ275" t="n">
        <x:v>69244</x:v>
      </x:c>
      <x:c r="AK275" t="n">
        <x:v>112343</x:v>
      </x:c>
      <x:c r="AL275" t="n">
        <x:v>112889</x:v>
      </x:c>
      <x:c r="AM275" t="str">
        <x:v>Fully allotted in R1; R2 opportunity depends on upgrade/non-joining</x:v>
      </x:c>
    </x:row>
    <x:row r="276">
      <x:c r="A276" t="str">
        <x:v>Odisha</x:v>
      </x:c>
      <x:c r="B276" t="str">
        <x:v>All India except Central University</x:v>
      </x:c>
      <x:c r="C276" t="str">
        <x:v>200437</x:v>
      </x:c>
      <x:c r="D276" t="str">
        <x:v>Government Medical College &amp; Hospital (Renamed as Fakir Mohan Medical College &amp; Hospital), Balasore, Remuna, Baleshwar, 756019</x:v>
      </x:c>
      <x:c r="E276" t="str">
        <x:v>OD/002/G/1</x:v>
      </x:c>
      <x:c r="F276" t="str">
        <x:v>Government</x:v>
      </x:c>
      <x:c r="G276" t="n">
        <x:v>100</x:v>
      </x:c>
      <x:c r="H276" t="n">
        <x:v>100</x:v>
      </x:c>
      <x:c r="I276" t="str">
        <x:v>High-confidence fuzzy</x:v>
      </x:c>
      <x:c r="J276" t="n">
        <x:v>15</x:v>
      </x:c>
      <x:c r="K276" t="n">
        <x:v>14</x:v>
      </x:c>
      <x:c r="L276" t="n">
        <x:f>J276-K276</x:f>
        <x:v>1</x:v>
      </x:c>
      <x:c r="M276" s="20" t="n">
        <x:f>IFERROR(K276/J276,0)</x:f>
        <x:v>0.9333333333333333</x:v>
      </x:c>
      <x:c r="N276" t="n">
        <x:v>15</x:v>
      </x:c>
      <x:c r="O276" t="n">
        <x:v>14</x:v>
      </x:c>
      <x:c r="P276" t="n">
        <x:f>N276-O276</x:f>
        <x:v>1</x:v>
      </x:c>
      <x:c r="Q276" t="n">
        <x:v>0</x:v>
      </x:c>
      <x:c r="R276" t="n">
        <x:v>0</x:v>
      </x:c>
      <x:c r="S276" t="n">
        <x:f>Q276-R276</x:f>
        <x:v>0</x:v>
      </x:c>
      <x:c r="T276" t="n">
        <x:v>15</x:v>
      </x:c>
      <x:c r="U276" t="n">
        <x:v>14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f>IF(AND(ISNUMBER(G276),I276&lt;&gt;"Excluded INI"),MAX(0,G276-J276),"")</x:f>
        <x:v>85</x:v>
      </x:c>
      <x:c r="AC276" t="n">
        <x:v>8733</x:v>
      </x:c>
      <x:c r="AD276" t="n">
        <x:v>9275</x:v>
      </x:c>
      <x:c r="AE276" t="n">
        <x:v>9850</x:v>
      </x:c>
      <x:c r="AF276" t="n">
        <x:v>10040</x:v>
      </x:c>
      <x:c r="AG276" t="n">
        <x:v>13732</x:v>
      </x:c>
      <x:c r="AH276" t="n">
        <x:v>13732</x:v>
      </x:c>
      <x:c r="AI276" t="n">
        <x:v>50279</x:v>
      </x:c>
      <x:c r="AJ276" t="n">
        <x:v>50279</x:v>
      </x:c>
      <x:c r="AK276" t="n">
        <x:v>105802</x:v>
      </x:c>
      <x:c r="AL276" t="n">
        <x:v>105802</x:v>
      </x:c>
      <x:c r="AM276" t="str">
        <x:v>R1 regular-central gap visible; verify in official R2 matrix</x:v>
      </x:c>
    </x:row>
    <x:row r="277">
      <x:c r="A277" t="str">
        <x:v>Odisha</x:v>
      </x:c>
      <x:c r="B277" t="str">
        <x:v>All India except Central University</x:v>
      </x:c>
      <x:c r="C277" t="str">
        <x:v>200591</x:v>
      </x:c>
      <x:c r="D277" t="str">
        <x:v>Government Medical College, Sundargarh, At-Chitabhanga,Po- Sankara,Dist-Sundargarh,Odisha,Pin-770001</x:v>
      </x:c>
      <x:c r="E277" t="str">
        <x:v>OD/006/G/1</x:v>
      </x:c>
      <x:c r="F277" t="str">
        <x:v>Government</x:v>
      </x:c>
      <x:c r="G277" t="n">
        <x:v>100</x:v>
      </x:c>
      <x:c r="H277" t="n">
        <x:v>100</x:v>
      </x:c>
      <x:c r="I277" t="str">
        <x:v>High-confidence fuzzy</x:v>
      </x:c>
      <x:c r="J277" t="n">
        <x:v>15</x:v>
      </x:c>
      <x:c r="K277" t="n">
        <x:v>15</x:v>
      </x:c>
      <x:c r="L277" t="n">
        <x:f>J277-K277</x:f>
        <x:v>0</x:v>
      </x:c>
      <x:c r="M277" s="20" t="n">
        <x:f>IFERROR(K277/J277,0)</x:f>
        <x:v>1</x:v>
      </x:c>
      <x:c r="N277" t="n">
        <x:v>15</x:v>
      </x:c>
      <x:c r="O277" t="n">
        <x:v>15</x:v>
      </x:c>
      <x:c r="P277" t="n">
        <x:f>N277-O277</x:f>
        <x:v>0</x:v>
      </x:c>
      <x:c r="Q277" t="n">
        <x:v>0</x:v>
      </x:c>
      <x:c r="R277" t="n">
        <x:v>0</x:v>
      </x:c>
      <x:c r="S277" t="n">
        <x:f>Q277-R277</x:f>
        <x:v>0</x:v>
      </x:c>
      <x:c r="T277" t="n">
        <x:v>15</x:v>
      </x:c>
      <x:c r="U277" t="n">
        <x:v>15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f>IF(AND(ISNUMBER(G277),I277&lt;&gt;"Excluded INI"),MAX(0,G277-J277),"")</x:f>
        <x:v>85</x:v>
      </x:c>
      <x:c r="AC277" t="n">
        <x:v>13486</x:v>
      </x:c>
      <x:c r="AD277" t="n">
        <x:v>13881</x:v>
      </x:c>
      <x:c r="AE277" t="n">
        <x:v>14599</x:v>
      </x:c>
      <x:c r="AF277" t="n">
        <x:v>14946</x:v>
      </x:c>
      <x:c r="AG277" t="n">
        <x:v>20439</x:v>
      </x:c>
      <x:c r="AH277" t="n">
        <x:v>20439</x:v>
      </x:c>
      <x:c r="AI277" t="n">
        <x:v>88598</x:v>
      </x:c>
      <x:c r="AJ277" t="n">
        <x:v>90264</x:v>
      </x:c>
      <x:c r="AK277" t="n">
        <x:v>125743</x:v>
      </x:c>
      <x:c r="AL277" t="n">
        <x:v>125743</x:v>
      </x:c>
      <x:c r="AM277" t="str">
        <x:v>Fully allotted in R1; R2 opportunity depends on upgrade/non-joining</x:v>
      </x:c>
    </x:row>
    <x:row r="278">
      <x:c r="A278" t="str">
        <x:v>Odisha</x:v>
      </x:c>
      <x:c r="B278" t="str">
        <x:v>Deemed University</x:v>
      </x:c>
      <x:c r="C278" t="str">
        <x:v>902806</x:v>
      </x:c>
      <x:c r="D278" t="str">
        <x:v>Institute of Medical Sciences &amp; SUM Hospital, Campus-II, Phulnakhara Bhubaneswar, Odhisha, At-Nakhara, Po-Phulnakhara, Bhubaneswar, Khordha</x:v>
      </x:c>
      <x:c r="E278" t="str">
        <x:v>OD/009/P/3</x:v>
      </x:c>
      <x:c r="F278" t="str">
        <x:v>Private</x:v>
      </x:c>
      <x:c r="G278" t="n">
        <x:v>250</x:v>
      </x:c>
      <x:c r="H278" t="n">
        <x:v>100</x:v>
      </x:c>
      <x:c r="I278" t="str">
        <x:v>High-confidence fuzzy</x:v>
      </x:c>
      <x:c r="J278" t="n">
        <x:v>250</x:v>
      </x:c>
      <x:c r="K278" t="n">
        <x:v>240</x:v>
      </x:c>
      <x:c r="L278" t="n">
        <x:f>J278-K278</x:f>
        <x:v>10</x:v>
      </x:c>
      <x:c r="M278" s="20" t="n">
        <x:f>IFERROR(K278/J278,0)</x:f>
        <x:v>0.96</x:v>
      </x:c>
      <x:c r="N278" t="n">
        <x:v>0</x:v>
      </x:c>
      <x:c r="O278" t="n">
        <x:v>0</x:v>
      </x:c>
      <x:c r="P278" t="n">
        <x:f>N278-O278</x:f>
        <x:v>0</x:v>
      </x:c>
      <x:c r="Q278" t="n">
        <x:v>250</x:v>
      </x:c>
      <x:c r="R278" t="n">
        <x:v>240</x:v>
      </x:c>
      <x:c r="S278" t="n">
        <x:f>Q278-R278</x:f>
        <x:v>10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240</x:v>
      </x:c>
      <x:c r="Y278" t="n">
        <x:v>240</x:v>
      </x:c>
      <x:c r="Z278" t="n">
        <x:v>10</x:v>
      </x:c>
      <x:c r="AA278" t="n">
        <x:v>0</x:v>
      </x:c>
      <x:c r="AB278" t="n">
        <x:f>IF(AND(ISNUMBER(G278),I278&lt;&gt;"Excluded INI"),MAX(0,G278-J278),"")</x:f>
        <x:v>0</x:v>
      </x:c>
      <x:c r="AC278" t="n">
        <x:v>229358</x:v>
      </x:c>
      <x:c r="AD278" t="n">
        <x:v>332063</x:v>
      </x:c>
      <x:c r="AE278"/>
      <x:c r="AF278"/>
      <x:c r="AG278"/>
      <x:c r="AH278"/>
      <x:c r="AI278"/>
      <x:c r="AJ278"/>
      <x:c r="AK278"/>
      <x:c r="AL278"/>
      <x:c r="AM278" t="str">
        <x:v>Unfilled mainly private/NRI/minority; regular R2 depends on movement</x:v>
      </x:c>
    </x:row>
    <x:row r="279">
      <x:c r="A279" t="str">
        <x:v>Odisha</x:v>
      </x:c>
      <x:c r="B279" t="str">
        <x:v>Deemed University</x:v>
      </x:c>
      <x:c r="C279" t="str">
        <x:v>200374</x:v>
      </x:c>
      <x:c r="D279" t="str">
        <x:v>Instt. Of Medical Sciences &amp; SUM Hospital, Bhubaneswar, K 8 Kalinga Nagar Po Mahalaxmi Vihar Bhubaneswar</x:v>
      </x:c>
      <x:c r="E279" t="str">
        <x:v>OD/009/P/3</x:v>
      </x:c>
      <x:c r="F279" t="str">
        <x:v>Private</x:v>
      </x:c>
      <x:c r="G279" t="n">
        <x:v>250</x:v>
      </x:c>
      <x:c r="H279" t="n">
        <x:v>100</x:v>
      </x:c>
      <x:c r="I279" t="str">
        <x:v>High-confidence fuzzy</x:v>
      </x:c>
      <x:c r="J279" t="n">
        <x:v>250</x:v>
      </x:c>
      <x:c r="K279" t="n">
        <x:v>248</x:v>
      </x:c>
      <x:c r="L279" t="n">
        <x:f>J279-K279</x:f>
        <x:v>2</x:v>
      </x:c>
      <x:c r="M279" s="20" t="n">
        <x:f>IFERROR(K279/J279,0)</x:f>
        <x:v>0.992</x:v>
      </x:c>
      <x:c r="N279" t="n">
        <x:v>0</x:v>
      </x:c>
      <x:c r="O279" t="n">
        <x:v>0</x:v>
      </x:c>
      <x:c r="P279" t="n">
        <x:f>N279-O279</x:f>
        <x:v>0</x:v>
      </x:c>
      <x:c r="Q279" t="n">
        <x:v>250</x:v>
      </x:c>
      <x:c r="R279" t="n">
        <x:v>248</x:v>
      </x:c>
      <x:c r="S279" t="n">
        <x:f>Q279-R279</x:f>
        <x:v>2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245</x:v>
      </x:c>
      <x:c r="Y279" t="n">
        <x:v>245</x:v>
      </x:c>
      <x:c r="Z279" t="n">
        <x:v>5</x:v>
      </x:c>
      <x:c r="AA279" t="n">
        <x:v>3</x:v>
      </x:c>
      <x:c r="AB279" t="n">
        <x:f>IF(AND(ISNUMBER(G279),I279&lt;&gt;"Excluded INI"),MAX(0,G279-J279),"")</x:f>
        <x:v>0</x:v>
      </x:c>
      <x:c r="AC279" t="n">
        <x:v>290814</x:v>
      </x:c>
      <x:c r="AD279" t="n">
        <x:v>951734</x:v>
      </x:c>
      <x:c r="AE279"/>
      <x:c r="AF279"/>
      <x:c r="AG279"/>
      <x:c r="AH279"/>
      <x:c r="AI279"/>
      <x:c r="AJ279"/>
      <x:c r="AK279"/>
      <x:c r="AL279"/>
      <x:c r="AM279" t="str">
        <x:v>Unfilled mainly private/NRI/minority; regular R2 depends on movement</x:v>
      </x:c>
    </x:row>
    <x:row r="280">
      <x:c r="A280" t="str">
        <x:v>Odisha</x:v>
      </x:c>
      <x:c r="B280" t="str">
        <x:v>Deemed University</x:v>
      </x:c>
      <x:c r="C280" t="str">
        <x:v>200376</x:v>
      </x:c>
      <x:c r="D280" t="str">
        <x:v>Kalinga Institute of Medical Sciences, Bhubaneswar, CAMPUS-5 KUSHABHADRA CAMPUS P.O-KIIT BHUBANESWAR</x:v>
      </x:c>
      <x:c r="E280" t="str">
        <x:v>OD/011/P/4</x:v>
      </x:c>
      <x:c r="F280" t="str">
        <x:v>Private</x:v>
      </x:c>
      <x:c r="G280" t="n">
        <x:v>250</x:v>
      </x:c>
      <x:c r="H280" t="n">
        <x:v>100</x:v>
      </x:c>
      <x:c r="I280" t="str">
        <x:v>High-confidence fuzzy</x:v>
      </x:c>
      <x:c r="J280" t="n">
        <x:v>250</x:v>
      </x:c>
      <x:c r="K280" t="n">
        <x:v>217</x:v>
      </x:c>
      <x:c r="L280" t="n">
        <x:f>J280-K280</x:f>
        <x:v>33</x:v>
      </x:c>
      <x:c r="M280" s="20" t="n">
        <x:f>IFERROR(K280/J280,0)</x:f>
        <x:v>0.868</x:v>
      </x:c>
      <x:c r="N280" t="n">
        <x:v>0</x:v>
      </x:c>
      <x:c r="O280" t="n">
        <x:v>0</x:v>
      </x:c>
      <x:c r="P280" t="n">
        <x:f>N280-O280</x:f>
        <x:v>0</x:v>
      </x:c>
      <x:c r="Q280" t="n">
        <x:v>250</x:v>
      </x:c>
      <x:c r="R280" t="n">
        <x:v>217</x:v>
      </x:c>
      <x:c r="S280" t="n">
        <x:f>Q280-R280</x:f>
        <x:v>33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213</x:v>
      </x:c>
      <x:c r="Y280" t="n">
        <x:v>213</x:v>
      </x:c>
      <x:c r="Z280" t="n">
        <x:v>37</x:v>
      </x:c>
      <x:c r="AA280" t="n">
        <x:v>4</x:v>
      </x:c>
      <x:c r="AB280" t="n">
        <x:f>IF(AND(ISNUMBER(G280),I280&lt;&gt;"Excluded INI"),MAX(0,G280-J280),"")</x:f>
        <x:v>0</x:v>
      </x:c>
      <x:c r="AC280" t="n">
        <x:v>200469</x:v>
      </x:c>
      <x:c r="AD280" t="n">
        <x:v>940368</x:v>
      </x:c>
      <x:c r="AE280"/>
      <x:c r="AF280"/>
      <x:c r="AG280"/>
      <x:c r="AH280"/>
      <x:c r="AI280"/>
      <x:c r="AJ280"/>
      <x:c r="AK280"/>
      <x:c r="AL280"/>
      <x:c r="AM280" t="str">
        <x:v>Unfilled mainly private/NRI/minority; regular R2 depends on movement</x:v>
      </x:c>
    </x:row>
    <x:row r="281">
      <x:c r="A281" t="str">
        <x:v>Odisha</x:v>
      </x:c>
      <x:c r="B281" t="str">
        <x:v>All India except Central University</x:v>
      </x:c>
      <x:c r="C281" t="str">
        <x:v>200235</x:v>
      </x:c>
      <x:c r="D281" t="str">
        <x:v>MKCG Medical College, Berhampur, MKCG MEDICAL COLLEGE CAMPUS, BERHAMPUR, GANJAM</x:v>
      </x:c>
      <x:c r="E281" t="str">
        <x:v>OD/013/G/1</x:v>
      </x:c>
      <x:c r="F281" t="str">
        <x:v>Government</x:v>
      </x:c>
      <x:c r="G281" t="n">
        <x:v>250</x:v>
      </x:c>
      <x:c r="H281" t="n">
        <x:v>100</x:v>
      </x:c>
      <x:c r="I281" t="str">
        <x:v>High-confidence fuzzy</x:v>
      </x:c>
      <x:c r="J281" t="n">
        <x:v>38</x:v>
      </x:c>
      <x:c r="K281" t="n">
        <x:v>38</x:v>
      </x:c>
      <x:c r="L281" t="n">
        <x:f>J281-K281</x:f>
        <x:v>0</x:v>
      </x:c>
      <x:c r="M281" s="20" t="n">
        <x:f>IFERROR(K281/J281,0)</x:f>
        <x:v>1</x:v>
      </x:c>
      <x:c r="N281" t="n">
        <x:v>38</x:v>
      </x:c>
      <x:c r="O281" t="n">
        <x:v>38</x:v>
      </x:c>
      <x:c r="P281" t="n">
        <x:f>N281-O281</x:f>
        <x:v>0</x:v>
      </x:c>
      <x:c r="Q281" t="n">
        <x:v>0</x:v>
      </x:c>
      <x:c r="R281" t="n">
        <x:v>0</x:v>
      </x:c>
      <x:c r="S281" t="n">
        <x:f>Q281-R281</x:f>
        <x:v>0</x:v>
      </x:c>
      <x:c r="T281" t="n">
        <x:v>38</x:v>
      </x:c>
      <x:c r="U281" t="n">
        <x:v>38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f>IF(AND(ISNUMBER(G281),I281&lt;&gt;"Excluded INI"),MAX(0,G281-J281),"")</x:f>
        <x:v>212</x:v>
      </x:c>
      <x:c r="AC281" t="n">
        <x:v>4050</x:v>
      </x:c>
      <x:c r="AD281" t="n">
        <x:v>4899</x:v>
      </x:c>
      <x:c r="AE281" t="n">
        <x:v>5660</x:v>
      </x:c>
      <x:c r="AF281" t="n">
        <x:v>6400</x:v>
      </x:c>
      <x:c r="AG281" t="n">
        <x:v>6267</x:v>
      </x:c>
      <x:c r="AH281" t="n">
        <x:v>6448</x:v>
      </x:c>
      <x:c r="AI281" t="n">
        <x:v>31109</x:v>
      </x:c>
      <x:c r="AJ281" t="n">
        <x:v>36546</x:v>
      </x:c>
      <x:c r="AK281" t="n">
        <x:v>80556</x:v>
      </x:c>
      <x:c r="AL281" t="n">
        <x:v>94601</x:v>
      </x:c>
      <x:c r="AM281" t="str">
        <x:v>Fully allotted in R1; R2 opportunity depends on upgrade/non-joining</x:v>
      </x:c>
    </x:row>
    <x:row r="282">
      <x:c r="A282" t="str">
        <x:v>Odisha</x:v>
      </x:c>
      <x:c r="B282" t="str">
        <x:v>All India except Central University</x:v>
      </x:c>
      <x:c r="C282" t="str">
        <x:v>902811</x:v>
      </x:c>
      <x:c r="D282" t="str">
        <x:v>Mahraja Jajati Keshari Medical College (previously Government Medical College and Hospital, Jajpur Odhisha), Dean and Principal, Government Medical College and Hospital, Jajpur, Renamed as Maharaja Jajati Kesh</x:v>
      </x:c>
      <x:c r="E282" t="str">
        <x:v>OD/012/G/1</x:v>
      </x:c>
      <x:c r="F282" t="str">
        <x:v>Government</x:v>
      </x:c>
      <x:c r="G282" t="n">
        <x:v>50</x:v>
      </x:c>
      <x:c r="H282" t="n">
        <x:v>100</x:v>
      </x:c>
      <x:c r="I282" t="str">
        <x:v>High-confidence fuzzy</x:v>
      </x:c>
      <x:c r="J282" t="n">
        <x:v>7</x:v>
      </x:c>
      <x:c r="K282" t="n">
        <x:v>7</x:v>
      </x:c>
      <x:c r="L282" t="n">
        <x:f>J282-K282</x:f>
        <x:v>0</x:v>
      </x:c>
      <x:c r="M282" s="20" t="n">
        <x:f>IFERROR(K282/J282,0)</x:f>
        <x:v>1</x:v>
      </x:c>
      <x:c r="N282" t="n">
        <x:v>7</x:v>
      </x:c>
      <x:c r="O282" t="n">
        <x:v>7</x:v>
      </x:c>
      <x:c r="P282" t="n">
        <x:f>N282-O282</x:f>
        <x:v>0</x:v>
      </x:c>
      <x:c r="Q282" t="n">
        <x:v>0</x:v>
      </x:c>
      <x:c r="R282" t="n">
        <x:v>0</x:v>
      </x:c>
      <x:c r="S282" t="n">
        <x:f>Q282-R282</x:f>
        <x:v>0</x:v>
      </x:c>
      <x:c r="T282" t="n">
        <x:v>7</x:v>
      </x:c>
      <x:c r="U282" t="n">
        <x:v>7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f>IF(AND(ISNUMBER(G282),I282&lt;&gt;"Excluded INI"),MAX(0,G282-J282),"")</x:f>
        <x:v>43</x:v>
      </x:c>
      <x:c r="AC282" t="n">
        <x:v>9243</x:v>
      </x:c>
      <x:c r="AD282" t="n">
        <x:v>10139</x:v>
      </x:c>
      <x:c r="AE282" t="n">
        <x:v>14157</x:v>
      </x:c>
      <x:c r="AF282" t="n">
        <x:v>15183</x:v>
      </x:c>
      <x:c r="AG282" t="n">
        <x:v>19517</x:v>
      </x:c>
      <x:c r="AH282" t="n">
        <x:v>19517</x:v>
      </x:c>
      <x:c r="AI282" t="n">
        <x:v>62642</x:v>
      </x:c>
      <x:c r="AJ282" t="n">
        <x:v>62642</x:v>
      </x:c>
      <x:c r="AK282"/>
      <x:c r="AL282"/>
      <x:c r="AM282" t="str">
        <x:v>Fully allotted in R1; R2 opportunity depends on upgrade/non-joining</x:v>
      </x:c>
    </x:row>
    <x:row r="283">
      <x:c r="A283" t="str">
        <x:v>Odisha</x:v>
      </x:c>
      <x:c r="B283" t="str">
        <x:v>All India except Central University</x:v>
      </x:c>
      <x:c r="C283" t="str">
        <x:v>904364</x:v>
      </x:c>
      <x:c r="D283" t="str">
        <x:v>PABITRA MOHAN PRADHAN MEDICAL COLLEGE, TALCHER, AT/PO- DERA, P.S- COLLIERY DERA, TALCHER, DISTRICT-ANGUL, PIN- 759103, ODISHA</x:v>
      </x:c>
      <x:c r="E283" t="str">
        <x:v>OD/014/G/1</x:v>
      </x:c>
      <x:c r="F283" t="str">
        <x:v>Government</x:v>
      </x:c>
      <x:c r="G283" t="n">
        <x:v>100</x:v>
      </x:c>
      <x:c r="H283" t="n">
        <x:v>100</x:v>
      </x:c>
      <x:c r="I283" t="str">
        <x:v>High-confidence fuzzy</x:v>
      </x:c>
      <x:c r="J283" t="n">
        <x:v>15</x:v>
      </x:c>
      <x:c r="K283" t="n">
        <x:v>15</x:v>
      </x:c>
      <x:c r="L283" t="n">
        <x:f>J283-K283</x:f>
        <x:v>0</x:v>
      </x:c>
      <x:c r="M283" s="20" t="n">
        <x:f>IFERROR(K283/J283,0)</x:f>
        <x:v>1</x:v>
      </x:c>
      <x:c r="N283" t="n">
        <x:v>15</x:v>
      </x:c>
      <x:c r="O283" t="n">
        <x:v>15</x:v>
      </x:c>
      <x:c r="P283" t="n">
        <x:f>N283-O283</x:f>
        <x:v>0</x:v>
      </x:c>
      <x:c r="Q283" t="n">
        <x:v>0</x:v>
      </x:c>
      <x:c r="R283" t="n">
        <x:v>0</x:v>
      </x:c>
      <x:c r="S283" t="n">
        <x:f>Q283-R283</x:f>
        <x:v>0</x:v>
      </x:c>
      <x:c r="T283" t="n">
        <x:v>15</x:v>
      </x:c>
      <x:c r="U283" t="n">
        <x:v>15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f>IF(AND(ISNUMBER(G283),I283&lt;&gt;"Excluded INI"),MAX(0,G283-J283),"")</x:f>
        <x:v>85</x:v>
      </x:c>
      <x:c r="AC283" t="n">
        <x:v>13531</x:v>
      </x:c>
      <x:c r="AD283" t="n">
        <x:v>14500</x:v>
      </x:c>
      <x:c r="AE283" t="n">
        <x:v>18522</x:v>
      </x:c>
      <x:c r="AF283" t="n">
        <x:v>19115</x:v>
      </x:c>
      <x:c r="AG283" t="n">
        <x:v>22013</x:v>
      </x:c>
      <x:c r="AH283" t="n">
        <x:v>22013</x:v>
      </x:c>
      <x:c r="AI283" t="n">
        <x:v>90598</x:v>
      </x:c>
      <x:c r="AJ283" t="n">
        <x:v>93617</x:v>
      </x:c>
      <x:c r="AK283" t="n">
        <x:v>126555</x:v>
      </x:c>
      <x:c r="AL283" t="n">
        <x:v>127463</x:v>
      </x:c>
      <x:c r="AM283" t="str">
        <x:v>Fully allotted in R1; R2 opportunity depends on upgrade/non-joining</x:v>
      </x:c>
    </x:row>
    <x:row r="284">
      <x:c r="A284" t="str">
        <x:v>Odisha</x:v>
      </x:c>
      <x:c r="B284" t="str">
        <x:v>All India except Central University</x:v>
      </x:c>
      <x:c r="C284" t="str">
        <x:v>200236</x:v>
      </x:c>
      <x:c r="D284" t="str">
        <x:v>Pt. Raghunath Murmu Medical College and Hospital, Baripada, Odisha, AT-Rangamatia ,PO-Sankhabhanga , Via-Laxmiposi, Dist- Mayurbhanj, Odisha</x:v>
      </x:c>
      <x:c r="E284" t="str">
        <x:v>OD/015/G/1</x:v>
      </x:c>
      <x:c r="F284" t="str">
        <x:v>Government</x:v>
      </x:c>
      <x:c r="G284" t="n">
        <x:v>125</x:v>
      </x:c>
      <x:c r="H284" t="n">
        <x:v>100</x:v>
      </x:c>
      <x:c r="I284" t="str">
        <x:v>High-confidence fuzzy</x:v>
      </x:c>
      <x:c r="J284" t="n">
        <x:v>19</x:v>
      </x:c>
      <x:c r="K284" t="n">
        <x:v>19</x:v>
      </x:c>
      <x:c r="L284" t="n">
        <x:f>J284-K284</x:f>
        <x:v>0</x:v>
      </x:c>
      <x:c r="M284" s="20" t="n">
        <x:f>IFERROR(K284/J284,0)</x:f>
        <x:v>1</x:v>
      </x:c>
      <x:c r="N284" t="n">
        <x:v>19</x:v>
      </x:c>
      <x:c r="O284" t="n">
        <x:v>19</x:v>
      </x:c>
      <x:c r="P284" t="n">
        <x:f>N284-O284</x:f>
        <x:v>0</x:v>
      </x:c>
      <x:c r="Q284" t="n">
        <x:v>0</x:v>
      </x:c>
      <x:c r="R284" t="n">
        <x:v>0</x:v>
      </x:c>
      <x:c r="S284" t="n">
        <x:f>Q284-R284</x:f>
        <x:v>0</x:v>
      </x:c>
      <x:c r="T284" t="n">
        <x:v>19</x:v>
      </x:c>
      <x:c r="U284" t="n">
        <x:v>19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f>IF(AND(ISNUMBER(G284),I284&lt;&gt;"Excluded INI"),MAX(0,G284-J284),"")</x:f>
        <x:v>106</x:v>
      </x:c>
      <x:c r="AC284" t="n">
        <x:v>10007</x:v>
      </x:c>
      <x:c r="AD284" t="n">
        <x:v>10861</x:v>
      </x:c>
      <x:c r="AE284" t="n">
        <x:v>12174</x:v>
      </x:c>
      <x:c r="AF284" t="n">
        <x:v>12684</x:v>
      </x:c>
      <x:c r="AG284" t="n">
        <x:v>15962</x:v>
      </x:c>
      <x:c r="AH284" t="n">
        <x:v>17143</x:v>
      </x:c>
      <x:c r="AI284" t="n">
        <x:v>56204</x:v>
      </x:c>
      <x:c r="AJ284" t="n">
        <x:v>57335</x:v>
      </x:c>
      <x:c r="AK284" t="n">
        <x:v>119968</x:v>
      </x:c>
      <x:c r="AL284" t="n">
        <x:v>119968</x:v>
      </x:c>
      <x:c r="AM284" t="str">
        <x:v>Fully allotted in R1; R2 opportunity depends on upgrade/non-joining</x:v>
      </x:c>
    </x:row>
    <x:row r="285">
      <x:c r="A285" t="str">
        <x:v>Odisha</x:v>
      </x:c>
      <x:c r="B285" t="str">
        <x:v>All India except Central University</x:v>
      </x:c>
      <x:c r="C285" t="str">
        <x:v>200238</x:v>
      </x:c>
      <x:c r="D285" t="str">
        <x:v>SCB Medical College, Cuttack, Mangalabag, Kataka</x:v>
      </x:c>
      <x:c r="E285" t="str">
        <x:v>OD/017/G/1</x:v>
      </x:c>
      <x:c r="F285" t="str">
        <x:v>Government</x:v>
      </x:c>
      <x:c r="G285" t="n">
        <x:v>250</x:v>
      </x:c>
      <x:c r="H285" t="n">
        <x:v>100</x:v>
      </x:c>
      <x:c r="I285" t="str">
        <x:v>High-confidence fuzzy</x:v>
      </x:c>
      <x:c r="J285" t="n">
        <x:v>38</x:v>
      </x:c>
      <x:c r="K285" t="n">
        <x:v>38</x:v>
      </x:c>
      <x:c r="L285" t="n">
        <x:f>J285-K285</x:f>
        <x:v>0</x:v>
      </x:c>
      <x:c r="M285" s="20" t="n">
        <x:f>IFERROR(K285/J285,0)</x:f>
        <x:v>1</x:v>
      </x:c>
      <x:c r="N285" t="n">
        <x:v>38</x:v>
      </x:c>
      <x:c r="O285" t="n">
        <x:v>38</x:v>
      </x:c>
      <x:c r="P285" t="n">
        <x:f>N285-O285</x:f>
        <x:v>0</x:v>
      </x:c>
      <x:c r="Q285" t="n">
        <x:v>0</x:v>
      </x:c>
      <x:c r="R285" t="n">
        <x:v>0</x:v>
      </x:c>
      <x:c r="S285" t="n">
        <x:f>Q285-R285</x:f>
        <x:v>0</x:v>
      </x:c>
      <x:c r="T285" t="n">
        <x:v>38</x:v>
      </x:c>
      <x:c r="U285" t="n">
        <x:v>38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f>IF(AND(ISNUMBER(G285),I285&lt;&gt;"Excluded INI"),MAX(0,G285-J285),"")</x:f>
        <x:v>212</x:v>
      </x:c>
      <x:c r="AC285" t="n">
        <x:v>2170</x:v>
      </x:c>
      <x:c r="AD285" t="n">
        <x:v>3035</x:v>
      </x:c>
      <x:c r="AE285" t="n">
        <x:v>3922</x:v>
      </x:c>
      <x:c r="AF285" t="n">
        <x:v>4496</x:v>
      </x:c>
      <x:c r="AG285" t="n">
        <x:v>5019</x:v>
      </x:c>
      <x:c r="AH285" t="n">
        <x:v>5248</x:v>
      </x:c>
      <x:c r="AI285" t="n">
        <x:v>26262</x:v>
      </x:c>
      <x:c r="AJ285" t="n">
        <x:v>29170</x:v>
      </x:c>
      <x:c r="AK285" t="n">
        <x:v>51794</x:v>
      </x:c>
      <x:c r="AL285" t="n">
        <x:v>52055</x:v>
      </x:c>
      <x:c r="AM285" t="str">
        <x:v>Fully allotted in R1; R2 opportunity depends on upgrade/non-joining</x:v>
      </x:c>
    </x:row>
    <x:row r="286">
      <x:c r="A286" t="str">
        <x:v>Odisha</x:v>
      </x:c>
      <x:c r="B286" t="str">
        <x:v>All India except Central University</x:v>
      </x:c>
      <x:c r="C286" t="str">
        <x:v>200239</x:v>
      </x:c>
      <x:c r="D286" t="str">
        <x:v>Saheed Laxman Nayak Medical College &amp; Hospital, Koraput, AT- JANIGUDA,KORAPUT</x:v>
      </x:c>
      <x:c r="E286" t="str">
        <x:v>OD/016/G/1</x:v>
      </x:c>
      <x:c r="F286" t="str">
        <x:v>Government</x:v>
      </x:c>
      <x:c r="G286" t="n">
        <x:v>125</x:v>
      </x:c>
      <x:c r="H286" t="n">
        <x:v>100</x:v>
      </x:c>
      <x:c r="I286" t="str">
        <x:v>High-confidence fuzzy</x:v>
      </x:c>
      <x:c r="J286" t="n">
        <x:v>19</x:v>
      </x:c>
      <x:c r="K286" t="n">
        <x:v>19</x:v>
      </x:c>
      <x:c r="L286" t="n">
        <x:f>J286-K286</x:f>
        <x:v>0</x:v>
      </x:c>
      <x:c r="M286" s="20" t="n">
        <x:f>IFERROR(K286/J286,0)</x:f>
        <x:v>1</x:v>
      </x:c>
      <x:c r="N286" t="n">
        <x:v>19</x:v>
      </x:c>
      <x:c r="O286" t="n">
        <x:v>19</x:v>
      </x:c>
      <x:c r="P286" t="n">
        <x:f>N286-O286</x:f>
        <x:v>0</x:v>
      </x:c>
      <x:c r="Q286" t="n">
        <x:v>0</x:v>
      </x:c>
      <x:c r="R286" t="n">
        <x:v>0</x:v>
      </x:c>
      <x:c r="S286" t="n">
        <x:f>Q286-R286</x:f>
        <x:v>0</x:v>
      </x:c>
      <x:c r="T286" t="n">
        <x:v>19</x:v>
      </x:c>
      <x:c r="U286" t="n">
        <x:v>19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f>IF(AND(ISNUMBER(G286),I286&lt;&gt;"Excluded INI"),MAX(0,G286-J286),"")</x:f>
        <x:v>106</x:v>
      </x:c>
      <x:c r="AC286" t="n">
        <x:v>12310</x:v>
      </x:c>
      <x:c r="AD286" t="n">
        <x:v>13157</x:v>
      </x:c>
      <x:c r="AE286" t="n">
        <x:v>14616</x:v>
      </x:c>
      <x:c r="AF286" t="n">
        <x:v>15686</x:v>
      </x:c>
      <x:c r="AG286" t="n">
        <x:v>19192</x:v>
      </x:c>
      <x:c r="AH286" t="n">
        <x:v>19397</x:v>
      </x:c>
      <x:c r="AI286" t="n">
        <x:v>69471</x:v>
      </x:c>
      <x:c r="AJ286" t="n">
        <x:v>69784</x:v>
      </x:c>
      <x:c r="AK286" t="n">
        <x:v>123994</x:v>
      </x:c>
      <x:c r="AL286" t="n">
        <x:v>123994</x:v>
      </x:c>
      <x:c r="AM286" t="str">
        <x:v>Fully allotted in R1; R2 opportunity depends on upgrade/non-joining</x:v>
      </x:c>
    </x:row>
    <x:row r="287">
      <x:c r="A287" t="str">
        <x:v>Odisha</x:v>
      </x:c>
      <x:c r="B287" t="str">
        <x:v>All India except Central University</x:v>
      </x:c>
      <x:c r="C287" t="str">
        <x:v>200675</x:v>
      </x:c>
      <x:c r="D287" t="str">
        <x:v>Saheed Rendo Majhi Medical College and Hospital, Bhawanipatna, Kalahandi, Odisha (erstwhile Government Medical College, Bhawanipatna) , At - Bhangabari, P.O. - Uditnarayanpur, Bhawanipatna, Dist - Kalahandi</x:v>
      </x:c>
      <x:c r="E287" t="str">
        <x:v>OD/004/G/1</x:v>
      </x:c>
      <x:c r="F287" t="str">
        <x:v>Government</x:v>
      </x:c>
      <x:c r="G287" t="n">
        <x:v>100</x:v>
      </x:c>
      <x:c r="H287" t="n">
        <x:v>100</x:v>
      </x:c>
      <x:c r="I287" t="str">
        <x:v>High-confidence fuzzy</x:v>
      </x:c>
      <x:c r="J287" t="n">
        <x:v>15</x:v>
      </x:c>
      <x:c r="K287" t="n">
        <x:v>15</x:v>
      </x:c>
      <x:c r="L287" t="n">
        <x:f>J287-K287</x:f>
        <x:v>0</x:v>
      </x:c>
      <x:c r="M287" s="20" t="n">
        <x:f>IFERROR(K287/J287,0)</x:f>
        <x:v>1</x:v>
      </x:c>
      <x:c r="N287" t="n">
        <x:v>15</x:v>
      </x:c>
      <x:c r="O287" t="n">
        <x:v>15</x:v>
      </x:c>
      <x:c r="P287" t="n">
        <x:f>N287-O287</x:f>
        <x:v>0</x:v>
      </x:c>
      <x:c r="Q287" t="n">
        <x:v>0</x:v>
      </x:c>
      <x:c r="R287" t="n">
        <x:v>0</x:v>
      </x:c>
      <x:c r="S287" t="n">
        <x:f>Q287-R287</x:f>
        <x:v>0</x:v>
      </x:c>
      <x:c r="T287" t="n">
        <x:v>15</x:v>
      </x:c>
      <x:c r="U287" t="n">
        <x:v>15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f>IF(AND(ISNUMBER(G287),I287&lt;&gt;"Excluded INI"),MAX(0,G287-J287),"")</x:f>
        <x:v>85</x:v>
      </x:c>
      <x:c r="AC287" t="n">
        <x:v>12301</x:v>
      </x:c>
      <x:c r="AD287" t="n">
        <x:v>14214</x:v>
      </x:c>
      <x:c r="AE287" t="n">
        <x:v>16820</x:v>
      </x:c>
      <x:c r="AF287" t="n">
        <x:v>17025</x:v>
      </x:c>
      <x:c r="AG287" t="n">
        <x:v>20575</x:v>
      </x:c>
      <x:c r="AH287" t="n">
        <x:v>20575</x:v>
      </x:c>
      <x:c r="AI287" t="n">
        <x:v>64803</x:v>
      </x:c>
      <x:c r="AJ287" t="n">
        <x:v>72285</x:v>
      </x:c>
      <x:c r="AK287" t="n">
        <x:v>119973</x:v>
      </x:c>
      <x:c r="AL287" t="n">
        <x:v>119973</x:v>
      </x:c>
      <x:c r="AM287" t="str">
        <x:v>Fully allotted in R1; R2 opportunity depends on upgrade/non-joining</x:v>
      </x:c>
    </x:row>
    <x:row r="288">
      <x:c r="A288" t="str">
        <x:v>Odisha</x:v>
      </x:c>
      <x:c r="B288" t="str">
        <x:v>All India except Central University</x:v>
      </x:c>
      <x:c r="C288" t="str">
        <x:v>200565</x:v>
      </x:c>
      <x:c r="D288" t="str">
        <x:v>Sri Jagannath Medical College &amp; Hospital, Puri, BALIGUALI SAMANGARA PURI PIN 752004 ODISHA</x:v>
      </x:c>
      <x:c r="E288" t="str">
        <x:v>OD/018/G/1</x:v>
      </x:c>
      <x:c r="F288" t="str">
        <x:v>Government</x:v>
      </x:c>
      <x:c r="G288" t="n">
        <x:v>100</x:v>
      </x:c>
      <x:c r="H288" t="n">
        <x:v>100</x:v>
      </x:c>
      <x:c r="I288" t="str">
        <x:v>High-confidence fuzzy</x:v>
      </x:c>
      <x:c r="J288" t="n">
        <x:v>15</x:v>
      </x:c>
      <x:c r="K288" t="n">
        <x:v>15</x:v>
      </x:c>
      <x:c r="L288" t="n">
        <x:f>J288-K288</x:f>
        <x:v>0</x:v>
      </x:c>
      <x:c r="M288" s="20" t="n">
        <x:f>IFERROR(K288/J288,0)</x:f>
        <x:v>1</x:v>
      </x:c>
      <x:c r="N288" t="n">
        <x:v>15</x:v>
      </x:c>
      <x:c r="O288" t="n">
        <x:v>15</x:v>
      </x:c>
      <x:c r="P288" t="n">
        <x:f>N288-O288</x:f>
        <x:v>0</x:v>
      </x:c>
      <x:c r="Q288" t="n">
        <x:v>0</x:v>
      </x:c>
      <x:c r="R288" t="n">
        <x:v>0</x:v>
      </x:c>
      <x:c r="S288" t="n">
        <x:f>Q288-R288</x:f>
        <x:v>0</x:v>
      </x:c>
      <x:c r="T288" t="n">
        <x:v>15</x:v>
      </x:c>
      <x:c r="U288" t="n">
        <x:v>15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f>IF(AND(ISNUMBER(G288),I288&lt;&gt;"Excluded INI"),MAX(0,G288-J288),"")</x:f>
        <x:v>85</x:v>
      </x:c>
      <x:c r="AC288" t="n">
        <x:v>6744</x:v>
      </x:c>
      <x:c r="AD288" t="n">
        <x:v>8157</x:v>
      </x:c>
      <x:c r="AE288" t="n">
        <x:v>9334</x:v>
      </x:c>
      <x:c r="AF288" t="n">
        <x:v>9406</x:v>
      </x:c>
      <x:c r="AG288" t="n">
        <x:v>12176</x:v>
      </x:c>
      <x:c r="AH288" t="n">
        <x:v>12340</x:v>
      </x:c>
      <x:c r="AI288" t="n">
        <x:v>45016</x:v>
      </x:c>
      <x:c r="AJ288" t="n">
        <x:v>47644</x:v>
      </x:c>
      <x:c r="AK288" t="n">
        <x:v>112712</x:v>
      </x:c>
      <x:c r="AL288" t="n">
        <x:v>112712</x:v>
      </x:c>
      <x:c r="AM288" t="str">
        <x:v>Fully allotted in R1; R2 opportunity depends on upgrade/non-joining</x:v>
      </x:c>
    </x:row>
    <x:row r="289">
      <x:c r="A289" t="str">
        <x:v>Odisha</x:v>
      </x:c>
      <x:c r="B289" t="str">
        <x:v>All India except Central University</x:v>
      </x:c>
      <x:c r="C289" t="str">
        <x:v>200240</x:v>
      </x:c>
      <x:c r="D289" t="str">
        <x:v>Veer Surendra Sai Institute of Medical Sciences and Research, Burla, AYURVIHAR,BURLA, SAMBALPUR</x:v>
      </x:c>
      <x:c r="E289" t="str">
        <x:v>OD/019/G/1</x:v>
      </x:c>
      <x:c r="F289" t="str">
        <x:v>Government</x:v>
      </x:c>
      <x:c r="G289" t="n">
        <x:v>250</x:v>
      </x:c>
      <x:c r="H289" t="n">
        <x:v>100</x:v>
      </x:c>
      <x:c r="I289" t="str">
        <x:v>High-confidence fuzzy</x:v>
      </x:c>
      <x:c r="J289" t="n">
        <x:v>37</x:v>
      </x:c>
      <x:c r="K289" t="n">
        <x:v>37</x:v>
      </x:c>
      <x:c r="L289" t="n">
        <x:f>J289-K289</x:f>
        <x:v>0</x:v>
      </x:c>
      <x:c r="M289" s="20" t="n">
        <x:f>IFERROR(K289/J289,0)</x:f>
        <x:v>1</x:v>
      </x:c>
      <x:c r="N289" t="n">
        <x:v>37</x:v>
      </x:c>
      <x:c r="O289" t="n">
        <x:v>37</x:v>
      </x:c>
      <x:c r="P289" t="n">
        <x:f>N289-O289</x:f>
        <x:v>0</x:v>
      </x:c>
      <x:c r="Q289" t="n">
        <x:v>0</x:v>
      </x:c>
      <x:c r="R289" t="n">
        <x:v>0</x:v>
      </x:c>
      <x:c r="S289" t="n">
        <x:f>Q289-R289</x:f>
        <x:v>0</x:v>
      </x:c>
      <x:c r="T289" t="n">
        <x:v>37</x:v>
      </x:c>
      <x:c r="U289" t="n">
        <x:v>37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f>IF(AND(ISNUMBER(G289),I289&lt;&gt;"Excluded INI"),MAX(0,G289-J289),"")</x:f>
        <x:v>213</x:v>
      </x:c>
      <x:c r="AC289" t="n">
        <x:v>4924</x:v>
      </x:c>
      <x:c r="AD289" t="n">
        <x:v>5743</x:v>
      </x:c>
      <x:c r="AE289" t="n">
        <x:v>7026</x:v>
      </x:c>
      <x:c r="AF289" t="n">
        <x:v>7938</x:v>
      </x:c>
      <x:c r="AG289" t="n">
        <x:v>7104</x:v>
      </x:c>
      <x:c r="AH289" t="n">
        <x:v>8934</x:v>
      </x:c>
      <x:c r="AI289" t="n">
        <x:v>38944</x:v>
      </x:c>
      <x:c r="AJ289" t="n">
        <x:v>42764</x:v>
      </x:c>
      <x:c r="AK289" t="n">
        <x:v>92404</x:v>
      </x:c>
      <x:c r="AL289" t="n">
        <x:v>103279</x:v>
      </x:c>
      <x:c r="AM289" t="str">
        <x:v>Fully allotted in R1; R2 opportunity depends on upgrade/non-joining</x:v>
      </x:c>
    </x:row>
    <x:row r="290">
      <x:c r="A290" t="str">
        <x:v>Puducherry</x:v>
      </x:c>
      <x:c r="B290" t="str">
        <x:v>Deemed University</x:v>
      </x:c>
      <x:c r="C290" t="str">
        <x:v>200377</x:v>
      </x:c>
      <x:c r="D290" t="str">
        <x:v>Aarupadai Veedu Medical College, Pondicherry, PONDY - CUDDALORE MAIN ROAD, KIRUMAMPAKKAM, PUDUCHERRY</x:v>
      </x:c>
      <x:c r="E290" t="str">
        <x:v>PY/001/P/3</x:v>
      </x:c>
      <x:c r="F290" t="str">
        <x:v>Private</x:v>
      </x:c>
      <x:c r="G290" t="n">
        <x:v>150</x:v>
      </x:c>
      <x:c r="H290" t="n">
        <x:v>100</x:v>
      </x:c>
      <x:c r="I290" t="str">
        <x:v>High-confidence fuzzy</x:v>
      </x:c>
      <x:c r="J290" t="n">
        <x:v>150</x:v>
      </x:c>
      <x:c r="K290" t="n">
        <x:v>150</x:v>
      </x:c>
      <x:c r="L290" t="n">
        <x:f>J290-K290</x:f>
        <x:v>0</x:v>
      </x:c>
      <x:c r="M290" s="20" t="n">
        <x:f>IFERROR(K290/J290,0)</x:f>
        <x:v>1</x:v>
      </x:c>
      <x:c r="N290" t="n">
        <x:v>0</x:v>
      </x:c>
      <x:c r="O290" t="n">
        <x:v>0</x:v>
      </x:c>
      <x:c r="P290" t="n">
        <x:f>N290-O290</x:f>
        <x:v>0</x:v>
      </x:c>
      <x:c r="Q290" t="n">
        <x:v>150</x:v>
      </x:c>
      <x:c r="R290" t="n">
        <x:v>150</x:v>
      </x:c>
      <x:c r="S290" t="n">
        <x:f>Q290-R290</x:f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150</x:v>
      </x:c>
      <x:c r="Y290" t="n">
        <x:v>150</x:v>
      </x:c>
      <x:c r="Z290" t="n">
        <x:v>0</x:v>
      </x:c>
      <x:c r="AA290" t="n">
        <x:v>0</x:v>
      </x:c>
      <x:c r="AB290" t="n">
        <x:f>IF(AND(ISNUMBER(G290),I290&lt;&gt;"Excluded INI"),MAX(0,G290-J290),"")</x:f>
        <x:v>0</x:v>
      </x:c>
      <x:c r="AC290" t="n">
        <x:v>751312</x:v>
      </x:c>
      <x:c r="AD290" t="n">
        <x:v>918859</x:v>
      </x:c>
      <x:c r="AE290"/>
      <x:c r="AF290"/>
      <x:c r="AG290"/>
      <x:c r="AH290"/>
      <x:c r="AI290"/>
      <x:c r="AJ290"/>
      <x:c r="AK290"/>
      <x:c r="AL290"/>
      <x:c r="AM290" t="str">
        <x:v>Fully allotted in R1; R2 opportunity depends on upgrade/non-joining</x:v>
      </x:c>
    </x:row>
    <x:row r="291">
      <x:c r="A291" t="str">
        <x:v>Puducherry</x:v>
      </x:c>
      <x:c r="B291" t="str">
        <x:v>All India except Central University</x:v>
      </x:c>
      <x:c r="C291" t="str">
        <x:v>200241</x:v>
      </x:c>
      <x:c r="D291" t="str">
        <x:v>Indira Gandhi Medical College &amp; Research Institute, Puducherry, Vazhudavour Road, Kadirkamam</x:v>
      </x:c>
      <x:c r="E291" t="str">
        <x:v>PY/002/G/1</x:v>
      </x:c>
      <x:c r="F291" t="str">
        <x:v>Government</x:v>
      </x:c>
      <x:c r="G291" t="n">
        <x:v>180</x:v>
      </x:c>
      <x:c r="H291" t="n">
        <x:v>100</x:v>
      </x:c>
      <x:c r="I291" t="str">
        <x:v>High-confidence fuzzy</x:v>
      </x:c>
      <x:c r="J291" t="n">
        <x:v>27</x:v>
      </x:c>
      <x:c r="K291" t="n">
        <x:v>27</x:v>
      </x:c>
      <x:c r="L291" t="n">
        <x:f>J291-K291</x:f>
        <x:v>0</x:v>
      </x:c>
      <x:c r="M291" s="20" t="n">
        <x:f>IFERROR(K291/J291,0)</x:f>
        <x:v>1</x:v>
      </x:c>
      <x:c r="N291" t="n">
        <x:v>27</x:v>
      </x:c>
      <x:c r="O291" t="n">
        <x:v>27</x:v>
      </x:c>
      <x:c r="P291" t="n">
        <x:f>N291-O291</x:f>
        <x:v>0</x:v>
      </x:c>
      <x:c r="Q291" t="n">
        <x:v>0</x:v>
      </x:c>
      <x:c r="R291" t="n">
        <x:v>0</x:v>
      </x:c>
      <x:c r="S291" t="n">
        <x:f>Q291-R291</x:f>
        <x:v>0</x:v>
      </x:c>
      <x:c r="T291" t="n">
        <x:v>27</x:v>
      </x:c>
      <x:c r="U291" t="n">
        <x:v>27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f>IF(AND(ISNUMBER(G291),I291&lt;&gt;"Excluded INI"),MAX(0,G291-J291),"")</x:f>
        <x:v>153</x:v>
      </x:c>
      <x:c r="AC291" t="n">
        <x:v>7033</x:v>
      </x:c>
      <x:c r="AD291" t="n">
        <x:v>8556</x:v>
      </x:c>
      <x:c r="AE291" t="n">
        <x:v>9500</x:v>
      </x:c>
      <x:c r="AF291" t="n">
        <x:v>10199</x:v>
      </x:c>
      <x:c r="AG291" t="n">
        <x:v>14900</x:v>
      </x:c>
      <x:c r="AH291" t="n">
        <x:v>15322</x:v>
      </x:c>
      <x:c r="AI291" t="n">
        <x:v>48512</x:v>
      </x:c>
      <x:c r="AJ291" t="n">
        <x:v>50508</x:v>
      </x:c>
      <x:c r="AK291" t="n">
        <x:v>99526</x:v>
      </x:c>
      <x:c r="AL291" t="n">
        <x:v>105850</x:v>
      </x:c>
      <x:c r="AM291" t="str">
        <x:v>Fully allotted in R1; R2 opportunity depends on upgrade/non-joining</x:v>
      </x:c>
    </x:row>
    <x:row r="292">
      <x:c r="A292" t="str">
        <x:v>Puducherry</x:v>
      </x:c>
      <x:c r="B292" t="str">
        <x:v>Jawaharlal Institute of Postgraduate Medical Education and Research</x:v>
      </x:c>
      <x:c r="C292" t="str">
        <x:v>200522</x:v>
      </x:c>
      <x:c r="D292" t="str">
        <x:v>JIPMER KARAIKAL, JIPMER Academic Campus, FCI Link Road, Kovilpathu, Karaikal - 609602</x:v>
      </x:c>
      <x:c r="E292" t="str"/>
      <x:c r="F292" t="str"/>
      <x:c r="G292"/>
      <x:c r="H292" t="n">
        <x:v>100</x:v>
      </x:c>
      <x:c r="I292" t="str">
        <x:v>Excluded INI</x:v>
      </x:c>
      <x:c r="J292" t="n">
        <x:v>61</x:v>
      </x:c>
      <x:c r="K292" t="n">
        <x:v>56</x:v>
      </x:c>
      <x:c r="L292" t="n">
        <x:f>J292-K292</x:f>
        <x:v>5</x:v>
      </x:c>
      <x:c r="M292" s="20" t="n">
        <x:f>IFERROR(K292/J292,0)</x:f>
        <x:v>0.9180327868852459</x:v>
      </x:c>
      <x:c r="N292" t="n">
        <x:v>61</x:v>
      </x:c>
      <x:c r="O292" t="n">
        <x:v>56</x:v>
      </x:c>
      <x:c r="P292" t="n">
        <x:f>N292-O292</x:f>
        <x:v>5</x:v>
      </x:c>
      <x:c r="Q292" t="n">
        <x:v>0</x:v>
      </x:c>
      <x:c r="R292" t="n">
        <x:v>0</x:v>
      </x:c>
      <x:c r="S292" t="n">
        <x:f>Q292-R292</x:f>
        <x:v>0</x:v>
      </x:c>
      <x:c r="T292" t="n">
        <x:v>0</x:v>
      </x:c>
      <x:c r="U292" t="n">
        <x:v>0</x:v>
      </x:c>
      <x:c r="V292" t="n">
        <x:v>45</x:v>
      </x:c>
      <x:c r="W292" t="n">
        <x:v>45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str">
        <x:f>IF(AND(ISNUMBER(G292),I292&lt;&gt;"Excluded INI"),MAX(0,G292-J292),"")</x:f>
      </x:c>
      <x:c r="AC292" t="n">
        <x:v>5820</x:v>
      </x:c>
      <x:c r="AD292" t="n">
        <x:v>25541</x:v>
      </x:c>
      <x:c r="AE292" t="n">
        <x:v>13823</x:v>
      </x:c>
      <x:c r="AF292" t="n">
        <x:v>45261</x:v>
      </x:c>
      <x:c r="AG292" t="n">
        <x:v>67844</x:v>
      </x:c>
      <x:c r="AH292" t="n">
        <x:v>383009</x:v>
      </x:c>
      <x:c r="AI292" t="n">
        <x:v>58273</x:v>
      </x:c>
      <x:c r="AJ292" t="n">
        <x:v>192929</x:v>
      </x:c>
      <x:c r="AK292" t="n">
        <x:v>40079</x:v>
      </x:c>
      <x:c r="AL292" t="n">
        <x:v>40684</x:v>
      </x:c>
      <x:c r="AM292" t="str">
        <x:v>R1 regular-central gap visible; verify in official R2 matrix</x:v>
      </x:c>
    </x:row>
    <x:row r="293">
      <x:c r="A293" t="str">
        <x:v>Puducherry</x:v>
      </x:c>
      <x:c r="B293" t="str">
        <x:v>Jawaharlal Institute of Postgraduate Medical Education and Research</x:v>
      </x:c>
      <x:c r="C293" t="str">
        <x:v>200521</x:v>
      </x:c>
      <x:c r="D293" t="str">
        <x:v>JIPMER PUDUCHERRY, Dhanvantari Nagar Gorimedu Puducherry</x:v>
      </x:c>
      <x:c r="E293" t="str"/>
      <x:c r="F293" t="str"/>
      <x:c r="G293"/>
      <x:c r="H293" t="n">
        <x:v>100</x:v>
      </x:c>
      <x:c r="I293" t="str">
        <x:v>Excluded INI</x:v>
      </x:c>
      <x:c r="J293" t="n">
        <x:v>182</x:v>
      </x:c>
      <x:c r="K293" t="n">
        <x:v>178</x:v>
      </x:c>
      <x:c r="L293" t="n">
        <x:f>J293-K293</x:f>
        <x:v>4</x:v>
      </x:c>
      <x:c r="M293" s="20" t="n">
        <x:f>IFERROR(K293/J293,0)</x:f>
        <x:v>0.978021978021978</x:v>
      </x:c>
      <x:c r="N293" t="n">
        <x:v>182</x:v>
      </x:c>
      <x:c r="O293" t="n">
        <x:v>178</x:v>
      </x:c>
      <x:c r="P293" t="n">
        <x:f>N293-O293</x:f>
        <x:v>4</x:v>
      </x:c>
      <x:c r="Q293" t="n">
        <x:v>0</x:v>
      </x:c>
      <x:c r="R293" t="n">
        <x:v>0</x:v>
      </x:c>
      <x:c r="S293" t="n">
        <x:f>Q293-R293</x:f>
        <x:v>0</x:v>
      </x:c>
      <x:c r="T293" t="n">
        <x:v>0</x:v>
      </x:c>
      <x:c r="U293" t="n">
        <x:v>0</x:v>
      </x:c>
      <x:c r="V293" t="n">
        <x:v>134</x:v>
      </x:c>
      <x:c r="W293" t="n">
        <x:v>134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str">
        <x:f>IF(AND(ISNUMBER(G293),I293&lt;&gt;"Excluded INI"),MAX(0,G293-J293),"")</x:f>
      </x:c>
      <x:c r="AC293" t="n">
        <x:v>2859</x:v>
      </x:c>
      <x:c r="AD293" t="n">
        <x:v>22477</x:v>
      </x:c>
      <x:c r="AE293" t="n">
        <x:v>8123</x:v>
      </x:c>
      <x:c r="AF293" t="n">
        <x:v>34729</x:v>
      </x:c>
      <x:c r="AG293" t="n">
        <x:v>79734</x:v>
      </x:c>
      <x:c r="AH293" t="n">
        <x:v>368071</x:v>
      </x:c>
      <x:c r="AI293" t="n">
        <x:v>38576</x:v>
      </x:c>
      <x:c r="AJ293" t="n">
        <x:v>159608</x:v>
      </x:c>
      <x:c r="AK293" t="n">
        <x:v>81816</x:v>
      </x:c>
      <x:c r="AL293" t="n">
        <x:v>866952</x:v>
      </x:c>
      <x:c r="AM293" t="str">
        <x:v>R1 regular-central gap visible; verify in official R2 matrix</x:v>
      </x:c>
    </x:row>
    <x:row r="294">
      <x:c r="A294" t="str">
        <x:v>Puducherry</x:v>
      </x:c>
      <x:c r="B294" t="str">
        <x:v>Deemed University</x:v>
      </x:c>
      <x:c r="C294" t="str">
        <x:v>200379</x:v>
      </x:c>
      <x:c r="D294" t="str">
        <x:v>Mahatma Gandhi Medical College &amp; Research Institute, Pondicherry, SBV Pondicherry Campus, Pillaiyarkuppam</x:v>
      </x:c>
      <x:c r="E294" t="str">
        <x:v>PY/003/P/3</x:v>
      </x:c>
      <x:c r="F294" t="str">
        <x:v>Private</x:v>
      </x:c>
      <x:c r="G294" t="n">
        <x:v>250</x:v>
      </x:c>
      <x:c r="H294" t="n">
        <x:v>100</x:v>
      </x:c>
      <x:c r="I294" t="str">
        <x:v>High-confidence fuzzy</x:v>
      </x:c>
      <x:c r="J294" t="n">
        <x:v>250</x:v>
      </x:c>
      <x:c r="K294" t="n">
        <x:v>236</x:v>
      </x:c>
      <x:c r="L294" t="n">
        <x:f>J294-K294</x:f>
        <x:v>14</x:v>
      </x:c>
      <x:c r="M294" s="20" t="n">
        <x:f>IFERROR(K294/J294,0)</x:f>
        <x:v>0.944</x:v>
      </x:c>
      <x:c r="N294" t="n">
        <x:v>0</x:v>
      </x:c>
      <x:c r="O294" t="n">
        <x:v>0</x:v>
      </x:c>
      <x:c r="P294" t="n">
        <x:f>N294-O294</x:f>
        <x:v>0</x:v>
      </x:c>
      <x:c r="Q294" t="n">
        <x:v>250</x:v>
      </x:c>
      <x:c r="R294" t="n">
        <x:v>236</x:v>
      </x:c>
      <x:c r="S294" t="n">
        <x:f>Q294-R294</x:f>
        <x:v>14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235</x:v>
      </x:c>
      <x:c r="Y294" t="n">
        <x:v>235</x:v>
      </x:c>
      <x:c r="Z294" t="n">
        <x:v>15</x:v>
      </x:c>
      <x:c r="AA294" t="n">
        <x:v>1</x:v>
      </x:c>
      <x:c r="AB294" t="n">
        <x:f>IF(AND(ISNUMBER(G294),I294&lt;&gt;"Excluded INI"),MAX(0,G294-J294),"")</x:f>
        <x:v>0</x:v>
      </x:c>
      <x:c r="AC294" t="n">
        <x:v>716456</x:v>
      </x:c>
      <x:c r="AD294" t="n">
        <x:v>834236</x:v>
      </x:c>
      <x:c r="AE294"/>
      <x:c r="AF294"/>
      <x:c r="AG294"/>
      <x:c r="AH294"/>
      <x:c r="AI294"/>
      <x:c r="AJ294"/>
      <x:c r="AK294"/>
      <x:c r="AL294"/>
      <x:c r="AM294" t="str">
        <x:v>Unfilled mainly private/NRI/minority; regular R2 depends on movement</x:v>
      </x:c>
    </x:row>
    <x:row r="295">
      <x:c r="A295" t="str">
        <x:v>Puducherry</x:v>
      </x:c>
      <x:c r="B295" t="str">
        <x:v>Deemed University</x:v>
      </x:c>
      <x:c r="C295" t="str">
        <x:v>200380</x:v>
      </x:c>
      <x:c r="D295" t="str">
        <x:v>Sri Lakshmi Narayana Institute of Medical Sciences, Pondicherry, OSUDU, AGARAM VILLAGE, KOODAPAKKAM POST, VILLIANUR COMMUNE, PUDUCHERRY</x:v>
      </x:c>
      <x:c r="E295" t="str">
        <x:v>PY/005/P/3</x:v>
      </x:c>
      <x:c r="F295" t="str">
        <x:v>Private</x:v>
      </x:c>
      <x:c r="G295" t="n">
        <x:v>250</x:v>
      </x:c>
      <x:c r="H295" t="n">
        <x:v>100</x:v>
      </x:c>
      <x:c r="I295" t="str">
        <x:v>High-confidence fuzzy</x:v>
      </x:c>
      <x:c r="J295" t="n">
        <x:v>250</x:v>
      </x:c>
      <x:c r="K295" t="n">
        <x:v>120</x:v>
      </x:c>
      <x:c r="L295" t="n">
        <x:f>J295-K295</x:f>
        <x:v>130</x:v>
      </x:c>
      <x:c r="M295" s="20" t="n">
        <x:f>IFERROR(K295/J295,0)</x:f>
        <x:v>0.48</x:v>
      </x:c>
      <x:c r="N295" t="n">
        <x:v>0</x:v>
      </x:c>
      <x:c r="O295" t="n">
        <x:v>0</x:v>
      </x:c>
      <x:c r="P295" t="n">
        <x:f>N295-O295</x:f>
        <x:v>0</x:v>
      </x:c>
      <x:c r="Q295" t="n">
        <x:v>250</x:v>
      </x:c>
      <x:c r="R295" t="n">
        <x:v>120</x:v>
      </x:c>
      <x:c r="S295" t="n">
        <x:f>Q295-R295</x:f>
        <x:v>130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250</x:v>
      </x:c>
      <x:c r="Y295" t="n">
        <x:v>120</x:v>
      </x:c>
      <x:c r="Z295" t="n">
        <x:v>0</x:v>
      </x:c>
      <x:c r="AA295" t="n">
        <x:v>0</x:v>
      </x:c>
      <x:c r="AB295" t="n">
        <x:f>IF(AND(ISNUMBER(G295),I295&lt;&gt;"Excluded INI"),MAX(0,G295-J295),"")</x:f>
        <x:v>0</x:v>
      </x:c>
      <x:c r="AC295" t="n">
        <x:v>973704</x:v>
      </x:c>
      <x:c r="AD295" t="n">
        <x:v>1187171</x:v>
      </x:c>
      <x:c r="AE295"/>
      <x:c r="AF295"/>
      <x:c r="AG295"/>
      <x:c r="AH295"/>
      <x:c r="AI295"/>
      <x:c r="AJ295"/>
      <x:c r="AK295"/>
      <x:c r="AL295"/>
      <x:c r="AM295" t="str">
        <x:v>Unfilled mainly private/NRI/minority; regular R2 depends on movement</x:v>
      </x:c>
    </x:row>
    <x:row r="296">
      <x:c r="A296" t="str">
        <x:v>Puducherry</x:v>
      </x:c>
      <x:c r="B296" t="str">
        <x:v>Deemed University</x:v>
      </x:c>
      <x:c r="C296" t="str">
        <x:v>200381</x:v>
      </x:c>
      <x:c r="D296" t="str">
        <x:v>Vinayaka Missions Medical College, Karaikal, Pondicherry, KEEZHAKASAKUDIMEDU, KOTTUCHERRY(P.O), KARAIKAL - 609 609, U.T. OF PUDUCHERRY</x:v>
      </x:c>
      <x:c r="E296" t="str">
        <x:v>PY/008/P/3</x:v>
      </x:c>
      <x:c r="F296" t="str">
        <x:v>Private</x:v>
      </x:c>
      <x:c r="G296" t="n">
        <x:v>200</x:v>
      </x:c>
      <x:c r="H296" t="n">
        <x:v>100</x:v>
      </x:c>
      <x:c r="I296" t="str">
        <x:v>High-confidence fuzzy</x:v>
      </x:c>
      <x:c r="J296" t="n">
        <x:v>200</x:v>
      </x:c>
      <x:c r="K296" t="n">
        <x:v>200</x:v>
      </x:c>
      <x:c r="L296" t="n">
        <x:f>J296-K296</x:f>
        <x:v>0</x:v>
      </x:c>
      <x:c r="M296" s="20" t="n">
        <x:f>IFERROR(K296/J296,0)</x:f>
        <x:v>1</x:v>
      </x:c>
      <x:c r="N296" t="n">
        <x:v>0</x:v>
      </x:c>
      <x:c r="O296" t="n">
        <x:v>0</x:v>
      </x:c>
      <x:c r="P296" t="n">
        <x:f>N296-O296</x:f>
        <x:v>0</x:v>
      </x:c>
      <x:c r="Q296" t="n">
        <x:v>200</x:v>
      </x:c>
      <x:c r="R296" t="n">
        <x:v>200</x:v>
      </x:c>
      <x:c r="S296" t="n">
        <x:f>Q296-R296</x:f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200</x:v>
      </x:c>
      <x:c r="Y296" t="n">
        <x:v>200</x:v>
      </x:c>
      <x:c r="Z296" t="n">
        <x:v>0</x:v>
      </x:c>
      <x:c r="AA296" t="n">
        <x:v>0</x:v>
      </x:c>
      <x:c r="AB296" t="n">
        <x:f>IF(AND(ISNUMBER(G296),I296&lt;&gt;"Excluded INI"),MAX(0,G296-J296),"")</x:f>
        <x:v>0</x:v>
      </x:c>
      <x:c r="AC296" t="n">
        <x:v>665288</x:v>
      </x:c>
      <x:c r="AD296" t="n">
        <x:v>805761</x:v>
      </x:c>
      <x:c r="AE296"/>
      <x:c r="AF296"/>
      <x:c r="AG296"/>
      <x:c r="AH296"/>
      <x:c r="AI296"/>
      <x:c r="AJ296"/>
      <x:c r="AK296"/>
      <x:c r="AL296"/>
      <x:c r="AM296" t="str">
        <x:v>Fully allotted in R1; R2 opportunity depends on upgrade/non-joining</x:v>
      </x:c>
    </x:row>
    <x:row r="297">
      <x:c r="A297" t="str">
        <x:v>Punjab</x:v>
      </x:c>
      <x:c r="B297" t="str">
        <x:v>All India Institute Of Medical Science(AIIMS)</x:v>
      </x:c>
      <x:c r="C297" t="str">
        <x:v>200511</x:v>
      </x:c>
      <x:c r="D297" t="str">
        <x:v>AIIMS Bathinda , Jodhpur Romana near Giani Zail Singh College Mandi Dabwali Road Bathinda</x:v>
      </x:c>
      <x:c r="E297" t="str"/>
      <x:c r="F297" t="str"/>
      <x:c r="G297"/>
      <x:c r="H297" t="n">
        <x:v>100</x:v>
      </x:c>
      <x:c r="I297" t="str">
        <x:v>Excluded INI</x:v>
      </x:c>
      <x:c r="J297" t="n">
        <x:v>125</x:v>
      </x:c>
      <x:c r="K297" t="n">
        <x:v>125</x:v>
      </x:c>
      <x:c r="L297" t="n">
        <x:f>J297-K297</x:f>
        <x:v>0</x:v>
      </x:c>
      <x:c r="M297" s="20" t="n">
        <x:f>IFERROR(K297/J297,0)</x:f>
        <x:v>1</x:v>
      </x:c>
      <x:c r="N297" t="n">
        <x:v>125</x:v>
      </x:c>
      <x:c r="O297" t="n">
        <x:v>125</x:v>
      </x:c>
      <x:c r="P297" t="n">
        <x:f>N297-O297</x:f>
        <x:v>0</x:v>
      </x:c>
      <x:c r="Q297" t="n">
        <x:v>0</x:v>
      </x:c>
      <x:c r="R297" t="n">
        <x:v>0</x:v>
      </x:c>
      <x:c r="S297" t="n">
        <x:f>Q297-R297</x:f>
        <x:v>0</x:v>
      </x:c>
      <x:c r="T297" t="n">
        <x:v>0</x:v>
      </x:c>
      <x:c r="U297" t="n">
        <x:v>0</x:v>
      </x:c>
      <x:c r="V297" t="n">
        <x:v>125</x:v>
      </x:c>
      <x:c r="W297" t="n">
        <x:v>125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str">
        <x:f>IF(AND(ISNUMBER(G297),I297&lt;&gt;"Excluded INI"),MAX(0,G297-J297),"")</x:f>
      </x:c>
      <x:c r="AC297" t="n">
        <x:v>1305</x:v>
      </x:c>
      <x:c r="AD297" t="n">
        <x:v>1630</x:v>
      </x:c>
      <x:c r="AE297" t="n">
        <x:v>2010</x:v>
      </x:c>
      <x:c r="AF297" t="n">
        <x:v>2190</x:v>
      </x:c>
      <x:c r="AG297" t="n">
        <x:v>2546</x:v>
      </x:c>
      <x:c r="AH297" t="n">
        <x:v>2910</x:v>
      </x:c>
      <x:c r="AI297" t="n">
        <x:v>17205</x:v>
      </x:c>
      <x:c r="AJ297" t="n">
        <x:v>18819</x:v>
      </x:c>
      <x:c r="AK297" t="n">
        <x:v>23136</x:v>
      </x:c>
      <x:c r="AL297" t="n">
        <x:v>26664</x:v>
      </x:c>
      <x:c r="AM297" t="str">
        <x:v>Fully allotted in R1; R2 opportunity depends on upgrade/non-joining</x:v>
      </x:c>
    </x:row>
    <x:row r="298">
      <x:c r="A298" t="str">
        <x:v>Punjab</x:v>
      </x:c>
      <x:c r="B298" t="str">
        <x:v>All India except Central University</x:v>
      </x:c>
      <x:c r="C298" t="str">
        <x:v>200572</x:v>
      </x:c>
      <x:c r="D298" t="str">
        <x:v>Dr B R Ambedkar State Institute of Medical Sciences, SAS Nagar , Mohali, Dr BR Ambedkar State Institute of Medical Sciences Sector 56 Phase- 6 S A S Nagar (Mohali) Punjab 16</x:v>
      </x:c>
      <x:c r="E298" t="str">
        <x:v>PB/004/G/1</x:v>
      </x:c>
      <x:c r="F298" t="str">
        <x:v>Government</x:v>
      </x:c>
      <x:c r="G298" t="n">
        <x:v>100</x:v>
      </x:c>
      <x:c r="H298" t="n">
        <x:v>100</x:v>
      </x:c>
      <x:c r="I298" t="str">
        <x:v>High-confidence fuzzy</x:v>
      </x:c>
      <x:c r="J298" t="n">
        <x:v>15</x:v>
      </x:c>
      <x:c r="K298" t="n">
        <x:v>15</x:v>
      </x:c>
      <x:c r="L298" t="n">
        <x:f>J298-K298</x:f>
        <x:v>0</x:v>
      </x:c>
      <x:c r="M298" s="20" t="n">
        <x:f>IFERROR(K298/J298,0)</x:f>
        <x:v>1</x:v>
      </x:c>
      <x:c r="N298" t="n">
        <x:v>15</x:v>
      </x:c>
      <x:c r="O298" t="n">
        <x:v>15</x:v>
      </x:c>
      <x:c r="P298" t="n">
        <x:f>N298-O298</x:f>
        <x:v>0</x:v>
      </x:c>
      <x:c r="Q298" t="n">
        <x:v>0</x:v>
      </x:c>
      <x:c r="R298" t="n">
        <x:v>0</x:v>
      </x:c>
      <x:c r="S298" t="n">
        <x:f>Q298-R298</x:f>
        <x:v>0</x:v>
      </x:c>
      <x:c r="T298" t="n">
        <x:v>15</x:v>
      </x:c>
      <x:c r="U298" t="n">
        <x:v>15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f>IF(AND(ISNUMBER(G298),I298&lt;&gt;"Excluded INI"),MAX(0,G298-J298),"")</x:f>
        <x:v>85</x:v>
      </x:c>
      <x:c r="AC298" t="n">
        <x:v>6546</x:v>
      </x:c>
      <x:c r="AD298" t="n">
        <x:v>6846</x:v>
      </x:c>
      <x:c r="AE298" t="n">
        <x:v>8332</x:v>
      </x:c>
      <x:c r="AF298" t="n">
        <x:v>9113</x:v>
      </x:c>
      <x:c r="AG298" t="n">
        <x:v>10274</x:v>
      </x:c>
      <x:c r="AH298" t="n">
        <x:v>10274</x:v>
      </x:c>
      <x:c r="AI298" t="n">
        <x:v>29375</x:v>
      </x:c>
      <x:c r="AJ298" t="n">
        <x:v>29375</x:v>
      </x:c>
      <x:c r="AK298" t="n">
        <x:v>63607</x:v>
      </x:c>
      <x:c r="AL298" t="n">
        <x:v>63607</x:v>
      </x:c>
      <x:c r="AM298" t="str">
        <x:v>Fully allotted in R1; R2 opportunity depends on upgrade/non-joining</x:v>
      </x:c>
    </x:row>
    <x:row r="299">
      <x:c r="A299" t="str">
        <x:v>Punjab</x:v>
      </x:c>
      <x:c r="B299" t="str">
        <x:v>All India except Central University</x:v>
      </x:c>
      <x:c r="C299" t="str">
        <x:v>904354</x:v>
      </x:c>
      <x:c r="D299" t="str">
        <x:v>ESIC Medical College Ludhiana, ESI CO ORPORATION , BHARAT NAGAR CHOWK LUDHIANA</x:v>
      </x:c>
      <x:c r="E299" t="str">
        <x:v>PB/005/G/1</x:v>
      </x:c>
      <x:c r="F299" t="str">
        <x:v>Government</x:v>
      </x:c>
      <x:c r="G299" t="n">
        <x:v>50</x:v>
      </x:c>
      <x:c r="H299" t="n">
        <x:v>100</x:v>
      </x:c>
      <x:c r="I299" t="str">
        <x:v>High-confidence fuzzy</x:v>
      </x:c>
      <x:c r="J299" t="n">
        <x:v>32</x:v>
      </x:c>
      <x:c r="K299" t="n">
        <x:v>31</x:v>
      </x:c>
      <x:c r="L299" t="n">
        <x:f>J299-K299</x:f>
        <x:v>1</x:v>
      </x:c>
      <x:c r="M299" s="20" t="n">
        <x:f>IFERROR(K299/J299,0)</x:f>
        <x:v>0.96875</x:v>
      </x:c>
      <x:c r="N299" t="n">
        <x:v>32</x:v>
      </x:c>
      <x:c r="O299" t="n">
        <x:v>31</x:v>
      </x:c>
      <x:c r="P299" t="n">
        <x:f>N299-O299</x:f>
        <x:v>1</x:v>
      </x:c>
      <x:c r="Q299" t="n">
        <x:v>0</x:v>
      </x:c>
      <x:c r="R299" t="n">
        <x:v>0</x:v>
      </x:c>
      <x:c r="S299" t="n">
        <x:f>Q299-R299</x:f>
        <x:v>0</x:v>
      </x:c>
      <x:c r="T299" t="n">
        <x:v>7</x:v>
      </x:c>
      <x:c r="U299" t="n">
        <x:v>7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f>IF(AND(ISNUMBER(G299),I299&lt;&gt;"Excluded INI"),MAX(0,G299-J299),"")</x:f>
        <x:v>18</x:v>
      </x:c>
      <x:c r="AC299" t="n">
        <x:v>22373</x:v>
      </x:c>
      <x:c r="AD299" t="n">
        <x:v>29629</x:v>
      </x:c>
      <x:c r="AE299" t="n">
        <x:v>27006</x:v>
      </x:c>
      <x:c r="AF299" t="n">
        <x:v>36437</x:v>
      </x:c>
      <x:c r="AG299" t="n">
        <x:v>38262</x:v>
      </x:c>
      <x:c r="AH299" t="n">
        <x:v>39784</x:v>
      </x:c>
      <x:c r="AI299" t="n">
        <x:v>113434</x:v>
      </x:c>
      <x:c r="AJ299" t="n">
        <x:v>158609</x:v>
      </x:c>
      <x:c r="AK299" t="n">
        <x:v>179067</x:v>
      </x:c>
      <x:c r="AL299" t="n">
        <x:v>250815</x:v>
      </x:c>
      <x:c r="AM299" t="str">
        <x:v>R1 regular-central gap visible; verify in official R2 matrix</x:v>
      </x:c>
    </x:row>
    <x:row r="300">
      <x:c r="A300" t="str">
        <x:v>Punjab</x:v>
      </x:c>
      <x:c r="B300" t="str">
        <x:v>All India except Central University</x:v>
      </x:c>
      <x:c r="C300" t="str">
        <x:v>200246</x:v>
      </x:c>
      <x:c r="D300" t="str">
        <x:v>Government Medical College, Amritsar, CIRCULAR ROAD, AMRITSAR-143001</x:v>
      </x:c>
      <x:c r="E300" t="str">
        <x:v>PB/007/G/1</x:v>
      </x:c>
      <x:c r="F300" t="str">
        <x:v>Government</x:v>
      </x:c>
      <x:c r="G300" t="n">
        <x:v>250</x:v>
      </x:c>
      <x:c r="H300" t="n">
        <x:v>100</x:v>
      </x:c>
      <x:c r="I300" t="str">
        <x:v>High-confidence fuzzy</x:v>
      </x:c>
      <x:c r="J300" t="n">
        <x:v>38</x:v>
      </x:c>
      <x:c r="K300" t="n">
        <x:v>38</x:v>
      </x:c>
      <x:c r="L300" t="n">
        <x:f>J300-K300</x:f>
        <x:v>0</x:v>
      </x:c>
      <x:c r="M300" s="20" t="n">
        <x:f>IFERROR(K300/J300,0)</x:f>
        <x:v>1</x:v>
      </x:c>
      <x:c r="N300" t="n">
        <x:v>38</x:v>
      </x:c>
      <x:c r="O300" t="n">
        <x:v>38</x:v>
      </x:c>
      <x:c r="P300" t="n">
        <x:f>N300-O300</x:f>
        <x:v>0</x:v>
      </x:c>
      <x:c r="Q300" t="n">
        <x:v>0</x:v>
      </x:c>
      <x:c r="R300" t="n">
        <x:v>0</x:v>
      </x:c>
      <x:c r="S300" t="n">
        <x:f>Q300-R300</x:f>
        <x:v>0</x:v>
      </x:c>
      <x:c r="T300" t="n">
        <x:v>38</x:v>
      </x:c>
      <x:c r="U300" t="n">
        <x:v>38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f>IF(AND(ISNUMBER(G300),I300&lt;&gt;"Excluded INI"),MAX(0,G300-J300),"")</x:f>
        <x:v>212</x:v>
      </x:c>
      <x:c r="AC300" t="n">
        <x:v>4863</x:v>
      </x:c>
      <x:c r="AD300" t="n">
        <x:v>5776</x:v>
      </x:c>
      <x:c r="AE300" t="n">
        <x:v>7362</x:v>
      </x:c>
      <x:c r="AF300" t="n">
        <x:v>7896</x:v>
      </x:c>
      <x:c r="AG300" t="n">
        <x:v>9543</x:v>
      </x:c>
      <x:c r="AH300" t="n">
        <x:v>9590</x:v>
      </x:c>
      <x:c r="AI300" t="n">
        <x:v>38152</x:v>
      </x:c>
      <x:c r="AJ300" t="n">
        <x:v>40440</x:v>
      </x:c>
      <x:c r="AK300" t="n">
        <x:v>80963</x:v>
      </x:c>
      <x:c r="AL300" t="n">
        <x:v>83720</x:v>
      </x:c>
      <x:c r="AM300" t="str">
        <x:v>Fully allotted in R1; R2 opportunity depends on upgrade/non-joining</x:v>
      </x:c>
    </x:row>
    <x:row r="301">
      <x:c r="A301" t="str">
        <x:v>Punjab</x:v>
      </x:c>
      <x:c r="B301" t="str">
        <x:v>All India except Central University</x:v>
      </x:c>
      <x:c r="C301" t="str">
        <x:v>200244</x:v>
      </x:c>
      <x:c r="D301" t="str">
        <x:v>Government Medical College, Patiala, Sangrur road Government Medical College, Patiala</x:v>
      </x:c>
      <x:c r="E301" t="str">
        <x:v>PB/008/G/1</x:v>
      </x:c>
      <x:c r="F301" t="str">
        <x:v>Government</x:v>
      </x:c>
      <x:c r="G301" t="n">
        <x:v>250</x:v>
      </x:c>
      <x:c r="H301" t="n">
        <x:v>100</x:v>
      </x:c>
      <x:c r="I301" t="str">
        <x:v>High-confidence fuzzy</x:v>
      </x:c>
      <x:c r="J301" t="n">
        <x:v>37</x:v>
      </x:c>
      <x:c r="K301" t="n">
        <x:v>37</x:v>
      </x:c>
      <x:c r="L301" t="n">
        <x:f>J301-K301</x:f>
        <x:v>0</x:v>
      </x:c>
      <x:c r="M301" s="20" t="n">
        <x:f>IFERROR(K301/J301,0)</x:f>
        <x:v>1</x:v>
      </x:c>
      <x:c r="N301" t="n">
        <x:v>37</x:v>
      </x:c>
      <x:c r="O301" t="n">
        <x:v>37</x:v>
      </x:c>
      <x:c r="P301" t="n">
        <x:f>N301-O301</x:f>
        <x:v>0</x:v>
      </x:c>
      <x:c r="Q301" t="n">
        <x:v>0</x:v>
      </x:c>
      <x:c r="R301" t="n">
        <x:v>0</x:v>
      </x:c>
      <x:c r="S301" t="n">
        <x:f>Q301-R301</x:f>
        <x:v>0</x:v>
      </x:c>
      <x:c r="T301" t="n">
        <x:v>37</x:v>
      </x:c>
      <x:c r="U301" t="n">
        <x:v>37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f>IF(AND(ISNUMBER(G301),I301&lt;&gt;"Excluded INI"),MAX(0,G301-J301),"")</x:f>
        <x:v>213</x:v>
      </x:c>
      <x:c r="AC301" t="n">
        <x:v>3564</x:v>
      </x:c>
      <x:c r="AD301" t="n">
        <x:v>3949</x:v>
      </x:c>
      <x:c r="AE301" t="n">
        <x:v>4945</x:v>
      </x:c>
      <x:c r="AF301" t="n">
        <x:v>6076</x:v>
      </x:c>
      <x:c r="AG301" t="n">
        <x:v>6332</x:v>
      </x:c>
      <x:c r="AH301" t="n">
        <x:v>7830</x:v>
      </x:c>
      <x:c r="AI301" t="n">
        <x:v>34632</x:v>
      </x:c>
      <x:c r="AJ301" t="n">
        <x:v>36877</x:v>
      </x:c>
      <x:c r="AK301" t="n">
        <x:v>76931</x:v>
      </x:c>
      <x:c r="AL301" t="n">
        <x:v>84775</x:v>
      </x:c>
      <x:c r="AM301" t="str">
        <x:v>Fully allotted in R1; R2 opportunity depends on upgrade/non-joining</x:v>
      </x:c>
    </x:row>
    <x:row r="302">
      <x:c r="A302" t="str">
        <x:v>Punjab</x:v>
      </x:c>
      <x:c r="B302" t="str">
        <x:v>All India except Central University</x:v>
      </x:c>
      <x:c r="C302" t="str">
        <x:v>200247</x:v>
      </x:c>
      <x:c r="D302" t="str">
        <x:v>Guru Govind Singh Medical College, Faridkot, Sadiq Road, Faridkot.</x:v>
      </x:c>
      <x:c r="E302" t="str">
        <x:v>PB/009/G/1</x:v>
      </x:c>
      <x:c r="F302" t="str">
        <x:v>Government</x:v>
      </x:c>
      <x:c r="G302" t="n">
        <x:v>250</x:v>
      </x:c>
      <x:c r="H302" t="n">
        <x:v>100</x:v>
      </x:c>
      <x:c r="I302" t="str">
        <x:v>High-confidence fuzzy</x:v>
      </x:c>
      <x:c r="J302" t="n">
        <x:v>37</x:v>
      </x:c>
      <x:c r="K302" t="n">
        <x:v>37</x:v>
      </x:c>
      <x:c r="L302" t="n">
        <x:f>J302-K302</x:f>
        <x:v>0</x:v>
      </x:c>
      <x:c r="M302" s="20" t="n">
        <x:f>IFERROR(K302/J302,0)</x:f>
        <x:v>1</x:v>
      </x:c>
      <x:c r="N302" t="n">
        <x:v>37</x:v>
      </x:c>
      <x:c r="O302" t="n">
        <x:v>37</x:v>
      </x:c>
      <x:c r="P302" t="n">
        <x:f>N302-O302</x:f>
        <x:v>0</x:v>
      </x:c>
      <x:c r="Q302" t="n">
        <x:v>0</x:v>
      </x:c>
      <x:c r="R302" t="n">
        <x:v>0</x:v>
      </x:c>
      <x:c r="S302" t="n">
        <x:f>Q302-R302</x:f>
        <x:v>0</x:v>
      </x:c>
      <x:c r="T302" t="n">
        <x:v>37</x:v>
      </x:c>
      <x:c r="U302" t="n">
        <x:v>37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f>IF(AND(ISNUMBER(G302),I302&lt;&gt;"Excluded INI"),MAX(0,G302-J302),"")</x:f>
        <x:v>213</x:v>
      </x:c>
      <x:c r="AC302" t="n">
        <x:v>7193</x:v>
      </x:c>
      <x:c r="AD302" t="n">
        <x:v>7817</x:v>
      </x:c>
      <x:c r="AE302" t="n">
        <x:v>10180</x:v>
      </x:c>
      <x:c r="AF302" t="n">
        <x:v>10454</x:v>
      </x:c>
      <x:c r="AG302" t="n">
        <x:v>11158</x:v>
      </x:c>
      <x:c r="AH302" t="n">
        <x:v>11692</x:v>
      </x:c>
      <x:c r="AI302" t="n">
        <x:v>45286</x:v>
      </x:c>
      <x:c r="AJ302" t="n">
        <x:v>46327</x:v>
      </x:c>
      <x:c r="AK302" t="n">
        <x:v>80424</x:v>
      </x:c>
      <x:c r="AL302" t="n">
        <x:v>87011</x:v>
      </x:c>
      <x:c r="AM302" t="str">
        <x:v>Fully allotted in R1; R2 opportunity depends on upgrade/non-joining</x:v>
      </x:c>
    </x:row>
    <x:row r="303">
      <x:c r="A303" t="str">
        <x:v>Rajasthan</x:v>
      </x:c>
      <x:c r="B303" t="str">
        <x:v>All India Institute Of Medical Science(AIIMS)</x:v>
      </x:c>
      <x:c r="C303" t="str">
        <x:v>200505</x:v>
      </x:c>
      <x:c r="D303" t="str">
        <x:v>AIIMS, Jodhpur, BASNI PHASE - II, JODHPUR-342005</x:v>
      </x:c>
      <x:c r="E303" t="str"/>
      <x:c r="F303" t="str"/>
      <x:c r="G303"/>
      <x:c r="H303" t="n">
        <x:v>100</x:v>
      </x:c>
      <x:c r="I303" t="str">
        <x:v>Excluded INI</x:v>
      </x:c>
      <x:c r="J303" t="n">
        <x:v>150</x:v>
      </x:c>
      <x:c r="K303" t="n">
        <x:v>150</x:v>
      </x:c>
      <x:c r="L303" t="n">
        <x:f>J303-K303</x:f>
        <x:v>0</x:v>
      </x:c>
      <x:c r="M303" s="20" t="n">
        <x:f>IFERROR(K303/J303,0)</x:f>
        <x:v>1</x:v>
      </x:c>
      <x:c r="N303" t="n">
        <x:v>150</x:v>
      </x:c>
      <x:c r="O303" t="n">
        <x:v>150</x:v>
      </x:c>
      <x:c r="P303" t="n">
        <x:f>N303-O303</x:f>
        <x:v>0</x:v>
      </x:c>
      <x:c r="Q303" t="n">
        <x:v>0</x:v>
      </x:c>
      <x:c r="R303" t="n">
        <x:v>0</x:v>
      </x:c>
      <x:c r="S303" t="n">
        <x:f>Q303-R303</x:f>
        <x:v>0</x:v>
      </x:c>
      <x:c r="T303" t="n">
        <x:v>0</x:v>
      </x:c>
      <x:c r="U303" t="n">
        <x:v>0</x:v>
      </x:c>
      <x:c r="V303" t="n">
        <x:v>150</x:v>
      </x:c>
      <x:c r="W303" t="n">
        <x:v>150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str">
        <x:f>IF(AND(ISNUMBER(G303),I303&lt;&gt;"Excluded INI"),MAX(0,G303-J303),"")</x:f>
      </x:c>
      <x:c r="AC303" t="n">
        <x:v>248</x:v>
      </x:c>
      <x:c r="AD303" t="n">
        <x:v>344</x:v>
      </x:c>
      <x:c r="AE303" t="n">
        <x:v>543</x:v>
      </x:c>
      <x:c r="AF303" t="n">
        <x:v>714</x:v>
      </x:c>
      <x:c r="AG303" t="n">
        <x:v>677</x:v>
      </x:c>
      <x:c r="AH303" t="n">
        <x:v>879</x:v>
      </x:c>
      <x:c r="AI303" t="n">
        <x:v>2471</x:v>
      </x:c>
      <x:c r="AJ303" t="n">
        <x:v>3941</x:v>
      </x:c>
      <x:c r="AK303" t="n">
        <x:v>2322</x:v>
      </x:c>
      <x:c r="AL303" t="n">
        <x:v>4457</x:v>
      </x:c>
      <x:c r="AM303" t="str">
        <x:v>Fully allotted in R1; R2 opportunity depends on upgrade/non-joining</x:v>
      </x:c>
    </x:row>
    <x:row r="304">
      <x:c r="A304" t="str">
        <x:v>Rajasthan</x:v>
      </x:c>
      <x:c r="B304" t="str">
        <x:v>All India except Central University</x:v>
      </x:c>
      <x:c r="C304" t="str">
        <x:v>200249</x:v>
      </x:c>
      <x:c r="D304" t="str">
        <x:v>Dr SN Medical College, Jodhpur, RESIDENCY ROAD SHASTRI NAGAR JODHPUR RAJASTHAN 342003</x:v>
      </x:c>
      <x:c r="E304" t="str">
        <x:v>RJ/006/G/1</x:v>
      </x:c>
      <x:c r="F304" t="str">
        <x:v>Government</x:v>
      </x:c>
      <x:c r="G304" t="n">
        <x:v>250</x:v>
      </x:c>
      <x:c r="H304" t="n">
        <x:v>100</x:v>
      </x:c>
      <x:c r="I304" t="str">
        <x:v>High-confidence fuzzy</x:v>
      </x:c>
      <x:c r="J304" t="n">
        <x:v>38</x:v>
      </x:c>
      <x:c r="K304" t="n">
        <x:v>38</x:v>
      </x:c>
      <x:c r="L304" t="n">
        <x:f>J304-K304</x:f>
        <x:v>0</x:v>
      </x:c>
      <x:c r="M304" s="20" t="n">
        <x:f>IFERROR(K304/J304,0)</x:f>
        <x:v>1</x:v>
      </x:c>
      <x:c r="N304" t="n">
        <x:v>38</x:v>
      </x:c>
      <x:c r="O304" t="n">
        <x:v>38</x:v>
      </x:c>
      <x:c r="P304" t="n">
        <x:f>N304-O304</x:f>
        <x:v>0</x:v>
      </x:c>
      <x:c r="Q304" t="n">
        <x:v>0</x:v>
      </x:c>
      <x:c r="R304" t="n">
        <x:v>0</x:v>
      </x:c>
      <x:c r="S304" t="n">
        <x:f>Q304-R304</x:f>
        <x:v>0</x:v>
      </x:c>
      <x:c r="T304" t="n">
        <x:v>38</x:v>
      </x:c>
      <x:c r="U304" t="n">
        <x:v>38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f>IF(AND(ISNUMBER(G304),I304&lt;&gt;"Excluded INI"),MAX(0,G304-J304),"")</x:f>
        <x:v>212</x:v>
      </x:c>
      <x:c r="AC304" t="n">
        <x:v>3490</x:v>
      </x:c>
      <x:c r="AD304" t="n">
        <x:v>3695</x:v>
      </x:c>
      <x:c r="AE304" t="n">
        <x:v>3954</x:v>
      </x:c>
      <x:c r="AF304" t="n">
        <x:v>4040</x:v>
      </x:c>
      <x:c r="AG304" t="n">
        <x:v>5036</x:v>
      </x:c>
      <x:c r="AH304" t="n">
        <x:v>5152</x:v>
      </x:c>
      <x:c r="AI304" t="n">
        <x:v>23709</x:v>
      </x:c>
      <x:c r="AJ304" t="n">
        <x:v>25367</x:v>
      </x:c>
      <x:c r="AK304" t="n">
        <x:v>17510</x:v>
      </x:c>
      <x:c r="AL304" t="n">
        <x:v>24035</x:v>
      </x:c>
      <x:c r="AM304" t="str">
        <x:v>Fully allotted in R1; R2 opportunity depends on upgrade/non-joining</x:v>
      </x:c>
    </x:row>
    <x:row r="305">
      <x:c r="A305" t="str">
        <x:v>Rajasthan</x:v>
      </x:c>
      <x:c r="B305" t="str">
        <x:v>All India except Central University</x:v>
      </x:c>
      <x:c r="C305" t="str">
        <x:v>904549</x:v>
      </x:c>
      <x:c r="D305" t="str">
        <x:v>ESIC MEDICAL COLLEGE AND HOSPITAL, JAIPUR, LAXMI NAGAR AJMER ROAD SODALA JAIPUR RAJASTHAN</x:v>
      </x:c>
      <x:c r="E305" t="str">
        <x:v>RJ/008/G/1</x:v>
      </x:c>
      <x:c r="F305" t="str">
        <x:v>Government</x:v>
      </x:c>
      <x:c r="G305" t="n">
        <x:v>50</x:v>
      </x:c>
      <x:c r="H305" t="n">
        <x:v>100</x:v>
      </x:c>
      <x:c r="I305" t="str">
        <x:v>High-confidence fuzzy</x:v>
      </x:c>
      <x:c r="J305" t="n">
        <x:v>25</x:v>
      </x:c>
      <x:c r="K305" t="n">
        <x:v>23</x:v>
      </x:c>
      <x:c r="L305" t="n">
        <x:f>J305-K305</x:f>
        <x:v>2</x:v>
      </x:c>
      <x:c r="M305" s="20" t="n">
        <x:f>IFERROR(K305/J305,0)</x:f>
        <x:v>0.92</x:v>
      </x:c>
      <x:c r="N305" t="n">
        <x:v>25</x:v>
      </x:c>
      <x:c r="O305" t="n">
        <x:v>23</x:v>
      </x:c>
      <x:c r="P305" t="n">
        <x:f>N305-O305</x:f>
        <x:v>2</x:v>
      </x:c>
      <x:c r="Q305" t="n">
        <x:v>0</x:v>
      </x:c>
      <x:c r="R305" t="n">
        <x:v>0</x:v>
      </x:c>
      <x:c r="S305" t="n">
        <x:f>Q305-R305</x:f>
        <x:v>0</x:v>
      </x:c>
      <x:c r="T305" t="n">
        <x:v>7</x:v>
      </x:c>
      <x:c r="U305" t="n">
        <x:v>7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f>IF(AND(ISNUMBER(G305),I305&lt;&gt;"Excluded INI"),MAX(0,G305-J305),"")</x:f>
        <x:v>25</x:v>
      </x:c>
      <x:c r="AC305" t="n">
        <x:v>10100</x:v>
      </x:c>
      <x:c r="AD305" t="n">
        <x:v>14200</x:v>
      </x:c>
      <x:c r="AE305" t="n">
        <x:v>12374</x:v>
      </x:c>
      <x:c r="AF305" t="n">
        <x:v>15504</x:v>
      </x:c>
      <x:c r="AG305" t="n">
        <x:v>13227</x:v>
      </x:c>
      <x:c r="AH305" t="n">
        <x:v>18602</x:v>
      </x:c>
      <x:c r="AI305" t="n">
        <x:v>49103</x:v>
      </x:c>
      <x:c r="AJ305" t="n">
        <x:v>70838</x:v>
      </x:c>
      <x:c r="AK305" t="n">
        <x:v>41767</x:v>
      </x:c>
      <x:c r="AL305" t="n">
        <x:v>41767</x:v>
      </x:c>
      <x:c r="AM305" t="str">
        <x:v>R1 regular-central gap visible; verify in official R2 matrix</x:v>
      </x:c>
    </x:row>
    <x:row r="306">
      <x:c r="A306" t="str">
        <x:v>Rajasthan</x:v>
      </x:c>
      <x:c r="B306" t="str">
        <x:v>Employees State Insurance Scheme</x:v>
      </x:c>
      <x:c r="C306" t="str">
        <x:v>200575</x:v>
      </x:c>
      <x:c r="D306" t="str">
        <x:v>Employees State Insurance Corporation Medical College,Alwar, ESIC Medical College and Hospital Desula MIA Alwar Rajasthan India 301030</x:v>
      </x:c>
      <x:c r="E306" t="str">
        <x:v>RJ/007/G/1</x:v>
      </x:c>
      <x:c r="F306" t="str">
        <x:v>Government</x:v>
      </x:c>
      <x:c r="G306" t="n">
        <x:v>100</x:v>
      </x:c>
      <x:c r="H306" t="n">
        <x:v>100</x:v>
      </x:c>
      <x:c r="I306" t="str">
        <x:v>High-confidence fuzzy</x:v>
      </x:c>
      <x:c r="J306" t="n">
        <x:v>50</x:v>
      </x:c>
      <x:c r="K306" t="n">
        <x:v>49</x:v>
      </x:c>
      <x:c r="L306" t="n">
        <x:f>J306-K306</x:f>
        <x:v>1</x:v>
      </x:c>
      <x:c r="M306" s="20" t="n">
        <x:f>IFERROR(K306/J306,0)</x:f>
        <x:v>0.98</x:v>
      </x:c>
      <x:c r="N306" t="n">
        <x:v>50</x:v>
      </x:c>
      <x:c r="O306" t="n">
        <x:v>49</x:v>
      </x:c>
      <x:c r="P306" t="n">
        <x:f>N306-O306</x:f>
        <x:v>1</x:v>
      </x:c>
      <x:c r="Q306" t="n">
        <x:v>0</x:v>
      </x:c>
      <x:c r="R306" t="n">
        <x:v>0</x:v>
      </x:c>
      <x:c r="S306" t="n">
        <x:f>Q306-R306</x:f>
        <x:v>0</x:v>
      </x:c>
      <x:c r="T306" t="n">
        <x:v>15</x:v>
      </x:c>
      <x:c r="U306" t="n">
        <x:v>15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f>IF(AND(ISNUMBER(G306),I306&lt;&gt;"Excluded INI"),MAX(0,G306-J306),"")</x:f>
        <x:v>50</x:v>
      </x:c>
      <x:c r="AC306" t="n">
        <x:v>10347</x:v>
      </x:c>
      <x:c r="AD306" t="n">
        <x:v>14662</x:v>
      </x:c>
      <x:c r="AE306" t="n">
        <x:v>12914</x:v>
      </x:c>
      <x:c r="AF306" t="n">
        <x:v>16841</x:v>
      </x:c>
      <x:c r="AG306" t="n">
        <x:v>15541</x:v>
      </x:c>
      <x:c r="AH306" t="n">
        <x:v>18719</x:v>
      </x:c>
      <x:c r="AI306" t="n">
        <x:v>96303</x:v>
      </x:c>
      <x:c r="AJ306" t="n">
        <x:v>122568</x:v>
      </x:c>
      <x:c r="AK306" t="n">
        <x:v>121155</x:v>
      </x:c>
      <x:c r="AL306" t="n">
        <x:v>156821</x:v>
      </x:c>
      <x:c r="AM306" t="str">
        <x:v>R1 regular-central gap visible; verify in official R2 matrix</x:v>
      </x:c>
    </x:row>
    <x:row r="307">
      <x:c r="A307" t="str">
        <x:v>Rajasthan</x:v>
      </x:c>
      <x:c r="B307" t="str">
        <x:v>All India except Central University</x:v>
      </x:c>
      <x:c r="C307" t="str">
        <x:v>200670</x:v>
      </x:c>
      <x:c r="D307" t="str">
        <x:v>Government Medical College, Alwar, Government Medical College Alwar Jail Circle alwar</x:v>
      </x:c>
      <x:c r="E307" t="str">
        <x:v>RJ/011/G/5</x:v>
      </x:c>
      <x:c r="F307" t="str">
        <x:v>Government</x:v>
      </x:c>
      <x:c r="G307" t="n">
        <x:v>100</x:v>
      </x:c>
      <x:c r="H307" t="n">
        <x:v>100</x:v>
      </x:c>
      <x:c r="I307" t="str">
        <x:v>High-confidence fuzzy</x:v>
      </x:c>
      <x:c r="J307" t="n">
        <x:v>15</x:v>
      </x:c>
      <x:c r="K307" t="n">
        <x:v>15</x:v>
      </x:c>
      <x:c r="L307" t="n">
        <x:f>J307-K307</x:f>
        <x:v>0</x:v>
      </x:c>
      <x:c r="M307" s="20" t="n">
        <x:f>IFERROR(K307/J307,0)</x:f>
        <x:v>1</x:v>
      </x:c>
      <x:c r="N307" t="n">
        <x:v>15</x:v>
      </x:c>
      <x:c r="O307" t="n">
        <x:v>15</x:v>
      </x:c>
      <x:c r="P307" t="n">
        <x:f>N307-O307</x:f>
        <x:v>0</x:v>
      </x:c>
      <x:c r="Q307" t="n">
        <x:v>0</x:v>
      </x:c>
      <x:c r="R307" t="n">
        <x:v>0</x:v>
      </x:c>
      <x:c r="S307" t="n">
        <x:f>Q307-R307</x:f>
        <x:v>0</x:v>
      </x:c>
      <x:c r="T307" t="n">
        <x:v>15</x:v>
      </x:c>
      <x:c r="U307" t="n">
        <x:v>15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f>IF(AND(ISNUMBER(G307),I307&lt;&gt;"Excluded INI"),MAX(0,G307-J307),"")</x:f>
        <x:v>85</x:v>
      </x:c>
      <x:c r="AC307" t="n">
        <x:v>7944</x:v>
      </x:c>
      <x:c r="AD307" t="n">
        <x:v>8212</x:v>
      </x:c>
      <x:c r="AE307" t="n">
        <x:v>8540</x:v>
      </x:c>
      <x:c r="AF307" t="n">
        <x:v>8755</x:v>
      </x:c>
      <x:c r="AG307"/>
      <x:c r="AH307"/>
      <x:c r="AI307" t="n">
        <x:v>48742</x:v>
      </x:c>
      <x:c r="AJ307" t="n">
        <x:v>49417</x:v>
      </x:c>
      <x:c r="AK307" t="n">
        <x:v>57661</x:v>
      </x:c>
      <x:c r="AL307" t="n">
        <x:v>57661</x:v>
      </x:c>
      <x:c r="AM307" t="str">
        <x:v>Fully allotted in R1; R2 opportunity depends on upgrade/non-joining</x:v>
      </x:c>
    </x:row>
    <x:row r="308">
      <x:c r="A308" t="str">
        <x:v>Rajasthan</x:v>
      </x:c>
      <x:c r="B308" t="str">
        <x:v>All India except Central University</x:v>
      </x:c>
      <x:c r="C308" t="str">
        <x:v>902866</x:v>
      </x:c>
      <x:c r="D308" t="str">
        <x:v>Government Medical College, Banswara, MADARESHWAR, RATLAM ROAD BANSWARA</x:v>
      </x:c>
      <x:c r="E308" t="str">
        <x:v>RJ/012/G/1</x:v>
      </x:c>
      <x:c r="F308" t="str">
        <x:v>Government</x:v>
      </x:c>
      <x:c r="G308" t="n">
        <x:v>100</x:v>
      </x:c>
      <x:c r="H308" t="n">
        <x:v>100</x:v>
      </x:c>
      <x:c r="I308" t="str">
        <x:v>High-confidence fuzzy</x:v>
      </x:c>
      <x:c r="J308" t="n">
        <x:v>15</x:v>
      </x:c>
      <x:c r="K308" t="n">
        <x:v>15</x:v>
      </x:c>
      <x:c r="L308" t="n">
        <x:f>J308-K308</x:f>
        <x:v>0</x:v>
      </x:c>
      <x:c r="M308" s="20" t="n">
        <x:f>IFERROR(K308/J308,0)</x:f>
        <x:v>1</x:v>
      </x:c>
      <x:c r="N308" t="n">
        <x:v>15</x:v>
      </x:c>
      <x:c r="O308" t="n">
        <x:v>15</x:v>
      </x:c>
      <x:c r="P308" t="n">
        <x:f>N308-O308</x:f>
        <x:v>0</x:v>
      </x:c>
      <x:c r="Q308" t="n">
        <x:v>0</x:v>
      </x:c>
      <x:c r="R308" t="n">
        <x:v>0</x:v>
      </x:c>
      <x:c r="S308" t="n">
        <x:f>Q308-R308</x:f>
        <x:v>0</x:v>
      </x:c>
      <x:c r="T308" t="n">
        <x:v>15</x:v>
      </x:c>
      <x:c r="U308" t="n">
        <x:v>15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f>IF(AND(ISNUMBER(G308),I308&lt;&gt;"Excluded INI"),MAX(0,G308-J308),"")</x:f>
        <x:v>85</x:v>
      </x:c>
      <x:c r="AC308" t="n">
        <x:v>11412</x:v>
      </x:c>
      <x:c r="AD308" t="n">
        <x:v>11922</x:v>
      </x:c>
      <x:c r="AE308" t="n">
        <x:v>12319</x:v>
      </x:c>
      <x:c r="AF308" t="n">
        <x:v>12617</x:v>
      </x:c>
      <x:c r="AG308" t="n">
        <x:v>12908</x:v>
      </x:c>
      <x:c r="AH308" t="n">
        <x:v>13666</x:v>
      </x:c>
      <x:c r="AI308" t="n">
        <x:v>60684</x:v>
      </x:c>
      <x:c r="AJ308" t="n">
        <x:v>63214</x:v>
      </x:c>
      <x:c r="AK308" t="n">
        <x:v>80082</x:v>
      </x:c>
      <x:c r="AL308" t="n">
        <x:v>80082</x:v>
      </x:c>
      <x:c r="AM308" t="str">
        <x:v>Fully allotted in R1; R2 opportunity depends on upgrade/non-joining</x:v>
      </x:c>
    </x:row>
    <x:row r="309">
      <x:c r="A309" t="str">
        <x:v>Rajasthan</x:v>
      </x:c>
      <x:c r="B309" t="str">
        <x:v>All India except Central University</x:v>
      </x:c>
      <x:c r="C309" t="str">
        <x:v>903349</x:v>
      </x:c>
      <x:c r="D309" t="str">
        <x:v>Government Medical College, Baran, Melkhedi, Chhapar Melkhedi Road Baran</x:v>
      </x:c>
      <x:c r="E309" t="str">
        <x:v>RJ/013/G/1</x:v>
      </x:c>
      <x:c r="F309" t="str">
        <x:v>Government</x:v>
      </x:c>
      <x:c r="G309" t="n">
        <x:v>100</x:v>
      </x:c>
      <x:c r="H309" t="n">
        <x:v>100</x:v>
      </x:c>
      <x:c r="I309" t="str">
        <x:v>High-confidence fuzzy</x:v>
      </x:c>
      <x:c r="J309" t="n">
        <x:v>15</x:v>
      </x:c>
      <x:c r="K309" t="n">
        <x:v>15</x:v>
      </x:c>
      <x:c r="L309" t="n">
        <x:f>J309-K309</x:f>
        <x:v>0</x:v>
      </x:c>
      <x:c r="M309" s="20" t="n">
        <x:f>IFERROR(K309/J309,0)</x:f>
        <x:v>1</x:v>
      </x:c>
      <x:c r="N309" t="n">
        <x:v>15</x:v>
      </x:c>
      <x:c r="O309" t="n">
        <x:v>15</x:v>
      </x:c>
      <x:c r="P309" t="n">
        <x:f>N309-O309</x:f>
        <x:v>0</x:v>
      </x:c>
      <x:c r="Q309" t="n">
        <x:v>0</x:v>
      </x:c>
      <x:c r="R309" t="n">
        <x:v>0</x:v>
      </x:c>
      <x:c r="S309" t="n">
        <x:f>Q309-R309</x:f>
        <x:v>0</x:v>
      </x:c>
      <x:c r="T309" t="n">
        <x:v>15</x:v>
      </x:c>
      <x:c r="U309" t="n">
        <x:v>15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f>IF(AND(ISNUMBER(G309),I309&lt;&gt;"Excluded INI"),MAX(0,G309-J309),"")</x:f>
        <x:v>85</x:v>
      </x:c>
      <x:c r="AC309" t="n">
        <x:v>12512</x:v>
      </x:c>
      <x:c r="AD309" t="n">
        <x:v>12759</x:v>
      </x:c>
      <x:c r="AE309" t="n">
        <x:v>12980</x:v>
      </x:c>
      <x:c r="AF309" t="n">
        <x:v>13061</x:v>
      </x:c>
      <x:c r="AG309" t="n">
        <x:v>13697</x:v>
      </x:c>
      <x:c r="AH309" t="n">
        <x:v>13697</x:v>
      </x:c>
      <x:c r="AI309" t="n">
        <x:v>59462</x:v>
      </x:c>
      <x:c r="AJ309" t="n">
        <x:v>66331</x:v>
      </x:c>
      <x:c r="AK309" t="n">
        <x:v>61782</x:v>
      </x:c>
      <x:c r="AL309" t="n">
        <x:v>61782</x:v>
      </x:c>
      <x:c r="AM309" t="str">
        <x:v>Fully allotted in R1; R2 opportunity depends on upgrade/non-joining</x:v>
      </x:c>
    </x:row>
    <x:row r="310">
      <x:c r="A310" t="str">
        <x:v>Rajasthan</x:v>
      </x:c>
      <x:c r="B310" t="str">
        <x:v>All India except Central University</x:v>
      </x:c>
      <x:c r="C310" t="str">
        <x:v>200478</x:v>
      </x:c>
      <x:c r="D310" t="str">
        <x:v>Government Medical College, Barmer, NH-15, JAISALMER ROAD, VILLAGE-JALIPA, BARMER</x:v>
      </x:c>
      <x:c r="E310" t="str">
        <x:v>RJ/014/G/1</x:v>
      </x:c>
      <x:c r="F310" t="str">
        <x:v>Government</x:v>
      </x:c>
      <x:c r="G310" t="n">
        <x:v>130</x:v>
      </x:c>
      <x:c r="H310" t="n">
        <x:v>100</x:v>
      </x:c>
      <x:c r="I310" t="str">
        <x:v>High-confidence fuzzy</x:v>
      </x:c>
      <x:c r="J310" t="n">
        <x:v>20</x:v>
      </x:c>
      <x:c r="K310" t="n">
        <x:v>20</x:v>
      </x:c>
      <x:c r="L310" t="n">
        <x:f>J310-K310</x:f>
        <x:v>0</x:v>
      </x:c>
      <x:c r="M310" s="20" t="n">
        <x:f>IFERROR(K310/J310,0)</x:f>
        <x:v>1</x:v>
      </x:c>
      <x:c r="N310" t="n">
        <x:v>20</x:v>
      </x:c>
      <x:c r="O310" t="n">
        <x:v>20</x:v>
      </x:c>
      <x:c r="P310" t="n">
        <x:f>N310-O310</x:f>
        <x:v>0</x:v>
      </x:c>
      <x:c r="Q310" t="n">
        <x:v>0</x:v>
      </x:c>
      <x:c r="R310" t="n">
        <x:v>0</x:v>
      </x:c>
      <x:c r="S310" t="n">
        <x:f>Q310-R310</x:f>
        <x:v>0</x:v>
      </x:c>
      <x:c r="T310" t="n">
        <x:v>20</x:v>
      </x:c>
      <x:c r="U310" t="n">
        <x:v>20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f>IF(AND(ISNUMBER(G310),I310&lt;&gt;"Excluded INI"),MAX(0,G310-J310),"")</x:f>
        <x:v>110</x:v>
      </x:c>
      <x:c r="AC310" t="n">
        <x:v>8610</x:v>
      </x:c>
      <x:c r="AD310" t="n">
        <x:v>9004</x:v>
      </x:c>
      <x:c r="AE310" t="n">
        <x:v>9546</x:v>
      </x:c>
      <x:c r="AF310" t="n">
        <x:v>10049</x:v>
      </x:c>
      <x:c r="AG310" t="n">
        <x:v>10716</x:v>
      </x:c>
      <x:c r="AH310" t="n">
        <x:v>10818</x:v>
      </x:c>
      <x:c r="AI310" t="n">
        <x:v>58460</x:v>
      </x:c>
      <x:c r="AJ310" t="n">
        <x:v>58828</x:v>
      </x:c>
      <x:c r="AK310" t="n">
        <x:v>71454</x:v>
      </x:c>
      <x:c r="AL310" t="n">
        <x:v>74352</x:v>
      </x:c>
      <x:c r="AM310" t="str">
        <x:v>Fully allotted in R1; R2 opportunity depends on upgrade/non-joining</x:v>
      </x:c>
    </x:row>
    <x:row r="311">
      <x:c r="A311" t="str">
        <x:v>Rajasthan</x:v>
      </x:c>
      <x:c r="B311" t="str">
        <x:v>All India except Central University</x:v>
      </x:c>
      <x:c r="C311" t="str">
        <x:v>200432</x:v>
      </x:c>
      <x:c r="D311" t="str">
        <x:v>Government Medical College, Bharatpur, Rajasthan, Rampura, NH- 21,Sever Road,Bharatpur,Rajasthan</x:v>
      </x:c>
      <x:c r="E311" t="str">
        <x:v>RJ/015/G/1</x:v>
      </x:c>
      <x:c r="F311" t="str">
        <x:v>Government</x:v>
      </x:c>
      <x:c r="G311" t="n">
        <x:v>150</x:v>
      </x:c>
      <x:c r="H311" t="n">
        <x:v>100</x:v>
      </x:c>
      <x:c r="I311" t="str">
        <x:v>High-confidence fuzzy</x:v>
      </x:c>
      <x:c r="J311" t="n">
        <x:v>22</x:v>
      </x:c>
      <x:c r="K311" t="n">
        <x:v>22</x:v>
      </x:c>
      <x:c r="L311" t="n">
        <x:f>J311-K311</x:f>
        <x:v>0</x:v>
      </x:c>
      <x:c r="M311" s="20" t="n">
        <x:f>IFERROR(K311/J311,0)</x:f>
        <x:v>1</x:v>
      </x:c>
      <x:c r="N311" t="n">
        <x:v>22</x:v>
      </x:c>
      <x:c r="O311" t="n">
        <x:v>22</x:v>
      </x:c>
      <x:c r="P311" t="n">
        <x:f>N311-O311</x:f>
        <x:v>0</x:v>
      </x:c>
      <x:c r="Q311" t="n">
        <x:v>0</x:v>
      </x:c>
      <x:c r="R311" t="n">
        <x:v>0</x:v>
      </x:c>
      <x:c r="S311" t="n">
        <x:f>Q311-R311</x:f>
        <x:v>0</x:v>
      </x:c>
      <x:c r="T311" t="n">
        <x:v>22</x:v>
      </x:c>
      <x:c r="U311" t="n">
        <x:v>22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f>IF(AND(ISNUMBER(G311),I311&lt;&gt;"Excluded INI"),MAX(0,G311-J311),"")</x:f>
        <x:v>128</x:v>
      </x:c>
      <x:c r="AC311" t="n">
        <x:v>7627</x:v>
      </x:c>
      <x:c r="AD311" t="n">
        <x:v>7942</x:v>
      </x:c>
      <x:c r="AE311" t="n">
        <x:v>8536</x:v>
      </x:c>
      <x:c r="AF311" t="n">
        <x:v>9031</x:v>
      </x:c>
      <x:c r="AG311" t="n">
        <x:v>8688</x:v>
      </x:c>
      <x:c r="AH311" t="n">
        <x:v>9234</x:v>
      </x:c>
      <x:c r="AI311" t="n">
        <x:v>52472</x:v>
      </x:c>
      <x:c r="AJ311" t="n">
        <x:v>52486</x:v>
      </x:c>
      <x:c r="AK311" t="n">
        <x:v>45737</x:v>
      </x:c>
      <x:c r="AL311" t="n">
        <x:v>45737</x:v>
      </x:c>
      <x:c r="AM311" t="str">
        <x:v>Fully allotted in R1; R2 opportunity depends on upgrade/non-joining</x:v>
      </x:c>
    </x:row>
    <x:row r="312">
      <x:c r="A312" t="str">
        <x:v>Rajasthan</x:v>
      </x:c>
      <x:c r="B312" t="str">
        <x:v>All India except Central University</x:v>
      </x:c>
      <x:c r="C312" t="str">
        <x:v>200433</x:v>
      </x:c>
      <x:c r="D312" t="str">
        <x:v>Government Medical College, Bhilwara, Rajasthan, Sindari Ke Balaji Road, Sanganer, Bhilwara</x:v>
      </x:c>
      <x:c r="E312" t="str">
        <x:v>RJ/016/G/1</x:v>
      </x:c>
      <x:c r="F312" t="str">
        <x:v>Government</x:v>
      </x:c>
      <x:c r="G312" t="n">
        <x:v>150</x:v>
      </x:c>
      <x:c r="H312" t="n">
        <x:v>100</x:v>
      </x:c>
      <x:c r="I312" t="str">
        <x:v>High-confidence fuzzy</x:v>
      </x:c>
      <x:c r="J312" t="n">
        <x:v>22</x:v>
      </x:c>
      <x:c r="K312" t="n">
        <x:v>22</x:v>
      </x:c>
      <x:c r="L312" t="n">
        <x:f>J312-K312</x:f>
        <x:v>0</x:v>
      </x:c>
      <x:c r="M312" s="20" t="n">
        <x:f>IFERROR(K312/J312,0)</x:f>
        <x:v>1</x:v>
      </x:c>
      <x:c r="N312" t="n">
        <x:v>22</x:v>
      </x:c>
      <x:c r="O312" t="n">
        <x:v>22</x:v>
      </x:c>
      <x:c r="P312" t="n">
        <x:f>N312-O312</x:f>
        <x:v>0</x:v>
      </x:c>
      <x:c r="Q312" t="n">
        <x:v>0</x:v>
      </x:c>
      <x:c r="R312" t="n">
        <x:v>0</x:v>
      </x:c>
      <x:c r="S312" t="n">
        <x:f>Q312-R312</x:f>
        <x:v>0</x:v>
      </x:c>
      <x:c r="T312" t="n">
        <x:v>22</x:v>
      </x:c>
      <x:c r="U312" t="n">
        <x:v>22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f>IF(AND(ISNUMBER(G312),I312&lt;&gt;"Excluded INI"),MAX(0,G312-J312),"")</x:f>
        <x:v>128</x:v>
      </x:c>
      <x:c r="AC312" t="n">
        <x:v>7100</x:v>
      </x:c>
      <x:c r="AD312" t="n">
        <x:v>7501</x:v>
      </x:c>
      <x:c r="AE312" t="n">
        <x:v>7610</x:v>
      </x:c>
      <x:c r="AF312" t="n">
        <x:v>7858</x:v>
      </x:c>
      <x:c r="AG312" t="n">
        <x:v>9187</x:v>
      </x:c>
      <x:c r="AH312" t="n">
        <x:v>9992</x:v>
      </x:c>
      <x:c r="AI312" t="n">
        <x:v>49100</x:v>
      </x:c>
      <x:c r="AJ312" t="n">
        <x:v>50923</x:v>
      </x:c>
      <x:c r="AK312" t="n">
        <x:v>63356</x:v>
      </x:c>
      <x:c r="AL312" t="n">
        <x:v>65939</x:v>
      </x:c>
      <x:c r="AM312" t="str">
        <x:v>Fully allotted in R1; R2 opportunity depends on upgrade/non-joining</x:v>
      </x:c>
    </x:row>
    <x:row r="313">
      <x:c r="A313" t="str">
        <x:v>Rajasthan</x:v>
      </x:c>
      <x:c r="B313" t="str">
        <x:v>All India except Central University</x:v>
      </x:c>
      <x:c r="C313" t="str">
        <x:v>200686</x:v>
      </x:c>
      <x:c r="D313" t="str">
        <x:v>Government Medical College, Bundi, GOVT MEDICAL COLLEGE BUNDI</x:v>
      </x:c>
      <x:c r="E313" t="str">
        <x:v>RJ/017/G/1</x:v>
      </x:c>
      <x:c r="F313" t="str">
        <x:v>Government</x:v>
      </x:c>
      <x:c r="G313" t="n">
        <x:v>100</x:v>
      </x:c>
      <x:c r="H313" t="n">
        <x:v>100</x:v>
      </x:c>
      <x:c r="I313" t="str">
        <x:v>High-confidence fuzzy</x:v>
      </x:c>
      <x:c r="J313" t="n">
        <x:v>15</x:v>
      </x:c>
      <x:c r="K313" t="n">
        <x:v>15</x:v>
      </x:c>
      <x:c r="L313" t="n">
        <x:f>J313-K313</x:f>
        <x:v>0</x:v>
      </x:c>
      <x:c r="M313" s="20" t="n">
        <x:f>IFERROR(K313/J313,0)</x:f>
        <x:v>1</x:v>
      </x:c>
      <x:c r="N313" t="n">
        <x:v>15</x:v>
      </x:c>
      <x:c r="O313" t="n">
        <x:v>15</x:v>
      </x:c>
      <x:c r="P313" t="n">
        <x:f>N313-O313</x:f>
        <x:v>0</x:v>
      </x:c>
      <x:c r="Q313" t="n">
        <x:v>0</x:v>
      </x:c>
      <x:c r="R313" t="n">
        <x:v>0</x:v>
      </x:c>
      <x:c r="S313" t="n">
        <x:f>Q313-R313</x:f>
        <x:v>0</x:v>
      </x:c>
      <x:c r="T313" t="n">
        <x:v>15</x:v>
      </x:c>
      <x:c r="U313" t="n">
        <x:v>15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f>IF(AND(ISNUMBER(G313),I313&lt;&gt;"Excluded INI"),MAX(0,G313-J313),"")</x:f>
        <x:v>85</x:v>
      </x:c>
      <x:c r="AC313" t="n">
        <x:v>10346</x:v>
      </x:c>
      <x:c r="AD313" t="n">
        <x:v>10638</x:v>
      </x:c>
      <x:c r="AE313" t="n">
        <x:v>11330</x:v>
      </x:c>
      <x:c r="AF313" t="n">
        <x:v>11576</x:v>
      </x:c>
      <x:c r="AG313" t="n">
        <x:v>13565</x:v>
      </x:c>
      <x:c r="AH313" t="n">
        <x:v>13565</x:v>
      </x:c>
      <x:c r="AI313" t="n">
        <x:v>58154</x:v>
      </x:c>
      <x:c r="AJ313" t="n">
        <x:v>65158</x:v>
      </x:c>
      <x:c r="AK313" t="n">
        <x:v>70746</x:v>
      </x:c>
      <x:c r="AL313" t="n">
        <x:v>70746</x:v>
      </x:c>
      <x:c r="AM313" t="str">
        <x:v>Fully allotted in R1; R2 opportunity depends on upgrade/non-joining</x:v>
      </x:c>
    </x:row>
    <x:row r="314">
      <x:c r="A314" t="str">
        <x:v>Rajasthan</x:v>
      </x:c>
      <x:c r="B314" t="str">
        <x:v>All India except Central University</x:v>
      </x:c>
      <x:c r="C314" t="str">
        <x:v>200607</x:v>
      </x:c>
      <x:c r="D314" t="str">
        <x:v>Government Medical College, Chittorgarh, Government Medical College Chittorgarh Bojunda - Udaipur Road Chittorgarh</x:v>
      </x:c>
      <x:c r="E314" t="str">
        <x:v>RJ/018/G/1</x:v>
      </x:c>
      <x:c r="F314" t="str">
        <x:v>Government</x:v>
      </x:c>
      <x:c r="G314" t="n">
        <x:v>100</x:v>
      </x:c>
      <x:c r="H314" t="n">
        <x:v>100</x:v>
      </x:c>
      <x:c r="I314" t="str">
        <x:v>High-confidence fuzzy</x:v>
      </x:c>
      <x:c r="J314" t="n">
        <x:v>15</x:v>
      </x:c>
      <x:c r="K314" t="n">
        <x:v>15</x:v>
      </x:c>
      <x:c r="L314" t="n">
        <x:f>J314-K314</x:f>
        <x:v>0</x:v>
      </x:c>
      <x:c r="M314" s="20" t="n">
        <x:f>IFERROR(K314/J314,0)</x:f>
        <x:v>1</x:v>
      </x:c>
      <x:c r="N314" t="n">
        <x:v>15</x:v>
      </x:c>
      <x:c r="O314" t="n">
        <x:v>15</x:v>
      </x:c>
      <x:c r="P314" t="n">
        <x:f>N314-O314</x:f>
        <x:v>0</x:v>
      </x:c>
      <x:c r="Q314" t="n">
        <x:v>0</x:v>
      </x:c>
      <x:c r="R314" t="n">
        <x:v>0</x:v>
      </x:c>
      <x:c r="S314" t="n">
        <x:f>Q314-R314</x:f>
        <x:v>0</x:v>
      </x:c>
      <x:c r="T314" t="n">
        <x:v>15</x:v>
      </x:c>
      <x:c r="U314" t="n">
        <x:v>15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f>IF(AND(ISNUMBER(G314),I314&lt;&gt;"Excluded INI"),MAX(0,G314-J314),"")</x:f>
        <x:v>85</x:v>
      </x:c>
      <x:c r="AC314" t="n">
        <x:v>8175</x:v>
      </x:c>
      <x:c r="AD314" t="n">
        <x:v>8528</x:v>
      </x:c>
      <x:c r="AE314" t="n">
        <x:v>9186</x:v>
      </x:c>
      <x:c r="AF314" t="n">
        <x:v>9355</x:v>
      </x:c>
      <x:c r="AG314" t="n">
        <x:v>11805</x:v>
      </x:c>
      <x:c r="AH314" t="n">
        <x:v>11877</x:v>
      </x:c>
      <x:c r="AI314" t="n">
        <x:v>40372</x:v>
      </x:c>
      <x:c r="AJ314" t="n">
        <x:v>53255</x:v>
      </x:c>
      <x:c r="AK314" t="n">
        <x:v>72452</x:v>
      </x:c>
      <x:c r="AL314" t="n">
        <x:v>72452</x:v>
      </x:c>
      <x:c r="AM314" t="str">
        <x:v>Fully allotted in R1; R2 opportunity depends on upgrade/non-joining</x:v>
      </x:c>
    </x:row>
    <x:row r="315">
      <x:c r="A315" t="str">
        <x:v>Rajasthan</x:v>
      </x:c>
      <x:c r="B315" t="str">
        <x:v>All India except Central University</x:v>
      </x:c>
      <x:c r="C315" t="str">
        <x:v>200430</x:v>
      </x:c>
      <x:c r="D315" t="str">
        <x:v>Government Medical College, Churu, Shekhawat Colony, Civil Lines Road,Churu</x:v>
      </x:c>
      <x:c r="E315" t="str">
        <x:v>RJ/019/G/1</x:v>
      </x:c>
      <x:c r="F315" t="str">
        <x:v>Government</x:v>
      </x:c>
      <x:c r="G315" t="n">
        <x:v>150</x:v>
      </x:c>
      <x:c r="H315" t="n">
        <x:v>100</x:v>
      </x:c>
      <x:c r="I315" t="str">
        <x:v>High-confidence fuzzy</x:v>
      </x:c>
      <x:c r="J315" t="n">
        <x:v>23</x:v>
      </x:c>
      <x:c r="K315" t="n">
        <x:v>23</x:v>
      </x:c>
      <x:c r="L315" t="n">
        <x:f>J315-K315</x:f>
        <x:v>0</x:v>
      </x:c>
      <x:c r="M315" s="20" t="n">
        <x:f>IFERROR(K315/J315,0)</x:f>
        <x:v>1</x:v>
      </x:c>
      <x:c r="N315" t="n">
        <x:v>23</x:v>
      </x:c>
      <x:c r="O315" t="n">
        <x:v>23</x:v>
      </x:c>
      <x:c r="P315" t="n">
        <x:f>N315-O315</x:f>
        <x:v>0</x:v>
      </x:c>
      <x:c r="Q315" t="n">
        <x:v>0</x:v>
      </x:c>
      <x:c r="R315" t="n">
        <x:v>0</x:v>
      </x:c>
      <x:c r="S315" t="n">
        <x:f>Q315-R315</x:f>
        <x:v>0</x:v>
      </x:c>
      <x:c r="T315" t="n">
        <x:v>23</x:v>
      </x:c>
      <x:c r="U315" t="n">
        <x:v>23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f>IF(AND(ISNUMBER(G315),I315&lt;&gt;"Excluded INI"),MAX(0,G315-J315),"")</x:f>
        <x:v>127</x:v>
      </x:c>
      <x:c r="AC315" t="n">
        <x:v>7561</x:v>
      </x:c>
      <x:c r="AD315" t="n">
        <x:v>8131</x:v>
      </x:c>
      <x:c r="AE315" t="n">
        <x:v>8710</x:v>
      </x:c>
      <x:c r="AF315" t="n">
        <x:v>9114</x:v>
      </x:c>
      <x:c r="AG315" t="n">
        <x:v>10430</x:v>
      </x:c>
      <x:c r="AH315" t="n">
        <x:v>10704</x:v>
      </x:c>
      <x:c r="AI315" t="n">
        <x:v>54634</x:v>
      </x:c>
      <x:c r="AJ315" t="n">
        <x:v>56390</x:v>
      </x:c>
      <x:c r="AK315" t="n">
        <x:v>66475</x:v>
      </x:c>
      <x:c r="AL315" t="n">
        <x:v>67451</x:v>
      </x:c>
      <x:c r="AM315" t="str">
        <x:v>Fully allotted in R1; R2 opportunity depends on upgrade/non-joining</x:v>
      </x:c>
    </x:row>
    <x:row r="316">
      <x:c r="A316" t="str">
        <x:v>Rajasthan</x:v>
      </x:c>
      <x:c r="B316" t="str">
        <x:v>All India except Central University</x:v>
      </x:c>
      <x:c r="C316" t="str">
        <x:v>200663</x:v>
      </x:c>
      <x:c r="D316" t="str">
        <x:v>Government Medical College, Dausa, GMC DAUSA MITRAPURA BHANDAREJ MOD DAUSA</x:v>
      </x:c>
      <x:c r="E316" t="str">
        <x:v>RJ/020/G/1</x:v>
      </x:c>
      <x:c r="F316" t="str">
        <x:v>Government</x:v>
      </x:c>
      <x:c r="G316" t="n">
        <x:v>100</x:v>
      </x:c>
      <x:c r="H316" t="n">
        <x:v>100</x:v>
      </x:c>
      <x:c r="I316" t="str">
        <x:v>High-confidence fuzzy</x:v>
      </x:c>
      <x:c r="J316" t="n">
        <x:v>15</x:v>
      </x:c>
      <x:c r="K316" t="n">
        <x:v>15</x:v>
      </x:c>
      <x:c r="L316" t="n">
        <x:f>J316-K316</x:f>
        <x:v>0</x:v>
      </x:c>
      <x:c r="M316" s="20" t="n">
        <x:f>IFERROR(K316/J316,0)</x:f>
        <x:v>1</x:v>
      </x:c>
      <x:c r="N316" t="n">
        <x:v>15</x:v>
      </x:c>
      <x:c r="O316" t="n">
        <x:v>15</x:v>
      </x:c>
      <x:c r="P316" t="n">
        <x:f>N316-O316</x:f>
        <x:v>0</x:v>
      </x:c>
      <x:c r="Q316" t="n">
        <x:v>0</x:v>
      </x:c>
      <x:c r="R316" t="n">
        <x:v>0</x:v>
      </x:c>
      <x:c r="S316" t="n">
        <x:f>Q316-R316</x:f>
        <x:v>0</x:v>
      </x:c>
      <x:c r="T316" t="n">
        <x:v>15</x:v>
      </x:c>
      <x:c r="U316" t="n">
        <x:v>15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f>IF(AND(ISNUMBER(G316),I316&lt;&gt;"Excluded INI"),MAX(0,G316-J316),"")</x:f>
        <x:v>85</x:v>
      </x:c>
      <x:c r="AC316" t="n">
        <x:v>9619</x:v>
      </x:c>
      <x:c r="AD316" t="n">
        <x:v>10214</x:v>
      </x:c>
      <x:c r="AE316" t="n">
        <x:v>10459</x:v>
      </x:c>
      <x:c r="AF316" t="n">
        <x:v>10637</x:v>
      </x:c>
      <x:c r="AG316" t="n">
        <x:v>11628</x:v>
      </x:c>
      <x:c r="AH316" t="n">
        <x:v>11628</x:v>
      </x:c>
      <x:c r="AI316" t="n">
        <x:v>52410</x:v>
      </x:c>
      <x:c r="AJ316" t="n">
        <x:v>52635</x:v>
      </x:c>
      <x:c r="AK316" t="n">
        <x:v>53320</x:v>
      </x:c>
      <x:c r="AL316" t="n">
        <x:v>53320</x:v>
      </x:c>
      <x:c r="AM316" t="str">
        <x:v>Fully allotted in R1; R2 opportunity depends on upgrade/non-joining</x:v>
      </x:c>
    </x:row>
    <x:row r="317">
      <x:c r="A317" t="str">
        <x:v>Rajasthan</x:v>
      </x:c>
      <x:c r="B317" t="str">
        <x:v>All India except Central University</x:v>
      </x:c>
      <x:c r="C317" t="str">
        <x:v>200603</x:v>
      </x:c>
      <x:c r="D317" t="str">
        <x:v>Government Medical College, Dholpur, 411, OLD BARI ROAD, DHOLPUR</x:v>
      </x:c>
      <x:c r="E317" t="str">
        <x:v>RJ/021/G/1</x:v>
      </x:c>
      <x:c r="F317" t="str">
        <x:v>Government</x:v>
      </x:c>
      <x:c r="G317" t="n">
        <x:v>100</x:v>
      </x:c>
      <x:c r="H317" t="n">
        <x:v>100</x:v>
      </x:c>
      <x:c r="I317" t="str">
        <x:v>High-confidence fuzzy</x:v>
      </x:c>
      <x:c r="J317" t="n">
        <x:v>15</x:v>
      </x:c>
      <x:c r="K317" t="n">
        <x:v>15</x:v>
      </x:c>
      <x:c r="L317" t="n">
        <x:f>J317-K317</x:f>
        <x:v>0</x:v>
      </x:c>
      <x:c r="M317" s="20" t="n">
        <x:f>IFERROR(K317/J317,0)</x:f>
        <x:v>1</x:v>
      </x:c>
      <x:c r="N317" t="n">
        <x:v>15</x:v>
      </x:c>
      <x:c r="O317" t="n">
        <x:v>15</x:v>
      </x:c>
      <x:c r="P317" t="n">
        <x:f>N317-O317</x:f>
        <x:v>0</x:v>
      </x:c>
      <x:c r="Q317" t="n">
        <x:v>0</x:v>
      </x:c>
      <x:c r="R317" t="n">
        <x:v>0</x:v>
      </x:c>
      <x:c r="S317" t="n">
        <x:f>Q317-R317</x:f>
        <x:v>0</x:v>
      </x:c>
      <x:c r="T317" t="n">
        <x:v>15</x:v>
      </x:c>
      <x:c r="U317" t="n">
        <x:v>15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f>IF(AND(ISNUMBER(G317),I317&lt;&gt;"Excluded INI"),MAX(0,G317-J317),"")</x:f>
        <x:v>85</x:v>
      </x:c>
      <x:c r="AC317" t="n">
        <x:v>10717</x:v>
      </x:c>
      <x:c r="AD317" t="n">
        <x:v>11127</x:v>
      </x:c>
      <x:c r="AE317" t="n">
        <x:v>12054</x:v>
      </x:c>
      <x:c r="AF317" t="n">
        <x:v>12270</x:v>
      </x:c>
      <x:c r="AG317" t="n">
        <x:v>12306</x:v>
      </x:c>
      <x:c r="AH317" t="n">
        <x:v>12537</x:v>
      </x:c>
      <x:c r="AI317" t="n">
        <x:v>57263</x:v>
      </x:c>
      <x:c r="AJ317" t="n">
        <x:v>57732</x:v>
      </x:c>
      <x:c r="AK317" t="n">
        <x:v>79688</x:v>
      </x:c>
      <x:c r="AL317" t="n">
        <x:v>79688</x:v>
      </x:c>
      <x:c r="AM317" t="str">
        <x:v>Fully allotted in R1; R2 opportunity depends on upgrade/non-joining</x:v>
      </x:c>
    </x:row>
    <x:row r="318">
      <x:c r="A318" t="str">
        <x:v>Rajasthan</x:v>
      </x:c>
      <x:c r="B318" t="str">
        <x:v>All India except Central University</x:v>
      </x:c>
      <x:c r="C318" t="str">
        <x:v>200429</x:v>
      </x:c>
      <x:c r="D318" t="str">
        <x:v>Government Medical College, Dungarpur, VILLAGE- THANA DUNGARPUR</x:v>
      </x:c>
      <x:c r="E318" t="str">
        <x:v>RJ/022/G/1</x:v>
      </x:c>
      <x:c r="F318" t="str">
        <x:v>Government</x:v>
      </x:c>
      <x:c r="G318" t="n">
        <x:v>150</x:v>
      </x:c>
      <x:c r="H318" t="n">
        <x:v>100</x:v>
      </x:c>
      <x:c r="I318" t="str">
        <x:v>High-confidence fuzzy</x:v>
      </x:c>
      <x:c r="J318" t="n">
        <x:v>22</x:v>
      </x:c>
      <x:c r="K318" t="n">
        <x:v>21</x:v>
      </x:c>
      <x:c r="L318" t="n">
        <x:f>J318-K318</x:f>
        <x:v>1</x:v>
      </x:c>
      <x:c r="M318" s="20" t="n">
        <x:f>IFERROR(K318/J318,0)</x:f>
        <x:v>0.9545454545454546</x:v>
      </x:c>
      <x:c r="N318" t="n">
        <x:v>22</x:v>
      </x:c>
      <x:c r="O318" t="n">
        <x:v>21</x:v>
      </x:c>
      <x:c r="P318" t="n">
        <x:f>N318-O318</x:f>
        <x:v>1</x:v>
      </x:c>
      <x:c r="Q318" t="n">
        <x:v>0</x:v>
      </x:c>
      <x:c r="R318" t="n">
        <x:v>0</x:v>
      </x:c>
      <x:c r="S318" t="n">
        <x:f>Q318-R318</x:f>
        <x:v>0</x:v>
      </x:c>
      <x:c r="T318" t="n">
        <x:v>22</x:v>
      </x:c>
      <x:c r="U318" t="n">
        <x:v>21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f>IF(AND(ISNUMBER(G318),I318&lt;&gt;"Excluded INI"),MAX(0,G318-J318),"")</x:f>
        <x:v>128</x:v>
      </x:c>
      <x:c r="AC318" t="n">
        <x:v>9819</x:v>
      </x:c>
      <x:c r="AD318" t="n">
        <x:v>10395</x:v>
      </x:c>
      <x:c r="AE318" t="n">
        <x:v>11208</x:v>
      </x:c>
      <x:c r="AF318" t="n">
        <x:v>11861</x:v>
      </x:c>
      <x:c r="AG318" t="n">
        <x:v>11154</x:v>
      </x:c>
      <x:c r="AH318" t="n">
        <x:v>11154</x:v>
      </x:c>
      <x:c r="AI318" t="n">
        <x:v>56212</x:v>
      </x:c>
      <x:c r="AJ318" t="n">
        <x:v>58096</x:v>
      </x:c>
      <x:c r="AK318" t="n">
        <x:v>76008</x:v>
      </x:c>
      <x:c r="AL318" t="n">
        <x:v>76008</x:v>
      </x:c>
      <x:c r="AM318" t="str">
        <x:v>R1 regular-central gap visible; verify in official R2 matrix</x:v>
      </x:c>
    </x:row>
    <x:row r="319">
      <x:c r="A319" t="str">
        <x:v>Rajasthan</x:v>
      </x:c>
      <x:c r="B319" t="str">
        <x:v>All India except Central University</x:v>
      </x:c>
      <x:c r="C319" t="str">
        <x:v>200665</x:v>
      </x:c>
      <x:c r="D319" t="str">
        <x:v>Government Medical College, Hanumangarh, Ganganagar-sangria Bypass Road Hanumangarh Junction</x:v>
      </x:c>
      <x:c r="E319" t="str">
        <x:v>RJ/023/G/1</x:v>
      </x:c>
      <x:c r="F319" t="str">
        <x:v>Government</x:v>
      </x:c>
      <x:c r="G319" t="n">
        <x:v>100</x:v>
      </x:c>
      <x:c r="H319" t="n">
        <x:v>100</x:v>
      </x:c>
      <x:c r="I319" t="str">
        <x:v>High-confidence fuzzy</x:v>
      </x:c>
      <x:c r="J319" t="n">
        <x:v>15</x:v>
      </x:c>
      <x:c r="K319" t="n">
        <x:v>15</x:v>
      </x:c>
      <x:c r="L319" t="n">
        <x:f>J319-K319</x:f>
        <x:v>0</x:v>
      </x:c>
      <x:c r="M319" s="20" t="n">
        <x:f>IFERROR(K319/J319,0)</x:f>
        <x:v>1</x:v>
      </x:c>
      <x:c r="N319" t="n">
        <x:v>15</x:v>
      </x:c>
      <x:c r="O319" t="n">
        <x:v>15</x:v>
      </x:c>
      <x:c r="P319" t="n">
        <x:f>N319-O319</x:f>
        <x:v>0</x:v>
      </x:c>
      <x:c r="Q319" t="n">
        <x:v>0</x:v>
      </x:c>
      <x:c r="R319" t="n">
        <x:v>0</x:v>
      </x:c>
      <x:c r="S319" t="n">
        <x:f>Q319-R319</x:f>
        <x:v>0</x:v>
      </x:c>
      <x:c r="T319" t="n">
        <x:v>15</x:v>
      </x:c>
      <x:c r="U319" t="n">
        <x:v>15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f>IF(AND(ISNUMBER(G319),I319&lt;&gt;"Excluded INI"),MAX(0,G319-J319),"")</x:f>
        <x:v>85</x:v>
      </x:c>
      <x:c r="AC319" t="n">
        <x:v>10337</x:v>
      </x:c>
      <x:c r="AD319" t="n">
        <x:v>10551</x:v>
      </x:c>
      <x:c r="AE319" t="n">
        <x:v>11765</x:v>
      </x:c>
      <x:c r="AF319" t="n">
        <x:v>12443</x:v>
      </x:c>
      <x:c r="AG319" t="n">
        <x:v>11254</x:v>
      </x:c>
      <x:c r="AH319" t="n">
        <x:v>11721</x:v>
      </x:c>
      <x:c r="AI319" t="n">
        <x:v>64151</x:v>
      </x:c>
      <x:c r="AJ319" t="n">
        <x:v>64488</x:v>
      </x:c>
      <x:c r="AK319" t="n">
        <x:v>80066</x:v>
      </x:c>
      <x:c r="AL319" t="n">
        <x:v>80066</x:v>
      </x:c>
      <x:c r="AM319" t="str">
        <x:v>Fully allotted in R1; R2 opportunity depends on upgrade/non-joining</x:v>
      </x:c>
    </x:row>
    <x:row r="320">
      <x:c r="A320" t="str">
        <x:v>Rajasthan</x:v>
      </x:c>
      <x:c r="B320" t="str">
        <x:v>All India except Central University</x:v>
      </x:c>
      <x:c r="C320" t="str">
        <x:v>904360</x:v>
      </x:c>
      <x:c r="D320" t="str">
        <x:v>Government Medical College, Jaisalmer, Government Medical College, NH68, Ramgarh Road, Badabagh, Jaisalmer</x:v>
      </x:c>
      <x:c r="E320" t="str">
        <x:v>RJ/024/G/5</x:v>
      </x:c>
      <x:c r="F320" t="str">
        <x:v>Government</x:v>
      </x:c>
      <x:c r="G320" t="n">
        <x:v>50</x:v>
      </x:c>
      <x:c r="H320" t="n">
        <x:v>100</x:v>
      </x:c>
      <x:c r="I320" t="str">
        <x:v>High-confidence fuzzy</x:v>
      </x:c>
      <x:c r="J320" t="n">
        <x:v>7</x:v>
      </x:c>
      <x:c r="K320" t="n">
        <x:v>7</x:v>
      </x:c>
      <x:c r="L320" t="n">
        <x:f>J320-K320</x:f>
        <x:v>0</x:v>
      </x:c>
      <x:c r="M320" s="20" t="n">
        <x:f>IFERROR(K320/J320,0)</x:f>
        <x:v>1</x:v>
      </x:c>
      <x:c r="N320" t="n">
        <x:v>7</x:v>
      </x:c>
      <x:c r="O320" t="n">
        <x:v>7</x:v>
      </x:c>
      <x:c r="P320" t="n">
        <x:f>N320-O320</x:f>
        <x:v>0</x:v>
      </x:c>
      <x:c r="Q320" t="n">
        <x:v>0</x:v>
      </x:c>
      <x:c r="R320" t="n">
        <x:v>0</x:v>
      </x:c>
      <x:c r="S320" t="n">
        <x:f>Q320-R320</x:f>
        <x:v>0</x:v>
      </x:c>
      <x:c r="T320" t="n">
        <x:v>7</x:v>
      </x:c>
      <x:c r="U320" t="n">
        <x:v>7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f>IF(AND(ISNUMBER(G320),I320&lt;&gt;"Excluded INI"),MAX(0,G320-J320),"")</x:f>
        <x:v>43</x:v>
      </x:c>
      <x:c r="AC320" t="n">
        <x:v>9952</x:v>
      </x:c>
      <x:c r="AD320" t="n">
        <x:v>10621</x:v>
      </x:c>
      <x:c r="AE320" t="n">
        <x:v>11936</x:v>
      </x:c>
      <x:c r="AF320" t="n">
        <x:v>12474</x:v>
      </x:c>
      <x:c r="AG320"/>
      <x:c r="AH320"/>
      <x:c r="AI320" t="n">
        <x:v>59311</x:v>
      </x:c>
      <x:c r="AJ320" t="n">
        <x:v>59311</x:v>
      </x:c>
      <x:c r="AK320" t="n">
        <x:v>81034</x:v>
      </x:c>
      <x:c r="AL320" t="n">
        <x:v>81034</x:v>
      </x:c>
      <x:c r="AM320" t="str">
        <x:v>Fully allotted in R1; R2 opportunity depends on upgrade/non-joining</x:v>
      </x:c>
    </x:row>
    <x:row r="321">
      <x:c r="A321" t="str">
        <x:v>Rajasthan</x:v>
      </x:c>
      <x:c r="B321" t="str">
        <x:v>All India except Central University</x:v>
      </x:c>
      <x:c r="C321" t="str">
        <x:v>902820</x:v>
      </x:c>
      <x:c r="D321" t="str">
        <x:v>Government Medical College, Jhunjhunu, jjnmedicalcollege@gmail.com</x:v>
      </x:c>
      <x:c r="E321" t="str">
        <x:v>RJ/025/G/1</x:v>
      </x:c>
      <x:c r="F321" t="str">
        <x:v>Government</x:v>
      </x:c>
      <x:c r="G321" t="n">
        <x:v>100</x:v>
      </x:c>
      <x:c r="H321" t="n">
        <x:v>100</x:v>
      </x:c>
      <x:c r="I321" t="str">
        <x:v>High-confidence fuzzy</x:v>
      </x:c>
      <x:c r="J321" t="n">
        <x:v>15</x:v>
      </x:c>
      <x:c r="K321" t="n">
        <x:v>15</x:v>
      </x:c>
      <x:c r="L321" t="n">
        <x:f>J321-K321</x:f>
        <x:v>0</x:v>
      </x:c>
      <x:c r="M321" s="20" t="n">
        <x:f>IFERROR(K321/J321,0)</x:f>
        <x:v>1</x:v>
      </x:c>
      <x:c r="N321" t="n">
        <x:v>15</x:v>
      </x:c>
      <x:c r="O321" t="n">
        <x:v>15</x:v>
      </x:c>
      <x:c r="P321" t="n">
        <x:f>N321-O321</x:f>
        <x:v>0</x:v>
      </x:c>
      <x:c r="Q321" t="n">
        <x:v>0</x:v>
      </x:c>
      <x:c r="R321" t="n">
        <x:v>0</x:v>
      </x:c>
      <x:c r="S321" t="n">
        <x:f>Q321-R321</x:f>
        <x:v>0</x:v>
      </x:c>
      <x:c r="T321" t="n">
        <x:v>15</x:v>
      </x:c>
      <x:c r="U321" t="n">
        <x:v>15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f>IF(AND(ISNUMBER(G321),I321&lt;&gt;"Excluded INI"),MAX(0,G321-J321),"")</x:f>
        <x:v>85</x:v>
      </x:c>
      <x:c r="AC321" t="n">
        <x:v>9876</x:v>
      </x:c>
      <x:c r="AD321" t="n">
        <x:v>10315</x:v>
      </x:c>
      <x:c r="AE321" t="n">
        <x:v>11150</x:v>
      </x:c>
      <x:c r="AF321" t="n">
        <x:v>11580</x:v>
      </x:c>
      <x:c r="AG321" t="n">
        <x:v>12794</x:v>
      </x:c>
      <x:c r="AH321" t="n">
        <x:v>12812</x:v>
      </x:c>
      <x:c r="AI321" t="n">
        <x:v>51736</x:v>
      </x:c>
      <x:c r="AJ321" t="n">
        <x:v>56895</x:v>
      </x:c>
      <x:c r="AK321" t="n">
        <x:v>46624</x:v>
      </x:c>
      <x:c r="AL321" t="n">
        <x:v>46624</x:v>
      </x:c>
      <x:c r="AM321" t="str">
        <x:v>Fully allotted in R1; R2 opportunity depends on upgrade/non-joining</x:v>
      </x:c>
    </x:row>
    <x:row r="322">
      <x:c r="A322" t="str">
        <x:v>Rajasthan</x:v>
      </x:c>
      <x:c r="B322" t="str">
        <x:v>All India except Central University</x:v>
      </x:c>
      <x:c r="C322" t="str">
        <x:v>200666</x:v>
      </x:c>
      <x:c r="D322" t="str">
        <x:v>Government Medical College, Karauli, mandrayal road karauli</x:v>
      </x:c>
      <x:c r="E322" t="str">
        <x:v>RJ/026/G/1</x:v>
      </x:c>
      <x:c r="F322" t="str">
        <x:v>Government</x:v>
      </x:c>
      <x:c r="G322" t="n">
        <x:v>100</x:v>
      </x:c>
      <x:c r="H322" t="n">
        <x:v>100</x:v>
      </x:c>
      <x:c r="I322" t="str">
        <x:v>High-confidence fuzzy</x:v>
      </x:c>
      <x:c r="J322" t="n">
        <x:v>15</x:v>
      </x:c>
      <x:c r="K322" t="n">
        <x:v>15</x:v>
      </x:c>
      <x:c r="L322" t="n">
        <x:f>J322-K322</x:f>
        <x:v>0</x:v>
      </x:c>
      <x:c r="M322" s="20" t="n">
        <x:f>IFERROR(K322/J322,0)</x:f>
        <x:v>1</x:v>
      </x:c>
      <x:c r="N322" t="n">
        <x:v>15</x:v>
      </x:c>
      <x:c r="O322" t="n">
        <x:v>15</x:v>
      </x:c>
      <x:c r="P322" t="n">
        <x:f>N322-O322</x:f>
        <x:v>0</x:v>
      </x:c>
      <x:c r="Q322" t="n">
        <x:v>0</x:v>
      </x:c>
      <x:c r="R322" t="n">
        <x:v>0</x:v>
      </x:c>
      <x:c r="S322" t="n">
        <x:f>Q322-R322</x:f>
        <x:v>0</x:v>
      </x:c>
      <x:c r="T322" t="n">
        <x:v>15</x:v>
      </x:c>
      <x:c r="U322" t="n">
        <x:v>15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f>IF(AND(ISNUMBER(G322),I322&lt;&gt;"Excluded INI"),MAX(0,G322-J322),"")</x:f>
        <x:v>85</x:v>
      </x:c>
      <x:c r="AC322" t="n">
        <x:v>11783</x:v>
      </x:c>
      <x:c r="AD322" t="n">
        <x:v>12073</x:v>
      </x:c>
      <x:c r="AE322" t="n">
        <x:v>12730</x:v>
      </x:c>
      <x:c r="AF322" t="n">
        <x:v>12826</x:v>
      </x:c>
      <x:c r="AG322" t="n">
        <x:v>13447</x:v>
      </x:c>
      <x:c r="AH322" t="n">
        <x:v>13447</x:v>
      </x:c>
      <x:c r="AI322" t="n">
        <x:v>62798</x:v>
      </x:c>
      <x:c r="AJ322" t="n">
        <x:v>63909</x:v>
      </x:c>
      <x:c r="AK322" t="n">
        <x:v>78891</x:v>
      </x:c>
      <x:c r="AL322" t="n">
        <x:v>78891</x:v>
      </x:c>
      <x:c r="AM322" t="str">
        <x:v>Fully allotted in R1; R2 opportunity depends on upgrade/non-joining</x:v>
      </x:c>
    </x:row>
    <x:row r="323">
      <x:c r="A323" t="str">
        <x:v>Rajasthan</x:v>
      </x:c>
      <x:c r="B323" t="str">
        <x:v>All India except Central University</x:v>
      </x:c>
      <x:c r="C323" t="str">
        <x:v>200250</x:v>
      </x:c>
      <x:c r="D323" t="str">
        <x:v>Government Medical College, Kota, Rangbari Road Kota</x:v>
      </x:c>
      <x:c r="E323" t="str">
        <x:v>RJ/027/G/1</x:v>
      </x:c>
      <x:c r="F323" t="str">
        <x:v>Government</x:v>
      </x:c>
      <x:c r="G323" t="n">
        <x:v>250</x:v>
      </x:c>
      <x:c r="H323" t="n">
        <x:v>100</x:v>
      </x:c>
      <x:c r="I323" t="str">
        <x:v>High-confidence fuzzy</x:v>
      </x:c>
      <x:c r="J323" t="n">
        <x:v>37</x:v>
      </x:c>
      <x:c r="K323" t="n">
        <x:v>37</x:v>
      </x:c>
      <x:c r="L323" t="n">
        <x:f>J323-K323</x:f>
        <x:v>0</x:v>
      </x:c>
      <x:c r="M323" s="20" t="n">
        <x:f>IFERROR(K323/J323,0)</x:f>
        <x:v>1</x:v>
      </x:c>
      <x:c r="N323" t="n">
        <x:v>37</x:v>
      </x:c>
      <x:c r="O323" t="n">
        <x:v>37</x:v>
      </x:c>
      <x:c r="P323" t="n">
        <x:f>N323-O323</x:f>
        <x:v>0</x:v>
      </x:c>
      <x:c r="Q323" t="n">
        <x:v>0</x:v>
      </x:c>
      <x:c r="R323" t="n">
        <x:v>0</x:v>
      </x:c>
      <x:c r="S323" t="n">
        <x:f>Q323-R323</x:f>
        <x:v>0</x:v>
      </x:c>
      <x:c r="T323" t="n">
        <x:v>37</x:v>
      </x:c>
      <x:c r="U323" t="n">
        <x:v>37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f>IF(AND(ISNUMBER(G323),I323&lt;&gt;"Excluded INI"),MAX(0,G323-J323),"")</x:f>
        <x:v>213</x:v>
      </x:c>
      <x:c r="AC323" t="n">
        <x:v>4826</x:v>
      </x:c>
      <x:c r="AD323" t="n">
        <x:v>5008</x:v>
      </x:c>
      <x:c r="AE323" t="n">
        <x:v>5143</x:v>
      </x:c>
      <x:c r="AF323" t="n">
        <x:v>5279</x:v>
      </x:c>
      <x:c r="AG323" t="n">
        <x:v>6260</x:v>
      </x:c>
      <x:c r="AH323" t="n">
        <x:v>6357</x:v>
      </x:c>
      <x:c r="AI323" t="n">
        <x:v>29796</x:v>
      </x:c>
      <x:c r="AJ323" t="n">
        <x:v>30942</x:v>
      </x:c>
      <x:c r="AK323" t="n">
        <x:v>39741</x:v>
      </x:c>
      <x:c r="AL323" t="n">
        <x:v>40716</x:v>
      </x:c>
      <x:c r="AM323" t="str">
        <x:v>Fully allotted in R1; R2 opportunity depends on upgrade/non-joining</x:v>
      </x:c>
    </x:row>
    <x:row r="324">
      <x:c r="A324" t="str">
        <x:v>Rajasthan</x:v>
      </x:c>
      <x:c r="B324" t="str">
        <x:v>All India except Central University</x:v>
      </x:c>
      <x:c r="C324" t="str">
        <x:v>902864</x:v>
      </x:c>
      <x:c r="D324" t="str">
        <x:v>Government Medical College, Nagaur, gmcnagaur@gmail.com</x:v>
      </x:c>
      <x:c r="E324" t="str">
        <x:v>RJ/028/G/1</x:v>
      </x:c>
      <x:c r="F324" t="str">
        <x:v>Government</x:v>
      </x:c>
      <x:c r="G324" t="n">
        <x:v>100</x:v>
      </x:c>
      <x:c r="H324" t="n">
        <x:v>100</x:v>
      </x:c>
      <x:c r="I324" t="str">
        <x:v>High-confidence fuzzy</x:v>
      </x:c>
      <x:c r="J324" t="n">
        <x:v>15</x:v>
      </x:c>
      <x:c r="K324" t="n">
        <x:v>15</x:v>
      </x:c>
      <x:c r="L324" t="n">
        <x:f>J324-K324</x:f>
        <x:v>0</x:v>
      </x:c>
      <x:c r="M324" s="20" t="n">
        <x:f>IFERROR(K324/J324,0)</x:f>
        <x:v>1</x:v>
      </x:c>
      <x:c r="N324" t="n">
        <x:v>15</x:v>
      </x:c>
      <x:c r="O324" t="n">
        <x:v>15</x:v>
      </x:c>
      <x:c r="P324" t="n">
        <x:f>N324-O324</x:f>
        <x:v>0</x:v>
      </x:c>
      <x:c r="Q324" t="n">
        <x:v>0</x:v>
      </x:c>
      <x:c r="R324" t="n">
        <x:v>0</x:v>
      </x:c>
      <x:c r="S324" t="n">
        <x:f>Q324-R324</x:f>
        <x:v>0</x:v>
      </x:c>
      <x:c r="T324" t="n">
        <x:v>15</x:v>
      </x:c>
      <x:c r="U324" t="n">
        <x:v>15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f>IF(AND(ISNUMBER(G324),I324&lt;&gt;"Excluded INI"),MAX(0,G324-J324),"")</x:f>
        <x:v>85</x:v>
      </x:c>
      <x:c r="AC324" t="n">
        <x:v>6954</x:v>
      </x:c>
      <x:c r="AD324" t="n">
        <x:v>7810</x:v>
      </x:c>
      <x:c r="AE324" t="n">
        <x:v>8689</x:v>
      </x:c>
      <x:c r="AF324" t="n">
        <x:v>8792</x:v>
      </x:c>
      <x:c r="AG324" t="n">
        <x:v>11686</x:v>
      </x:c>
      <x:c r="AH324" t="n">
        <x:v>12322</x:v>
      </x:c>
      <x:c r="AI324" t="n">
        <x:v>32556</x:v>
      </x:c>
      <x:c r="AJ324" t="n">
        <x:v>47367</x:v>
      </x:c>
      <x:c r="AK324" t="n">
        <x:v>76306</x:v>
      </x:c>
      <x:c r="AL324" t="n">
        <x:v>76306</x:v>
      </x:c>
      <x:c r="AM324" t="str">
        <x:v>Fully allotted in R1; R2 opportunity depends on upgrade/non-joining</x:v>
      </x:c>
    </x:row>
    <x:row r="325">
      <x:c r="A325" t="str">
        <x:v>Rajasthan</x:v>
      </x:c>
      <x:c r="B325" t="str">
        <x:v>All India except Central University</x:v>
      </x:c>
      <x:c r="C325" t="str">
        <x:v>200435</x:v>
      </x:c>
      <x:c r="D325" t="str">
        <x:v>Government Medical College, Pali, Rajasthan, NH- 62,SumerpurRoad,Ramasia.Hemawas,Pali</x:v>
      </x:c>
      <x:c r="E325" t="str">
        <x:v>RJ/029/G/1</x:v>
      </x:c>
      <x:c r="F325" t="str">
        <x:v>Government</x:v>
      </x:c>
      <x:c r="G325" t="n">
        <x:v>150</x:v>
      </x:c>
      <x:c r="H325" t="n">
        <x:v>100</x:v>
      </x:c>
      <x:c r="I325" t="str">
        <x:v>High-confidence fuzzy</x:v>
      </x:c>
      <x:c r="J325" t="n">
        <x:v>22</x:v>
      </x:c>
      <x:c r="K325" t="n">
        <x:v>22</x:v>
      </x:c>
      <x:c r="L325" t="n">
        <x:f>J325-K325</x:f>
        <x:v>0</x:v>
      </x:c>
      <x:c r="M325" s="20" t="n">
        <x:f>IFERROR(K325/J325,0)</x:f>
        <x:v>1</x:v>
      </x:c>
      <x:c r="N325" t="n">
        <x:v>22</x:v>
      </x:c>
      <x:c r="O325" t="n">
        <x:v>22</x:v>
      </x:c>
      <x:c r="P325" t="n">
        <x:f>N325-O325</x:f>
        <x:v>0</x:v>
      </x:c>
      <x:c r="Q325" t="n">
        <x:v>0</x:v>
      </x:c>
      <x:c r="R325" t="n">
        <x:v>0</x:v>
      </x:c>
      <x:c r="S325" t="n">
        <x:f>Q325-R325</x:f>
        <x:v>0</x:v>
      </x:c>
      <x:c r="T325" t="n">
        <x:v>22</x:v>
      </x:c>
      <x:c r="U325" t="n">
        <x:v>22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f>IF(AND(ISNUMBER(G325),I325&lt;&gt;"Excluded INI"),MAX(0,G325-J325),"")</x:f>
        <x:v>128</x:v>
      </x:c>
      <x:c r="AC325" t="n">
        <x:v>6630</x:v>
      </x:c>
      <x:c r="AD325" t="n">
        <x:v>7241</x:v>
      </x:c>
      <x:c r="AE325" t="n">
        <x:v>7470</x:v>
      </x:c>
      <x:c r="AF325" t="n">
        <x:v>7694</x:v>
      </x:c>
      <x:c r="AG325" t="n">
        <x:v>8606</x:v>
      </x:c>
      <x:c r="AH325" t="n">
        <x:v>8922</x:v>
      </x:c>
      <x:c r="AI325" t="n">
        <x:v>47361</x:v>
      </x:c>
      <x:c r="AJ325" t="n">
        <x:v>50359</x:v>
      </x:c>
      <x:c r="AK325" t="n">
        <x:v>59432</x:v>
      </x:c>
      <x:c r="AL325" t="n">
        <x:v>59432</x:v>
      </x:c>
      <x:c r="AM325" t="str">
        <x:v>Fully allotted in R1; R2 opportunity depends on upgrade/non-joining</x:v>
      </x:c>
    </x:row>
    <x:row r="326">
      <x:c r="A326" t="str">
        <x:v>Rajasthan</x:v>
      </x:c>
      <x:c r="B326" t="str">
        <x:v>All India except Central University</x:v>
      </x:c>
      <x:c r="C326" t="str">
        <x:v>902865</x:v>
      </x:c>
      <x:c r="D326" t="str">
        <x:v>Government Medical College, Sawai Madhopur, Government Medical College, Sawai Madhopur Village Thingla, Sawai Madhopur, Rajasthan</x:v>
      </x:c>
      <x:c r="E326" t="str">
        <x:v>RJ/001/G/1</x:v>
      </x:c>
      <x:c r="F326" t="str">
        <x:v>Government</x:v>
      </x:c>
      <x:c r="G326" t="n">
        <x:v>100</x:v>
      </x:c>
      <x:c r="H326" t="n">
        <x:v>100</x:v>
      </x:c>
      <x:c r="I326" t="str">
        <x:v>High-confidence fuzzy</x:v>
      </x:c>
      <x:c r="J326" t="n">
        <x:v>15</x:v>
      </x:c>
      <x:c r="K326" t="n">
        <x:v>15</x:v>
      </x:c>
      <x:c r="L326" t="n">
        <x:f>J326-K326</x:f>
        <x:v>0</x:v>
      </x:c>
      <x:c r="M326" s="20" t="n">
        <x:f>IFERROR(K326/J326,0)</x:f>
        <x:v>1</x:v>
      </x:c>
      <x:c r="N326" t="n">
        <x:v>15</x:v>
      </x:c>
      <x:c r="O326" t="n">
        <x:v>15</x:v>
      </x:c>
      <x:c r="P326" t="n">
        <x:f>N326-O326</x:f>
        <x:v>0</x:v>
      </x:c>
      <x:c r="Q326" t="n">
        <x:v>0</x:v>
      </x:c>
      <x:c r="R326" t="n">
        <x:v>0</x:v>
      </x:c>
      <x:c r="S326" t="n">
        <x:f>Q326-R326</x:f>
        <x:v>0</x:v>
      </x:c>
      <x:c r="T326" t="n">
        <x:v>15</x:v>
      </x:c>
      <x:c r="U326" t="n">
        <x:v>15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f>IF(AND(ISNUMBER(G326),I326&lt;&gt;"Excluded INI"),MAX(0,G326-J326),"")</x:f>
        <x:v>85</x:v>
      </x:c>
      <x:c r="AC326" t="n">
        <x:v>9306</x:v>
      </x:c>
      <x:c r="AD326" t="n">
        <x:v>9588</x:v>
      </x:c>
      <x:c r="AE326" t="n">
        <x:v>12552</x:v>
      </x:c>
      <x:c r="AF326" t="n">
        <x:v>12724</x:v>
      </x:c>
      <x:c r="AG326" t="n">
        <x:v>11723</x:v>
      </x:c>
      <x:c r="AH326" t="n">
        <x:v>11723</x:v>
      </x:c>
      <x:c r="AI326" t="n">
        <x:v>61166</x:v>
      </x:c>
      <x:c r="AJ326" t="n">
        <x:v>65868</x:v>
      </x:c>
      <x:c r="AK326" t="n">
        <x:v>68275</x:v>
      </x:c>
      <x:c r="AL326" t="n">
        <x:v>68275</x:v>
      </x:c>
      <x:c r="AM326" t="str">
        <x:v>Fully allotted in R1; R2 opportunity depends on upgrade/non-joining</x:v>
      </x:c>
    </x:row>
    <x:row r="327">
      <x:c r="A327" t="str">
        <x:v>Rajasthan</x:v>
      </x:c>
      <x:c r="B327" t="str">
        <x:v>All India except Central University</x:v>
      </x:c>
      <x:c r="C327" t="str">
        <x:v>200614</x:v>
      </x:c>
      <x:c r="D327" t="str">
        <x:v>Government Medical College, Sirohi, SIROHI SHIVGANJ HIGHWAY,NEAR AMBESHWAR ,VILLAGE- KOLAR, TEHSIL- SIVGANJ,DIST- SIROHI</x:v>
      </x:c>
      <x:c r="E327" t="str">
        <x:v>RJ/030/G/1</x:v>
      </x:c>
      <x:c r="F327" t="str">
        <x:v>Government</x:v>
      </x:c>
      <x:c r="G327" t="n">
        <x:v>100</x:v>
      </x:c>
      <x:c r="H327" t="n">
        <x:v>100</x:v>
      </x:c>
      <x:c r="I327" t="str">
        <x:v>High-confidence fuzzy</x:v>
      </x:c>
      <x:c r="J327" t="n">
        <x:v>15</x:v>
      </x:c>
      <x:c r="K327" t="n">
        <x:v>15</x:v>
      </x:c>
      <x:c r="L327" t="n">
        <x:f>J327-K327</x:f>
        <x:v>0</x:v>
      </x:c>
      <x:c r="M327" s="20" t="n">
        <x:f>IFERROR(K327/J327,0)</x:f>
        <x:v>1</x:v>
      </x:c>
      <x:c r="N327" t="n">
        <x:v>15</x:v>
      </x:c>
      <x:c r="O327" t="n">
        <x:v>15</x:v>
      </x:c>
      <x:c r="P327" t="n">
        <x:f>N327-O327</x:f>
        <x:v>0</x:v>
      </x:c>
      <x:c r="Q327" t="n">
        <x:v>0</x:v>
      </x:c>
      <x:c r="R327" t="n">
        <x:v>0</x:v>
      </x:c>
      <x:c r="S327" t="n">
        <x:f>Q327-R327</x:f>
        <x:v>0</x:v>
      </x:c>
      <x:c r="T327" t="n">
        <x:v>15</x:v>
      </x:c>
      <x:c r="U327" t="n">
        <x:v>15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f>IF(AND(ISNUMBER(G327),I327&lt;&gt;"Excluded INI"),MAX(0,G327-J327),"")</x:f>
        <x:v>85</x:v>
      </x:c>
      <x:c r="AC327" t="n">
        <x:v>9615</x:v>
      </x:c>
      <x:c r="AD327" t="n">
        <x:v>10354</x:v>
      </x:c>
      <x:c r="AE327" t="n">
        <x:v>11808</x:v>
      </x:c>
      <x:c r="AF327" t="n">
        <x:v>11956</x:v>
      </x:c>
      <x:c r="AG327" t="n">
        <x:v>10714</x:v>
      </x:c>
      <x:c r="AH327" t="n">
        <x:v>10714</x:v>
      </x:c>
      <x:c r="AI327" t="n">
        <x:v>57939</x:v>
      </x:c>
      <x:c r="AJ327" t="n">
        <x:v>61322</x:v>
      </x:c>
      <x:c r="AK327" t="n">
        <x:v>74869</x:v>
      </x:c>
      <x:c r="AL327" t="n">
        <x:v>77891</x:v>
      </x:c>
      <x:c r="AM327" t="str">
        <x:v>Fully allotted in R1; R2 opportunity depends on upgrade/non-joining</x:v>
      </x:c>
    </x:row>
    <x:row r="328">
      <x:c r="A328" t="str">
        <x:v>Rajasthan</x:v>
      </x:c>
      <x:c r="B328" t="str">
        <x:v>All India except Central University</x:v>
      </x:c>
      <x:c r="C328" t="str">
        <x:v>200611</x:v>
      </x:c>
      <x:c r="D328" t="str">
        <x:v>Government Medical College, Sri Ganganagar, Government Medical college sriganganagar rajasthan</x:v>
      </x:c>
      <x:c r="E328" t="str">
        <x:v>RJ/031/G/1</x:v>
      </x:c>
      <x:c r="F328" t="str">
        <x:v>Government</x:v>
      </x:c>
      <x:c r="G328" t="n">
        <x:v>100</x:v>
      </x:c>
      <x:c r="H328" t="n">
        <x:v>100</x:v>
      </x:c>
      <x:c r="I328" t="str">
        <x:v>High-confidence fuzzy</x:v>
      </x:c>
      <x:c r="J328" t="n">
        <x:v>15</x:v>
      </x:c>
      <x:c r="K328" t="n">
        <x:v>15</x:v>
      </x:c>
      <x:c r="L328" t="n">
        <x:f>J328-K328</x:f>
        <x:v>0</x:v>
      </x:c>
      <x:c r="M328" s="20" t="n">
        <x:f>IFERROR(K328/J328,0)</x:f>
        <x:v>1</x:v>
      </x:c>
      <x:c r="N328" t="n">
        <x:v>15</x:v>
      </x:c>
      <x:c r="O328" t="n">
        <x:v>15</x:v>
      </x:c>
      <x:c r="P328" t="n">
        <x:f>N328-O328</x:f>
        <x:v>0</x:v>
      </x:c>
      <x:c r="Q328" t="n">
        <x:v>0</x:v>
      </x:c>
      <x:c r="R328" t="n">
        <x:v>0</x:v>
      </x:c>
      <x:c r="S328" t="n">
        <x:f>Q328-R328</x:f>
        <x:v>0</x:v>
      </x:c>
      <x:c r="T328" t="n">
        <x:v>15</x:v>
      </x:c>
      <x:c r="U328" t="n">
        <x:v>15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f>IF(AND(ISNUMBER(G328),I328&lt;&gt;"Excluded INI"),MAX(0,G328-J328),"")</x:f>
        <x:v>85</x:v>
      </x:c>
      <x:c r="AC328" t="n">
        <x:v>8867</x:v>
      </x:c>
      <x:c r="AD328" t="n">
        <x:v>9121</x:v>
      </x:c>
      <x:c r="AE328" t="n">
        <x:v>9706</x:v>
      </x:c>
      <x:c r="AF328" t="n">
        <x:v>9816</x:v>
      </x:c>
      <x:c r="AG328" t="n">
        <x:v>12419</x:v>
      </x:c>
      <x:c r="AH328" t="n">
        <x:v>12458</x:v>
      </x:c>
      <x:c r="AI328" t="n">
        <x:v>59402</x:v>
      </x:c>
      <x:c r="AJ328" t="n">
        <x:v>62374</x:v>
      </x:c>
      <x:c r="AK328" t="n">
        <x:v>79273</x:v>
      </x:c>
      <x:c r="AL328" t="n">
        <x:v>79273</x:v>
      </x:c>
      <x:c r="AM328" t="str">
        <x:v>Fully allotted in R1; R2 opportunity depends on upgrade/non-joining</x:v>
      </x:c>
    </x:row>
    <x:row r="329">
      <x:c r="A329" t="str">
        <x:v>Rajasthan</x:v>
      </x:c>
      <x:c r="B329" t="str">
        <x:v>All India except Central University</x:v>
      </x:c>
      <x:c r="C329" t="str">
        <x:v>904355</x:v>
      </x:c>
      <x:c r="D329" t="str">
        <x:v>Government medical college, tonk, Government Medical College,Yusufpura at Charai, Rajasthan 304001</x:v>
      </x:c>
      <x:c r="E329" t="str">
        <x:v>RJ/032/G/1</x:v>
      </x:c>
      <x:c r="F329" t="str">
        <x:v>Government</x:v>
      </x:c>
      <x:c r="G329" t="n">
        <x:v>50</x:v>
      </x:c>
      <x:c r="H329" t="n">
        <x:v>100</x:v>
      </x:c>
      <x:c r="I329" t="str">
        <x:v>High-confidence fuzzy</x:v>
      </x:c>
      <x:c r="J329" t="n">
        <x:v>7</x:v>
      </x:c>
      <x:c r="K329" t="n">
        <x:v>7</x:v>
      </x:c>
      <x:c r="L329" t="n">
        <x:f>J329-K329</x:f>
        <x:v>0</x:v>
      </x:c>
      <x:c r="M329" s="20" t="n">
        <x:f>IFERROR(K329/J329,0)</x:f>
        <x:v>1</x:v>
      </x:c>
      <x:c r="N329" t="n">
        <x:v>7</x:v>
      </x:c>
      <x:c r="O329" t="n">
        <x:v>7</x:v>
      </x:c>
      <x:c r="P329" t="n">
        <x:f>N329-O329</x:f>
        <x:v>0</x:v>
      </x:c>
      <x:c r="Q329" t="n">
        <x:v>0</x:v>
      </x:c>
      <x:c r="R329" t="n">
        <x:v>0</x:v>
      </x:c>
      <x:c r="S329" t="n">
        <x:f>Q329-R329</x:f>
        <x:v>0</x:v>
      </x:c>
      <x:c r="T329" t="n">
        <x:v>7</x:v>
      </x:c>
      <x:c r="U329" t="n">
        <x:v>7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f>IF(AND(ISNUMBER(G329),I329&lt;&gt;"Excluded INI"),MAX(0,G329-J329),"")</x:f>
        <x:v>43</x:v>
      </x:c>
      <x:c r="AC329" t="n">
        <x:v>12192</x:v>
      </x:c>
      <x:c r="AD329" t="n">
        <x:v>12306</x:v>
      </x:c>
      <x:c r="AE329" t="n">
        <x:v>12450</x:v>
      </x:c>
      <x:c r="AF329" t="n">
        <x:v>12450</x:v>
      </x:c>
      <x:c r="AG329" t="n">
        <x:v>13945</x:v>
      </x:c>
      <x:c r="AH329" t="n">
        <x:v>13945</x:v>
      </x:c>
      <x:c r="AI329" t="n">
        <x:v>58395</x:v>
      </x:c>
      <x:c r="AJ329" t="n">
        <x:v>58395</x:v>
      </x:c>
      <x:c r="AK329"/>
      <x:c r="AL329"/>
      <x:c r="AM329" t="str">
        <x:v>Fully allotted in R1; R2 opportunity depends on upgrade/non-joining</x:v>
      </x:c>
    </x:row>
    <x:row r="330">
      <x:c r="A330" t="str">
        <x:v>Rajasthan</x:v>
      </x:c>
      <x:c r="B330" t="str">
        <x:v>All India except Central University</x:v>
      </x:c>
      <x:c r="C330" t="str">
        <x:v>200251</x:v>
      </x:c>
      <x:c r="D330" t="str">
        <x:v>Jawaharlal Nehru Medical College, Ajmer, NEAR PATEL STADIUM AJMER</x:v>
      </x:c>
      <x:c r="E330" t="str">
        <x:v>RJ/034/G/1</x:v>
      </x:c>
      <x:c r="F330" t="str">
        <x:v>Government</x:v>
      </x:c>
      <x:c r="G330" t="n">
        <x:v>250</x:v>
      </x:c>
      <x:c r="H330" t="n">
        <x:v>100</x:v>
      </x:c>
      <x:c r="I330" t="str">
        <x:v>High-confidence fuzzy</x:v>
      </x:c>
      <x:c r="J330" t="n">
        <x:v>38</x:v>
      </x:c>
      <x:c r="K330" t="n">
        <x:v>38</x:v>
      </x:c>
      <x:c r="L330" t="n">
        <x:f>J330-K330</x:f>
        <x:v>0</x:v>
      </x:c>
      <x:c r="M330" s="20" t="n">
        <x:f>IFERROR(K330/J330,0)</x:f>
        <x:v>1</x:v>
      </x:c>
      <x:c r="N330" t="n">
        <x:v>38</x:v>
      </x:c>
      <x:c r="O330" t="n">
        <x:v>38</x:v>
      </x:c>
      <x:c r="P330" t="n">
        <x:f>N330-O330</x:f>
        <x:v>0</x:v>
      </x:c>
      <x:c r="Q330" t="n">
        <x:v>0</x:v>
      </x:c>
      <x:c r="R330" t="n">
        <x:v>0</x:v>
      </x:c>
      <x:c r="S330" t="n">
        <x:f>Q330-R330</x:f>
        <x:v>0</x:v>
      </x:c>
      <x:c r="T330" t="n">
        <x:v>38</x:v>
      </x:c>
      <x:c r="U330" t="n">
        <x:v>38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f>IF(AND(ISNUMBER(G330),I330&lt;&gt;"Excluded INI"),MAX(0,G330-J330),"")</x:f>
        <x:v>212</x:v>
      </x:c>
      <x:c r="AC330" t="n">
        <x:v>4361</x:v>
      </x:c>
      <x:c r="AD330" t="n">
        <x:v>4540</x:v>
      </x:c>
      <x:c r="AE330" t="n">
        <x:v>4716</x:v>
      </x:c>
      <x:c r="AF330" t="n">
        <x:v>4861</x:v>
      </x:c>
      <x:c r="AG330" t="n">
        <x:v>5472</x:v>
      </x:c>
      <x:c r="AH330" t="n">
        <x:v>5553</x:v>
      </x:c>
      <x:c r="AI330" t="n">
        <x:v>28399</x:v>
      </x:c>
      <x:c r="AJ330" t="n">
        <x:v>29205</x:v>
      </x:c>
      <x:c r="AK330" t="n">
        <x:v>39471</x:v>
      </x:c>
      <x:c r="AL330" t="n">
        <x:v>40046</x:v>
      </x:c>
      <x:c r="AM330" t="str">
        <x:v>Fully allotted in R1; R2 opportunity depends on upgrade/non-joining</x:v>
      </x:c>
    </x:row>
    <x:row r="331">
      <x:c r="A331" t="str">
        <x:v>Rajasthan</x:v>
      </x:c>
      <x:c r="B331" t="str">
        <x:v>All India except Central University</x:v>
      </x:c>
      <x:c r="C331" t="str">
        <x:v>200252</x:v>
      </x:c>
      <x:c r="D331" t="str">
        <x:v>Jhalawar Medical College, Jhalawar, NH-52, KOTA ROAD,JHALAWAR,RAJASTHAN</x:v>
      </x:c>
      <x:c r="E331" t="str">
        <x:v>RJ/035/G/1</x:v>
      </x:c>
      <x:c r="F331" t="str">
        <x:v>Government</x:v>
      </x:c>
      <x:c r="G331" t="n">
        <x:v>200</x:v>
      </x:c>
      <x:c r="H331" t="n">
        <x:v>100</x:v>
      </x:c>
      <x:c r="I331" t="str">
        <x:v>High-confidence fuzzy</x:v>
      </x:c>
      <x:c r="J331" t="n">
        <x:v>30</x:v>
      </x:c>
      <x:c r="K331" t="n">
        <x:v>30</x:v>
      </x:c>
      <x:c r="L331" t="n">
        <x:f>J331-K331</x:f>
        <x:v>0</x:v>
      </x:c>
      <x:c r="M331" s="20" t="n">
        <x:f>IFERROR(K331/J331,0)</x:f>
        <x:v>1</x:v>
      </x:c>
      <x:c r="N331" t="n">
        <x:v>30</x:v>
      </x:c>
      <x:c r="O331" t="n">
        <x:v>30</x:v>
      </x:c>
      <x:c r="P331" t="n">
        <x:f>N331-O331</x:f>
        <x:v>0</x:v>
      </x:c>
      <x:c r="Q331" t="n">
        <x:v>0</x:v>
      </x:c>
      <x:c r="R331" t="n">
        <x:v>0</x:v>
      </x:c>
      <x:c r="S331" t="n">
        <x:f>Q331-R331</x:f>
        <x:v>0</x:v>
      </x:c>
      <x:c r="T331" t="n">
        <x:v>30</x:v>
      </x:c>
      <x:c r="U331" t="n">
        <x:v>30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f>IF(AND(ISNUMBER(G331),I331&lt;&gt;"Excluded INI"),MAX(0,G331-J331),"")</x:f>
        <x:v>170</x:v>
      </x:c>
      <x:c r="AC331" t="n">
        <x:v>6360</x:v>
      </x:c>
      <x:c r="AD331" t="n">
        <x:v>6653</x:v>
      </x:c>
      <x:c r="AE331" t="n">
        <x:v>7194</x:v>
      </x:c>
      <x:c r="AF331" t="n">
        <x:v>7299</x:v>
      </x:c>
      <x:c r="AG331" t="n">
        <x:v>7232</x:v>
      </x:c>
      <x:c r="AH331" t="n">
        <x:v>7439</x:v>
      </x:c>
      <x:c r="AI331" t="n">
        <x:v>40168</x:v>
      </x:c>
      <x:c r="AJ331" t="n">
        <x:v>41882</x:v>
      </x:c>
      <x:c r="AK331" t="n">
        <x:v>41348</x:v>
      </x:c>
      <x:c r="AL331" t="n">
        <x:v>41501</x:v>
      </x:c>
      <x:c r="AM331" t="str">
        <x:v>Fully allotted in R1; R2 opportunity depends on upgrade/non-joining</x:v>
      </x:c>
    </x:row>
    <x:row r="332">
      <x:c r="A332" t="str">
        <x:v>Rajasthan</x:v>
      </x:c>
      <x:c r="B332" t="str">
        <x:v>All India except Central University</x:v>
      </x:c>
      <x:c r="C332" t="str">
        <x:v>200253</x:v>
      </x:c>
      <x:c r="D332" t="str">
        <x:v>R N T Medical College, Udaipur, Opposite Court Chourha, Udaipur</x:v>
      </x:c>
      <x:c r="E332" t="str">
        <x:v>RJ/041/G/1</x:v>
      </x:c>
      <x:c r="F332" t="str">
        <x:v>Government</x:v>
      </x:c>
      <x:c r="G332" t="n">
        <x:v>250</x:v>
      </x:c>
      <x:c r="H332" t="n">
        <x:v>100</x:v>
      </x:c>
      <x:c r="I332" t="str">
        <x:v>High-confidence fuzzy</x:v>
      </x:c>
      <x:c r="J332" t="n">
        <x:v>37</x:v>
      </x:c>
      <x:c r="K332" t="n">
        <x:v>37</x:v>
      </x:c>
      <x:c r="L332" t="n">
        <x:f>J332-K332</x:f>
        <x:v>0</x:v>
      </x:c>
      <x:c r="M332" s="20" t="n">
        <x:f>IFERROR(K332/J332,0)</x:f>
        <x:v>1</x:v>
      </x:c>
      <x:c r="N332" t="n">
        <x:v>37</x:v>
      </x:c>
      <x:c r="O332" t="n">
        <x:v>37</x:v>
      </x:c>
      <x:c r="P332" t="n">
        <x:f>N332-O332</x:f>
        <x:v>0</x:v>
      </x:c>
      <x:c r="Q332" t="n">
        <x:v>0</x:v>
      </x:c>
      <x:c r="R332" t="n">
        <x:v>0</x:v>
      </x:c>
      <x:c r="S332" t="n">
        <x:f>Q332-R332</x:f>
        <x:v>0</x:v>
      </x:c>
      <x:c r="T332" t="n">
        <x:v>37</x:v>
      </x:c>
      <x:c r="U332" t="n">
        <x:v>37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f>IF(AND(ISNUMBER(G332),I332&lt;&gt;"Excluded INI"),MAX(0,G332-J332),"")</x:f>
        <x:v>213</x:v>
      </x:c>
      <x:c r="AC332" t="n">
        <x:v>3619</x:v>
      </x:c>
      <x:c r="AD332" t="n">
        <x:v>3971</x:v>
      </x:c>
      <x:c r="AE332" t="n">
        <x:v>4213</x:v>
      </x:c>
      <x:c r="AF332" t="n">
        <x:v>4406</x:v>
      </x:c>
      <x:c r="AG332" t="n">
        <x:v>5197</x:v>
      </x:c>
      <x:c r="AH332" t="n">
        <x:v>5327</x:v>
      </x:c>
      <x:c r="AI332" t="n">
        <x:v>26735</x:v>
      </x:c>
      <x:c r="AJ332" t="n">
        <x:v>27131</x:v>
      </x:c>
      <x:c r="AK332" t="n">
        <x:v>38665</x:v>
      </x:c>
      <x:c r="AL332" t="n">
        <x:v>38953</x:v>
      </x:c>
      <x:c r="AM332" t="str">
        <x:v>Fully allotted in R1; R2 opportunity depends on upgrade/non-joining</x:v>
      </x:c>
    </x:row>
    <x:row r="333">
      <x:c r="A333" t="str">
        <x:v>Rajasthan</x:v>
      </x:c>
      <x:c r="B333" t="str">
        <x:v>All India except Central University</x:v>
      </x:c>
      <x:c r="C333" t="str">
        <x:v>200255</x:v>
      </x:c>
      <x:c r="D333" t="str">
        <x:v>RUHS College of Medical Sciences, Jaipur, RUHS COLLEGE OF MEDICAL SCIENCES, SECTOR -11, PRATAP NAGAR, SANGANER, JAIPUR 302033</x:v>
      </x:c>
      <x:c r="E333" t="str">
        <x:v>RJ/042/G/1</x:v>
      </x:c>
      <x:c r="F333" t="str">
        <x:v>Government</x:v>
      </x:c>
      <x:c r="G333" t="n">
        <x:v>150</x:v>
      </x:c>
      <x:c r="H333" t="n">
        <x:v>100</x:v>
      </x:c>
      <x:c r="I333" t="str">
        <x:v>High-confidence fuzzy</x:v>
      </x:c>
      <x:c r="J333" t="n">
        <x:v>23</x:v>
      </x:c>
      <x:c r="K333" t="n">
        <x:v>23</x:v>
      </x:c>
      <x:c r="L333" t="n">
        <x:f>J333-K333</x:f>
        <x:v>0</x:v>
      </x:c>
      <x:c r="M333" s="20" t="n">
        <x:f>IFERROR(K333/J333,0)</x:f>
        <x:v>1</x:v>
      </x:c>
      <x:c r="N333" t="n">
        <x:v>23</x:v>
      </x:c>
      <x:c r="O333" t="n">
        <x:v>23</x:v>
      </x:c>
      <x:c r="P333" t="n">
        <x:f>N333-O333</x:f>
        <x:v>0</x:v>
      </x:c>
      <x:c r="Q333" t="n">
        <x:v>0</x:v>
      </x:c>
      <x:c r="R333" t="n">
        <x:v>0</x:v>
      </x:c>
      <x:c r="S333" t="n">
        <x:f>Q333-R333</x:f>
        <x:v>0</x:v>
      </x:c>
      <x:c r="T333" t="n">
        <x:v>23</x:v>
      </x:c>
      <x:c r="U333" t="n">
        <x:v>23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f>IF(AND(ISNUMBER(G333),I333&lt;&gt;"Excluded INI"),MAX(0,G333-J333),"")</x:f>
        <x:v>127</x:v>
      </x:c>
      <x:c r="AC333" t="n">
        <x:v>2894</x:v>
      </x:c>
      <x:c r="AD333" t="n">
        <x:v>3010</x:v>
      </x:c>
      <x:c r="AE333" t="n">
        <x:v>3176</x:v>
      </x:c>
      <x:c r="AF333" t="n">
        <x:v>3346</x:v>
      </x:c>
      <x:c r="AG333" t="n">
        <x:v>3930</x:v>
      </x:c>
      <x:c r="AH333" t="n">
        <x:v>4067</x:v>
      </x:c>
      <x:c r="AI333" t="n">
        <x:v>25550</x:v>
      </x:c>
      <x:c r="AJ333" t="n">
        <x:v>25567</x:v>
      </x:c>
      <x:c r="AK333" t="n">
        <x:v>34142</x:v>
      </x:c>
      <x:c r="AL333" t="n">
        <x:v>36017</x:v>
      </x:c>
      <x:c r="AM333" t="str">
        <x:v>Fully allotted in R1; R2 opportunity depends on upgrade/non-joining</x:v>
      </x:c>
    </x:row>
    <x:row r="334">
      <x:c r="A334" t="str">
        <x:v>Rajasthan</x:v>
      </x:c>
      <x:c r="B334" t="str">
        <x:v>All India except Central University</x:v>
      </x:c>
      <x:c r="C334" t="str">
        <x:v>200256</x:v>
      </x:c>
      <x:c r="D334" t="str">
        <x:v>SMS Medical College, Jaipur, JLN Marg, Jaipur</x:v>
      </x:c>
      <x:c r="E334" t="str">
        <x:v>RJ/045/G/1</x:v>
      </x:c>
      <x:c r="F334" t="str">
        <x:v>Government</x:v>
      </x:c>
      <x:c r="G334" t="n">
        <x:v>250</x:v>
      </x:c>
      <x:c r="H334" t="n">
        <x:v>100</x:v>
      </x:c>
      <x:c r="I334" t="str">
        <x:v>High-confidence fuzzy</x:v>
      </x:c>
      <x:c r="J334" t="n">
        <x:v>37</x:v>
      </x:c>
      <x:c r="K334" t="n">
        <x:v>37</x:v>
      </x:c>
      <x:c r="L334" t="n">
        <x:f>J334-K334</x:f>
        <x:v>0</x:v>
      </x:c>
      <x:c r="M334" s="20" t="n">
        <x:f>IFERROR(K334/J334,0)</x:f>
        <x:v>1</x:v>
      </x:c>
      <x:c r="N334" t="n">
        <x:v>37</x:v>
      </x:c>
      <x:c r="O334" t="n">
        <x:v>37</x:v>
      </x:c>
      <x:c r="P334" t="n">
        <x:f>N334-O334</x:f>
        <x:v>0</x:v>
      </x:c>
      <x:c r="Q334" t="n">
        <x:v>0</x:v>
      </x:c>
      <x:c r="R334" t="n">
        <x:v>0</x:v>
      </x:c>
      <x:c r="S334" t="n">
        <x:f>Q334-R334</x:f>
        <x:v>0</x:v>
      </x:c>
      <x:c r="T334" t="n">
        <x:v>37</x:v>
      </x:c>
      <x:c r="U334" t="n">
        <x:v>37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f>IF(AND(ISNUMBER(G334),I334&lt;&gt;"Excluded INI"),MAX(0,G334-J334),"")</x:f>
        <x:v>213</x:v>
      </x:c>
      <x:c r="AC334" t="n">
        <x:v>938</x:v>
      </x:c>
      <x:c r="AD334" t="n">
        <x:v>1144</x:v>
      </x:c>
      <x:c r="AE334" t="n">
        <x:v>1738</x:v>
      </x:c>
      <x:c r="AF334" t="n">
        <x:v>1920</x:v>
      </x:c>
      <x:c r="AG334" t="n">
        <x:v>2840</x:v>
      </x:c>
      <x:c r="AH334" t="n">
        <x:v>3089</x:v>
      </x:c>
      <x:c r="AI334" t="n">
        <x:v>14776</x:v>
      </x:c>
      <x:c r="AJ334" t="n">
        <x:v>15696</x:v>
      </x:c>
      <x:c r="AK334" t="n">
        <x:v>8775</x:v>
      </x:c>
      <x:c r="AL334" t="n">
        <x:v>9486</x:v>
      </x:c>
      <x:c r="AM334" t="str">
        <x:v>Fully allotted in R1; R2 opportunity depends on upgrade/non-joining</x:v>
      </x:c>
    </x:row>
    <x:row r="335">
      <x:c r="A335" t="str">
        <x:v>Rajasthan</x:v>
      </x:c>
      <x:c r="B335" t="str">
        <x:v>All India except Central University</x:v>
      </x:c>
      <x:c r="C335" t="str">
        <x:v>200257</x:v>
      </x:c>
      <x:c r="D335" t="str">
        <x:v>Sardar Patel Medical College, Bikaner, MEDICAL COLLEGE ROAD, BIKANER</x:v>
      </x:c>
      <x:c r="E335" t="str">
        <x:v>RJ/043/G/1</x:v>
      </x:c>
      <x:c r="F335" t="str">
        <x:v>Government</x:v>
      </x:c>
      <x:c r="G335" t="n">
        <x:v>250</x:v>
      </x:c>
      <x:c r="H335" t="n">
        <x:v>100</x:v>
      </x:c>
      <x:c r="I335" t="str">
        <x:v>High-confidence fuzzy</x:v>
      </x:c>
      <x:c r="J335" t="n">
        <x:v>38</x:v>
      </x:c>
      <x:c r="K335" t="n">
        <x:v>38</x:v>
      </x:c>
      <x:c r="L335" t="n">
        <x:f>J335-K335</x:f>
        <x:v>0</x:v>
      </x:c>
      <x:c r="M335" s="20" t="n">
        <x:f>IFERROR(K335/J335,0)</x:f>
        <x:v>1</x:v>
      </x:c>
      <x:c r="N335" t="n">
        <x:v>38</x:v>
      </x:c>
      <x:c r="O335" t="n">
        <x:v>38</x:v>
      </x:c>
      <x:c r="P335" t="n">
        <x:f>N335-O335</x:f>
        <x:v>0</x:v>
      </x:c>
      <x:c r="Q335" t="n">
        <x:v>0</x:v>
      </x:c>
      <x:c r="R335" t="n">
        <x:v>0</x:v>
      </x:c>
      <x:c r="S335" t="n">
        <x:f>Q335-R335</x:f>
        <x:v>0</x:v>
      </x:c>
      <x:c r="T335" t="n">
        <x:v>38</x:v>
      </x:c>
      <x:c r="U335" t="n">
        <x:v>38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f>IF(AND(ISNUMBER(G335),I335&lt;&gt;"Excluded INI"),MAX(0,G335-J335),"")</x:f>
        <x:v>212</x:v>
      </x:c>
      <x:c r="AC335" t="n">
        <x:v>2774</x:v>
      </x:c>
      <x:c r="AD335" t="n">
        <x:v>3161</x:v>
      </x:c>
      <x:c r="AE335" t="n">
        <x:v>3760</x:v>
      </x:c>
      <x:c r="AF335" t="n">
        <x:v>3939</x:v>
      </x:c>
      <x:c r="AG335" t="n">
        <x:v>3777</x:v>
      </x:c>
      <x:c r="AH335" t="n">
        <x:v>4168</x:v>
      </x:c>
      <x:c r="AI335" t="n">
        <x:v>22764</x:v>
      </x:c>
      <x:c r="AJ335" t="n">
        <x:v>25893</x:v>
      </x:c>
      <x:c r="AK335" t="n">
        <x:v>34177</x:v>
      </x:c>
      <x:c r="AL335" t="n">
        <x:v>37625</x:v>
      </x:c>
      <x:c r="AM335" t="str">
        <x:v>Fully allotted in R1; R2 opportunity depends on upgrade/non-joining</x:v>
      </x:c>
    </x:row>
    <x:row r="336">
      <x:c r="A336" t="str">
        <x:v>Rajasthan</x:v>
      </x:c>
      <x:c r="B336" t="str">
        <x:v>All India except Central University</x:v>
      </x:c>
      <x:c r="C336" t="str">
        <x:v>200533</x:v>
      </x:c>
      <x:c r="D336" t="str">
        <x:v>Shri Kalyan Govt. Medical College, Sikar, Rajasthan, Shri Kalyan Govt. Medical College, Bajaj Gram, Sanwali, NH 8 A, Sikar 332001</x:v>
      </x:c>
      <x:c r="E336" t="str">
        <x:v>RJ/044/G/1</x:v>
      </x:c>
      <x:c r="F336" t="str">
        <x:v>Government</x:v>
      </x:c>
      <x:c r="G336" t="n">
        <x:v>100</x:v>
      </x:c>
      <x:c r="H336" t="n">
        <x:v>100</x:v>
      </x:c>
      <x:c r="I336" t="str">
        <x:v>High-confidence fuzzy</x:v>
      </x:c>
      <x:c r="J336" t="n">
        <x:v>15</x:v>
      </x:c>
      <x:c r="K336" t="n">
        <x:v>15</x:v>
      </x:c>
      <x:c r="L336" t="n">
        <x:f>J336-K336</x:f>
        <x:v>0</x:v>
      </x:c>
      <x:c r="M336" s="20" t="n">
        <x:f>IFERROR(K336/J336,0)</x:f>
        <x:v>1</x:v>
      </x:c>
      <x:c r="N336" t="n">
        <x:v>15</x:v>
      </x:c>
      <x:c r="O336" t="n">
        <x:v>15</x:v>
      </x:c>
      <x:c r="P336" t="n">
        <x:f>N336-O336</x:f>
        <x:v>0</x:v>
      </x:c>
      <x:c r="Q336" t="n">
        <x:v>0</x:v>
      </x:c>
      <x:c r="R336" t="n">
        <x:v>0</x:v>
      </x:c>
      <x:c r="S336" t="n">
        <x:f>Q336-R336</x:f>
        <x:v>0</x:v>
      </x:c>
      <x:c r="T336" t="n">
        <x:v>15</x:v>
      </x:c>
      <x:c r="U336" t="n">
        <x:v>15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f>IF(AND(ISNUMBER(G336),I336&lt;&gt;"Excluded INI"),MAX(0,G336-J336),"")</x:f>
        <x:v>85</x:v>
      </x:c>
      <x:c r="AC336" t="n">
        <x:v>5651</x:v>
      </x:c>
      <x:c r="AD336" t="n">
        <x:v>5874</x:v>
      </x:c>
      <x:c r="AE336" t="n">
        <x:v>6093</x:v>
      </x:c>
      <x:c r="AF336" t="n">
        <x:v>6356</x:v>
      </x:c>
      <x:c r="AG336" t="n">
        <x:v>6931</x:v>
      </x:c>
      <x:c r="AH336" t="n">
        <x:v>6931</x:v>
      </x:c>
      <x:c r="AI336" t="n">
        <x:v>36624</x:v>
      </x:c>
      <x:c r="AJ336" t="n">
        <x:v>38126</x:v>
      </x:c>
      <x:c r="AK336" t="n">
        <x:v>49740</x:v>
      </x:c>
      <x:c r="AL336" t="n">
        <x:v>49740</x:v>
      </x:c>
      <x:c r="AM336" t="str">
        <x:v>Fully allotted in R1; R2 opportunity depends on upgrade/non-joining</x:v>
      </x:c>
    </x:row>
    <x:row r="337">
      <x:c r="A337" t="str">
        <x:v>Sikkim</x:v>
      </x:c>
      <x:c r="B337" t="str">
        <x:v>All India except Central University</x:v>
      </x:c>
      <x:c r="C337" t="str">
        <x:v>904744</x:v>
      </x:c>
      <x:c r="D337" t="str">
        <x:v>Sikkim Government Medical College, Sochakgang, Sichey, Gangtok</x:v>
      </x:c>
      <x:c r="E337" t="str">
        <x:v>New Establishment</x:v>
      </x:c>
      <x:c r="F337" t="str">
        <x:v>Government</x:v>
      </x:c>
      <x:c r="G337" t="n">
        <x:v>100</x:v>
      </x:c>
      <x:c r="H337" t="n">
        <x:v>100</x:v>
      </x:c>
      <x:c r="I337" t="str">
        <x:v>High-confidence fuzzy</x:v>
      </x:c>
      <x:c r="J337" t="n">
        <x:v>15</x:v>
      </x:c>
      <x:c r="K337" t="n">
        <x:v>15</x:v>
      </x:c>
      <x:c r="L337" t="n">
        <x:f>J337-K337</x:f>
        <x:v>0</x:v>
      </x:c>
      <x:c r="M337" s="20" t="n">
        <x:f>IFERROR(K337/J337,0)</x:f>
        <x:v>1</x:v>
      </x:c>
      <x:c r="N337" t="n">
        <x:v>15</x:v>
      </x:c>
      <x:c r="O337" t="n">
        <x:v>15</x:v>
      </x:c>
      <x:c r="P337" t="n">
        <x:f>N337-O337</x:f>
        <x:v>0</x:v>
      </x:c>
      <x:c r="Q337" t="n">
        <x:v>0</x:v>
      </x:c>
      <x:c r="R337" t="n">
        <x:v>0</x:v>
      </x:c>
      <x:c r="S337" t="n">
        <x:f>Q337-R337</x:f>
        <x:v>0</x:v>
      </x:c>
      <x:c r="T337" t="n">
        <x:v>15</x:v>
      </x:c>
      <x:c r="U337" t="n">
        <x:v>15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f>IF(AND(ISNUMBER(G337),I337&lt;&gt;"Excluded INI"),MAX(0,G337-J337),"")</x:f>
        <x:v>85</x:v>
      </x:c>
      <x:c r="AC337" t="n">
        <x:v>19127</x:v>
      </x:c>
      <x:c r="AD337" t="n">
        <x:v>20821</x:v>
      </x:c>
      <x:c r="AE337" t="n">
        <x:v>22142</x:v>
      </x:c>
      <x:c r="AF337" t="n">
        <x:v>22338</x:v>
      </x:c>
      <x:c r="AG337" t="n">
        <x:v>21393</x:v>
      </x:c>
      <x:c r="AH337" t="n">
        <x:v>21393</x:v>
      </x:c>
      <x:c r="AI337" t="n">
        <x:v>82876</x:v>
      </x:c>
      <x:c r="AJ337" t="n">
        <x:v>86637</x:v>
      </x:c>
      <x:c r="AK337" t="n">
        <x:v>72645</x:v>
      </x:c>
      <x:c r="AL337" t="n">
        <x:v>72645</x:v>
      </x:c>
      <x:c r="AM337" t="str">
        <x:v>Fully allotted in R1; R2 opportunity depends on upgrade/non-joining</x:v>
      </x:c>
    </x:row>
    <x:row r="338">
      <x:c r="A338" t="str">
        <x:v>Tamil Nadu</x:v>
      </x:c>
      <x:c r="B338" t="str">
        <x:v>Deemed University</x:v>
      </x:c>
      <x:c r="C338" t="str">
        <x:v>200383</x:v>
      </x:c>
      <x:c r="D338" t="str">
        <x:v>ACS Medical College and Hospital, Chennai, Periyar EVR High Raod, Velappanchavadi, Chennai-77</x:v>
      </x:c>
      <x:c r="E338" t="str">
        <x:v>TN/001/P/3</x:v>
      </x:c>
      <x:c r="F338" t="str">
        <x:v>Private</x:v>
      </x:c>
      <x:c r="G338" t="n">
        <x:v>250</x:v>
      </x:c>
      <x:c r="H338" t="n">
        <x:v>100</x:v>
      </x:c>
      <x:c r="I338" t="str">
        <x:v>High-confidence fuzzy</x:v>
      </x:c>
      <x:c r="J338" t="n">
        <x:v>250</x:v>
      </x:c>
      <x:c r="K338" t="n">
        <x:v>212</x:v>
      </x:c>
      <x:c r="L338" t="n">
        <x:f>J338-K338</x:f>
        <x:v>38</x:v>
      </x:c>
      <x:c r="M338" s="20" t="n">
        <x:f>IFERROR(K338/J338,0)</x:f>
        <x:v>0.848</x:v>
      </x:c>
      <x:c r="N338" t="n">
        <x:v>0</x:v>
      </x:c>
      <x:c r="O338" t="n">
        <x:v>0</x:v>
      </x:c>
      <x:c r="P338" t="n">
        <x:f>N338-O338</x:f>
        <x:v>0</x:v>
      </x:c>
      <x:c r="Q338" t="n">
        <x:v>250</x:v>
      </x:c>
      <x:c r="R338" t="n">
        <x:v>212</x:v>
      </x:c>
      <x:c r="S338" t="n">
        <x:f>Q338-R338</x:f>
        <x:v>38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212</x:v>
      </x:c>
      <x:c r="Y338" t="n">
        <x:v>212</x:v>
      </x:c>
      <x:c r="Z338" t="n">
        <x:v>38</x:v>
      </x:c>
      <x:c r="AA338" t="n">
        <x:v>0</x:v>
      </x:c>
      <x:c r="AB338" t="n">
        <x:f>IF(AND(ISNUMBER(G338),I338&lt;&gt;"Excluded INI"),MAX(0,G338-J338),"")</x:f>
        <x:v>0</x:v>
      </x:c>
      <x:c r="AC338" t="n">
        <x:v>781850</x:v>
      </x:c>
      <x:c r="AD338" t="n">
        <x:v>927573</x:v>
      </x:c>
      <x:c r="AE338"/>
      <x:c r="AF338"/>
      <x:c r="AG338"/>
      <x:c r="AH338"/>
      <x:c r="AI338"/>
      <x:c r="AJ338"/>
      <x:c r="AK338"/>
      <x:c r="AL338"/>
      <x:c r="AM338" t="str">
        <x:v>Unfilled mainly private/NRI/minority; regular R2 depends on movement</x:v>
      </x:c>
    </x:row>
    <x:row r="339">
      <x:c r="A339" t="str">
        <x:v>Tamil Nadu</x:v>
      </x:c>
      <x:c r="B339" t="str">
        <x:v>All India Institute Of Medical Science(AIIMS)</x:v>
      </x:c>
      <x:c r="C339" t="str">
        <x:v>200580</x:v>
      </x:c>
      <x:c r="D339" t="str">
        <x:v>AIIMS, Madurai, AIIMS MADURAI</x:v>
      </x:c>
      <x:c r="E339" t="str"/>
      <x:c r="F339" t="str"/>
      <x:c r="G339"/>
      <x:c r="H339" t="n">
        <x:v>100</x:v>
      </x:c>
      <x:c r="I339" t="str">
        <x:v>Excluded INI</x:v>
      </x:c>
      <x:c r="J339" t="n">
        <x:v>50</x:v>
      </x:c>
      <x:c r="K339" t="n">
        <x:v>50</x:v>
      </x:c>
      <x:c r="L339" t="n">
        <x:f>J339-K339</x:f>
        <x:v>0</x:v>
      </x:c>
      <x:c r="M339" s="20" t="n">
        <x:f>IFERROR(K339/J339,0)</x:f>
        <x:v>1</x:v>
      </x:c>
      <x:c r="N339" t="n">
        <x:v>50</x:v>
      </x:c>
      <x:c r="O339" t="n">
        <x:v>50</x:v>
      </x:c>
      <x:c r="P339" t="n">
        <x:f>N339-O339</x:f>
        <x:v>0</x:v>
      </x:c>
      <x:c r="Q339" t="n">
        <x:v>0</x:v>
      </x:c>
      <x:c r="R339" t="n">
        <x:v>0</x:v>
      </x:c>
      <x:c r="S339" t="n">
        <x:f>Q339-R339</x:f>
        <x:v>0</x:v>
      </x:c>
      <x:c r="T339" t="n">
        <x:v>0</x:v>
      </x:c>
      <x:c r="U339" t="n">
        <x:v>0</x:v>
      </x:c>
      <x:c r="V339" t="n">
        <x:v>50</x:v>
      </x:c>
      <x:c r="W339" t="n">
        <x:v>50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str">
        <x:f>IF(AND(ISNUMBER(G339),I339&lt;&gt;"Excluded INI"),MAX(0,G339-J339),"")</x:f>
      </x:c>
      <x:c r="AC339" t="n">
        <x:v>2773</x:v>
      </x:c>
      <x:c r="AD339" t="n">
        <x:v>3421</x:v>
      </x:c>
      <x:c r="AE339" t="n">
        <x:v>4123</x:v>
      </x:c>
      <x:c r="AF339" t="n">
        <x:v>4281</x:v>
      </x:c>
      <x:c r="AG339" t="n">
        <x:v>5096</x:v>
      </x:c>
      <x:c r="AH339" t="n">
        <x:v>5416</x:v>
      </x:c>
      <x:c r="AI339" t="n">
        <x:v>25237</x:v>
      </x:c>
      <x:c r="AJ339" t="n">
        <x:v>27253</x:v>
      </x:c>
      <x:c r="AK339" t="n">
        <x:v>43983</x:v>
      </x:c>
      <x:c r="AL339" t="n">
        <x:v>44940</x:v>
      </x:c>
      <x:c r="AM339" t="str">
        <x:v>Fully allotted in R1; R2 opportunity depends on upgrade/non-joining</x:v>
      </x:c>
    </x:row>
    <x:row r="340">
      <x:c r="A340" t="str">
        <x:v>Tamil Nadu</x:v>
      </x:c>
      <x:c r="B340" t="str">
        <x:v>Deemed University</x:v>
      </x:c>
      <x:c r="C340" t="str">
        <x:v>200532</x:v>
      </x:c>
      <x:c r="D340" t="str">
        <x:v>Bhaarat Medical College &amp; Hospital, 173, AGARAM MAIN ROAD , SELAIYUR, TAMBARAM CHENNAI - 600073</x:v>
      </x:c>
      <x:c r="E340" t="str">
        <x:v>TN/005/P/3</x:v>
      </x:c>
      <x:c r="F340" t="str">
        <x:v>Private</x:v>
      </x:c>
      <x:c r="G340" t="n">
        <x:v>250</x:v>
      </x:c>
      <x:c r="H340" t="n">
        <x:v>100</x:v>
      </x:c>
      <x:c r="I340" t="str">
        <x:v>High-confidence fuzzy</x:v>
      </x:c>
      <x:c r="J340" t="n">
        <x:v>250</x:v>
      </x:c>
      <x:c r="K340" t="n">
        <x:v>245</x:v>
      </x:c>
      <x:c r="L340" t="n">
        <x:f>J340-K340</x:f>
        <x:v>5</x:v>
      </x:c>
      <x:c r="M340" s="20" t="n">
        <x:f>IFERROR(K340/J340,0)</x:f>
        <x:v>0.98</x:v>
      </x:c>
      <x:c r="N340" t="n">
        <x:v>0</x:v>
      </x:c>
      <x:c r="O340" t="n">
        <x:v>0</x:v>
      </x:c>
      <x:c r="P340" t="n">
        <x:f>N340-O340</x:f>
        <x:v>0</x:v>
      </x:c>
      <x:c r="Q340" t="n">
        <x:v>250</x:v>
      </x:c>
      <x:c r="R340" t="n">
        <x:v>245</x:v>
      </x:c>
      <x:c r="S340" t="n">
        <x:f>Q340-R340</x:f>
        <x:v>5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245</x:v>
      </x:c>
      <x:c r="Y340" t="n">
        <x:v>245</x:v>
      </x:c>
      <x:c r="Z340" t="n">
        <x:v>5</x:v>
      </x:c>
      <x:c r="AA340" t="n">
        <x:v>0</x:v>
      </x:c>
      <x:c r="AB340" t="n">
        <x:f>IF(AND(ISNUMBER(G340),I340&lt;&gt;"Excluded INI"),MAX(0,G340-J340),"")</x:f>
        <x:v>0</x:v>
      </x:c>
      <x:c r="AC340" t="n">
        <x:v>998956</x:v>
      </x:c>
      <x:c r="AD340" t="n">
        <x:v>1163131</x:v>
      </x:c>
      <x:c r="AE340"/>
      <x:c r="AF340"/>
      <x:c r="AG340"/>
      <x:c r="AH340"/>
      <x:c r="AI340"/>
      <x:c r="AJ340"/>
      <x:c r="AK340"/>
      <x:c r="AL340"/>
      <x:c r="AM340" t="str">
        <x:v>Unfilled mainly private/NRI/minority; regular R2 depends on movement</x:v>
      </x:c>
    </x:row>
    <x:row r="341">
      <x:c r="A341" t="str">
        <x:v>Tamil Nadu</x:v>
      </x:c>
      <x:c r="B341" t="str">
        <x:v>All India except Central University</x:v>
      </x:c>
      <x:c r="C341" t="str">
        <x:v>200258</x:v>
      </x:c>
      <x:c r="D341" t="str">
        <x:v>Chengalpattu Medical College, Chengalpattu, GST ROAD, CHENGALPATTU-603 001 CHENGALPATTU DISTRICT</x:v>
      </x:c>
      <x:c r="E341" t="str">
        <x:v>TN/006/G/1</x:v>
      </x:c>
      <x:c r="F341" t="str">
        <x:v>Government</x:v>
      </x:c>
      <x:c r="G341" t="n">
        <x:v>100</x:v>
      </x:c>
      <x:c r="H341" t="n">
        <x:v>100</x:v>
      </x:c>
      <x:c r="I341" t="str">
        <x:v>High-confidence fuzzy</x:v>
      </x:c>
      <x:c r="J341" t="n">
        <x:v>15</x:v>
      </x:c>
      <x:c r="K341" t="n">
        <x:v>15</x:v>
      </x:c>
      <x:c r="L341" t="n">
        <x:f>J341-K341</x:f>
        <x:v>0</x:v>
      </x:c>
      <x:c r="M341" s="20" t="n">
        <x:f>IFERROR(K341/J341,0)</x:f>
        <x:v>1</x:v>
      </x:c>
      <x:c r="N341" t="n">
        <x:v>15</x:v>
      </x:c>
      <x:c r="O341" t="n">
        <x:v>15</x:v>
      </x:c>
      <x:c r="P341" t="n">
        <x:f>N341-O341</x:f>
        <x:v>0</x:v>
      </x:c>
      <x:c r="Q341" t="n">
        <x:v>0</x:v>
      </x:c>
      <x:c r="R341" t="n">
        <x:v>0</x:v>
      </x:c>
      <x:c r="S341" t="n">
        <x:f>Q341-R341</x:f>
        <x:v>0</x:v>
      </x:c>
      <x:c r="T341" t="n">
        <x:v>15</x:v>
      </x:c>
      <x:c r="U341" t="n">
        <x:v>15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f>IF(AND(ISNUMBER(G341),I341&lt;&gt;"Excluded INI"),MAX(0,G341-J341),"")</x:f>
        <x:v>85</x:v>
      </x:c>
      <x:c r="AC341" t="n">
        <x:v>3281</x:v>
      </x:c>
      <x:c r="AD341" t="n">
        <x:v>3585</x:v>
      </x:c>
      <x:c r="AE341" t="n">
        <x:v>4072</x:v>
      </x:c>
      <x:c r="AF341" t="n">
        <x:v>4126</x:v>
      </x:c>
      <x:c r="AG341" t="n">
        <x:v>20136</x:v>
      </x:c>
      <x:c r="AH341" t="n">
        <x:v>20153</x:v>
      </x:c>
      <x:c r="AI341" t="n">
        <x:v>22887</x:v>
      </x:c>
      <x:c r="AJ341" t="n">
        <x:v>25486</x:v>
      </x:c>
      <x:c r="AK341" t="n">
        <x:v>87239</x:v>
      </x:c>
      <x:c r="AL341" t="n">
        <x:v>87239</x:v>
      </x:c>
      <x:c r="AM341" t="str">
        <x:v>Fully allotted in R1; R2 opportunity depends on upgrade/non-joining</x:v>
      </x:c>
    </x:row>
    <x:row r="342">
      <x:c r="A342" t="str">
        <x:v>Tamil Nadu</x:v>
      </x:c>
      <x:c r="B342" t="str">
        <x:v>Deemed University</x:v>
      </x:c>
      <x:c r="C342" t="str">
        <x:v>200384</x:v>
      </x:c>
      <x:c r="D342" t="str">
        <x:v>Chettinad Hospital &amp; Research Institute, Kanchipuram, Rajiv Gandhi Salai, Kelambakkam, Chengalpattu District</x:v>
      </x:c>
      <x:c r="E342" t="str">
        <x:v>TN/007/P/3</x:v>
      </x:c>
      <x:c r="F342" t="str">
        <x:v>Private</x:v>
      </x:c>
      <x:c r="G342" t="n">
        <x:v>250</x:v>
      </x:c>
      <x:c r="H342" t="n">
        <x:v>100</x:v>
      </x:c>
      <x:c r="I342" t="str">
        <x:v>High-confidence fuzzy</x:v>
      </x:c>
      <x:c r="J342" t="n">
        <x:v>250</x:v>
      </x:c>
      <x:c r="K342" t="n">
        <x:v>250</x:v>
      </x:c>
      <x:c r="L342" t="n">
        <x:f>J342-K342</x:f>
        <x:v>0</x:v>
      </x:c>
      <x:c r="M342" s="20" t="n">
        <x:f>IFERROR(K342/J342,0)</x:f>
        <x:v>1</x:v>
      </x:c>
      <x:c r="N342" t="n">
        <x:v>0</x:v>
      </x:c>
      <x:c r="O342" t="n">
        <x:v>0</x:v>
      </x:c>
      <x:c r="P342" t="n">
        <x:f>N342-O342</x:f>
        <x:v>0</x:v>
      </x:c>
      <x:c r="Q342" t="n">
        <x:v>250</x:v>
      </x:c>
      <x:c r="R342" t="n">
        <x:v>250</x:v>
      </x:c>
      <x:c r="S342" t="n">
        <x:f>Q342-R342</x:f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250</x:v>
      </x:c>
      <x:c r="Y342" t="n">
        <x:v>250</x:v>
      </x:c>
      <x:c r="Z342" t="n">
        <x:v>0</x:v>
      </x:c>
      <x:c r="AA342" t="n">
        <x:v>0</x:v>
      </x:c>
      <x:c r="AB342" t="n">
        <x:f>IF(AND(ISNUMBER(G342),I342&lt;&gt;"Excluded INI"),MAX(0,G342-J342),"")</x:f>
        <x:v>0</x:v>
      </x:c>
      <x:c r="AC342" t="n">
        <x:v>604104</x:v>
      </x:c>
      <x:c r="AD342" t="n">
        <x:v>738420</x:v>
      </x:c>
      <x:c r="AE342"/>
      <x:c r="AF342"/>
      <x:c r="AG342"/>
      <x:c r="AH342"/>
      <x:c r="AI342"/>
      <x:c r="AJ342"/>
      <x:c r="AK342"/>
      <x:c r="AL342"/>
      <x:c r="AM342" t="str">
        <x:v>Fully allotted in R1; R2 opportunity depends on upgrade/non-joining</x:v>
      </x:c>
    </x:row>
    <x:row r="343">
      <x:c r="A343" t="str">
        <x:v>Tamil Nadu</x:v>
      </x:c>
      <x:c r="B343" t="str">
        <x:v>All India except Central University</x:v>
      </x:c>
      <x:c r="C343" t="str">
        <x:v>200259</x:v>
      </x:c>
      <x:c r="D343" t="str">
        <x:v>Coimbatore Medical College, Coimbatore, CIVIL AERODROME POST, AVINASHI ROAD, PEELAMEDU, COIMBATORE</x:v>
      </x:c>
      <x:c r="E343" t="str">
        <x:v>TN/009/G/1</x:v>
      </x:c>
      <x:c r="F343" t="str">
        <x:v>Government</x:v>
      </x:c>
      <x:c r="G343" t="n">
        <x:v>200</x:v>
      </x:c>
      <x:c r="H343" t="n">
        <x:v>100</x:v>
      </x:c>
      <x:c r="I343" t="str">
        <x:v>High-confidence fuzzy</x:v>
      </x:c>
      <x:c r="J343" t="n">
        <x:v>30</x:v>
      </x:c>
      <x:c r="K343" t="n">
        <x:v>30</x:v>
      </x:c>
      <x:c r="L343" t="n">
        <x:f>J343-K343</x:f>
        <x:v>0</x:v>
      </x:c>
      <x:c r="M343" s="20" t="n">
        <x:f>IFERROR(K343/J343,0)</x:f>
        <x:v>1</x:v>
      </x:c>
      <x:c r="N343" t="n">
        <x:v>30</x:v>
      </x:c>
      <x:c r="O343" t="n">
        <x:v>30</x:v>
      </x:c>
      <x:c r="P343" t="n">
        <x:f>N343-O343</x:f>
        <x:v>0</x:v>
      </x:c>
      <x:c r="Q343" t="n">
        <x:v>0</x:v>
      </x:c>
      <x:c r="R343" t="n">
        <x:v>0</x:v>
      </x:c>
      <x:c r="S343" t="n">
        <x:f>Q343-R343</x:f>
        <x:v>0</x:v>
      </x:c>
      <x:c r="T343" t="n">
        <x:v>30</x:v>
      </x:c>
      <x:c r="U343" t="n">
        <x:v>30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f>IF(AND(ISNUMBER(G343),I343&lt;&gt;"Excluded INI"),MAX(0,G343-J343),"")</x:f>
        <x:v>170</x:v>
      </x:c>
      <x:c r="AC343" t="n">
        <x:v>2439</x:v>
      </x:c>
      <x:c r="AD343" t="n">
        <x:v>3145</x:v>
      </x:c>
      <x:c r="AE343" t="n">
        <x:v>3663</x:v>
      </x:c>
      <x:c r="AF343" t="n">
        <x:v>3934</x:v>
      </x:c>
      <x:c r="AG343" t="n">
        <x:v>11384</x:v>
      </x:c>
      <x:c r="AH343" t="n">
        <x:v>15937</x:v>
      </x:c>
      <x:c r="AI343" t="n">
        <x:v>19799</x:v>
      </x:c>
      <x:c r="AJ343" t="n">
        <x:v>21253</x:v>
      </x:c>
      <x:c r="AK343" t="n">
        <x:v>78701</x:v>
      </x:c>
      <x:c r="AL343" t="n">
        <x:v>82831</x:v>
      </x:c>
      <x:c r="AM343" t="str">
        <x:v>Fully allotted in R1; R2 opportunity depends on upgrade/non-joining</x:v>
      </x:c>
    </x:row>
    <x:row r="344">
      <x:c r="A344" t="str">
        <x:v>Tamil Nadu</x:v>
      </x:c>
      <x:c r="B344" t="str">
        <x:v>Deemed University</x:v>
      </x:c>
      <x:c r="C344" t="str">
        <x:v>904745</x:v>
      </x:c>
      <x:c r="D344" t="str">
        <x:v>Dhanalakshmi Srinivasan Institute of Medical Sciences and Hospital - Thuraiyur Road, Perambalur, 274C, THURAIYUR ROAD, PERAMBALUR ,PERAMBALUR DISTRICT</x:v>
      </x:c>
      <x:c r="E344" t="str">
        <x:v>TN/010/P/3</x:v>
      </x:c>
      <x:c r="F344" t="str">
        <x:v>Private</x:v>
      </x:c>
      <x:c r="G344" t="n">
        <x:v>200</x:v>
      </x:c>
      <x:c r="H344" t="n">
        <x:v>100</x:v>
      </x:c>
      <x:c r="I344" t="str">
        <x:v>High-confidence fuzzy</x:v>
      </x:c>
      <x:c r="J344" t="n">
        <x:v>200</x:v>
      </x:c>
      <x:c r="K344" t="n">
        <x:v>175</x:v>
      </x:c>
      <x:c r="L344" t="n">
        <x:f>J344-K344</x:f>
        <x:v>25</x:v>
      </x:c>
      <x:c r="M344" s="20" t="n">
        <x:f>IFERROR(K344/J344,0)</x:f>
        <x:v>0.875</x:v>
      </x:c>
      <x:c r="N344" t="n">
        <x:v>0</x:v>
      </x:c>
      <x:c r="O344" t="n">
        <x:v>0</x:v>
      </x:c>
      <x:c r="P344" t="n">
        <x:f>N344-O344</x:f>
        <x:v>0</x:v>
      </x:c>
      <x:c r="Q344" t="n">
        <x:v>200</x:v>
      </x:c>
      <x:c r="R344" t="n">
        <x:v>175</x:v>
      </x:c>
      <x:c r="S344" t="n">
        <x:f>Q344-R344</x:f>
        <x:v>25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175</x:v>
      </x:c>
      <x:c r="Y344" t="n">
        <x:v>175</x:v>
      </x:c>
      <x:c r="Z344" t="n">
        <x:v>25</x:v>
      </x:c>
      <x:c r="AA344" t="n">
        <x:v>0</x:v>
      </x:c>
      <x:c r="AB344" t="n">
        <x:f>IF(AND(ISNUMBER(G344),I344&lt;&gt;"Excluded INI"),MAX(0,G344-J344),"")</x:f>
        <x:v>0</x:v>
      </x:c>
      <x:c r="AC344" t="n">
        <x:v>873084</x:v>
      </x:c>
      <x:c r="AD344" t="n">
        <x:v>1009363</x:v>
      </x:c>
      <x:c r="AE344"/>
      <x:c r="AF344"/>
      <x:c r="AG344"/>
      <x:c r="AH344"/>
      <x:c r="AI344"/>
      <x:c r="AJ344"/>
      <x:c r="AK344"/>
      <x:c r="AL344"/>
      <x:c r="AM344" t="str">
        <x:v>Unfilled mainly private/NRI/minority; regular R2 depends on movement</x:v>
      </x:c>
    </x:row>
    <x:row r="345">
      <x:c r="A345" t="str">
        <x:v>Tamil Nadu</x:v>
      </x:c>
      <x:c r="B345" t="str">
        <x:v>Employees State Insurance Scheme</x:v>
      </x:c>
      <x:c r="C345" t="str">
        <x:v>200415</x:v>
      </x:c>
      <x:c r="D345" t="str">
        <x:v>ESIC Medical College &amp; PGIMSR, K.K Nagar, Chennai, ASHOK PILLAR ROAD, KK NAGAR, CHENNAI</x:v>
      </x:c>
      <x:c r="E345" t="str">
        <x:v>TN/012/G/1</x:v>
      </x:c>
      <x:c r="F345" t="str">
        <x:v>Government</x:v>
      </x:c>
      <x:c r="G345" t="n">
        <x:v>149</x:v>
      </x:c>
      <x:c r="H345" t="n">
        <x:v>100</x:v>
      </x:c>
      <x:c r="I345" t="str">
        <x:v>High-confidence fuzzy</x:v>
      </x:c>
      <x:c r="J345" t="n">
        <x:v>52</x:v>
      </x:c>
      <x:c r="K345" t="n">
        <x:v>51</x:v>
      </x:c>
      <x:c r="L345" t="n">
        <x:f>J345-K345</x:f>
        <x:v>1</x:v>
      </x:c>
      <x:c r="M345" s="20" t="n">
        <x:f>IFERROR(K345/J345,0)</x:f>
        <x:v>0.9807692307692307</x:v>
      </x:c>
      <x:c r="N345" t="n">
        <x:v>52</x:v>
      </x:c>
      <x:c r="O345" t="n">
        <x:v>51</x:v>
      </x:c>
      <x:c r="P345" t="n">
        <x:f>N345-O345</x:f>
        <x:v>1</x:v>
      </x:c>
      <x:c r="Q345" t="n">
        <x:v>0</x:v>
      </x:c>
      <x:c r="R345" t="n">
        <x:v>0</x:v>
      </x:c>
      <x:c r="S345" t="n">
        <x:f>Q345-R345</x:f>
        <x:v>0</x:v>
      </x:c>
      <x:c r="T345" t="n">
        <x:v>22</x:v>
      </x:c>
      <x:c r="U345" t="n">
        <x:v>22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f>IF(AND(ISNUMBER(G345),I345&lt;&gt;"Excluded INI"),MAX(0,G345-J345),"")</x:f>
        <x:v>97</x:v>
      </x:c>
      <x:c r="AC345" t="n">
        <x:v>13111</x:v>
      </x:c>
      <x:c r="AD345" t="n">
        <x:v>24615</x:v>
      </x:c>
      <x:c r="AE345" t="n">
        <x:v>22432</x:v>
      </x:c>
      <x:c r="AF345" t="n">
        <x:v>34471</x:v>
      </x:c>
      <x:c r="AG345" t="n">
        <x:v>33216</x:v>
      </x:c>
      <x:c r="AH345" t="n">
        <x:v>48086</x:v>
      </x:c>
      <x:c r="AI345" t="n">
        <x:v>106756</x:v>
      </x:c>
      <x:c r="AJ345" t="n">
        <x:v>165662</x:v>
      </x:c>
      <x:c r="AK345" t="n">
        <x:v>203836</x:v>
      </x:c>
      <x:c r="AL345" t="n">
        <x:v>317305</x:v>
      </x:c>
      <x:c r="AM345" t="str">
        <x:v>R1 regular-central gap visible; verify in official R2 matrix</x:v>
      </x:c>
    </x:row>
    <x:row r="346">
      <x:c r="A346" t="str">
        <x:v>Tamil Nadu</x:v>
      </x:c>
      <x:c r="B346" t="str">
        <x:v>Deemed University</x:v>
      </x:c>
      <x:c r="C346" t="str">
        <x:v>200540</x:v>
      </x:c>
      <x:c r="D346" t="str">
        <x:v>Faculty of Medicine , Sri Lalithambigai Medical College and Hospital, Faculty of Medicine - Sri Lalithambigai Medical College and Hospital, 1, Periyar EVR High Road, Ada</x:v>
      </x:c>
      <x:c r="E346" t="str">
        <x:v>TN/013/P/3</x:v>
      </x:c>
      <x:c r="F346" t="str">
        <x:v>Private</x:v>
      </x:c>
      <x:c r="G346" t="n">
        <x:v>250</x:v>
      </x:c>
      <x:c r="H346" t="n">
        <x:v>100</x:v>
      </x:c>
      <x:c r="I346" t="str">
        <x:v>High-confidence fuzzy</x:v>
      </x:c>
      <x:c r="J346" t="n">
        <x:v>250</x:v>
      </x:c>
      <x:c r="K346" t="n">
        <x:v>213</x:v>
      </x:c>
      <x:c r="L346" t="n">
        <x:f>J346-K346</x:f>
        <x:v>37</x:v>
      </x:c>
      <x:c r="M346" s="20" t="n">
        <x:f>IFERROR(K346/J346,0)</x:f>
        <x:v>0.852</x:v>
      </x:c>
      <x:c r="N346" t="n">
        <x:v>0</x:v>
      </x:c>
      <x:c r="O346" t="n">
        <x:v>0</x:v>
      </x:c>
      <x:c r="P346" t="n">
        <x:f>N346-O346</x:f>
        <x:v>0</x:v>
      </x:c>
      <x:c r="Q346" t="n">
        <x:v>250</x:v>
      </x:c>
      <x:c r="R346" t="n">
        <x:v>213</x:v>
      </x:c>
      <x:c r="S346" t="n">
        <x:f>Q346-R346</x:f>
        <x:v>37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212</x:v>
      </x:c>
      <x:c r="Y346" t="n">
        <x:v>212</x:v>
      </x:c>
      <x:c r="Z346" t="n">
        <x:v>38</x:v>
      </x:c>
      <x:c r="AA346" t="n">
        <x:v>1</x:v>
      </x:c>
      <x:c r="AB346" t="n">
        <x:f>IF(AND(ISNUMBER(G346),I346&lt;&gt;"Excluded INI"),MAX(0,G346-J346),"")</x:f>
        <x:v>0</x:v>
      </x:c>
      <x:c r="AC346" t="n">
        <x:v>449255</x:v>
      </x:c>
      <x:c r="AD346" t="n">
        <x:v>957789</x:v>
      </x:c>
      <x:c r="AE346"/>
      <x:c r="AF346"/>
      <x:c r="AG346"/>
      <x:c r="AH346"/>
      <x:c r="AI346"/>
      <x:c r="AJ346"/>
      <x:c r="AK346"/>
      <x:c r="AL346"/>
      <x:c r="AM346" t="str">
        <x:v>Unfilled mainly private/NRI/minority; regular R2 depends on movement</x:v>
      </x:c>
    </x:row>
    <x:row r="347">
      <x:c r="A347" t="str">
        <x:v>Tamil Nadu</x:v>
      </x:c>
      <x:c r="B347" t="str">
        <x:v>All India except Central University</x:v>
      </x:c>
      <x:c r="C347" t="str">
        <x:v>200262</x:v>
      </x:c>
      <x:c r="D347" t="str">
        <x:v>Government Dharmapuri Medical College, Dharmapuri, NETHAJI BYPASS ROAD DHARMAPURI</x:v>
      </x:c>
      <x:c r="E347" t="str">
        <x:v>TN/014/G/1</x:v>
      </x:c>
      <x:c r="F347" t="str">
        <x:v>Government</x:v>
      </x:c>
      <x:c r="G347" t="n">
        <x:v>100</x:v>
      </x:c>
      <x:c r="H347" t="n">
        <x:v>100</x:v>
      </x:c>
      <x:c r="I347" t="str">
        <x:v>High-confidence fuzzy</x:v>
      </x:c>
      <x:c r="J347" t="n">
        <x:v>15</x:v>
      </x:c>
      <x:c r="K347" t="n">
        <x:v>15</x:v>
      </x:c>
      <x:c r="L347" t="n">
        <x:f>J347-K347</x:f>
        <x:v>0</x:v>
      </x:c>
      <x:c r="M347" s="20" t="n">
        <x:f>IFERROR(K347/J347,0)</x:f>
        <x:v>1</x:v>
      </x:c>
      <x:c r="N347" t="n">
        <x:v>15</x:v>
      </x:c>
      <x:c r="O347" t="n">
        <x:v>15</x:v>
      </x:c>
      <x:c r="P347" t="n">
        <x:f>N347-O347</x:f>
        <x:v>0</x:v>
      </x:c>
      <x:c r="Q347" t="n">
        <x:v>0</x:v>
      </x:c>
      <x:c r="R347" t="n">
        <x:v>0</x:v>
      </x:c>
      <x:c r="S347" t="n">
        <x:f>Q347-R347</x:f>
        <x:v>0</x:v>
      </x:c>
      <x:c r="T347" t="n">
        <x:v>15</x:v>
      </x:c>
      <x:c r="U347" t="n">
        <x:v>15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f>IF(AND(ISNUMBER(G347),I347&lt;&gt;"Excluded INI"),MAX(0,G347-J347),"")</x:f>
        <x:v>85</x:v>
      </x:c>
      <x:c r="AC347" t="n">
        <x:v>7111</x:v>
      </x:c>
      <x:c r="AD347" t="n">
        <x:v>8909</x:v>
      </x:c>
      <x:c r="AE347" t="n">
        <x:v>10886</x:v>
      </x:c>
      <x:c r="AF347" t="n">
        <x:v>11033</x:v>
      </x:c>
      <x:c r="AG347" t="n">
        <x:v>24000</x:v>
      </x:c>
      <x:c r="AH347" t="n">
        <x:v>24364</x:v>
      </x:c>
      <x:c r="AI347" t="n">
        <x:v>47307</x:v>
      </x:c>
      <x:c r="AJ347" t="n">
        <x:v>48292</x:v>
      </x:c>
      <x:c r="AK347" t="n">
        <x:v>108496</x:v>
      </x:c>
      <x:c r="AL347" t="n">
        <x:v>108496</x:v>
      </x:c>
      <x:c r="AM347" t="str">
        <x:v>Fully allotted in R1; R2 opportunity depends on upgrade/non-joining</x:v>
      </x:c>
    </x:row>
    <x:row r="348">
      <x:c r="A348" t="str">
        <x:v>Tamil Nadu</x:v>
      </x:c>
      <x:c r="B348" t="str">
        <x:v>All India except Central University</x:v>
      </x:c>
      <x:c r="C348" t="str">
        <x:v>200272</x:v>
      </x:c>
      <x:c r="D348" t="str">
        <x:v>Government Erode Medical College &amp; Hospital, Perundurai (Formerly IRT Perundurai Medical College), GOVERNMENT ERODE MEDICAL COLLEGE PERUNDURAI, PERUNDURAI SANATORIUM POST ERODE DISTRICT</x:v>
      </x:c>
      <x:c r="E348" t="str">
        <x:v>TN/015/G/1</x:v>
      </x:c>
      <x:c r="F348" t="str">
        <x:v>Government</x:v>
      </x:c>
      <x:c r="G348" t="n">
        <x:v>100</x:v>
      </x:c>
      <x:c r="H348" t="n">
        <x:v>100</x:v>
      </x:c>
      <x:c r="I348" t="str">
        <x:v>High-confidence fuzzy</x:v>
      </x:c>
      <x:c r="J348" t="n">
        <x:v>15</x:v>
      </x:c>
      <x:c r="K348" t="n">
        <x:v>15</x:v>
      </x:c>
      <x:c r="L348" t="n">
        <x:f>J348-K348</x:f>
        <x:v>0</x:v>
      </x:c>
      <x:c r="M348" s="20" t="n">
        <x:f>IFERROR(K348/J348,0)</x:f>
        <x:v>1</x:v>
      </x:c>
      <x:c r="N348" t="n">
        <x:v>15</x:v>
      </x:c>
      <x:c r="O348" t="n">
        <x:v>15</x:v>
      </x:c>
      <x:c r="P348" t="n">
        <x:f>N348-O348</x:f>
        <x:v>0</x:v>
      </x:c>
      <x:c r="Q348" t="n">
        <x:v>0</x:v>
      </x:c>
      <x:c r="R348" t="n">
        <x:v>0</x:v>
      </x:c>
      <x:c r="S348" t="n">
        <x:f>Q348-R348</x:f>
        <x:v>0</x:v>
      </x:c>
      <x:c r="T348" t="n">
        <x:v>15</x:v>
      </x:c>
      <x:c r="U348" t="n">
        <x:v>15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f>IF(AND(ISNUMBER(G348),I348&lt;&gt;"Excluded INI"),MAX(0,G348-J348),"")</x:f>
        <x:v>85</x:v>
      </x:c>
      <x:c r="AC348" t="n">
        <x:v>8990</x:v>
      </x:c>
      <x:c r="AD348" t="n">
        <x:v>9360</x:v>
      </x:c>
      <x:c r="AE348" t="n">
        <x:v>9796</x:v>
      </x:c>
      <x:c r="AF348" t="n">
        <x:v>10277</x:v>
      </x:c>
      <x:c r="AG348" t="n">
        <x:v>21181</x:v>
      </x:c>
      <x:c r="AH348" t="n">
        <x:v>21181</x:v>
      </x:c>
      <x:c r="AI348" t="n">
        <x:v>44526</x:v>
      </x:c>
      <x:c r="AJ348" t="n">
        <x:v>46879</x:v>
      </x:c>
      <x:c r="AK348" t="n">
        <x:v>100550</x:v>
      </x:c>
      <x:c r="AL348" t="n">
        <x:v>100550</x:v>
      </x:c>
      <x:c r="AM348" t="str">
        <x:v>Fully allotted in R1; R2 opportunity depends on upgrade/non-joining</x:v>
      </x:c>
    </x:row>
    <x:row r="349">
      <x:c r="A349" t="str">
        <x:v>Tamil Nadu</x:v>
      </x:c>
      <x:c r="B349" t="str">
        <x:v>Employees State Insurance Scheme</x:v>
      </x:c>
      <x:c r="C349" t="str">
        <x:v>200264</x:v>
      </x:c>
      <x:c r="D349" t="str">
        <x:v>Government Medical College &amp; ESIC Hospital, Coimbatore, TamilNadu, KAMARAJAR ROAD, VARADHARAJAPURAM, SINGANALLUR, COIMBATORE</x:v>
      </x:c>
      <x:c r="E349" t="str">
        <x:v>TN/009/G/1</x:v>
      </x:c>
      <x:c r="F349" t="str">
        <x:v>Government</x:v>
      </x:c>
      <x:c r="G349" t="n">
        <x:v>200</x:v>
      </x:c>
      <x:c r="H349" t="n">
        <x:v>100</x:v>
      </x:c>
      <x:c r="I349" t="str">
        <x:v>High-confidence fuzzy</x:v>
      </x:c>
      <x:c r="J349" t="n">
        <x:v>35</x:v>
      </x:c>
      <x:c r="K349" t="n">
        <x:v>34</x:v>
      </x:c>
      <x:c r="L349" t="n">
        <x:f>J349-K349</x:f>
        <x:v>1</x:v>
      </x:c>
      <x:c r="M349" s="20" t="n">
        <x:f>IFERROR(K349/J349,0)</x:f>
        <x:v>0.9714285714285714</x:v>
      </x:c>
      <x:c r="N349" t="n">
        <x:v>35</x:v>
      </x:c>
      <x:c r="O349" t="n">
        <x:v>34</x:v>
      </x:c>
      <x:c r="P349" t="n">
        <x:f>N349-O349</x:f>
        <x:v>1</x:v>
      </x:c>
      <x:c r="Q349" t="n">
        <x:v>0</x:v>
      </x:c>
      <x:c r="R349" t="n">
        <x:v>0</x:v>
      </x:c>
      <x:c r="S349" t="n">
        <x:f>Q349-R349</x:f>
        <x:v>0</x:v>
      </x:c>
      <x:c r="T349" t="n">
        <x:v>15</x:v>
      </x:c>
      <x:c r="U349" t="n">
        <x:v>15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f>IF(AND(ISNUMBER(G349),I349&lt;&gt;"Excluded INI"),MAX(0,G349-J349),"")</x:f>
        <x:v>165</x:v>
      </x:c>
      <x:c r="AC349" t="n">
        <x:v>15980</x:v>
      </x:c>
      <x:c r="AD349" t="n">
        <x:v>27717</x:v>
      </x:c>
      <x:c r="AE349" t="n">
        <x:v>21493</x:v>
      </x:c>
      <x:c r="AF349" t="n">
        <x:v>33520</x:v>
      </x:c>
      <x:c r="AG349" t="n">
        <x:v>38026</x:v>
      </x:c>
      <x:c r="AH349" t="n">
        <x:v>50764</x:v>
      </x:c>
      <x:c r="AI349" t="n">
        <x:v>91579</x:v>
      </x:c>
      <x:c r="AJ349" t="n">
        <x:v>135996</x:v>
      </x:c>
      <x:c r="AK349" t="n">
        <x:v>208863</x:v>
      </x:c>
      <x:c r="AL349" t="n">
        <x:v>329961</x:v>
      </x:c>
      <x:c r="AM349" t="str">
        <x:v>R1 regular-central gap visible; verify in official R2 matrix</x:v>
      </x:c>
    </x:row>
    <x:row r="350">
      <x:c r="A350" t="str">
        <x:v>Tamil Nadu</x:v>
      </x:c>
      <x:c r="B350" t="str">
        <x:v>All India except Central University</x:v>
      </x:c>
      <x:c r="C350" t="str">
        <x:v>200278</x:v>
      </x:c>
      <x:c r="D350" t="str">
        <x:v>Government Medical College &amp; Hospital Cuddalore, Since- 09-05- 2025 (erstwhile Rajah Muthiah Medical College, cuddalore, T.N), Government Medical College and Hospital, Cuddalore District, Erstwhile Rajah Muthiah Medical College</x:v>
      </x:c>
      <x:c r="E350" t="str">
        <x:v>TN/054/G/1</x:v>
      </x:c>
      <x:c r="F350" t="str">
        <x:v>Government</x:v>
      </x:c>
      <x:c r="G350" t="n">
        <x:v>150</x:v>
      </x:c>
      <x:c r="H350" t="n">
        <x:v>100</x:v>
      </x:c>
      <x:c r="I350" t="str">
        <x:v>High-confidence fuzzy</x:v>
      </x:c>
      <x:c r="J350" t="n">
        <x:v>22</x:v>
      </x:c>
      <x:c r="K350" t="n">
        <x:v>21</x:v>
      </x:c>
      <x:c r="L350" t="n">
        <x:f>J350-K350</x:f>
        <x:v>1</x:v>
      </x:c>
      <x:c r="M350" s="20" t="n">
        <x:f>IFERROR(K350/J350,0)</x:f>
        <x:v>0.9545454545454546</x:v>
      </x:c>
      <x:c r="N350" t="n">
        <x:v>22</x:v>
      </x:c>
      <x:c r="O350" t="n">
        <x:v>21</x:v>
      </x:c>
      <x:c r="P350" t="n">
        <x:f>N350-O350</x:f>
        <x:v>1</x:v>
      </x:c>
      <x:c r="Q350" t="n">
        <x:v>0</x:v>
      </x:c>
      <x:c r="R350" t="n">
        <x:v>0</x:v>
      </x:c>
      <x:c r="S350" t="n">
        <x:f>Q350-R350</x:f>
        <x:v>0</x:v>
      </x:c>
      <x:c r="T350" t="n">
        <x:v>22</x:v>
      </x:c>
      <x:c r="U350" t="n">
        <x:v>21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f>IF(AND(ISNUMBER(G350),I350&lt;&gt;"Excluded INI"),MAX(0,G350-J350),"")</x:f>
        <x:v>128</x:v>
      </x:c>
      <x:c r="AC350" t="n">
        <x:v>10544</x:v>
      </x:c>
      <x:c r="AD350" t="n">
        <x:v>11605</x:v>
      </x:c>
      <x:c r="AE350" t="n">
        <x:v>12326</x:v>
      </x:c>
      <x:c r="AF350" t="n">
        <x:v>12455</x:v>
      </x:c>
      <x:c r="AG350" t="n">
        <x:v>25238</x:v>
      </x:c>
      <x:c r="AH350" t="n">
        <x:v>25280</x:v>
      </x:c>
      <x:c r="AI350" t="n">
        <x:v>62563</x:v>
      </x:c>
      <x:c r="AJ350" t="n">
        <x:v>64961</x:v>
      </x:c>
      <x:c r="AK350" t="n">
        <x:v>117554</x:v>
      </x:c>
      <x:c r="AL350" t="n">
        <x:v>117554</x:v>
      </x:c>
      <x:c r="AM350" t="str">
        <x:v>R1 regular-central gap visible; verify in official R2 matrix</x:v>
      </x:c>
    </x:row>
    <x:row r="351">
      <x:c r="A351" t="str">
        <x:v>Tamil Nadu</x:v>
      </x:c>
      <x:c r="B351" t="str">
        <x:v>All India except Central University</x:v>
      </x:c>
      <x:c r="C351" t="str">
        <x:v>200564</x:v>
      </x:c>
      <x:c r="D351" t="str">
        <x:v>Government Medical College, Ariyalur, 1 COLLEGE ROAD GOVERNMENT MEDICAL COLLEGE ARIYALUR TAMIL NADU PIN 621713</x:v>
      </x:c>
      <x:c r="E351" t="str">
        <x:v>TN/017/G/1</x:v>
      </x:c>
      <x:c r="F351" t="str">
        <x:v>Government</x:v>
      </x:c>
      <x:c r="G351" t="n">
        <x:v>150</x:v>
      </x:c>
      <x:c r="H351" t="n">
        <x:v>100</x:v>
      </x:c>
      <x:c r="I351" t="str">
        <x:v>High-confidence fuzzy</x:v>
      </x:c>
      <x:c r="J351" t="n">
        <x:v>22</x:v>
      </x:c>
      <x:c r="K351" t="n">
        <x:v>22</x:v>
      </x:c>
      <x:c r="L351" t="n">
        <x:f>J351-K351</x:f>
        <x:v>0</x:v>
      </x:c>
      <x:c r="M351" s="20" t="n">
        <x:f>IFERROR(K351/J351,0)</x:f>
        <x:v>1</x:v>
      </x:c>
      <x:c r="N351" t="n">
        <x:v>22</x:v>
      </x:c>
      <x:c r="O351" t="n">
        <x:v>22</x:v>
      </x:c>
      <x:c r="P351" t="n">
        <x:f>N351-O351</x:f>
        <x:v>0</x:v>
      </x:c>
      <x:c r="Q351" t="n">
        <x:v>0</x:v>
      </x:c>
      <x:c r="R351" t="n">
        <x:v>0</x:v>
      </x:c>
      <x:c r="S351" t="n">
        <x:f>Q351-R351</x:f>
        <x:v>0</x:v>
      </x:c>
      <x:c r="T351" t="n">
        <x:v>22</x:v>
      </x:c>
      <x:c r="U351" t="n">
        <x:v>22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f>IF(AND(ISNUMBER(G351),I351&lt;&gt;"Excluded INI"),MAX(0,G351-J351),"")</x:f>
        <x:v>128</x:v>
      </x:c>
      <x:c r="AC351" t="n">
        <x:v>13484</x:v>
      </x:c>
      <x:c r="AD351" t="n">
        <x:v>13855</x:v>
      </x:c>
      <x:c r="AE351" t="n">
        <x:v>14094</x:v>
      </x:c>
      <x:c r="AF351" t="n">
        <x:v>14164</x:v>
      </x:c>
      <x:c r="AG351" t="n">
        <x:v>26662</x:v>
      </x:c>
      <x:c r="AH351" t="n">
        <x:v>27119</x:v>
      </x:c>
      <x:c r="AI351" t="n">
        <x:v>71571</x:v>
      </x:c>
      <x:c r="AJ351" t="n">
        <x:v>72262</x:v>
      </x:c>
      <x:c r="AK351" t="n">
        <x:v>126702</x:v>
      </x:c>
      <x:c r="AL351" t="n">
        <x:v>126702</x:v>
      </x:c>
      <x:c r="AM351" t="str">
        <x:v>Fully allotted in R1; R2 opportunity depends on upgrade/non-joining</x:v>
      </x:c>
    </x:row>
    <x:row r="352">
      <x:c r="A352" t="str">
        <x:v>Tamil Nadu</x:v>
      </x:c>
      <x:c r="B352" t="str">
        <x:v>All India except Central University</x:v>
      </x:c>
      <x:c r="C352" t="str">
        <x:v>200566</x:v>
      </x:c>
      <x:c r="D352" t="str">
        <x:v>Government Medical College, Dindigul, 1 Nallampatti Road Adiyanoothu village Dindigul</x:v>
      </x:c>
      <x:c r="E352" t="str">
        <x:v>TN/018/G/1</x:v>
      </x:c>
      <x:c r="F352" t="str">
        <x:v>Government</x:v>
      </x:c>
      <x:c r="G352" t="n">
        <x:v>150</x:v>
      </x:c>
      <x:c r="H352" t="n">
        <x:v>100</x:v>
      </x:c>
      <x:c r="I352" t="str">
        <x:v>High-confidence fuzzy</x:v>
      </x:c>
      <x:c r="J352" t="n">
        <x:v>22</x:v>
      </x:c>
      <x:c r="K352" t="n">
        <x:v>22</x:v>
      </x:c>
      <x:c r="L352" t="n">
        <x:f>J352-K352</x:f>
        <x:v>0</x:v>
      </x:c>
      <x:c r="M352" s="20" t="n">
        <x:f>IFERROR(K352/J352,0)</x:f>
        <x:v>1</x:v>
      </x:c>
      <x:c r="N352" t="n">
        <x:v>22</x:v>
      </x:c>
      <x:c r="O352" t="n">
        <x:v>22</x:v>
      </x:c>
      <x:c r="P352" t="n">
        <x:f>N352-O352</x:f>
        <x:v>0</x:v>
      </x:c>
      <x:c r="Q352" t="n">
        <x:v>0</x:v>
      </x:c>
      <x:c r="R352" t="n">
        <x:v>0</x:v>
      </x:c>
      <x:c r="S352" t="n">
        <x:f>Q352-R352</x:f>
        <x:v>0</x:v>
      </x:c>
      <x:c r="T352" t="n">
        <x:v>22</x:v>
      </x:c>
      <x:c r="U352" t="n">
        <x:v>22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f>IF(AND(ISNUMBER(G352),I352&lt;&gt;"Excluded INI"),MAX(0,G352-J352),"")</x:f>
        <x:v>128</x:v>
      </x:c>
      <x:c r="AC352" t="n">
        <x:v>10336</x:v>
      </x:c>
      <x:c r="AD352" t="n">
        <x:v>11310</x:v>
      </x:c>
      <x:c r="AE352" t="n">
        <x:v>13260</x:v>
      </x:c>
      <x:c r="AF352" t="n">
        <x:v>13450</x:v>
      </x:c>
      <x:c r="AG352" t="n">
        <x:v>25287</x:v>
      </x:c>
      <x:c r="AH352" t="n">
        <x:v>25607</x:v>
      </x:c>
      <x:c r="AI352" t="n">
        <x:v>58198</x:v>
      </x:c>
      <x:c r="AJ352" t="n">
        <x:v>61852</x:v>
      </x:c>
      <x:c r="AK352" t="n">
        <x:v>129646</x:v>
      </x:c>
      <x:c r="AL352" t="n">
        <x:v>129661</x:v>
      </x:c>
      <x:c r="AM352" t="str">
        <x:v>Fully allotted in R1; R2 opportunity depends on upgrade/non-joining</x:v>
      </x:c>
    </x:row>
    <x:row r="353">
      <x:c r="A353" t="str">
        <x:v>Tamil Nadu</x:v>
      </x:c>
      <x:c r="B353" t="str">
        <x:v>All India except Central University</x:v>
      </x:c>
      <x:c r="C353" t="str">
        <x:v>200558</x:v>
      </x:c>
      <x:c r="D353" t="str">
        <x:v>Government Medical College, Kallakurichi, S.NO 251, AGARAKOTTALAM ROAD, SIRUVANGUR, KALLAKURICHI</x:v>
      </x:c>
      <x:c r="E353" t="str">
        <x:v>TN/019/G/1</x:v>
      </x:c>
      <x:c r="F353" t="str">
        <x:v>Government</x:v>
      </x:c>
      <x:c r="G353" t="n">
        <x:v>150</x:v>
      </x:c>
      <x:c r="H353" t="n">
        <x:v>100</x:v>
      </x:c>
      <x:c r="I353" t="str">
        <x:v>High-confidence fuzzy</x:v>
      </x:c>
      <x:c r="J353" t="n">
        <x:v>22</x:v>
      </x:c>
      <x:c r="K353" t="n">
        <x:v>22</x:v>
      </x:c>
      <x:c r="L353" t="n">
        <x:f>J353-K353</x:f>
        <x:v>0</x:v>
      </x:c>
      <x:c r="M353" s="20" t="n">
        <x:f>IFERROR(K353/J353,0)</x:f>
        <x:v>1</x:v>
      </x:c>
      <x:c r="N353" t="n">
        <x:v>22</x:v>
      </x:c>
      <x:c r="O353" t="n">
        <x:v>22</x:v>
      </x:c>
      <x:c r="P353" t="n">
        <x:f>N353-O353</x:f>
        <x:v>0</x:v>
      </x:c>
      <x:c r="Q353" t="n">
        <x:v>0</x:v>
      </x:c>
      <x:c r="R353" t="n">
        <x:v>0</x:v>
      </x:c>
      <x:c r="S353" t="n">
        <x:f>Q353-R353</x:f>
        <x:v>0</x:v>
      </x:c>
      <x:c r="T353" t="n">
        <x:v>22</x:v>
      </x:c>
      <x:c r="U353" t="n">
        <x:v>22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f>IF(AND(ISNUMBER(G353),I353&lt;&gt;"Excluded INI"),MAX(0,G353-J353),"")</x:f>
        <x:v>128</x:v>
      </x:c>
      <x:c r="AC353" t="n">
        <x:v>13668</x:v>
      </x:c>
      <x:c r="AD353" t="n">
        <x:v>14244</x:v>
      </x:c>
      <x:c r="AE353" t="n">
        <x:v>14432</x:v>
      </x:c>
      <x:c r="AF353" t="n">
        <x:v>14585</x:v>
      </x:c>
      <x:c r="AG353" t="n">
        <x:v>26488</x:v>
      </x:c>
      <x:c r="AH353" t="n">
        <x:v>26488</x:v>
      </x:c>
      <x:c r="AI353" t="n">
        <x:v>63991</x:v>
      </x:c>
      <x:c r="AJ353" t="n">
        <x:v>66518</x:v>
      </x:c>
      <x:c r="AK353" t="n">
        <x:v>132044</x:v>
      </x:c>
      <x:c r="AL353" t="n">
        <x:v>132111</x:v>
      </x:c>
      <x:c r="AM353" t="str">
        <x:v>Fully allotted in R1; R2 opportunity depends on upgrade/non-joining</x:v>
      </x:c>
    </x:row>
    <x:row r="354">
      <x:c r="A354" t="str">
        <x:v>Tamil Nadu</x:v>
      </x:c>
      <x:c r="B354" t="str">
        <x:v>All India except Central University</x:v>
      </x:c>
      <x:c r="C354" t="str">
        <x:v>200499</x:v>
      </x:c>
      <x:c r="D354" t="str">
        <x:v>Government Medical College, Karur, SANAPIRATTI VILLAGE NORTH GANDHIGRAMAM KARUR TAMILNADU</x:v>
      </x:c>
      <x:c r="E354" t="str">
        <x:v>TN/020/G/1</x:v>
      </x:c>
      <x:c r="F354" t="str">
        <x:v>Government</x:v>
      </x:c>
      <x:c r="G354" t="n">
        <x:v>150</x:v>
      </x:c>
      <x:c r="H354" t="n">
        <x:v>100</x:v>
      </x:c>
      <x:c r="I354" t="str">
        <x:v>High-confidence fuzzy</x:v>
      </x:c>
      <x:c r="J354" t="n">
        <x:v>23</x:v>
      </x:c>
      <x:c r="K354" t="n">
        <x:v>23</x:v>
      </x:c>
      <x:c r="L354" t="n">
        <x:f>J354-K354</x:f>
        <x:v>0</x:v>
      </x:c>
      <x:c r="M354" s="20" t="n">
        <x:f>IFERROR(K354/J354,0)</x:f>
        <x:v>1</x:v>
      </x:c>
      <x:c r="N354" t="n">
        <x:v>23</x:v>
      </x:c>
      <x:c r="O354" t="n">
        <x:v>23</x:v>
      </x:c>
      <x:c r="P354" t="n">
        <x:f>N354-O354</x:f>
        <x:v>0</x:v>
      </x:c>
      <x:c r="Q354" t="n">
        <x:v>0</x:v>
      </x:c>
      <x:c r="R354" t="n">
        <x:v>0</x:v>
      </x:c>
      <x:c r="S354" t="n">
        <x:f>Q354-R354</x:f>
        <x:v>0</x:v>
      </x:c>
      <x:c r="T354" t="n">
        <x:v>23</x:v>
      </x:c>
      <x:c r="U354" t="n">
        <x:v>23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f>IF(AND(ISNUMBER(G354),I354&lt;&gt;"Excluded INI"),MAX(0,G354-J354),"")</x:f>
        <x:v>127</x:v>
      </x:c>
      <x:c r="AC354" t="n">
        <x:v>10848</x:v>
      </x:c>
      <x:c r="AD354" t="n">
        <x:v>11520</x:v>
      </x:c>
      <x:c r="AE354" t="n">
        <x:v>11905</x:v>
      </x:c>
      <x:c r="AF354" t="n">
        <x:v>12030</x:v>
      </x:c>
      <x:c r="AG354" t="n">
        <x:v>25498</x:v>
      </x:c>
      <x:c r="AH354" t="n">
        <x:v>25611</x:v>
      </x:c>
      <x:c r="AI354" t="n">
        <x:v>56064</x:v>
      </x:c>
      <x:c r="AJ354" t="n">
        <x:v>62726</x:v>
      </x:c>
      <x:c r="AK354" t="n">
        <x:v>126817</x:v>
      </x:c>
      <x:c r="AL354" t="n">
        <x:v>126817</x:v>
      </x:c>
      <x:c r="AM354" t="str">
        <x:v>Fully allotted in R1; R2 opportunity depends on upgrade/non-joining</x:v>
      </x:c>
    </x:row>
    <x:row r="355">
      <x:c r="A355" t="str">
        <x:v>Tamil Nadu</x:v>
      </x:c>
      <x:c r="B355" t="str">
        <x:v>All India except Central University</x:v>
      </x:c>
      <x:c r="C355" t="str">
        <x:v>200562</x:v>
      </x:c>
      <x:c r="D355" t="str">
        <x:v>Government Medical College, Krishnagiri, Block-1, Polupalli, Krishnagiri</x:v>
      </x:c>
      <x:c r="E355" t="str">
        <x:v>TN/021/G/1</x:v>
      </x:c>
      <x:c r="F355" t="str">
        <x:v>Government</x:v>
      </x:c>
      <x:c r="G355" t="n">
        <x:v>150</x:v>
      </x:c>
      <x:c r="H355" t="n">
        <x:v>100</x:v>
      </x:c>
      <x:c r="I355" t="str">
        <x:v>High-confidence fuzzy</x:v>
      </x:c>
      <x:c r="J355" t="n">
        <x:v>22</x:v>
      </x:c>
      <x:c r="K355" t="n">
        <x:v>22</x:v>
      </x:c>
      <x:c r="L355" t="n">
        <x:f>J355-K355</x:f>
        <x:v>0</x:v>
      </x:c>
      <x:c r="M355" s="20" t="n">
        <x:f>IFERROR(K355/J355,0)</x:f>
        <x:v>1</x:v>
      </x:c>
      <x:c r="N355" t="n">
        <x:v>22</x:v>
      </x:c>
      <x:c r="O355" t="n">
        <x:v>22</x:v>
      </x:c>
      <x:c r="P355" t="n">
        <x:f>N355-O355</x:f>
        <x:v>0</x:v>
      </x:c>
      <x:c r="Q355" t="n">
        <x:v>0</x:v>
      </x:c>
      <x:c r="R355" t="n">
        <x:v>0</x:v>
      </x:c>
      <x:c r="S355" t="n">
        <x:f>Q355-R355</x:f>
        <x:v>0</x:v>
      </x:c>
      <x:c r="T355" t="n">
        <x:v>22</x:v>
      </x:c>
      <x:c r="U355" t="n">
        <x:v>22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f>IF(AND(ISNUMBER(G355),I355&lt;&gt;"Excluded INI"),MAX(0,G355-J355),"")</x:f>
        <x:v>128</x:v>
      </x:c>
      <x:c r="AC355" t="n">
        <x:v>11550</x:v>
      </x:c>
      <x:c r="AD355" t="n">
        <x:v>13032</x:v>
      </x:c>
      <x:c r="AE355" t="n">
        <x:v>13772</x:v>
      </x:c>
      <x:c r="AF355" t="n">
        <x:v>13995</x:v>
      </x:c>
      <x:c r="AG355" t="n">
        <x:v>25489</x:v>
      </x:c>
      <x:c r="AH355" t="n">
        <x:v>26847</x:v>
      </x:c>
      <x:c r="AI355" t="n">
        <x:v>60354</x:v>
      </x:c>
      <x:c r="AJ355" t="n">
        <x:v>62554</x:v>
      </x:c>
      <x:c r="AK355" t="n">
        <x:v>125560</x:v>
      </x:c>
      <x:c r="AL355" t="n">
        <x:v>126548</x:v>
      </x:c>
      <x:c r="AM355" t="str">
        <x:v>Fully allotted in R1; R2 opportunity depends on upgrade/non-joining</x:v>
      </x:c>
    </x:row>
    <x:row r="356">
      <x:c r="A356" t="str">
        <x:v>Tamil Nadu</x:v>
      </x:c>
      <x:c r="B356" t="str">
        <x:v>All India except Central University</x:v>
      </x:c>
      <x:c r="C356" t="str">
        <x:v>200571</x:v>
      </x:c>
      <x:c r="D356" t="str">
        <x:v>Government Medical College, Nagapattinam, NO.1,MANALMEDU, ORATHUR VILLAGE, NAGAPATTINAM TK, NAGAPATTINAM DISTRICT</x:v>
      </x:c>
      <x:c r="E356" t="str">
        <x:v>TN/022/G/1</x:v>
      </x:c>
      <x:c r="F356" t="str">
        <x:v>Government</x:v>
      </x:c>
      <x:c r="G356" t="n">
        <x:v>150</x:v>
      </x:c>
      <x:c r="H356" t="n">
        <x:v>100</x:v>
      </x:c>
      <x:c r="I356" t="str">
        <x:v>High-confidence fuzzy</x:v>
      </x:c>
      <x:c r="J356" t="n">
        <x:v>22</x:v>
      </x:c>
      <x:c r="K356" t="n">
        <x:v>22</x:v>
      </x:c>
      <x:c r="L356" t="n">
        <x:f>J356-K356</x:f>
        <x:v>0</x:v>
      </x:c>
      <x:c r="M356" s="20" t="n">
        <x:f>IFERROR(K356/J356,0)</x:f>
        <x:v>1</x:v>
      </x:c>
      <x:c r="N356" t="n">
        <x:v>22</x:v>
      </x:c>
      <x:c r="O356" t="n">
        <x:v>22</x:v>
      </x:c>
      <x:c r="P356" t="n">
        <x:f>N356-O356</x:f>
        <x:v>0</x:v>
      </x:c>
      <x:c r="Q356" t="n">
        <x:v>0</x:v>
      </x:c>
      <x:c r="R356" t="n">
        <x:v>0</x:v>
      </x:c>
      <x:c r="S356" t="n">
        <x:f>Q356-R356</x:f>
        <x:v>0</x:v>
      </x:c>
      <x:c r="T356" t="n">
        <x:v>22</x:v>
      </x:c>
      <x:c r="U356" t="n">
        <x:v>22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f>IF(AND(ISNUMBER(G356),I356&lt;&gt;"Excluded INI"),MAX(0,G356-J356),"")</x:f>
        <x:v>128</x:v>
      </x:c>
      <x:c r="AC356" t="n">
        <x:v>14367</x:v>
      </x:c>
      <x:c r="AD356" t="n">
        <x:v>14737</x:v>
      </x:c>
      <x:c r="AE356" t="n">
        <x:v>14910</x:v>
      </x:c>
      <x:c r="AF356" t="n">
        <x:v>15019</x:v>
      </x:c>
      <x:c r="AG356" t="n">
        <x:v>27175</x:v>
      </x:c>
      <x:c r="AH356" t="n">
        <x:v>27179</x:v>
      </x:c>
      <x:c r="AI356" t="n">
        <x:v>64280</x:v>
      </x:c>
      <x:c r="AJ356" t="n">
        <x:v>68261</x:v>
      </x:c>
      <x:c r="AK356" t="n">
        <x:v>130780</x:v>
      </x:c>
      <x:c r="AL356" t="n">
        <x:v>131813</x:v>
      </x:c>
      <x:c r="AM356" t="str">
        <x:v>Fully allotted in R1; R2 opportunity depends on upgrade/non-joining</x:v>
      </x:c>
    </x:row>
    <x:row r="357">
      <x:c r="A357" t="str">
        <x:v>Tamil Nadu</x:v>
      </x:c>
      <x:c r="B357" t="str">
        <x:v>All India except Central University</x:v>
      </x:c>
      <x:c r="C357" t="str">
        <x:v>200557</x:v>
      </x:c>
      <x:c r="D357" t="str">
        <x:v>Government Medical College, Namakkal, 353 MASTER PLAN COMPLEX SILUVAMPATTY NAMAKKAL</x:v>
      </x:c>
      <x:c r="E357" t="str">
        <x:v>TN/023/G/1</x:v>
      </x:c>
      <x:c r="F357" t="str">
        <x:v>Government</x:v>
      </x:c>
      <x:c r="G357" t="n">
        <x:v>150</x:v>
      </x:c>
      <x:c r="H357" t="n">
        <x:v>100</x:v>
      </x:c>
      <x:c r="I357" t="str">
        <x:v>High-confidence fuzzy</x:v>
      </x:c>
      <x:c r="J357" t="n">
        <x:v>22</x:v>
      </x:c>
      <x:c r="K357" t="n">
        <x:v>22</x:v>
      </x:c>
      <x:c r="L357" t="n">
        <x:f>J357-K357</x:f>
        <x:v>0</x:v>
      </x:c>
      <x:c r="M357" s="20" t="n">
        <x:f>IFERROR(K357/J357,0)</x:f>
        <x:v>1</x:v>
      </x:c>
      <x:c r="N357" t="n">
        <x:v>22</x:v>
      </x:c>
      <x:c r="O357" t="n">
        <x:v>22</x:v>
      </x:c>
      <x:c r="P357" t="n">
        <x:f>N357-O357</x:f>
        <x:v>0</x:v>
      </x:c>
      <x:c r="Q357" t="n">
        <x:v>0</x:v>
      </x:c>
      <x:c r="R357" t="n">
        <x:v>0</x:v>
      </x:c>
      <x:c r="S357" t="n">
        <x:f>Q357-R357</x:f>
        <x:v>0</x:v>
      </x:c>
      <x:c r="T357" t="n">
        <x:v>22</x:v>
      </x:c>
      <x:c r="U357" t="n">
        <x:v>22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f>IF(AND(ISNUMBER(G357),I357&lt;&gt;"Excluded INI"),MAX(0,G357-J357),"")</x:f>
        <x:v>128</x:v>
      </x:c>
      <x:c r="AC357" t="n">
        <x:v>10880</x:v>
      </x:c>
      <x:c r="AD357" t="n">
        <x:v>12449</x:v>
      </x:c>
      <x:c r="AE357" t="n">
        <x:v>12705</x:v>
      </x:c>
      <x:c r="AF357" t="n">
        <x:v>13280</x:v>
      </x:c>
      <x:c r="AG357" t="n">
        <x:v>26514</x:v>
      </x:c>
      <x:c r="AH357" t="n">
        <x:v>27073</x:v>
      </x:c>
      <x:c r="AI357" t="n">
        <x:v>45124</x:v>
      </x:c>
      <x:c r="AJ357" t="n">
        <x:v>52261</x:v>
      </x:c>
      <x:c r="AK357" t="n">
        <x:v>129985</x:v>
      </x:c>
      <x:c r="AL357" t="n">
        <x:v>129985</x:v>
      </x:c>
      <x:c r="AM357" t="str">
        <x:v>Fully allotted in R1; R2 opportunity depends on upgrade/non-joining</x:v>
      </x:c>
    </x:row>
    <x:row r="358">
      <x:c r="A358" t="str">
        <x:v>Tamil Nadu</x:v>
      </x:c>
      <x:c r="B358" t="str">
        <x:v>All India except Central University</x:v>
      </x:c>
      <x:c r="C358" t="str">
        <x:v>200569</x:v>
      </x:c>
      <x:c r="D358" t="str">
        <x:v>Government Medical College, Omandurar, NO.169, GOVERNMENT MEDICAL COLLEGE AND HOSPITAL, OMANDURAR GOVERNMENT ESTATE, WALLAJAH ROAD, TRIPLIC</x:v>
      </x:c>
      <x:c r="E358" t="str">
        <x:v>TN/024/G/1</x:v>
      </x:c>
      <x:c r="F358" t="str">
        <x:v>Government</x:v>
      </x:c>
      <x:c r="G358" t="n">
        <x:v>100</x:v>
      </x:c>
      <x:c r="H358" t="n">
        <x:v>100</x:v>
      </x:c>
      <x:c r="I358" t="str">
        <x:v>High-confidence fuzzy</x:v>
      </x:c>
      <x:c r="J358" t="n">
        <x:v>15</x:v>
      </x:c>
      <x:c r="K358" t="n">
        <x:v>15</x:v>
      </x:c>
      <x:c r="L358" t="n">
        <x:f>J358-K358</x:f>
        <x:v>0</x:v>
      </x:c>
      <x:c r="M358" s="20" t="n">
        <x:f>IFERROR(K358/J358,0)</x:f>
        <x:v>1</x:v>
      </x:c>
      <x:c r="N358" t="n">
        <x:v>15</x:v>
      </x:c>
      <x:c r="O358" t="n">
        <x:v>15</x:v>
      </x:c>
      <x:c r="P358" t="n">
        <x:f>N358-O358</x:f>
        <x:v>0</x:v>
      </x:c>
      <x:c r="Q358" t="n">
        <x:v>0</x:v>
      </x:c>
      <x:c r="R358" t="n">
        <x:v>0</x:v>
      </x:c>
      <x:c r="S358" t="n">
        <x:f>Q358-R358</x:f>
        <x:v>0</x:v>
      </x:c>
      <x:c r="T358" t="n">
        <x:v>15</x:v>
      </x:c>
      <x:c r="U358" t="n">
        <x:v>15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f>IF(AND(ISNUMBER(G358),I358&lt;&gt;"Excluded INI"),MAX(0,G358-J358),"")</x:f>
        <x:v>85</x:v>
      </x:c>
      <x:c r="AC358" t="n">
        <x:v>2202</x:v>
      </x:c>
      <x:c r="AD358" t="n">
        <x:v>2354</x:v>
      </x:c>
      <x:c r="AE358" t="n">
        <x:v>2608</x:v>
      </x:c>
      <x:c r="AF358" t="n">
        <x:v>2867</x:v>
      </x:c>
      <x:c r="AG358" t="n">
        <x:v>14053</x:v>
      </x:c>
      <x:c r="AH358" t="n">
        <x:v>14053</x:v>
      </x:c>
      <x:c r="AI358" t="n">
        <x:v>17874</x:v>
      </x:c>
      <x:c r="AJ358" t="n">
        <x:v>23474</x:v>
      </x:c>
      <x:c r="AK358" t="n">
        <x:v>79875</x:v>
      </x:c>
      <x:c r="AL358" t="n">
        <x:v>85647</x:v>
      </x:c>
      <x:c r="AM358" t="str">
        <x:v>Fully allotted in R1; R2 opportunity depends on upgrade/non-joining</x:v>
      </x:c>
    </x:row>
    <x:row r="359">
      <x:c r="A359" t="str">
        <x:v>Tamil Nadu</x:v>
      </x:c>
      <x:c r="B359" t="str">
        <x:v>All India except Central University</x:v>
      </x:c>
      <x:c r="C359" t="str">
        <x:v>200267</x:v>
      </x:c>
      <x:c r="D359" t="str">
        <x:v>Government Medical College, Pudukottai, Tamil Nadu, MULLUR PUDUKKOTTAI PO PUDUKKOTTAI</x:v>
      </x:c>
      <x:c r="E359" t="str">
        <x:v>TN/025/G/1</x:v>
      </x:c>
      <x:c r="F359" t="str">
        <x:v>Government</x:v>
      </x:c>
      <x:c r="G359" t="n">
        <x:v>150</x:v>
      </x:c>
      <x:c r="H359" t="n">
        <x:v>100</x:v>
      </x:c>
      <x:c r="I359" t="str">
        <x:v>High-confidence fuzzy</x:v>
      </x:c>
      <x:c r="J359" t="n">
        <x:v>22</x:v>
      </x:c>
      <x:c r="K359" t="n">
        <x:v>22</x:v>
      </x:c>
      <x:c r="L359" t="n">
        <x:f>J359-K359</x:f>
        <x:v>0</x:v>
      </x:c>
      <x:c r="M359" s="20" t="n">
        <x:f>IFERROR(K359/J359,0)</x:f>
        <x:v>1</x:v>
      </x:c>
      <x:c r="N359" t="n">
        <x:v>22</x:v>
      </x:c>
      <x:c r="O359" t="n">
        <x:v>22</x:v>
      </x:c>
      <x:c r="P359" t="n">
        <x:f>N359-O359</x:f>
        <x:v>0</x:v>
      </x:c>
      <x:c r="Q359" t="n">
        <x:v>0</x:v>
      </x:c>
      <x:c r="R359" t="n">
        <x:v>0</x:v>
      </x:c>
      <x:c r="S359" t="n">
        <x:f>Q359-R359</x:f>
        <x:v>0</x:v>
      </x:c>
      <x:c r="T359" t="n">
        <x:v>22</x:v>
      </x:c>
      <x:c r="U359" t="n">
        <x:v>22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f>IF(AND(ISNUMBER(G359),I359&lt;&gt;"Excluded INI"),MAX(0,G359-J359),"")</x:f>
        <x:v>128</x:v>
      </x:c>
      <x:c r="AC359" t="n">
        <x:v>11517</x:v>
      </x:c>
      <x:c r="AD359" t="n">
        <x:v>12570</x:v>
      </x:c>
      <x:c r="AE359" t="n">
        <x:v>12912</x:v>
      </x:c>
      <x:c r="AF359" t="n">
        <x:v>13147</x:v>
      </x:c>
      <x:c r="AG359" t="n">
        <x:v>25948</x:v>
      </x:c>
      <x:c r="AH359" t="n">
        <x:v>26776</x:v>
      </x:c>
      <x:c r="AI359" t="n">
        <x:v>46070</x:v>
      </x:c>
      <x:c r="AJ359" t="n">
        <x:v>48677</x:v>
      </x:c>
      <x:c r="AK359" t="n">
        <x:v>120178</x:v>
      </x:c>
      <x:c r="AL359" t="n">
        <x:v>120178</x:v>
      </x:c>
      <x:c r="AM359" t="str">
        <x:v>Fully allotted in R1; R2 opportunity depends on upgrade/non-joining</x:v>
      </x:c>
    </x:row>
    <x:row r="360">
      <x:c r="A360" t="str">
        <x:v>Tamil Nadu</x:v>
      </x:c>
      <x:c r="B360" t="str">
        <x:v>All India except Central University</x:v>
      </x:c>
      <x:c r="C360" t="str">
        <x:v>200567</x:v>
      </x:c>
      <x:c r="D360" t="str">
        <x:v>Government Medical College, Ramanathapuram, No 1, Pattinamkathan, Collectorate Backside, Ramanathapuram.</x:v>
      </x:c>
      <x:c r="E360" t="str">
        <x:v>TN/026/G/1</x:v>
      </x:c>
      <x:c r="F360" t="str">
        <x:v>Government</x:v>
      </x:c>
      <x:c r="G360" t="n">
        <x:v>100</x:v>
      </x:c>
      <x:c r="H360" t="n">
        <x:v>100</x:v>
      </x:c>
      <x:c r="I360" t="str">
        <x:v>High-confidence fuzzy</x:v>
      </x:c>
      <x:c r="J360" t="n">
        <x:v>15</x:v>
      </x:c>
      <x:c r="K360" t="n">
        <x:v>15</x:v>
      </x:c>
      <x:c r="L360" t="n">
        <x:f>J360-K360</x:f>
        <x:v>0</x:v>
      </x:c>
      <x:c r="M360" s="20" t="n">
        <x:f>IFERROR(K360/J360,0)</x:f>
        <x:v>1</x:v>
      </x:c>
      <x:c r="N360" t="n">
        <x:v>15</x:v>
      </x:c>
      <x:c r="O360" t="n">
        <x:v>15</x:v>
      </x:c>
      <x:c r="P360" t="n">
        <x:f>N360-O360</x:f>
        <x:v>0</x:v>
      </x:c>
      <x:c r="Q360" t="n">
        <x:v>0</x:v>
      </x:c>
      <x:c r="R360" t="n">
        <x:v>0</x:v>
      </x:c>
      <x:c r="S360" t="n">
        <x:f>Q360-R360</x:f>
        <x:v>0</x:v>
      </x:c>
      <x:c r="T360" t="n">
        <x:v>15</x:v>
      </x:c>
      <x:c r="U360" t="n">
        <x:v>15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f>IF(AND(ISNUMBER(G360),I360&lt;&gt;"Excluded INI"),MAX(0,G360-J360),"")</x:f>
        <x:v>85</x:v>
      </x:c>
      <x:c r="AC360" t="n">
        <x:v>13911</x:v>
      </x:c>
      <x:c r="AD360" t="n">
        <x:v>14308</x:v>
      </x:c>
      <x:c r="AE360" t="n">
        <x:v>14700</x:v>
      </x:c>
      <x:c r="AF360" t="n">
        <x:v>14768</x:v>
      </x:c>
      <x:c r="AG360" t="n">
        <x:v>27118</x:v>
      </x:c>
      <x:c r="AH360" t="n">
        <x:v>27118</x:v>
      </x:c>
      <x:c r="AI360" t="n">
        <x:v>62662</x:v>
      </x:c>
      <x:c r="AJ360" t="n">
        <x:v>63829</x:v>
      </x:c>
      <x:c r="AK360" t="n">
        <x:v>118110</x:v>
      </x:c>
      <x:c r="AL360" t="n">
        <x:v>118110</x:v>
      </x:c>
      <x:c r="AM360" t="str">
        <x:v>Fully allotted in R1; R2 opportunity depends on upgrade/non-joining</x:v>
      </x:c>
    </x:row>
    <x:row r="361">
      <x:c r="A361" t="str">
        <x:v>Tamil Nadu</x:v>
      </x:c>
      <x:c r="B361" t="str">
        <x:v>All India except Central University</x:v>
      </x:c>
      <x:c r="C361" t="str">
        <x:v>200560</x:v>
      </x:c>
      <x:c r="D361" t="str">
        <x:v>Government Medical College, The Nilgiris, No. 1, INDU NAGAR, MYSORE ROAD, UDHAGAMANDALAM, NILGIRIS DISTRICT</x:v>
      </x:c>
      <x:c r="E361" t="str">
        <x:v>TN/027/G/1</x:v>
      </x:c>
      <x:c r="F361" t="str">
        <x:v>Government</x:v>
      </x:c>
      <x:c r="G361" t="n">
        <x:v>150</x:v>
      </x:c>
      <x:c r="H361" t="n">
        <x:v>100</x:v>
      </x:c>
      <x:c r="I361" t="str">
        <x:v>High-confidence fuzzy</x:v>
      </x:c>
      <x:c r="J361" t="n">
        <x:v>22</x:v>
      </x:c>
      <x:c r="K361" t="n">
        <x:v>22</x:v>
      </x:c>
      <x:c r="L361" t="n">
        <x:f>J361-K361</x:f>
        <x:v>0</x:v>
      </x:c>
      <x:c r="M361" s="20" t="n">
        <x:f>IFERROR(K361/J361,0)</x:f>
        <x:v>1</x:v>
      </x:c>
      <x:c r="N361" t="n">
        <x:v>22</x:v>
      </x:c>
      <x:c r="O361" t="n">
        <x:v>22</x:v>
      </x:c>
      <x:c r="P361" t="n">
        <x:f>N361-O361</x:f>
        <x:v>0</x:v>
      </x:c>
      <x:c r="Q361" t="n">
        <x:v>0</x:v>
      </x:c>
      <x:c r="R361" t="n">
        <x:v>0</x:v>
      </x:c>
      <x:c r="S361" t="n">
        <x:f>Q361-R361</x:f>
        <x:v>0</x:v>
      </x:c>
      <x:c r="T361" t="n">
        <x:v>22</x:v>
      </x:c>
      <x:c r="U361" t="n">
        <x:v>22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f>IF(AND(ISNUMBER(G361),I361&lt;&gt;"Excluded INI"),MAX(0,G361-J361),"")</x:f>
        <x:v>128</x:v>
      </x:c>
      <x:c r="AC361" t="n">
        <x:v>10591</x:v>
      </x:c>
      <x:c r="AD361" t="n">
        <x:v>10957</x:v>
      </x:c>
      <x:c r="AE361" t="n">
        <x:v>11570</x:v>
      </x:c>
      <x:c r="AF361" t="n">
        <x:v>11855</x:v>
      </x:c>
      <x:c r="AG361" t="n">
        <x:v>21518</x:v>
      </x:c>
      <x:c r="AH361" t="n">
        <x:v>23774</x:v>
      </x:c>
      <x:c r="AI361" t="n">
        <x:v>74002</x:v>
      </x:c>
      <x:c r="AJ361" t="n">
        <x:v>74738</x:v>
      </x:c>
      <x:c r="AK361" t="n">
        <x:v>127378</x:v>
      </x:c>
      <x:c r="AL361" t="n">
        <x:v>127469</x:v>
      </x:c>
      <x:c r="AM361" t="str">
        <x:v>Fully allotted in R1; R2 opportunity depends on upgrade/non-joining</x:v>
      </x:c>
    </x:row>
    <x:row r="362">
      <x:c r="A362" t="str">
        <x:v>Tamil Nadu</x:v>
      </x:c>
      <x:c r="B362" t="str">
        <x:v>All India except Central University</x:v>
      </x:c>
      <x:c r="C362" t="str">
        <x:v>200559</x:v>
      </x:c>
      <x:c r="D362" t="str">
        <x:v>Government Medical College, Thiruvallur, BLOCK 1 MASTER PLAN COMPLEX, THIRUVALLUR COLLECTORATE, PERUMBAKKAM VILLAGE, THIRUVALLUR, TAMIL NADU</x:v>
      </x:c>
      <x:c r="E362" t="str">
        <x:v>TN/028/G/1</x:v>
      </x:c>
      <x:c r="F362" t="str">
        <x:v>Government</x:v>
      </x:c>
      <x:c r="G362" t="n">
        <x:v>150</x:v>
      </x:c>
      <x:c r="H362" t="n">
        <x:v>100</x:v>
      </x:c>
      <x:c r="I362" t="str">
        <x:v>High-confidence fuzzy</x:v>
      </x:c>
      <x:c r="J362" t="n">
        <x:v>22</x:v>
      </x:c>
      <x:c r="K362" t="n">
        <x:v>21</x:v>
      </x:c>
      <x:c r="L362" t="n">
        <x:f>J362-K362</x:f>
        <x:v>1</x:v>
      </x:c>
      <x:c r="M362" s="20" t="n">
        <x:f>IFERROR(K362/J362,0)</x:f>
        <x:v>0.9545454545454546</x:v>
      </x:c>
      <x:c r="N362" t="n">
        <x:v>22</x:v>
      </x:c>
      <x:c r="O362" t="n">
        <x:v>21</x:v>
      </x:c>
      <x:c r="P362" t="n">
        <x:f>N362-O362</x:f>
        <x:v>1</x:v>
      </x:c>
      <x:c r="Q362" t="n">
        <x:v>0</x:v>
      </x:c>
      <x:c r="R362" t="n">
        <x:v>0</x:v>
      </x:c>
      <x:c r="S362" t="n">
        <x:f>Q362-R362</x:f>
        <x:v>0</x:v>
      </x:c>
      <x:c r="T362" t="n">
        <x:v>22</x:v>
      </x:c>
      <x:c r="U362" t="n">
        <x:v>21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f>IF(AND(ISNUMBER(G362),I362&lt;&gt;"Excluded INI"),MAX(0,G362-J362),"")</x:f>
        <x:v>128</x:v>
      </x:c>
      <x:c r="AC362" t="n">
        <x:v>6868</x:v>
      </x:c>
      <x:c r="AD362" t="n">
        <x:v>8120</x:v>
      </x:c>
      <x:c r="AE362" t="n">
        <x:v>9409</x:v>
      </x:c>
      <x:c r="AF362" t="n">
        <x:v>10378</x:v>
      </x:c>
      <x:c r="AG362" t="n">
        <x:v>23930</x:v>
      </x:c>
      <x:c r="AH362" t="n">
        <x:v>24206</x:v>
      </x:c>
      <x:c r="AI362" t="n">
        <x:v>30901</x:v>
      </x:c>
      <x:c r="AJ362" t="n">
        <x:v>31825</x:v>
      </x:c>
      <x:c r="AK362" t="n">
        <x:v>90559</x:v>
      </x:c>
      <x:c r="AL362" t="n">
        <x:v>90559</x:v>
      </x:c>
      <x:c r="AM362" t="str">
        <x:v>R1 regular-central gap visible; verify in official R2 matrix</x:v>
      </x:c>
    </x:row>
    <x:row r="363">
      <x:c r="A363" t="str">
        <x:v>Tamil Nadu</x:v>
      </x:c>
      <x:c r="B363" t="str">
        <x:v>All India except Central University</x:v>
      </x:c>
      <x:c r="C363" t="str">
        <x:v>200561</x:v>
      </x:c>
      <x:c r="D363" t="str">
        <x:v>Government Medical College, Tiruppur, 18, DHARAPURAM ROAD, TIRUPPUR, TAMILNADU 641608</x:v>
      </x:c>
      <x:c r="E363" t="str">
        <x:v>TN/029/G/1</x:v>
      </x:c>
      <x:c r="F363" t="str">
        <x:v>Government</x:v>
      </x:c>
      <x:c r="G363" t="n">
        <x:v>150</x:v>
      </x:c>
      <x:c r="H363" t="n">
        <x:v>100</x:v>
      </x:c>
      <x:c r="I363" t="str">
        <x:v>High-confidence fuzzy</x:v>
      </x:c>
      <x:c r="J363" t="n">
        <x:v>22</x:v>
      </x:c>
      <x:c r="K363" t="n">
        <x:v>22</x:v>
      </x:c>
      <x:c r="L363" t="n">
        <x:f>J363-K363</x:f>
        <x:v>0</x:v>
      </x:c>
      <x:c r="M363" s="20" t="n">
        <x:f>IFERROR(K363/J363,0)</x:f>
        <x:v>1</x:v>
      </x:c>
      <x:c r="N363" t="n">
        <x:v>22</x:v>
      </x:c>
      <x:c r="O363" t="n">
        <x:v>22</x:v>
      </x:c>
      <x:c r="P363" t="n">
        <x:f>N363-O363</x:f>
        <x:v>0</x:v>
      </x:c>
      <x:c r="Q363" t="n">
        <x:v>0</x:v>
      </x:c>
      <x:c r="R363" t="n">
        <x:v>0</x:v>
      </x:c>
      <x:c r="S363" t="n">
        <x:f>Q363-R363</x:f>
        <x:v>0</x:v>
      </x:c>
      <x:c r="T363" t="n">
        <x:v>22</x:v>
      </x:c>
      <x:c r="U363" t="n">
        <x:v>22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f>IF(AND(ISNUMBER(G363),I363&lt;&gt;"Excluded INI"),MAX(0,G363-J363),"")</x:f>
        <x:v>128</x:v>
      </x:c>
      <x:c r="AC363" t="n">
        <x:v>9117</x:v>
      </x:c>
      <x:c r="AD363" t="n">
        <x:v>9793</x:v>
      </x:c>
      <x:c r="AE363" t="n">
        <x:v>10492</x:v>
      </x:c>
      <x:c r="AF363" t="n">
        <x:v>11119</x:v>
      </x:c>
      <x:c r="AG363" t="n">
        <x:v>22556</x:v>
      </x:c>
      <x:c r="AH363" t="n">
        <x:v>23729</x:v>
      </x:c>
      <x:c r="AI363" t="n">
        <x:v>49135</x:v>
      </x:c>
      <x:c r="AJ363" t="n">
        <x:v>51373</x:v>
      </x:c>
      <x:c r="AK363" t="n">
        <x:v>114585</x:v>
      </x:c>
      <x:c r="AL363" t="n">
        <x:v>114585</x:v>
      </x:c>
      <x:c r="AM363" t="str">
        <x:v>Fully allotted in R1; R2 opportunity depends on upgrade/non-joining</x:v>
      </x:c>
    </x:row>
    <x:row r="364">
      <x:c r="A364" t="str">
        <x:v>Tamil Nadu</x:v>
      </x:c>
      <x:c r="B364" t="str">
        <x:v>All India except Central University</x:v>
      </x:c>
      <x:c r="C364" t="str">
        <x:v>200555</x:v>
      </x:c>
      <x:c r="D364" t="str">
        <x:v>Government Medical College, Virudhunagar, 1 COLLECTORATE MASTER PLAN COMPLEX KOORAIKUNDU VILLAGE VIRUDHUNAGAR</x:v>
      </x:c>
      <x:c r="E364" t="str">
        <x:v>TN/030/G/1</x:v>
      </x:c>
      <x:c r="F364" t="str">
        <x:v>Government</x:v>
      </x:c>
      <x:c r="G364" t="n">
        <x:v>150</x:v>
      </x:c>
      <x:c r="H364" t="n">
        <x:v>100</x:v>
      </x:c>
      <x:c r="I364" t="str">
        <x:v>High-confidence fuzzy</x:v>
      </x:c>
      <x:c r="J364" t="n">
        <x:v>22</x:v>
      </x:c>
      <x:c r="K364" t="n">
        <x:v>22</x:v>
      </x:c>
      <x:c r="L364" t="n">
        <x:f>J364-K364</x:f>
        <x:v>0</x:v>
      </x:c>
      <x:c r="M364" s="20" t="n">
        <x:f>IFERROR(K364/J364,0)</x:f>
        <x:v>1</x:v>
      </x:c>
      <x:c r="N364" t="n">
        <x:v>22</x:v>
      </x:c>
      <x:c r="O364" t="n">
        <x:v>22</x:v>
      </x:c>
      <x:c r="P364" t="n">
        <x:f>N364-O364</x:f>
        <x:v>0</x:v>
      </x:c>
      <x:c r="Q364" t="n">
        <x:v>0</x:v>
      </x:c>
      <x:c r="R364" t="n">
        <x:v>0</x:v>
      </x:c>
      <x:c r="S364" t="n">
        <x:f>Q364-R364</x:f>
        <x:v>0</x:v>
      </x:c>
      <x:c r="T364" t="n">
        <x:v>22</x:v>
      </x:c>
      <x:c r="U364" t="n">
        <x:v>22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f>IF(AND(ISNUMBER(G364),I364&lt;&gt;"Excluded INI"),MAX(0,G364-J364),"")</x:f>
        <x:v>128</x:v>
      </x:c>
      <x:c r="AC364" t="n">
        <x:v>12811</x:v>
      </x:c>
      <x:c r="AD364" t="n">
        <x:v>13110</x:v>
      </x:c>
      <x:c r="AE364" t="n">
        <x:v>13576</x:v>
      </x:c>
      <x:c r="AF364" t="n">
        <x:v>13705</x:v>
      </x:c>
      <x:c r="AG364" t="n">
        <x:v>26405</x:v>
      </x:c>
      <x:c r="AH364" t="n">
        <x:v>26962</x:v>
      </x:c>
      <x:c r="AI364" t="n">
        <x:v>65773</x:v>
      </x:c>
      <x:c r="AJ364" t="n">
        <x:v>71378</x:v>
      </x:c>
      <x:c r="AK364" t="n">
        <x:v>131146</x:v>
      </x:c>
      <x:c r="AL364" t="n">
        <x:v>131758</x:v>
      </x:c>
      <x:c r="AM364" t="str">
        <x:v>Fully allotted in R1; R2 opportunity depends on upgrade/non-joining</x:v>
      </x:c>
    </x:row>
    <x:row r="365">
      <x:c r="A365" t="str">
        <x:v>Tamil Nadu</x:v>
      </x:c>
      <x:c r="B365" t="str">
        <x:v>All India except Central University</x:v>
      </x:c>
      <x:c r="C365" t="str">
        <x:v>200268</x:v>
      </x:c>
      <x:c r="D365" t="str">
        <x:v>Government Sivagangai Medical College, Sivaganga, MANAMADURAI MAIN ROAD, KEELA VANIYANKUDI, SIVAGANGAI</x:v>
      </x:c>
      <x:c r="E365" t="str">
        <x:v>TN/031/G/1</x:v>
      </x:c>
      <x:c r="F365" t="str">
        <x:v>Government</x:v>
      </x:c>
      <x:c r="G365" t="n">
        <x:v>100</x:v>
      </x:c>
      <x:c r="H365" t="n">
        <x:v>100</x:v>
      </x:c>
      <x:c r="I365" t="str">
        <x:v>High-confidence fuzzy</x:v>
      </x:c>
      <x:c r="J365" t="n">
        <x:v>15</x:v>
      </x:c>
      <x:c r="K365" t="n">
        <x:v>15</x:v>
      </x:c>
      <x:c r="L365" t="n">
        <x:f>J365-K365</x:f>
        <x:v>0</x:v>
      </x:c>
      <x:c r="M365" s="20" t="n">
        <x:f>IFERROR(K365/J365,0)</x:f>
        <x:v>1</x:v>
      </x:c>
      <x:c r="N365" t="n">
        <x:v>15</x:v>
      </x:c>
      <x:c r="O365" t="n">
        <x:v>15</x:v>
      </x:c>
      <x:c r="P365" t="n">
        <x:f>N365-O365</x:f>
        <x:v>0</x:v>
      </x:c>
      <x:c r="Q365" t="n">
        <x:v>0</x:v>
      </x:c>
      <x:c r="R365" t="n">
        <x:v>0</x:v>
      </x:c>
      <x:c r="S365" t="n">
        <x:f>Q365-R365</x:f>
        <x:v>0</x:v>
      </x:c>
      <x:c r="T365" t="n">
        <x:v>15</x:v>
      </x:c>
      <x:c r="U365" t="n">
        <x:v>15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f>IF(AND(ISNUMBER(G365),I365&lt;&gt;"Excluded INI"),MAX(0,G365-J365),"")</x:f>
        <x:v>85</x:v>
      </x:c>
      <x:c r="AC365" t="n">
        <x:v>12244</x:v>
      </x:c>
      <x:c r="AD365" t="n">
        <x:v>13055</x:v>
      </x:c>
      <x:c r="AE365" t="n">
        <x:v>13323</x:v>
      </x:c>
      <x:c r="AF365" t="n">
        <x:v>13385</x:v>
      </x:c>
      <x:c r="AG365" t="n">
        <x:v>24193</x:v>
      </x:c>
      <x:c r="AH365" t="n">
        <x:v>24193</x:v>
      </x:c>
      <x:c r="AI365" t="n">
        <x:v>67986</x:v>
      </x:c>
      <x:c r="AJ365" t="n">
        <x:v>69390</x:v>
      </x:c>
      <x:c r="AK365" t="n">
        <x:v>128706</x:v>
      </x:c>
      <x:c r="AL365" t="n">
        <x:v>128706</x:v>
      </x:c>
      <x:c r="AM365" t="str">
        <x:v>Fully allotted in R1; R2 opportunity depends on upgrade/non-joining</x:v>
      </x:c>
    </x:row>
    <x:row r="366">
      <x:c r="A366" t="str">
        <x:v>Tamil Nadu</x:v>
      </x:c>
      <x:c r="B366" t="str">
        <x:v>All India except Central University</x:v>
      </x:c>
      <x:c r="C366" t="str">
        <x:v>200283</x:v>
      </x:c>
      <x:c r="D366" t="str">
        <x:v>Government Thiruvannamalai Medical College, Thiruvannamalai, District Collectorate, Master Plan Complex, Vengikkal, Thiruvannamalai</x:v>
      </x:c>
      <x:c r="E366" t="str">
        <x:v>TN/032/G/1</x:v>
      </x:c>
      <x:c r="F366" t="str">
        <x:v>Government</x:v>
      </x:c>
      <x:c r="G366" t="n">
        <x:v>100</x:v>
      </x:c>
      <x:c r="H366" t="n">
        <x:v>100</x:v>
      </x:c>
      <x:c r="I366" t="str">
        <x:v>High-confidence fuzzy</x:v>
      </x:c>
      <x:c r="J366" t="n">
        <x:v>15</x:v>
      </x:c>
      <x:c r="K366" t="n">
        <x:v>15</x:v>
      </x:c>
      <x:c r="L366" t="n">
        <x:f>J366-K366</x:f>
        <x:v>0</x:v>
      </x:c>
      <x:c r="M366" s="20" t="n">
        <x:f>IFERROR(K366/J366,0)</x:f>
        <x:v>1</x:v>
      </x:c>
      <x:c r="N366" t="n">
        <x:v>15</x:v>
      </x:c>
      <x:c r="O366" t="n">
        <x:v>15</x:v>
      </x:c>
      <x:c r="P366" t="n">
        <x:f>N366-O366</x:f>
        <x:v>0</x:v>
      </x:c>
      <x:c r="Q366" t="n">
        <x:v>0</x:v>
      </x:c>
      <x:c r="R366" t="n">
        <x:v>0</x:v>
      </x:c>
      <x:c r="S366" t="n">
        <x:f>Q366-R366</x:f>
        <x:v>0</x:v>
      </x:c>
      <x:c r="T366" t="n">
        <x:v>15</x:v>
      </x:c>
      <x:c r="U366" t="n">
        <x:v>15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f>IF(AND(ISNUMBER(G366),I366&lt;&gt;"Excluded INI"),MAX(0,G366-J366),"")</x:f>
        <x:v>85</x:v>
      </x:c>
      <x:c r="AC366" t="n">
        <x:v>8358</x:v>
      </x:c>
      <x:c r="AD366" t="n">
        <x:v>9833</x:v>
      </x:c>
      <x:c r="AE366" t="n">
        <x:v>11022</x:v>
      </x:c>
      <x:c r="AF366" t="n">
        <x:v>11186</x:v>
      </x:c>
      <x:c r="AG366" t="n">
        <x:v>23810</x:v>
      </x:c>
      <x:c r="AH366" t="n">
        <x:v>25791</x:v>
      </x:c>
      <x:c r="AI366" t="n">
        <x:v>44569</x:v>
      </x:c>
      <x:c r="AJ366" t="n">
        <x:v>51289</x:v>
      </x:c>
      <x:c r="AK366" t="n">
        <x:v>98131</x:v>
      </x:c>
      <x:c r="AL366" t="n">
        <x:v>98131</x:v>
      </x:c>
      <x:c r="AM366" t="str">
        <x:v>Fully allotted in R1; R2 opportunity depends on upgrade/non-joining</x:v>
      </x:c>
    </x:row>
    <x:row r="367">
      <x:c r="A367" t="str">
        <x:v>Tamil Nadu</x:v>
      </x:c>
      <x:c r="B367" t="str">
        <x:v>All India except Central University</x:v>
      </x:c>
      <x:c r="C367" t="str">
        <x:v>200269</x:v>
      </x:c>
      <x:c r="D367" t="str">
        <x:v>Government Vellore Medical College, Vellore, Government Vellore Medical College and Hospital, Adukkamparai, Vellore.</x:v>
      </x:c>
      <x:c r="E367" t="str">
        <x:v>TN/033/G/1</x:v>
      </x:c>
      <x:c r="F367" t="str">
        <x:v>Government</x:v>
      </x:c>
      <x:c r="G367" t="n">
        <x:v>100</x:v>
      </x:c>
      <x:c r="H367" t="n">
        <x:v>100</x:v>
      </x:c>
      <x:c r="I367" t="str">
        <x:v>High-confidence fuzzy</x:v>
      </x:c>
      <x:c r="J367" t="n">
        <x:v>15</x:v>
      </x:c>
      <x:c r="K367" t="n">
        <x:v>15</x:v>
      </x:c>
      <x:c r="L367" t="n">
        <x:f>J367-K367</x:f>
        <x:v>0</x:v>
      </x:c>
      <x:c r="M367" s="20" t="n">
        <x:f>IFERROR(K367/J367,0)</x:f>
        <x:v>1</x:v>
      </x:c>
      <x:c r="N367" t="n">
        <x:v>15</x:v>
      </x:c>
      <x:c r="O367" t="n">
        <x:v>15</x:v>
      </x:c>
      <x:c r="P367" t="n">
        <x:f>N367-O367</x:f>
        <x:v>0</x:v>
      </x:c>
      <x:c r="Q367" t="n">
        <x:v>0</x:v>
      </x:c>
      <x:c r="R367" t="n">
        <x:v>0</x:v>
      </x:c>
      <x:c r="S367" t="n">
        <x:f>Q367-R367</x:f>
        <x:v>0</x:v>
      </x:c>
      <x:c r="T367" t="n">
        <x:v>15</x:v>
      </x:c>
      <x:c r="U367" t="n">
        <x:v>15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f>IF(AND(ISNUMBER(G367),I367&lt;&gt;"Excluded INI"),MAX(0,G367-J367),"")</x:f>
        <x:v>85</x:v>
      </x:c>
      <x:c r="AC367" t="n">
        <x:v>4766</x:v>
      </x:c>
      <x:c r="AD367" t="n">
        <x:v>5672</x:v>
      </x:c>
      <x:c r="AE367" t="n">
        <x:v>7199</x:v>
      </x:c>
      <x:c r="AF367" t="n">
        <x:v>7531</x:v>
      </x:c>
      <x:c r="AG367" t="n">
        <x:v>15233</x:v>
      </x:c>
      <x:c r="AH367" t="n">
        <x:v>16276</x:v>
      </x:c>
      <x:c r="AI367" t="n">
        <x:v>33050</x:v>
      </x:c>
      <x:c r="AJ367" t="n">
        <x:v>36390</x:v>
      </x:c>
      <x:c r="AK367" t="n">
        <x:v>84174</x:v>
      </x:c>
      <x:c r="AL367" t="n">
        <x:v>84174</x:v>
      </x:c>
      <x:c r="AM367" t="str">
        <x:v>Fully allotted in R1; R2 opportunity depends on upgrade/non-joining</x:v>
      </x:c>
    </x:row>
    <x:row r="368">
      <x:c r="A368" t="str">
        <x:v>Tamil Nadu</x:v>
      </x:c>
      <x:c r="B368" t="str">
        <x:v>All India except Central University</x:v>
      </x:c>
      <x:c r="C368" t="str">
        <x:v>200271</x:v>
      </x:c>
      <x:c r="D368" t="str">
        <x:v>Government Villupuram Medical College, Villupuram, THE DEAN, GOVERNMENT VILLUPURAM MEDICAL COLLEGE, TRICHY TRUNK ROAD, MUNDIYAMPAKKAM, VILLUPURAM</x:v>
      </x:c>
      <x:c r="E368" t="str">
        <x:v>TN/034/G/1</x:v>
      </x:c>
      <x:c r="F368" t="str">
        <x:v>Government</x:v>
      </x:c>
      <x:c r="G368" t="n">
        <x:v>100</x:v>
      </x:c>
      <x:c r="H368" t="n">
        <x:v>100</x:v>
      </x:c>
      <x:c r="I368" t="str">
        <x:v>High-confidence fuzzy</x:v>
      </x:c>
      <x:c r="J368" t="n">
        <x:v>15</x:v>
      </x:c>
      <x:c r="K368" t="n">
        <x:v>15</x:v>
      </x:c>
      <x:c r="L368" t="n">
        <x:f>J368-K368</x:f>
        <x:v>0</x:v>
      </x:c>
      <x:c r="M368" s="20" t="n">
        <x:f>IFERROR(K368/J368,0)</x:f>
        <x:v>1</x:v>
      </x:c>
      <x:c r="N368" t="n">
        <x:v>15</x:v>
      </x:c>
      <x:c r="O368" t="n">
        <x:v>15</x:v>
      </x:c>
      <x:c r="P368" t="n">
        <x:f>N368-O368</x:f>
        <x:v>0</x:v>
      </x:c>
      <x:c r="Q368" t="n">
        <x:v>0</x:v>
      </x:c>
      <x:c r="R368" t="n">
        <x:v>0</x:v>
      </x:c>
      <x:c r="S368" t="n">
        <x:f>Q368-R368</x:f>
        <x:v>0</x:v>
      </x:c>
      <x:c r="T368" t="n">
        <x:v>15</x:v>
      </x:c>
      <x:c r="U368" t="n">
        <x:v>15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f>IF(AND(ISNUMBER(G368),I368&lt;&gt;"Excluded INI"),MAX(0,G368-J368),"")</x:f>
        <x:v>85</x:v>
      </x:c>
      <x:c r="AC368" t="n">
        <x:v>8602</x:v>
      </x:c>
      <x:c r="AD368" t="n">
        <x:v>10187</x:v>
      </x:c>
      <x:c r="AE368" t="n">
        <x:v>10856</x:v>
      </x:c>
      <x:c r="AF368" t="n">
        <x:v>11051</x:v>
      </x:c>
      <x:c r="AG368" t="n">
        <x:v>24872</x:v>
      </x:c>
      <x:c r="AH368" t="n">
        <x:v>24872</x:v>
      </x:c>
      <x:c r="AI368" t="n">
        <x:v>41298</x:v>
      </x:c>
      <x:c r="AJ368" t="n">
        <x:v>44732</x:v>
      </x:c>
      <x:c r="AK368" t="n">
        <x:v>116316</x:v>
      </x:c>
      <x:c r="AL368" t="n">
        <x:v>116316</x:v>
      </x:c>
      <x:c r="AM368" t="str">
        <x:v>Fully allotted in R1; R2 opportunity depends on upgrade/non-joining</x:v>
      </x:c>
    </x:row>
    <x:row r="369">
      <x:c r="A369" t="str">
        <x:v>Tamil Nadu</x:v>
      </x:c>
      <x:c r="B369" t="str">
        <x:v>All India except Central University</x:v>
      </x:c>
      <x:c r="C369" t="str">
        <x:v>200266</x:v>
      </x:c>
      <x:c r="D369" t="str">
        <x:v>Govt. Mohan Kumaramangalam Medical College, Salem, MAJEERA KOLLAPPATTI, Salem steel Plant Road Salem 636030 TamilNadu</x:v>
      </x:c>
      <x:c r="E369" t="str">
        <x:v>TN/035/G/1</x:v>
      </x:c>
      <x:c r="F369" t="str">
        <x:v>Government</x:v>
      </x:c>
      <x:c r="G369" t="n">
        <x:v>100</x:v>
      </x:c>
      <x:c r="H369" t="n">
        <x:v>100</x:v>
      </x:c>
      <x:c r="I369" t="str">
        <x:v>High-confidence fuzzy</x:v>
      </x:c>
      <x:c r="J369" t="n">
        <x:v>15</x:v>
      </x:c>
      <x:c r="K369" t="n">
        <x:v>15</x:v>
      </x:c>
      <x:c r="L369" t="n">
        <x:f>J369-K369</x:f>
        <x:v>0</x:v>
      </x:c>
      <x:c r="M369" s="20" t="n">
        <x:f>IFERROR(K369/J369,0)</x:f>
        <x:v>1</x:v>
      </x:c>
      <x:c r="N369" t="n">
        <x:v>15</x:v>
      </x:c>
      <x:c r="O369" t="n">
        <x:v>15</x:v>
      </x:c>
      <x:c r="P369" t="n">
        <x:f>N369-O369</x:f>
        <x:v>0</x:v>
      </x:c>
      <x:c r="Q369" t="n">
        <x:v>0</x:v>
      </x:c>
      <x:c r="R369" t="n">
        <x:v>0</x:v>
      </x:c>
      <x:c r="S369" t="n">
        <x:f>Q369-R369</x:f>
        <x:v>0</x:v>
      </x:c>
      <x:c r="T369" t="n">
        <x:v>15</x:v>
      </x:c>
      <x:c r="U369" t="n">
        <x:v>15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f>IF(AND(ISNUMBER(G369),I369&lt;&gt;"Excluded INI"),MAX(0,G369-J369),"")</x:f>
        <x:v>85</x:v>
      </x:c>
      <x:c r="AC369" t="n">
        <x:v>2655</x:v>
      </x:c>
      <x:c r="AD369" t="n">
        <x:v>4538</x:v>
      </x:c>
      <x:c r="AE369" t="n">
        <x:v>5564</x:v>
      </x:c>
      <x:c r="AF369" t="n">
        <x:v>5834</x:v>
      </x:c>
      <x:c r="AG369" t="n">
        <x:v>19686</x:v>
      </x:c>
      <x:c r="AH369" t="n">
        <x:v>19686</x:v>
      </x:c>
      <x:c r="AI369" t="n">
        <x:v>29424</x:v>
      </x:c>
      <x:c r="AJ369" t="n">
        <x:v>36623</x:v>
      </x:c>
      <x:c r="AK369" t="n">
        <x:v>101427</x:v>
      </x:c>
      <x:c r="AL369" t="n">
        <x:v>101796</x:v>
      </x:c>
      <x:c r="AM369" t="str">
        <x:v>Fully allotted in R1; R2 opportunity depends on upgrade/non-joining</x:v>
      </x:c>
    </x:row>
    <x:row r="370">
      <x:c r="A370" t="str">
        <x:v>Tamil Nadu</x:v>
      </x:c>
      <x:c r="B370" t="str">
        <x:v>Deemed University</x:v>
      </x:c>
      <x:c r="C370" t="str">
        <x:v>902804</x:v>
      </x:c>
      <x:c r="D370" t="str">
        <x:v>J R Medical College and Hospital Villupuram District, Tamilnadu, Chennai-Trichy NH-45,Kiledaiyalam, Tindivanam Taluk,Villupuram District.</x:v>
      </x:c>
      <x:c r="E370" t="str">
        <x:v>TN/037/P/4</x:v>
      </x:c>
      <x:c r="F370" t="str">
        <x:v>Private</x:v>
      </x:c>
      <x:c r="G370" t="n">
        <x:v>200</x:v>
      </x:c>
      <x:c r="H370" t="n">
        <x:v>100</x:v>
      </x:c>
      <x:c r="I370" t="str">
        <x:v>High-confidence fuzzy</x:v>
      </x:c>
      <x:c r="J370" t="n">
        <x:v>200</x:v>
      </x:c>
      <x:c r="K370" t="n">
        <x:v>77</x:v>
      </x:c>
      <x:c r="L370" t="n">
        <x:f>J370-K370</x:f>
        <x:v>123</x:v>
      </x:c>
      <x:c r="M370" s="20" t="n">
        <x:f>IFERROR(K370/J370,0)</x:f>
        <x:v>0.385</x:v>
      </x:c>
      <x:c r="N370" t="n">
        <x:v>0</x:v>
      </x:c>
      <x:c r="O370" t="n">
        <x:v>0</x:v>
      </x:c>
      <x:c r="P370" t="n">
        <x:f>N370-O370</x:f>
        <x:v>0</x:v>
      </x:c>
      <x:c r="Q370" t="n">
        <x:v>200</x:v>
      </x:c>
      <x:c r="R370" t="n">
        <x:v>77</x:v>
      </x:c>
      <x:c r="S370" t="n">
        <x:f>Q370-R370</x:f>
        <x:v>123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200</x:v>
      </x:c>
      <x:c r="Y370" t="n">
        <x:v>77</x:v>
      </x:c>
      <x:c r="Z370" t="n">
        <x:v>0</x:v>
      </x:c>
      <x:c r="AA370" t="n">
        <x:v>0</x:v>
      </x:c>
      <x:c r="AB370" t="n">
        <x:f>IF(AND(ISNUMBER(G370),I370&lt;&gt;"Excluded INI"),MAX(0,G370-J370),"")</x:f>
        <x:v>0</x:v>
      </x:c>
      <x:c r="AC370" t="n">
        <x:v>967140</x:v>
      </x:c>
      <x:c r="AD370" t="n">
        <x:v>1194131</x:v>
      </x:c>
      <x:c r="AE370"/>
      <x:c r="AF370"/>
      <x:c r="AG370"/>
      <x:c r="AH370"/>
      <x:c r="AI370"/>
      <x:c r="AJ370"/>
      <x:c r="AK370"/>
      <x:c r="AL370"/>
      <x:c r="AM370" t="str">
        <x:v>Unfilled mainly private/NRI/minority; regular R2 depends on movement</x:v>
      </x:c>
    </x:row>
    <x:row r="371">
      <x:c r="A371" t="str">
        <x:v>Tamil Nadu</x:v>
      </x:c>
      <x:c r="B371" t="str">
        <x:v>All India except Central University</x:v>
      </x:c>
      <x:c r="C371" t="str">
        <x:v>200273</x:v>
      </x:c>
      <x:c r="D371" t="str">
        <x:v>K A P Viswanathan Government Medical College, Trichy, PERIYAMILAGUPARAI, TIRUCHIRAPALLI-620001</x:v>
      </x:c>
      <x:c r="E371" t="str">
        <x:v>TN/038/G/1</x:v>
      </x:c>
      <x:c r="F371" t="str">
        <x:v>Government</x:v>
      </x:c>
      <x:c r="G371" t="n">
        <x:v>150</x:v>
      </x:c>
      <x:c r="H371" t="n">
        <x:v>100</x:v>
      </x:c>
      <x:c r="I371" t="str">
        <x:v>High-confidence fuzzy</x:v>
      </x:c>
      <x:c r="J371" t="n">
        <x:v>23</x:v>
      </x:c>
      <x:c r="K371" t="n">
        <x:v>23</x:v>
      </x:c>
      <x:c r="L371" t="n">
        <x:f>J371-K371</x:f>
        <x:v>0</x:v>
      </x:c>
      <x:c r="M371" s="20" t="n">
        <x:f>IFERROR(K371/J371,0)</x:f>
        <x:v>1</x:v>
      </x:c>
      <x:c r="N371" t="n">
        <x:v>23</x:v>
      </x:c>
      <x:c r="O371" t="n">
        <x:v>23</x:v>
      </x:c>
      <x:c r="P371" t="n">
        <x:f>N371-O371</x:f>
        <x:v>0</x:v>
      </x:c>
      <x:c r="Q371" t="n">
        <x:v>0</x:v>
      </x:c>
      <x:c r="R371" t="n">
        <x:v>0</x:v>
      </x:c>
      <x:c r="S371" t="n">
        <x:f>Q371-R371</x:f>
        <x:v>0</x:v>
      </x:c>
      <x:c r="T371" t="n">
        <x:v>23</x:v>
      </x:c>
      <x:c r="U371" t="n">
        <x:v>23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f>IF(AND(ISNUMBER(G371),I371&lt;&gt;"Excluded INI"),MAX(0,G371-J371),"")</x:f>
        <x:v>127</x:v>
      </x:c>
      <x:c r="AC371" t="n">
        <x:v>6031</x:v>
      </x:c>
      <x:c r="AD371" t="n">
        <x:v>6167</x:v>
      </x:c>
      <x:c r="AE371" t="n">
        <x:v>6714</x:v>
      </x:c>
      <x:c r="AF371" t="n">
        <x:v>6828</x:v>
      </x:c>
      <x:c r="AG371" t="n">
        <x:v>20778</x:v>
      </x:c>
      <x:c r="AH371" t="n">
        <x:v>20845</x:v>
      </x:c>
      <x:c r="AI371" t="n">
        <x:v>37154</x:v>
      </x:c>
      <x:c r="AJ371" t="n">
        <x:v>38193</x:v>
      </x:c>
      <x:c r="AK371" t="n">
        <x:v>116307</x:v>
      </x:c>
      <x:c r="AL371" t="n">
        <x:v>116307</x:v>
      </x:c>
      <x:c r="AM371" t="str">
        <x:v>Fully allotted in R1; R2 opportunity depends on upgrade/non-joining</x:v>
      </x:c>
    </x:row>
    <x:row r="372">
      <x:c r="A372" t="str">
        <x:v>Tamil Nadu</x:v>
      </x:c>
      <x:c r="B372" t="str">
        <x:v>All India except Central University</x:v>
      </x:c>
      <x:c r="C372" t="str">
        <x:v>200274</x:v>
      </x:c>
      <x:c r="D372" t="str">
        <x:v>KanyaKumari Government Medical College, Asaripallam, ASARIPALLAM, KANYAKUMARI DISTRICT-629201</x:v>
      </x:c>
      <x:c r="E372" t="str">
        <x:v>TN/039/G/1</x:v>
      </x:c>
      <x:c r="F372" t="str">
        <x:v>Government</x:v>
      </x:c>
      <x:c r="G372" t="n">
        <x:v>150</x:v>
      </x:c>
      <x:c r="H372" t="n">
        <x:v>100</x:v>
      </x:c>
      <x:c r="I372" t="str">
        <x:v>High-confidence fuzzy</x:v>
      </x:c>
      <x:c r="J372" t="n">
        <x:v>22</x:v>
      </x:c>
      <x:c r="K372" t="n">
        <x:v>22</x:v>
      </x:c>
      <x:c r="L372" t="n">
        <x:f>J372-K372</x:f>
        <x:v>0</x:v>
      </x:c>
      <x:c r="M372" s="20" t="n">
        <x:f>IFERROR(K372/J372,0)</x:f>
        <x:v>1</x:v>
      </x:c>
      <x:c r="N372" t="n">
        <x:v>22</x:v>
      </x:c>
      <x:c r="O372" t="n">
        <x:v>22</x:v>
      </x:c>
      <x:c r="P372" t="n">
        <x:f>N372-O372</x:f>
        <x:v>0</x:v>
      </x:c>
      <x:c r="Q372" t="n">
        <x:v>0</x:v>
      </x:c>
      <x:c r="R372" t="n">
        <x:v>0</x:v>
      </x:c>
      <x:c r="S372" t="n">
        <x:f>Q372-R372</x:f>
        <x:v>0</x:v>
      </x:c>
      <x:c r="T372" t="n">
        <x:v>22</x:v>
      </x:c>
      <x:c r="U372" t="n">
        <x:v>22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f>IF(AND(ISNUMBER(G372),I372&lt;&gt;"Excluded INI"),MAX(0,G372-J372),"")</x:f>
        <x:v>128</x:v>
      </x:c>
      <x:c r="AC372" t="n">
        <x:v>8104</x:v>
      </x:c>
      <x:c r="AD372" t="n">
        <x:v>8759</x:v>
      </x:c>
      <x:c r="AE372" t="n">
        <x:v>8976</x:v>
      </x:c>
      <x:c r="AF372" t="n">
        <x:v>9317</x:v>
      </x:c>
      <x:c r="AG372" t="n">
        <x:v>22556</x:v>
      </x:c>
      <x:c r="AH372" t="n">
        <x:v>23492</x:v>
      </x:c>
      <x:c r="AI372" t="n">
        <x:v>52840</x:v>
      </x:c>
      <x:c r="AJ372" t="n">
        <x:v>56796</x:v>
      </x:c>
      <x:c r="AK372" t="n">
        <x:v>124098</x:v>
      </x:c>
      <x:c r="AL372" t="n">
        <x:v>124561</x:v>
      </x:c>
      <x:c r="AM372" t="str">
        <x:v>Fully allotted in R1; R2 opportunity depends on upgrade/non-joining</x:v>
      </x:c>
    </x:row>
    <x:row r="373">
      <x:c r="A373" t="str">
        <x:v>Tamil Nadu</x:v>
      </x:c>
      <x:c r="B373" t="str">
        <x:v>All India except Central University</x:v>
      </x:c>
      <x:c r="C373" t="str">
        <x:v>200263</x:v>
      </x:c>
      <x:c r="D373" t="str">
        <x:v>Kilpauk Medical College, Chennai, No. 822, EVR Periyar salai, Kilpauk,Chennai</x:v>
      </x:c>
      <x:c r="E373" t="str">
        <x:v>TN/043/G/1</x:v>
      </x:c>
      <x:c r="F373" t="str">
        <x:v>Government</x:v>
      </x:c>
      <x:c r="G373" t="n">
        <x:v>150</x:v>
      </x:c>
      <x:c r="H373" t="n">
        <x:v>100</x:v>
      </x:c>
      <x:c r="I373" t="str">
        <x:v>High-confidence fuzzy</x:v>
      </x:c>
      <x:c r="J373" t="n">
        <x:v>22</x:v>
      </x:c>
      <x:c r="K373" t="n">
        <x:v>22</x:v>
      </x:c>
      <x:c r="L373" t="n">
        <x:f>J373-K373</x:f>
        <x:v>0</x:v>
      </x:c>
      <x:c r="M373" s="20" t="n">
        <x:f>IFERROR(K373/J373,0)</x:f>
        <x:v>1</x:v>
      </x:c>
      <x:c r="N373" t="n">
        <x:v>22</x:v>
      </x:c>
      <x:c r="O373" t="n">
        <x:v>22</x:v>
      </x:c>
      <x:c r="P373" t="n">
        <x:f>N373-O373</x:f>
        <x:v>0</x:v>
      </x:c>
      <x:c r="Q373" t="n">
        <x:v>0</x:v>
      </x:c>
      <x:c r="R373" t="n">
        <x:v>0</x:v>
      </x:c>
      <x:c r="S373" t="n">
        <x:f>Q373-R373</x:f>
        <x:v>0</x:v>
      </x:c>
      <x:c r="T373" t="n">
        <x:v>22</x:v>
      </x:c>
      <x:c r="U373" t="n">
        <x:v>22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f>IF(AND(ISNUMBER(G373),I373&lt;&gt;"Excluded INI"),MAX(0,G373-J373),"")</x:f>
        <x:v>128</x:v>
      </x:c>
      <x:c r="AC373" t="n">
        <x:v>1636</x:v>
      </x:c>
      <x:c r="AD373" t="n">
        <x:v>1942</x:v>
      </x:c>
      <x:c r="AE373" t="n">
        <x:v>2024</x:v>
      </x:c>
      <x:c r="AF373" t="n">
        <x:v>2165</x:v>
      </x:c>
      <x:c r="AG373" t="n">
        <x:v>11980</x:v>
      </x:c>
      <x:c r="AH373" t="n">
        <x:v>14040</x:v>
      </x:c>
      <x:c r="AI373" t="n">
        <x:v>9718</x:v>
      </x:c>
      <x:c r="AJ373" t="n">
        <x:v>13776</x:v>
      </x:c>
      <x:c r="AK373" t="n">
        <x:v>59028</x:v>
      </x:c>
      <x:c r="AL373" t="n">
        <x:v>61551</x:v>
      </x:c>
      <x:c r="AM373" t="str">
        <x:v>Fully allotted in R1; R2 opportunity depends on upgrade/non-joining</x:v>
      </x:c>
    </x:row>
    <x:row r="374">
      <x:c r="A374" t="str">
        <x:v>Tamil Nadu</x:v>
      </x:c>
      <x:c r="B374" t="str">
        <x:v>All India except Central University</x:v>
      </x:c>
      <x:c r="C374" t="str">
        <x:v>200275</x:v>
      </x:c>
      <x:c r="D374" t="str">
        <x:v>Madras Medical College, Chennai, MADRAS MEDICAL COLLEGE EVR PERIYAR SALAI,PARK TOWN,CHENNAI,TAMIL NADU.</x:v>
      </x:c>
      <x:c r="E374" t="str">
        <x:v>TN/046/G/1</x:v>
      </x:c>
      <x:c r="F374" t="str">
        <x:v>Government</x:v>
      </x:c>
      <x:c r="G374" t="n">
        <x:v>250</x:v>
      </x:c>
      <x:c r="H374" t="n">
        <x:v>100</x:v>
      </x:c>
      <x:c r="I374" t="str">
        <x:v>High-confidence fuzzy</x:v>
      </x:c>
      <x:c r="J374" t="n">
        <x:v>38</x:v>
      </x:c>
      <x:c r="K374" t="n">
        <x:v>38</x:v>
      </x:c>
      <x:c r="L374" t="n">
        <x:f>J374-K374</x:f>
        <x:v>0</x:v>
      </x:c>
      <x:c r="M374" s="20" t="n">
        <x:f>IFERROR(K374/J374,0)</x:f>
        <x:v>1</x:v>
      </x:c>
      <x:c r="N374" t="n">
        <x:v>38</x:v>
      </x:c>
      <x:c r="O374" t="n">
        <x:v>38</x:v>
      </x:c>
      <x:c r="P374" t="n">
        <x:f>N374-O374</x:f>
        <x:v>0</x:v>
      </x:c>
      <x:c r="Q374" t="n">
        <x:v>0</x:v>
      </x:c>
      <x:c r="R374" t="n">
        <x:v>0</x:v>
      </x:c>
      <x:c r="S374" t="n">
        <x:f>Q374-R374</x:f>
        <x:v>0</x:v>
      </x:c>
      <x:c r="T374" t="n">
        <x:v>38</x:v>
      </x:c>
      <x:c r="U374" t="n">
        <x:v>38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f>IF(AND(ISNUMBER(G374),I374&lt;&gt;"Excluded INI"),MAX(0,G374-J374),"")</x:f>
        <x:v>212</x:v>
      </x:c>
      <x:c r="AC374" t="n">
        <x:v>486</x:v>
      </x:c>
      <x:c r="AD374" t="n">
        <x:v>672</x:v>
      </x:c>
      <x:c r="AE374" t="n">
        <x:v>882</x:v>
      </x:c>
      <x:c r="AF374" t="n">
        <x:v>1007</x:v>
      </x:c>
      <x:c r="AG374" t="n">
        <x:v>4150</x:v>
      </x:c>
      <x:c r="AH374" t="n">
        <x:v>4206</x:v>
      </x:c>
      <x:c r="AI374" t="n">
        <x:v>4107</x:v>
      </x:c>
      <x:c r="AJ374" t="n">
        <x:v>4398</x:v>
      </x:c>
      <x:c r="AK374" t="n">
        <x:v>18496</x:v>
      </x:c>
      <x:c r="AL374" t="n">
        <x:v>21077</x:v>
      </x:c>
      <x:c r="AM374" t="str">
        <x:v>Fully allotted in R1; R2 opportunity depends on upgrade/non-joining</x:v>
      </x:c>
    </x:row>
    <x:row r="375">
      <x:c r="A375" t="str">
        <x:v>Tamil Nadu</x:v>
      </x:c>
      <x:c r="B375" t="str">
        <x:v>All India except Central University</x:v>
      </x:c>
      <x:c r="C375" t="str">
        <x:v>200276</x:v>
      </x:c>
      <x:c r="D375" t="str">
        <x:v>Madurai Medical College, Madurai, PANAGAL ROAD MADURAI, Tamil Nadu, 625020</x:v>
      </x:c>
      <x:c r="E375" t="str">
        <x:v>TN/047/G/1</x:v>
      </x:c>
      <x:c r="F375" t="str">
        <x:v>Government</x:v>
      </x:c>
      <x:c r="G375" t="n">
        <x:v>250</x:v>
      </x:c>
      <x:c r="H375" t="n">
        <x:v>100</x:v>
      </x:c>
      <x:c r="I375" t="str">
        <x:v>High-confidence fuzzy</x:v>
      </x:c>
      <x:c r="J375" t="n">
        <x:v>38</x:v>
      </x:c>
      <x:c r="K375" t="n">
        <x:v>38</x:v>
      </x:c>
      <x:c r="L375" t="n">
        <x:f>J375-K375</x:f>
        <x:v>0</x:v>
      </x:c>
      <x:c r="M375" s="20" t="n">
        <x:f>IFERROR(K375/J375,0)</x:f>
        <x:v>1</x:v>
      </x:c>
      <x:c r="N375" t="n">
        <x:v>38</x:v>
      </x:c>
      <x:c r="O375" t="n">
        <x:v>38</x:v>
      </x:c>
      <x:c r="P375" t="n">
        <x:f>N375-O375</x:f>
        <x:v>0</x:v>
      </x:c>
      <x:c r="Q375" t="n">
        <x:v>0</x:v>
      </x:c>
      <x:c r="R375" t="n">
        <x:v>0</x:v>
      </x:c>
      <x:c r="S375" t="n">
        <x:f>Q375-R375</x:f>
        <x:v>0</x:v>
      </x:c>
      <x:c r="T375" t="n">
        <x:v>38</x:v>
      </x:c>
      <x:c r="U375" t="n">
        <x:v>38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f>IF(AND(ISNUMBER(G375),I375&lt;&gt;"Excluded INI"),MAX(0,G375-J375),"")</x:f>
        <x:v>212</x:v>
      </x:c>
      <x:c r="AC375" t="n">
        <x:v>2538</x:v>
      </x:c>
      <x:c r="AD375" t="n">
        <x:v>2907</x:v>
      </x:c>
      <x:c r="AE375" t="n">
        <x:v>3479</x:v>
      </x:c>
      <x:c r="AF375" t="n">
        <x:v>3757</x:v>
      </x:c>
      <x:c r="AG375" t="n">
        <x:v>14903</x:v>
      </x:c>
      <x:c r="AH375" t="n">
        <x:v>15712</x:v>
      </x:c>
      <x:c r="AI375" t="n">
        <x:v>17844</x:v>
      </x:c>
      <x:c r="AJ375" t="n">
        <x:v>23190</x:v>
      </x:c>
      <x:c r="AK375" t="n">
        <x:v>82007</x:v>
      </x:c>
      <x:c r="AL375" t="n">
        <x:v>87920</x:v>
      </x:c>
      <x:c r="AM375" t="str">
        <x:v>Fully allotted in R1; R2 opportunity depends on upgrade/non-joining</x:v>
      </x:c>
    </x:row>
    <x:row r="376">
      <x:c r="A376" t="str">
        <x:v>Tamil Nadu</x:v>
      </x:c>
      <x:c r="B376" t="str">
        <x:v>Deemed University</x:v>
      </x:c>
      <x:c r="C376" t="str">
        <x:v>200386</x:v>
      </x:c>
      <x:c r="D376" t="str">
        <x:v>Meenakshi Medical College and Research Institute, Enathur, Enathur, Karaipettai Post, Kanchipuram</x:v>
      </x:c>
      <x:c r="E376" t="str">
        <x:v>TN/048/P/3</x:v>
      </x:c>
      <x:c r="F376" t="str">
        <x:v>Private</x:v>
      </x:c>
      <x:c r="G376" t="n">
        <x:v>250</x:v>
      </x:c>
      <x:c r="H376" t="n">
        <x:v>100</x:v>
      </x:c>
      <x:c r="I376" t="str">
        <x:v>High-confidence fuzzy</x:v>
      </x:c>
      <x:c r="J376" t="n">
        <x:v>250</x:v>
      </x:c>
      <x:c r="K376" t="n">
        <x:v>250</x:v>
      </x:c>
      <x:c r="L376" t="n">
        <x:f>J376-K376</x:f>
        <x:v>0</x:v>
      </x:c>
      <x:c r="M376" s="20" t="n">
        <x:f>IFERROR(K376/J376,0)</x:f>
        <x:v>1</x:v>
      </x:c>
      <x:c r="N376" t="n">
        <x:v>0</x:v>
      </x:c>
      <x:c r="O376" t="n">
        <x:v>0</x:v>
      </x:c>
      <x:c r="P376" t="n">
        <x:f>N376-O376</x:f>
        <x:v>0</x:v>
      </x:c>
      <x:c r="Q376" t="n">
        <x:v>250</x:v>
      </x:c>
      <x:c r="R376" t="n">
        <x:v>250</x:v>
      </x:c>
      <x:c r="S376" t="n">
        <x:f>Q376-R376</x:f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250</x:v>
      </x:c>
      <x:c r="Y376" t="n">
        <x:v>250</x:v>
      </x:c>
      <x:c r="Z376" t="n">
        <x:v>0</x:v>
      </x:c>
      <x:c r="AA376" t="n">
        <x:v>0</x:v>
      </x:c>
      <x:c r="AB376" t="n">
        <x:f>IF(AND(ISNUMBER(G376),I376&lt;&gt;"Excluded INI"),MAX(0,G376-J376),"")</x:f>
        <x:v>0</x:v>
      </x:c>
      <x:c r="AC376" t="n">
        <x:v>798969</x:v>
      </x:c>
      <x:c r="AD376" t="n">
        <x:v>992101</x:v>
      </x:c>
      <x:c r="AE376"/>
      <x:c r="AF376"/>
      <x:c r="AG376"/>
      <x:c r="AH376"/>
      <x:c r="AI376"/>
      <x:c r="AJ376"/>
      <x:c r="AK376"/>
      <x:c r="AL376"/>
      <x:c r="AM376" t="str">
        <x:v>Fully allotted in R1; R2 opportunity depends on upgrade/non-joining</x:v>
      </x:c>
    </x:row>
    <x:row r="377">
      <x:c r="A377" t="str">
        <x:v>Tamil Nadu</x:v>
      </x:c>
      <x:c r="B377" t="str">
        <x:v>Deemed University</x:v>
      </x:c>
      <x:c r="C377" t="str">
        <x:v>200399</x:v>
      </x:c>
      <x:c r="D377" t="str">
        <x:v>SRM Medical College Hospital &amp; Research Centre, Kancheepuram, SRM MEDICAL COLLEGE HOSPITAL AND RESEARCH CENTRE, POTHERI, KATTANKULATHUR 603203, CHENGALPATTU DIST.</x:v>
      </x:c>
      <x:c r="E377" t="str">
        <x:v>TN/006/G/1</x:v>
      </x:c>
      <x:c r="F377" t="str">
        <x:v>Government</x:v>
      </x:c>
      <x:c r="G377" t="n">
        <x:v>100</x:v>
      </x:c>
      <x:c r="H377" t="n">
        <x:v>100</x:v>
      </x:c>
      <x:c r="I377" t="str">
        <x:v>High-confidence fuzzy</x:v>
      </x:c>
      <x:c r="J377" t="n">
        <x:v>250</x:v>
      </x:c>
      <x:c r="K377" t="n">
        <x:v>248</x:v>
      </x:c>
      <x:c r="L377" t="n">
        <x:f>J377-K377</x:f>
        <x:v>2</x:v>
      </x:c>
      <x:c r="M377" s="20" t="n">
        <x:f>IFERROR(K377/J377,0)</x:f>
        <x:v>0.992</x:v>
      </x:c>
      <x:c r="N377" t="n">
        <x:v>0</x:v>
      </x:c>
      <x:c r="O377" t="n">
        <x:v>0</x:v>
      </x:c>
      <x:c r="P377" t="n">
        <x:f>N377-O377</x:f>
        <x:v>0</x:v>
      </x:c>
      <x:c r="Q377" t="n">
        <x:v>250</x:v>
      </x:c>
      <x:c r="R377" t="n">
        <x:v>248</x:v>
      </x:c>
      <x:c r="S377" t="n">
        <x:f>Q377-R377</x:f>
        <x:v>2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247</x:v>
      </x:c>
      <x:c r="Y377" t="n">
        <x:v>247</x:v>
      </x:c>
      <x:c r="Z377" t="n">
        <x:v>3</x:v>
      </x:c>
      <x:c r="AA377" t="n">
        <x:v>1</x:v>
      </x:c>
      <x:c r="AB377" t="n">
        <x:f>IF(AND(ISNUMBER(G377),I377&lt;&gt;"Excluded INI"),MAX(0,G377-J377),"")</x:f>
        <x:v>0</x:v>
      </x:c>
      <x:c r="AC377" t="n">
        <x:v>609461</x:v>
      </x:c>
      <x:c r="AD377" t="n">
        <x:v>905223</x:v>
      </x:c>
      <x:c r="AE377"/>
      <x:c r="AF377"/>
      <x:c r="AG377"/>
      <x:c r="AH377"/>
      <x:c r="AI377"/>
      <x:c r="AJ377"/>
      <x:c r="AK377"/>
      <x:c r="AL377"/>
      <x:c r="AM377" t="str">
        <x:v>Unfilled mainly private/NRI/minority; regular R2 depends on movement</x:v>
      </x:c>
    </x:row>
    <x:row r="378">
      <x:c r="A378" t="str">
        <x:v>Tamil Nadu</x:v>
      </x:c>
      <x:c r="B378" t="str">
        <x:v>Deemed University</x:v>
      </x:c>
      <x:c r="C378" t="str">
        <x:v>904746</x:v>
      </x:c>
      <x:c r="D378" t="str">
        <x:v>ST Peters Medical College, Hospital &amp; Research Institute, Dr MGR Nagar, Near AERI Campus, Opp SIPCOT –II, Hosur, Krishnagiri District</x:v>
      </x:c>
      <x:c r="E378" t="str">
        <x:v>TN/064/P/3</x:v>
      </x:c>
      <x:c r="F378" t="str">
        <x:v>Private</x:v>
      </x:c>
      <x:c r="G378" t="n">
        <x:v>250</x:v>
      </x:c>
      <x:c r="H378" t="n">
        <x:v>100</x:v>
      </x:c>
      <x:c r="I378" t="str">
        <x:v>High-confidence fuzzy</x:v>
      </x:c>
      <x:c r="J378" t="n">
        <x:v>250</x:v>
      </x:c>
      <x:c r="K378" t="n">
        <x:v>230</x:v>
      </x:c>
      <x:c r="L378" t="n">
        <x:f>J378-K378</x:f>
        <x:v>20</x:v>
      </x:c>
      <x:c r="M378" s="20" t="n">
        <x:f>IFERROR(K378/J378,0)</x:f>
        <x:v>0.92</x:v>
      </x:c>
      <x:c r="N378" t="n">
        <x:v>0</x:v>
      </x:c>
      <x:c r="O378" t="n">
        <x:v>0</x:v>
      </x:c>
      <x:c r="P378" t="n">
        <x:f>N378-O378</x:f>
        <x:v>0</x:v>
      </x:c>
      <x:c r="Q378" t="n">
        <x:v>250</x:v>
      </x:c>
      <x:c r="R378" t="n">
        <x:v>230</x:v>
      </x:c>
      <x:c r="S378" t="n">
        <x:f>Q378-R378</x:f>
        <x:v>20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230</x:v>
      </x:c>
      <x:c r="Y378" t="n">
        <x:v>230</x:v>
      </x:c>
      <x:c r="Z378" t="n">
        <x:v>20</x:v>
      </x:c>
      <x:c r="AA378" t="n">
        <x:v>0</x:v>
      </x:c>
      <x:c r="AB378" t="n">
        <x:f>IF(AND(ISNUMBER(G378),I378&lt;&gt;"Excluded INI"),MAX(0,G378-J378),"")</x:f>
        <x:v>0</x:v>
      </x:c>
      <x:c r="AC378" t="n">
        <x:v>703545</x:v>
      </x:c>
      <x:c r="AD378" t="n">
        <x:v>874702</x:v>
      </x:c>
      <x:c r="AE378"/>
      <x:c r="AF378"/>
      <x:c r="AG378"/>
      <x:c r="AH378"/>
      <x:c r="AI378"/>
      <x:c r="AJ378"/>
      <x:c r="AK378"/>
      <x:c r="AL378"/>
      <x:c r="AM378" t="str">
        <x:v>Unfilled mainly private/NRI/minority; regular R2 depends on movement</x:v>
      </x:c>
    </x:row>
    <x:row r="379">
      <x:c r="A379" t="str">
        <x:v>Tamil Nadu</x:v>
      </x:c>
      <x:c r="B379" t="str">
        <x:v>Deemed University</x:v>
      </x:c>
      <x:c r="C379" t="str">
        <x:v>200389</x:v>
      </x:c>
      <x:c r="D379" t="str">
        <x:v>Saveetha Medical College and Hospital, Kanchipuram, Saveetha Nagar, Thandalam, Chennai</x:v>
      </x:c>
      <x:c r="E379" t="str">
        <x:v>TN/055/P/3</x:v>
      </x:c>
      <x:c r="F379" t="str">
        <x:v>Private</x:v>
      </x:c>
      <x:c r="G379" t="n">
        <x:v>250</x:v>
      </x:c>
      <x:c r="H379" t="n">
        <x:v>100</x:v>
      </x:c>
      <x:c r="I379" t="str">
        <x:v>High-confidence fuzzy</x:v>
      </x:c>
      <x:c r="J379" t="n">
        <x:v>250</x:v>
      </x:c>
      <x:c r="K379" t="n">
        <x:v>250</x:v>
      </x:c>
      <x:c r="L379" t="n">
        <x:f>J379-K379</x:f>
        <x:v>0</x:v>
      </x:c>
      <x:c r="M379" s="20" t="n">
        <x:f>IFERROR(K379/J379,0)</x:f>
        <x:v>1</x:v>
      </x:c>
      <x:c r="N379" t="n">
        <x:v>0</x:v>
      </x:c>
      <x:c r="O379" t="n">
        <x:v>0</x:v>
      </x:c>
      <x:c r="P379" t="n">
        <x:f>N379-O379</x:f>
        <x:v>0</x:v>
      </x:c>
      <x:c r="Q379" t="n">
        <x:v>250</x:v>
      </x:c>
      <x:c r="R379" t="n">
        <x:v>250</x:v>
      </x:c>
      <x:c r="S379" t="n">
        <x:f>Q379-R379</x:f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249</x:v>
      </x:c>
      <x:c r="Y379" t="n">
        <x:v>249</x:v>
      </x:c>
      <x:c r="Z379" t="n">
        <x:v>1</x:v>
      </x:c>
      <x:c r="AA379" t="n">
        <x:v>1</x:v>
      </x:c>
      <x:c r="AB379" t="n">
        <x:f>IF(AND(ISNUMBER(G379),I379&lt;&gt;"Excluded INI"),MAX(0,G379-J379),"")</x:f>
        <x:v>0</x:v>
      </x:c>
      <x:c r="AC379" t="n">
        <x:v>454062</x:v>
      </x:c>
      <x:c r="AD379" t="n">
        <x:v>599305</x:v>
      </x:c>
      <x:c r="AE379"/>
      <x:c r="AF379"/>
      <x:c r="AG379"/>
      <x:c r="AH379"/>
      <x:c r="AI379"/>
      <x:c r="AJ379"/>
      <x:c r="AK379"/>
      <x:c r="AL379"/>
      <x:c r="AM379" t="str">
        <x:v>Fully allotted in R1; R2 opportunity depends on upgrade/non-joining</x:v>
      </x:c>
    </x:row>
    <x:row r="380">
      <x:c r="A380" t="str">
        <x:v>Tamil Nadu</x:v>
      </x:c>
      <x:c r="B380" t="str">
        <x:v>Deemed University</x:v>
      </x:c>
      <x:c r="C380" t="str">
        <x:v>200390</x:v>
      </x:c>
      <x:c r="D380" t="str">
        <x:v>Shri Sathya Sai Medical College and Research Institute, Kancheepuram, SBV Chennai Campus, Shri Sathya Sai Nagar, Ammapettai, Chennai</x:v>
      </x:c>
      <x:c r="E380" t="str">
        <x:v>TN/056/P/3</x:v>
      </x:c>
      <x:c r="F380" t="str">
        <x:v>Private</x:v>
      </x:c>
      <x:c r="G380" t="n">
        <x:v>250</x:v>
      </x:c>
      <x:c r="H380" t="n">
        <x:v>100</x:v>
      </x:c>
      <x:c r="I380" t="str">
        <x:v>High-confidence fuzzy</x:v>
      </x:c>
      <x:c r="J380" t="n">
        <x:v>250</x:v>
      </x:c>
      <x:c r="K380" t="n">
        <x:v>237</x:v>
      </x:c>
      <x:c r="L380" t="n">
        <x:f>J380-K380</x:f>
        <x:v>13</x:v>
      </x:c>
      <x:c r="M380" s="20" t="n">
        <x:f>IFERROR(K380/J380,0)</x:f>
        <x:v>0.948</x:v>
      </x:c>
      <x:c r="N380" t="n">
        <x:v>0</x:v>
      </x:c>
      <x:c r="O380" t="n">
        <x:v>0</x:v>
      </x:c>
      <x:c r="P380" t="n">
        <x:f>N380-O380</x:f>
        <x:v>0</x:v>
      </x:c>
      <x:c r="Q380" t="n">
        <x:v>250</x:v>
      </x:c>
      <x:c r="R380" t="n">
        <x:v>237</x:v>
      </x:c>
      <x:c r="S380" t="n">
        <x:f>Q380-R380</x:f>
        <x:v>13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240</x:v>
      </x:c>
      <x:c r="Y380" t="n">
        <x:v>237</x:v>
      </x:c>
      <x:c r="Z380" t="n">
        <x:v>10</x:v>
      </x:c>
      <x:c r="AA380" t="n">
        <x:v>0</x:v>
      </x:c>
      <x:c r="AB380" t="n">
        <x:f>IF(AND(ISNUMBER(G380),I380&lt;&gt;"Excluded INI"),MAX(0,G380-J380),"")</x:f>
        <x:v>0</x:v>
      </x:c>
      <x:c r="AC380" t="n">
        <x:v>1038620</x:v>
      </x:c>
      <x:c r="AD380" t="n">
        <x:v>1194233</x:v>
      </x:c>
      <x:c r="AE380"/>
      <x:c r="AF380"/>
      <x:c r="AG380"/>
      <x:c r="AH380"/>
      <x:c r="AI380"/>
      <x:c r="AJ380"/>
      <x:c r="AK380"/>
      <x:c r="AL380"/>
      <x:c r="AM380" t="str">
        <x:v>Unfilled mainly private/NRI/minority; regular R2 depends on movement</x:v>
      </x:c>
    </x:row>
    <x:row r="381">
      <x:c r="A381" t="str">
        <x:v>Tamil Nadu</x:v>
      </x:c>
      <x:c r="B381" t="str">
        <x:v>Deemed University</x:v>
      </x:c>
      <x:c r="C381" t="str">
        <x:v>200393</x:v>
      </x:c>
      <x:c r="D381" t="str">
        <x:v>Sree Balaji Medical College and Hospital, Chennai, NO 7 WORKS ROAD CHROMEPET CHENNAI</x:v>
      </x:c>
      <x:c r="E381" t="str">
        <x:v>TN/057/P/3</x:v>
      </x:c>
      <x:c r="F381" t="str">
        <x:v>Private</x:v>
      </x:c>
      <x:c r="G381" t="n">
        <x:v>250</x:v>
      </x:c>
      <x:c r="H381" t="n">
        <x:v>100</x:v>
      </x:c>
      <x:c r="I381" t="str">
        <x:v>High-confidence fuzzy</x:v>
      </x:c>
      <x:c r="J381" t="n">
        <x:v>250</x:v>
      </x:c>
      <x:c r="K381" t="n">
        <x:v>245</x:v>
      </x:c>
      <x:c r="L381" t="n">
        <x:f>J381-K381</x:f>
        <x:v>5</x:v>
      </x:c>
      <x:c r="M381" s="20" t="n">
        <x:f>IFERROR(K381/J381,0)</x:f>
        <x:v>0.98</x:v>
      </x:c>
      <x:c r="N381" t="n">
        <x:v>0</x:v>
      </x:c>
      <x:c r="O381" t="n">
        <x:v>0</x:v>
      </x:c>
      <x:c r="P381" t="n">
        <x:f>N381-O381</x:f>
        <x:v>0</x:v>
      </x:c>
      <x:c r="Q381" t="n">
        <x:v>250</x:v>
      </x:c>
      <x:c r="R381" t="n">
        <x:v>245</x:v>
      </x:c>
      <x:c r="S381" t="n">
        <x:f>Q381-R381</x:f>
        <x:v>5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245</x:v>
      </x:c>
      <x:c r="Y381" t="n">
        <x:v>245</x:v>
      </x:c>
      <x:c r="Z381" t="n">
        <x:v>5</x:v>
      </x:c>
      <x:c r="AA381" t="n">
        <x:v>0</x:v>
      </x:c>
      <x:c r="AB381" t="n">
        <x:f>IF(AND(ISNUMBER(G381),I381&lt;&gt;"Excluded INI"),MAX(0,G381-J381),"")</x:f>
        <x:v>0</x:v>
      </x:c>
      <x:c r="AC381" t="n">
        <x:v>822917</x:v>
      </x:c>
      <x:c r="AD381" t="n">
        <x:v>997115</x:v>
      </x:c>
      <x:c r="AE381"/>
      <x:c r="AF381"/>
      <x:c r="AG381"/>
      <x:c r="AH381"/>
      <x:c r="AI381"/>
      <x:c r="AJ381"/>
      <x:c r="AK381"/>
      <x:c r="AL381"/>
      <x:c r="AM381" t="str">
        <x:v>Unfilled mainly private/NRI/minority; regular R2 depends on movement</x:v>
      </x:c>
    </x:row>
    <x:row r="382">
      <x:c r="A382" t="str">
        <x:v>Tamil Nadu</x:v>
      </x:c>
      <x:c r="B382" t="str">
        <x:v>Deemed University</x:v>
      </x:c>
      <x:c r="C382" t="str">
        <x:v>200396</x:v>
      </x:c>
      <x:c r="D382" t="str">
        <x:v>Sri Ramachandra Medical College &amp; Research Institute, Chennai, No. One Ramachandra Nagar, Porur, Chennai., Tamil Nadu, 600116</x:v>
      </x:c>
      <x:c r="E382" t="str">
        <x:v>TN/060/P/3</x:v>
      </x:c>
      <x:c r="F382" t="str">
        <x:v>Private</x:v>
      </x:c>
      <x:c r="G382" t="n">
        <x:v>250</x:v>
      </x:c>
      <x:c r="H382" t="n">
        <x:v>100</x:v>
      </x:c>
      <x:c r="I382" t="str">
        <x:v>High-confidence fuzzy</x:v>
      </x:c>
      <x:c r="J382" t="n">
        <x:v>250</x:v>
      </x:c>
      <x:c r="K382" t="n">
        <x:v>232</x:v>
      </x:c>
      <x:c r="L382" t="n">
        <x:f>J382-K382</x:f>
        <x:v>18</x:v>
      </x:c>
      <x:c r="M382" s="20" t="n">
        <x:f>IFERROR(K382/J382,0)</x:f>
        <x:v>0.928</x:v>
      </x:c>
      <x:c r="N382" t="n">
        <x:v>0</x:v>
      </x:c>
      <x:c r="O382" t="n">
        <x:v>0</x:v>
      </x:c>
      <x:c r="P382" t="n">
        <x:f>N382-O382</x:f>
        <x:v>0</x:v>
      </x:c>
      <x:c r="Q382" t="n">
        <x:v>250</x:v>
      </x:c>
      <x:c r="R382" t="n">
        <x:v>232</x:v>
      </x:c>
      <x:c r="S382" t="n">
        <x:f>Q382-R382</x:f>
        <x:v>18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212</x:v>
      </x:c>
      <x:c r="Y382" t="n">
        <x:v>212</x:v>
      </x:c>
      <x:c r="Z382" t="n">
        <x:v>38</x:v>
      </x:c>
      <x:c r="AA382" t="n">
        <x:v>20</x:v>
      </x:c>
      <x:c r="AB382" t="n">
        <x:f>IF(AND(ISNUMBER(G382),I382&lt;&gt;"Excluded INI"),MAX(0,G382-J382),"")</x:f>
        <x:v>0</x:v>
      </x:c>
      <x:c r="AC382" t="n">
        <x:v>276133</x:v>
      </x:c>
      <x:c r="AD382" t="n">
        <x:v>983126</x:v>
      </x:c>
      <x:c r="AE382"/>
      <x:c r="AF382"/>
      <x:c r="AG382"/>
      <x:c r="AH382"/>
      <x:c r="AI382"/>
      <x:c r="AJ382"/>
      <x:c r="AK382"/>
      <x:c r="AL382"/>
      <x:c r="AM382" t="str">
        <x:v>Unfilled mainly private/NRI/minority; regular R2 depends on movement</x:v>
      </x:c>
    </x:row>
    <x:row r="383">
      <x:c r="A383" t="str">
        <x:v>Tamil Nadu</x:v>
      </x:c>
      <x:c r="B383" t="str">
        <x:v>Deemed University</x:v>
      </x:c>
      <x:c r="C383" t="str">
        <x:v>904747</x:v>
      </x:c>
      <x:c r="D383" t="str">
        <x:v>Srinivasan Medical College and Hospital, NH-45, TRICHY - CHENNAI TRUNK ROAD, NEAR TOLL PLAZA, SAMAYAPURAM, TIRUCHIRAPPALLI - 621 112.</x:v>
      </x:c>
      <x:c r="E383" t="str">
        <x:v>TN/062/P/3</x:v>
      </x:c>
      <x:c r="F383" t="str">
        <x:v>Private</x:v>
      </x:c>
      <x:c r="G383" t="n">
        <x:v>250</x:v>
      </x:c>
      <x:c r="H383" t="n">
        <x:v>100</x:v>
      </x:c>
      <x:c r="I383" t="str">
        <x:v>High-confidence fuzzy</x:v>
      </x:c>
      <x:c r="J383" t="n">
        <x:v>250</x:v>
      </x:c>
      <x:c r="K383" t="n">
        <x:v>178</x:v>
      </x:c>
      <x:c r="L383" t="n">
        <x:f>J383-K383</x:f>
        <x:v>72</x:v>
      </x:c>
      <x:c r="M383" s="20" t="n">
        <x:f>IFERROR(K383/J383,0)</x:f>
        <x:v>0.712</x:v>
      </x:c>
      <x:c r="N383" t="n">
        <x:v>0</x:v>
      </x:c>
      <x:c r="O383" t="n">
        <x:v>0</x:v>
      </x:c>
      <x:c r="P383" t="n">
        <x:f>N383-O383</x:f>
        <x:v>0</x:v>
      </x:c>
      <x:c r="Q383" t="n">
        <x:v>250</x:v>
      </x:c>
      <x:c r="R383" t="n">
        <x:v>178</x:v>
      </x:c>
      <x:c r="S383" t="n">
        <x:f>Q383-R383</x:f>
        <x:v>72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225</x:v>
      </x:c>
      <x:c r="Y383" t="n">
        <x:v>178</x:v>
      </x:c>
      <x:c r="Z383" t="n">
        <x:v>25</x:v>
      </x:c>
      <x:c r="AA383" t="n">
        <x:v>0</x:v>
      </x:c>
      <x:c r="AB383" t="n">
        <x:f>IF(AND(ISNUMBER(G383),I383&lt;&gt;"Excluded INI"),MAX(0,G383-J383),"")</x:f>
        <x:v>0</x:v>
      </x:c>
      <x:c r="AC383" t="n">
        <x:v>990368</x:v>
      </x:c>
      <x:c r="AD383" t="n">
        <x:v>1194179</x:v>
      </x:c>
      <x:c r="AE383"/>
      <x:c r="AF383"/>
      <x:c r="AG383"/>
      <x:c r="AH383"/>
      <x:c r="AI383"/>
      <x:c r="AJ383"/>
      <x:c r="AK383"/>
      <x:c r="AL383"/>
      <x:c r="AM383" t="str">
        <x:v>Unfilled mainly private/NRI/minority; regular R2 depends on movement</x:v>
      </x:c>
    </x:row>
    <x:row r="384">
      <x:c r="A384" t="str">
        <x:v>Tamil Nadu</x:v>
      </x:c>
      <x:c r="B384" t="str">
        <x:v>All India except Central University</x:v>
      </x:c>
      <x:c r="C384" t="str">
        <x:v>200279</x:v>
      </x:c>
      <x:c r="D384" t="str">
        <x:v>Stanley Medical College, Chennai, No.1, Old Jail Road Chennai</x:v>
      </x:c>
      <x:c r="E384" t="str">
        <x:v>TN/065/G/1</x:v>
      </x:c>
      <x:c r="F384" t="str">
        <x:v>Government</x:v>
      </x:c>
      <x:c r="G384" t="n">
        <x:v>250</x:v>
      </x:c>
      <x:c r="H384" t="n">
        <x:v>100</x:v>
      </x:c>
      <x:c r="I384" t="str">
        <x:v>High-confidence fuzzy</x:v>
      </x:c>
      <x:c r="J384" t="n">
        <x:v>37</x:v>
      </x:c>
      <x:c r="K384" t="n">
        <x:v>37</x:v>
      </x:c>
      <x:c r="L384" t="n">
        <x:f>J384-K384</x:f>
        <x:v>0</x:v>
      </x:c>
      <x:c r="M384" s="20" t="n">
        <x:f>IFERROR(K384/J384,0)</x:f>
        <x:v>1</x:v>
      </x:c>
      <x:c r="N384" t="n">
        <x:v>37</x:v>
      </x:c>
      <x:c r="O384" t="n">
        <x:v>37</x:v>
      </x:c>
      <x:c r="P384" t="n">
        <x:f>N384-O384</x:f>
        <x:v>0</x:v>
      </x:c>
      <x:c r="Q384" t="n">
        <x:v>0</x:v>
      </x:c>
      <x:c r="R384" t="n">
        <x:v>0</x:v>
      </x:c>
      <x:c r="S384" t="n">
        <x:f>Q384-R384</x:f>
        <x:v>0</x:v>
      </x:c>
      <x:c r="T384" t="n">
        <x:v>37</x:v>
      </x:c>
      <x:c r="U384" t="n">
        <x:v>37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f>IF(AND(ISNUMBER(G384),I384&lt;&gt;"Excluded INI"),MAX(0,G384-J384),"")</x:f>
        <x:v>213</x:v>
      </x:c>
      <x:c r="AC384" t="n">
        <x:v>1007</x:v>
      </x:c>
      <x:c r="AD384" t="n">
        <x:v>1180</x:v>
      </x:c>
      <x:c r="AE384" t="n">
        <x:v>1319</x:v>
      </x:c>
      <x:c r="AF384" t="n">
        <x:v>1537</x:v>
      </x:c>
      <x:c r="AG384" t="n">
        <x:v>6056</x:v>
      </x:c>
      <x:c r="AH384" t="n">
        <x:v>6417</x:v>
      </x:c>
      <x:c r="AI384" t="n">
        <x:v>5404</x:v>
      </x:c>
      <x:c r="AJ384" t="n">
        <x:v>8559</x:v>
      </x:c>
      <x:c r="AK384" t="n">
        <x:v>34803</x:v>
      </x:c>
      <x:c r="AL384" t="n">
        <x:v>45302</x:v>
      </x:c>
      <x:c r="AM384" t="str">
        <x:v>Fully allotted in R1; R2 opportunity depends on upgrade/non-joining</x:v>
      </x:c>
    </x:row>
    <x:row r="385">
      <x:c r="A385" t="str">
        <x:v>Tamil Nadu</x:v>
      </x:c>
      <x:c r="B385" t="str">
        <x:v>All India except Central University</x:v>
      </x:c>
      <x:c r="C385" t="str">
        <x:v>200281</x:v>
      </x:c>
      <x:c r="D385" t="str">
        <x:v>Thanjavur Medical College, Thanjavur, Thanjavur Medical College,Thanjavur</x:v>
      </x:c>
      <x:c r="E385" t="str">
        <x:v>TN/069/G/1</x:v>
      </x:c>
      <x:c r="F385" t="str">
        <x:v>Government</x:v>
      </x:c>
      <x:c r="G385" t="n">
        <x:v>150</x:v>
      </x:c>
      <x:c r="H385" t="n">
        <x:v>100</x:v>
      </x:c>
      <x:c r="I385" t="str">
        <x:v>High-confidence fuzzy</x:v>
      </x:c>
      <x:c r="J385" t="n">
        <x:v>23</x:v>
      </x:c>
      <x:c r="K385" t="n">
        <x:v>23</x:v>
      </x:c>
      <x:c r="L385" t="n">
        <x:f>J385-K385</x:f>
        <x:v>0</x:v>
      </x:c>
      <x:c r="M385" s="20" t="n">
        <x:f>IFERROR(K385/J385,0)</x:f>
        <x:v>1</x:v>
      </x:c>
      <x:c r="N385" t="n">
        <x:v>23</x:v>
      </x:c>
      <x:c r="O385" t="n">
        <x:v>23</x:v>
      </x:c>
      <x:c r="P385" t="n">
        <x:f>N385-O385</x:f>
        <x:v>0</x:v>
      </x:c>
      <x:c r="Q385" t="n">
        <x:v>0</x:v>
      </x:c>
      <x:c r="R385" t="n">
        <x:v>0</x:v>
      </x:c>
      <x:c r="S385" t="n">
        <x:f>Q385-R385</x:f>
        <x:v>0</x:v>
      </x:c>
      <x:c r="T385" t="n">
        <x:v>23</x:v>
      </x:c>
      <x:c r="U385" t="n">
        <x:v>23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f>IF(AND(ISNUMBER(G385),I385&lt;&gt;"Excluded INI"),MAX(0,G385-J385),"")</x:f>
        <x:v>127</x:v>
      </x:c>
      <x:c r="AC385" t="n">
        <x:v>4284</x:v>
      </x:c>
      <x:c r="AD385" t="n">
        <x:v>4549</x:v>
      </x:c>
      <x:c r="AE385" t="n">
        <x:v>5344</x:v>
      </x:c>
      <x:c r="AF385" t="n">
        <x:v>5680</x:v>
      </x:c>
      <x:c r="AG385" t="n">
        <x:v>16570</x:v>
      </x:c>
      <x:c r="AH385" t="n">
        <x:v>18213</x:v>
      </x:c>
      <x:c r="AI385" t="n">
        <x:v>23836</x:v>
      </x:c>
      <x:c r="AJ385" t="n">
        <x:v>29084</x:v>
      </x:c>
      <x:c r="AK385" t="n">
        <x:v>111152</x:v>
      </x:c>
      <x:c r="AL385" t="n">
        <x:v>114313</x:v>
      </x:c>
      <x:c r="AM385" t="str">
        <x:v>Fully allotted in R1; R2 opportunity depends on upgrade/non-joining</x:v>
      </x:c>
    </x:row>
    <x:row r="386">
      <x:c r="A386" t="str">
        <x:v>Tamil Nadu</x:v>
      </x:c>
      <x:c r="B386" t="str">
        <x:v>All India except Central University</x:v>
      </x:c>
      <x:c r="C386" t="str">
        <x:v>200282</x:v>
      </x:c>
      <x:c r="D386" t="str">
        <x:v>Theni Government Medical College, Theni, G. Vilakku, Shanmugasundarapuram village, Aundipatti Taluk, Theni District, Tamilnadu</x:v>
      </x:c>
      <x:c r="E386" t="str">
        <x:v>TN/070/G/1</x:v>
      </x:c>
      <x:c r="F386" t="str">
        <x:v>Government</x:v>
      </x:c>
      <x:c r="G386" t="n">
        <x:v>100</x:v>
      </x:c>
      <x:c r="H386" t="n">
        <x:v>100</x:v>
      </x:c>
      <x:c r="I386" t="str">
        <x:v>High-confidence fuzzy</x:v>
      </x:c>
      <x:c r="J386" t="n">
        <x:v>15</x:v>
      </x:c>
      <x:c r="K386" t="n">
        <x:v>15</x:v>
      </x:c>
      <x:c r="L386" t="n">
        <x:f>J386-K386</x:f>
        <x:v>0</x:v>
      </x:c>
      <x:c r="M386" s="20" t="n">
        <x:f>IFERROR(K386/J386,0)</x:f>
        <x:v>1</x:v>
      </x:c>
      <x:c r="N386" t="n">
        <x:v>15</x:v>
      </x:c>
      <x:c r="O386" t="n">
        <x:v>15</x:v>
      </x:c>
      <x:c r="P386" t="n">
        <x:f>N386-O386</x:f>
        <x:v>0</x:v>
      </x:c>
      <x:c r="Q386" t="n">
        <x:v>0</x:v>
      </x:c>
      <x:c r="R386" t="n">
        <x:v>0</x:v>
      </x:c>
      <x:c r="S386" t="n">
        <x:f>Q386-R386</x:f>
        <x:v>0</x:v>
      </x:c>
      <x:c r="T386" t="n">
        <x:v>15</x:v>
      </x:c>
      <x:c r="U386" t="n">
        <x:v>15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f>IF(AND(ISNUMBER(G386),I386&lt;&gt;"Excluded INI"),MAX(0,G386-J386),"")</x:f>
        <x:v>85</x:v>
      </x:c>
      <x:c r="AC386" t="n">
        <x:v>7314</x:v>
      </x:c>
      <x:c r="AD386" t="n">
        <x:v>8054</x:v>
      </x:c>
      <x:c r="AE386" t="n">
        <x:v>8299</x:v>
      </x:c>
      <x:c r="AF386" t="n">
        <x:v>8621</x:v>
      </x:c>
      <x:c r="AG386" t="n">
        <x:v>20907</x:v>
      </x:c>
      <x:c r="AH386" t="n">
        <x:v>20907</x:v>
      </x:c>
      <x:c r="AI386" t="n">
        <x:v>39310</x:v>
      </x:c>
      <x:c r="AJ386" t="n">
        <x:v>44406</x:v>
      </x:c>
      <x:c r="AK386" t="n">
        <x:v>119985</x:v>
      </x:c>
      <x:c r="AL386" t="n">
        <x:v>119985</x:v>
      </x:c>
      <x:c r="AM386" t="str">
        <x:v>Fully allotted in R1; R2 opportunity depends on upgrade/non-joining</x:v>
      </x:c>
    </x:row>
    <x:row r="387">
      <x:c r="A387" t="str">
        <x:v>Tamil Nadu</x:v>
      </x:c>
      <x:c r="B387" t="str">
        <x:v>All India except Central University</x:v>
      </x:c>
      <x:c r="C387" t="str">
        <x:v>200270</x:v>
      </x:c>
      <x:c r="D387" t="str">
        <x:v>Thiruvarur Govt. Medical College, Thiruvarur, MASTER PLAN COMPLEX, VILAMAL VILLAGE, THIRUVARUR</x:v>
      </x:c>
      <x:c r="E387" t="str">
        <x:v>TN/071/G/1</x:v>
      </x:c>
      <x:c r="F387" t="str">
        <x:v>Government</x:v>
      </x:c>
      <x:c r="G387" t="n">
        <x:v>100</x:v>
      </x:c>
      <x:c r="H387" t="n">
        <x:v>100</x:v>
      </x:c>
      <x:c r="I387" t="str">
        <x:v>High-confidence fuzzy</x:v>
      </x:c>
      <x:c r="J387" t="n">
        <x:v>15</x:v>
      </x:c>
      <x:c r="K387" t="n">
        <x:v>15</x:v>
      </x:c>
      <x:c r="L387" t="n">
        <x:f>J387-K387</x:f>
        <x:v>0</x:v>
      </x:c>
      <x:c r="M387" s="20" t="n">
        <x:f>IFERROR(K387/J387,0)</x:f>
        <x:v>1</x:v>
      </x:c>
      <x:c r="N387" t="n">
        <x:v>15</x:v>
      </x:c>
      <x:c r="O387" t="n">
        <x:v>15</x:v>
      </x:c>
      <x:c r="P387" t="n">
        <x:f>N387-O387</x:f>
        <x:v>0</x:v>
      </x:c>
      <x:c r="Q387" t="n">
        <x:v>0</x:v>
      </x:c>
      <x:c r="R387" t="n">
        <x:v>0</x:v>
      </x:c>
      <x:c r="S387" t="n">
        <x:f>Q387-R387</x:f>
        <x:v>0</x:v>
      </x:c>
      <x:c r="T387" t="n">
        <x:v>15</x:v>
      </x:c>
      <x:c r="U387" t="n">
        <x:v>15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f>IF(AND(ISNUMBER(G387),I387&lt;&gt;"Excluded INI"),MAX(0,G387-J387),"")</x:f>
        <x:v>85</x:v>
      </x:c>
      <x:c r="AC387" t="n">
        <x:v>9856</x:v>
      </x:c>
      <x:c r="AD387" t="n">
        <x:v>10215</x:v>
      </x:c>
      <x:c r="AE387" t="n">
        <x:v>11831</x:v>
      </x:c>
      <x:c r="AF387" t="n">
        <x:v>12124</x:v>
      </x:c>
      <x:c r="AG387" t="n">
        <x:v>26235</x:v>
      </x:c>
      <x:c r="AH387" t="n">
        <x:v>26362</x:v>
      </x:c>
      <x:c r="AI387" t="n">
        <x:v>63348</x:v>
      </x:c>
      <x:c r="AJ387" t="n">
        <x:v>64270</x:v>
      </x:c>
      <x:c r="AK387" t="n">
        <x:v>125075</x:v>
      </x:c>
      <x:c r="AL387" t="n">
        <x:v>125075</x:v>
      </x:c>
      <x:c r="AM387" t="str">
        <x:v>Fully allotted in R1; R2 opportunity depends on upgrade/non-joining</x:v>
      </x:c>
    </x:row>
    <x:row r="388">
      <x:c r="A388" t="str">
        <x:v>Tamil Nadu</x:v>
      </x:c>
      <x:c r="B388" t="str">
        <x:v>All India except Central University</x:v>
      </x:c>
      <x:c r="C388" t="str">
        <x:v>200284</x:v>
      </x:c>
      <x:c r="D388" t="str">
        <x:v>Thoothukudi Medical College, Thoothukudi, KAMARAJ NAGAR, 3rd MILE, THOOTHUKUDI</x:v>
      </x:c>
      <x:c r="E388" t="str">
        <x:v>TN/072/G/1</x:v>
      </x:c>
      <x:c r="F388" t="str">
        <x:v>Government</x:v>
      </x:c>
      <x:c r="G388" t="n">
        <x:v>150</x:v>
      </x:c>
      <x:c r="H388" t="n">
        <x:v>100</x:v>
      </x:c>
      <x:c r="I388" t="str">
        <x:v>High-confidence fuzzy</x:v>
      </x:c>
      <x:c r="J388" t="n">
        <x:v>22</x:v>
      </x:c>
      <x:c r="K388" t="n">
        <x:v>22</x:v>
      </x:c>
      <x:c r="L388" t="n">
        <x:f>J388-K388</x:f>
        <x:v>0</x:v>
      </x:c>
      <x:c r="M388" s="20" t="n">
        <x:f>IFERROR(K388/J388,0)</x:f>
        <x:v>1</x:v>
      </x:c>
      <x:c r="N388" t="n">
        <x:v>22</x:v>
      </x:c>
      <x:c r="O388" t="n">
        <x:v>22</x:v>
      </x:c>
      <x:c r="P388" t="n">
        <x:f>N388-O388</x:f>
        <x:v>0</x:v>
      </x:c>
      <x:c r="Q388" t="n">
        <x:v>0</x:v>
      </x:c>
      <x:c r="R388" t="n">
        <x:v>0</x:v>
      </x:c>
      <x:c r="S388" t="n">
        <x:f>Q388-R388</x:f>
        <x:v>0</x:v>
      </x:c>
      <x:c r="T388" t="n">
        <x:v>22</x:v>
      </x:c>
      <x:c r="U388" t="n">
        <x:v>22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f>IF(AND(ISNUMBER(G388),I388&lt;&gt;"Excluded INI"),MAX(0,G388-J388),"")</x:f>
        <x:v>128</x:v>
      </x:c>
      <x:c r="AC388" t="n">
        <x:v>8520</x:v>
      </x:c>
      <x:c r="AD388" t="n">
        <x:v>9587</x:v>
      </x:c>
      <x:c r="AE388" t="n">
        <x:v>10503</x:v>
      </x:c>
      <x:c r="AF388" t="n">
        <x:v>10826</x:v>
      </x:c>
      <x:c r="AG388" t="n">
        <x:v>23708</x:v>
      </x:c>
      <x:c r="AH388" t="n">
        <x:v>24486</x:v>
      </x:c>
      <x:c r="AI388" t="n">
        <x:v>53451</x:v>
      </x:c>
      <x:c r="AJ388" t="n">
        <x:v>57871</x:v>
      </x:c>
      <x:c r="AK388" t="n">
        <x:v>121541</x:v>
      </x:c>
      <x:c r="AL388" t="n">
        <x:v>121817</x:v>
      </x:c>
      <x:c r="AM388" t="str">
        <x:v>Fully allotted in R1; R2 opportunity depends on upgrade/non-joining</x:v>
      </x:c>
    </x:row>
    <x:row r="389">
      <x:c r="A389" t="str">
        <x:v>Tamil Nadu</x:v>
      </x:c>
      <x:c r="B389" t="str">
        <x:v>All India except Central University</x:v>
      </x:c>
      <x:c r="C389" t="str">
        <x:v>200265</x:v>
      </x:c>
      <x:c r="D389" t="str">
        <x:v>Tirunelveli Medical College, Tirunelveli, THE DEAN, TIRUNELVELI MEDICAL COLLEGE, HIGHGROUND, TIRUNELVELI-11</x:v>
      </x:c>
      <x:c r="E389" t="str">
        <x:v>TN/073/G/1</x:v>
      </x:c>
      <x:c r="F389" t="str">
        <x:v>Government</x:v>
      </x:c>
      <x:c r="G389" t="n">
        <x:v>250</x:v>
      </x:c>
      <x:c r="H389" t="n">
        <x:v>100</x:v>
      </x:c>
      <x:c r="I389" t="str">
        <x:v>High-confidence fuzzy</x:v>
      </x:c>
      <x:c r="J389" t="n">
        <x:v>37</x:v>
      </x:c>
      <x:c r="K389" t="n">
        <x:v>37</x:v>
      </x:c>
      <x:c r="L389" t="n">
        <x:f>J389-K389</x:f>
        <x:v>0</x:v>
      </x:c>
      <x:c r="M389" s="20" t="n">
        <x:f>IFERROR(K389/J389,0)</x:f>
        <x:v>1</x:v>
      </x:c>
      <x:c r="N389" t="n">
        <x:v>37</x:v>
      </x:c>
      <x:c r="O389" t="n">
        <x:v>37</x:v>
      </x:c>
      <x:c r="P389" t="n">
        <x:f>N389-O389</x:f>
        <x:v>0</x:v>
      </x:c>
      <x:c r="Q389" t="n">
        <x:v>0</x:v>
      </x:c>
      <x:c r="R389" t="n">
        <x:v>0</x:v>
      </x:c>
      <x:c r="S389" t="n">
        <x:f>Q389-R389</x:f>
        <x:v>0</x:v>
      </x:c>
      <x:c r="T389" t="n">
        <x:v>37</x:v>
      </x:c>
      <x:c r="U389" t="n">
        <x:v>37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f>IF(AND(ISNUMBER(G389),I389&lt;&gt;"Excluded INI"),MAX(0,G389-J389),"")</x:f>
        <x:v>213</x:v>
      </x:c>
      <x:c r="AC389" t="n">
        <x:v>5383</x:v>
      </x:c>
      <x:c r="AD389" t="n">
        <x:v>6237</x:v>
      </x:c>
      <x:c r="AE389" t="n">
        <x:v>6514</x:v>
      </x:c>
      <x:c r="AF389" t="n">
        <x:v>7279</x:v>
      </x:c>
      <x:c r="AG389" t="n">
        <x:v>21141</x:v>
      </x:c>
      <x:c r="AH389" t="n">
        <x:v>21165</x:v>
      </x:c>
      <x:c r="AI389" t="n">
        <x:v>39232</x:v>
      </x:c>
      <x:c r="AJ389" t="n">
        <x:v>40338</x:v>
      </x:c>
      <x:c r="AK389" t="n">
        <x:v>106468</x:v>
      </x:c>
      <x:c r="AL389" t="n">
        <x:v>116844</x:v>
      </x:c>
      <x:c r="AM389" t="str">
        <x:v>Fully allotted in R1; R2 opportunity depends on upgrade/non-joining</x:v>
      </x:c>
    </x:row>
    <x:row r="390">
      <x:c r="A390" t="str">
        <x:v>Tamil Nadu</x:v>
      </x:c>
      <x:c r="B390" t="str">
        <x:v>Deemed University</x:v>
      </x:c>
      <x:c r="C390" t="str">
        <x:v>200537</x:v>
      </x:c>
      <x:c r="D390" t="str">
        <x:v>VELS Medical College &amp; Hospital, 12-123, Velan Nagar, Manjankaranai Village, Periyapalayam Road, Uthukottai Taluk, Tiruvallur Dist.</x:v>
      </x:c>
      <x:c r="E390" t="str">
        <x:v>TN/076/P/3</x:v>
      </x:c>
      <x:c r="F390" t="str">
        <x:v>Private</x:v>
      </x:c>
      <x:c r="G390" t="n">
        <x:v>250</x:v>
      </x:c>
      <x:c r="H390" t="n">
        <x:v>100</x:v>
      </x:c>
      <x:c r="I390" t="str">
        <x:v>High-confidence fuzzy</x:v>
      </x:c>
      <x:c r="J390" t="n">
        <x:v>250</x:v>
      </x:c>
      <x:c r="K390" t="n">
        <x:v>212</x:v>
      </x:c>
      <x:c r="L390" t="n">
        <x:f>J390-K390</x:f>
        <x:v>38</x:v>
      </x:c>
      <x:c r="M390" s="20" t="n">
        <x:f>IFERROR(K390/J390,0)</x:f>
        <x:v>0.848</x:v>
      </x:c>
      <x:c r="N390" t="n">
        <x:v>0</x:v>
      </x:c>
      <x:c r="O390" t="n">
        <x:v>0</x:v>
      </x:c>
      <x:c r="P390" t="n">
        <x:f>N390-O390</x:f>
        <x:v>0</x:v>
      </x:c>
      <x:c r="Q390" t="n">
        <x:v>250</x:v>
      </x:c>
      <x:c r="R390" t="n">
        <x:v>212</x:v>
      </x:c>
      <x:c r="S390" t="n">
        <x:f>Q390-R390</x:f>
        <x:v>38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212</x:v>
      </x:c>
      <x:c r="Y390" t="n">
        <x:v>212</x:v>
      </x:c>
      <x:c r="Z390" t="n">
        <x:v>38</x:v>
      </x:c>
      <x:c r="AA390" t="n">
        <x:v>0</x:v>
      </x:c>
      <x:c r="AB390" t="n">
        <x:f>IF(AND(ISNUMBER(G390),I390&lt;&gt;"Excluded INI"),MAX(0,G390-J390),"")</x:f>
        <x:v>0</x:v>
      </x:c>
      <x:c r="AC390" t="n">
        <x:v>746453</x:v>
      </x:c>
      <x:c r="AD390" t="n">
        <x:v>909875</x:v>
      </x:c>
      <x:c r="AE390"/>
      <x:c r="AF390"/>
      <x:c r="AG390"/>
      <x:c r="AH390"/>
      <x:c r="AI390"/>
      <x:c r="AJ390"/>
      <x:c r="AK390"/>
      <x:c r="AL390"/>
      <x:c r="AM390" t="str">
        <x:v>Unfilled mainly private/NRI/minority; regular R2 depends on movement</x:v>
      </x:c>
    </x:row>
    <x:row r="391">
      <x:c r="A391" t="str">
        <x:v>Tamil Nadu</x:v>
      </x:c>
      <x:c r="B391" t="str">
        <x:v>Deemed University</x:v>
      </x:c>
      <x:c r="C391" t="str">
        <x:v>200401</x:v>
      </x:c>
      <x:c r="D391" t="str">
        <x:v>Vinayaka Missions Kirupananda Variyar Medical College, Salem, Sankari Main Road, (NH-47), Seeragapadi, Salem</x:v>
      </x:c>
      <x:c r="E391" t="str">
        <x:v>TN/077/P/3</x:v>
      </x:c>
      <x:c r="F391" t="str">
        <x:v>Private</x:v>
      </x:c>
      <x:c r="G391" t="n">
        <x:v>200</x:v>
      </x:c>
      <x:c r="H391" t="n">
        <x:v>100</x:v>
      </x:c>
      <x:c r="I391" t="str">
        <x:v>High-confidence fuzzy</x:v>
      </x:c>
      <x:c r="J391" t="n">
        <x:v>200</x:v>
      </x:c>
      <x:c r="K391" t="n">
        <x:v>200</x:v>
      </x:c>
      <x:c r="L391" t="n">
        <x:f>J391-K391</x:f>
        <x:v>0</x:v>
      </x:c>
      <x:c r="M391" s="20" t="n">
        <x:f>IFERROR(K391/J391,0)</x:f>
        <x:v>1</x:v>
      </x:c>
      <x:c r="N391" t="n">
        <x:v>0</x:v>
      </x:c>
      <x:c r="O391" t="n">
        <x:v>0</x:v>
      </x:c>
      <x:c r="P391" t="n">
        <x:f>N391-O391</x:f>
        <x:v>0</x:v>
      </x:c>
      <x:c r="Q391" t="n">
        <x:v>200</x:v>
      </x:c>
      <x:c r="R391" t="n">
        <x:v>200</x:v>
      </x:c>
      <x:c r="S391" t="n">
        <x:f>Q391-R391</x:f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200</x:v>
      </x:c>
      <x:c r="Y391" t="n">
        <x:v>200</x:v>
      </x:c>
      <x:c r="Z391" t="n">
        <x:v>0</x:v>
      </x:c>
      <x:c r="AA391" t="n">
        <x:v>0</x:v>
      </x:c>
      <x:c r="AB391" t="n">
        <x:f>IF(AND(ISNUMBER(G391),I391&lt;&gt;"Excluded INI"),MAX(0,G391-J391),"")</x:f>
        <x:v>0</x:v>
      </x:c>
      <x:c r="AC391" t="n">
        <x:v>748735</x:v>
      </x:c>
      <x:c r="AD391" t="n">
        <x:v>987550</x:v>
      </x:c>
      <x:c r="AE391"/>
      <x:c r="AF391"/>
      <x:c r="AG391"/>
      <x:c r="AH391"/>
      <x:c r="AI391"/>
      <x:c r="AJ391"/>
      <x:c r="AK391"/>
      <x:c r="AL391"/>
      <x:c r="AM391" t="str">
        <x:v>Fully allotted in R1; R2 opportunity depends on upgrade/non-joining</x:v>
      </x:c>
    </x:row>
    <x:row r="392">
      <x:c r="A392" t="str">
        <x:v>Telangana</x:v>
      </x:c>
      <x:c r="B392" t="str">
        <x:v>All India Institute Of Medical Science(AIIMS)</x:v>
      </x:c>
      <x:c r="C392" t="str">
        <x:v>200517</x:v>
      </x:c>
      <x:c r="D392" t="str">
        <x:v>AIIMS, Bibi Nagar, Hyderabad, AIIMS Bibinagar (Hyderabad Metropolitan Region) Telangana 508126</x:v>
      </x:c>
      <x:c r="E392" t="str"/>
      <x:c r="F392" t="str"/>
      <x:c r="G392"/>
      <x:c r="H392" t="n">
        <x:v>100</x:v>
      </x:c>
      <x:c r="I392" t="str">
        <x:v>Excluded INI</x:v>
      </x:c>
      <x:c r="J392" t="n">
        <x:v>100</x:v>
      </x:c>
      <x:c r="K392" t="n">
        <x:v>100</x:v>
      </x:c>
      <x:c r="L392" t="n">
        <x:f>J392-K392</x:f>
        <x:v>0</x:v>
      </x:c>
      <x:c r="M392" s="20" t="n">
        <x:f>IFERROR(K392/J392,0)</x:f>
        <x:v>1</x:v>
      </x:c>
      <x:c r="N392" t="n">
        <x:v>100</x:v>
      </x:c>
      <x:c r="O392" t="n">
        <x:v>100</x:v>
      </x:c>
      <x:c r="P392" t="n">
        <x:f>N392-O392</x:f>
        <x:v>0</x:v>
      </x:c>
      <x:c r="Q392" t="n">
        <x:v>0</x:v>
      </x:c>
      <x:c r="R392" t="n">
        <x:v>0</x:v>
      </x:c>
      <x:c r="S392" t="n">
        <x:f>Q392-R392</x:f>
        <x:v>0</x:v>
      </x:c>
      <x:c r="T392" t="n">
        <x:v>0</x:v>
      </x:c>
      <x:c r="U392" t="n">
        <x:v>0</x:v>
      </x:c>
      <x:c r="V392" t="n">
        <x:v>100</x:v>
      </x:c>
      <x:c r="W392" t="n">
        <x:v>100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str">
        <x:f>IF(AND(ISNUMBER(G392),I392&lt;&gt;"Excluded INI"),MAX(0,G392-J392),"")</x:f>
      </x:c>
      <x:c r="AC392" t="n">
        <x:v>1454</x:v>
      </x:c>
      <x:c r="AD392" t="n">
        <x:v>1705</x:v>
      </x:c>
      <x:c r="AE392" t="n">
        <x:v>2295</x:v>
      </x:c>
      <x:c r="AF392" t="n">
        <x:v>2592</x:v>
      </x:c>
      <x:c r="AG392" t="n">
        <x:v>3040</x:v>
      </x:c>
      <x:c r="AH392" t="n">
        <x:v>3180</x:v>
      </x:c>
      <x:c r="AI392" t="n">
        <x:v>14903</x:v>
      </x:c>
      <x:c r="AJ392" t="n">
        <x:v>17543</x:v>
      </x:c>
      <x:c r="AK392" t="n">
        <x:v>23076</x:v>
      </x:c>
      <x:c r="AL392" t="n">
        <x:v>28792</x:v>
      </x:c>
      <x:c r="AM392" t="str">
        <x:v>Fully allotted in R1; R2 opportunity depends on upgrade/non-joining</x:v>
      </x:c>
    </x:row>
    <x:row r="393">
      <x:c r="A393" t="str">
        <x:v>Telangana</x:v>
      </x:c>
      <x:c r="B393" t="str">
        <x:v>Employees State Insurance Scheme</x:v>
      </x:c>
      <x:c r="C393" t="str">
        <x:v>200418</x:v>
      </x:c>
      <x:c r="D393" t="str">
        <x:v>Employees State Insurance Coporation Medical College, Sanath Nagar, Hyderabad, Sanathnagar, Hyderabad</x:v>
      </x:c>
      <x:c r="E393" t="str">
        <x:v>TS/011/G/1</x:v>
      </x:c>
      <x:c r="F393" t="str">
        <x:v>Government</x:v>
      </x:c>
      <x:c r="G393" t="n">
        <x:v>150</x:v>
      </x:c>
      <x:c r="H393" t="n">
        <x:v>100</x:v>
      </x:c>
      <x:c r="I393" t="str">
        <x:v>High-confidence fuzzy</x:v>
      </x:c>
      <x:c r="J393" t="n">
        <x:v>75</x:v>
      </x:c>
      <x:c r="K393" t="n">
        <x:v>74</x:v>
      </x:c>
      <x:c r="L393" t="n">
        <x:f>J393-K393</x:f>
        <x:v>1</x:v>
      </x:c>
      <x:c r="M393" s="20" t="n">
        <x:f>IFERROR(K393/J393,0)</x:f>
        <x:v>0.9866666666666667</x:v>
      </x:c>
      <x:c r="N393" t="n">
        <x:v>75</x:v>
      </x:c>
      <x:c r="O393" t="n">
        <x:v>74</x:v>
      </x:c>
      <x:c r="P393" t="n">
        <x:f>N393-O393</x:f>
        <x:v>1</x:v>
      </x:c>
      <x:c r="Q393" t="n">
        <x:v>0</x:v>
      </x:c>
      <x:c r="R393" t="n">
        <x:v>0</x:v>
      </x:c>
      <x:c r="S393" t="n">
        <x:f>Q393-R393</x:f>
        <x:v>0</x:v>
      </x:c>
      <x:c r="T393" t="n">
        <x:v>22</x:v>
      </x:c>
      <x:c r="U393" t="n">
        <x:v>22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f>IF(AND(ISNUMBER(G393),I393&lt;&gt;"Excluded INI"),MAX(0,G393-J393),"")</x:f>
        <x:v>75</x:v>
      </x:c>
      <x:c r="AC393" t="n">
        <x:v>21273</x:v>
      </x:c>
      <x:c r="AD393" t="n">
        <x:v>30383</x:v>
      </x:c>
      <x:c r="AE393" t="n">
        <x:v>27017</x:v>
      </x:c>
      <x:c r="AF393" t="n">
        <x:v>37481</x:v>
      </x:c>
      <x:c r="AG393" t="n">
        <x:v>25909</x:v>
      </x:c>
      <x:c r="AH393" t="n">
        <x:v>39147</x:v>
      </x:c>
      <x:c r="AI393" t="n">
        <x:v>107810</x:v>
      </x:c>
      <x:c r="AJ393" t="n">
        <x:v>149055</x:v>
      </x:c>
      <x:c r="AK393" t="n">
        <x:v>183654</x:v>
      </x:c>
      <x:c r="AL393" t="n">
        <x:v>277761</x:v>
      </x:c>
      <x:c r="AM393" t="str">
        <x:v>R1 regular-central gap visible; verify in official R2 matrix</x:v>
      </x:c>
    </x:row>
    <x:row r="394">
      <x:c r="A394" t="str">
        <x:v>Telangana</x:v>
      </x:c>
      <x:c r="B394" t="str">
        <x:v>All India except Central University</x:v>
      </x:c>
      <x:c r="C394" t="str">
        <x:v>200660</x:v>
      </x:c>
      <x:c r="D394" t="str">
        <x:v>GOVERNMENT MEDICAL COLLEGE JANGAON, gmc.jangaon@gmail.com, 24, Weavers Colony, Jangaon, Telangana, 506167</x:v>
      </x:c>
      <x:c r="E394" t="str">
        <x:v>TS/014/G/1</x:v>
      </x:c>
      <x:c r="F394" t="str">
        <x:v>Government</x:v>
      </x:c>
      <x:c r="G394" t="n">
        <x:v>100</x:v>
      </x:c>
      <x:c r="H394" t="n">
        <x:v>100</x:v>
      </x:c>
      <x:c r="I394" t="str">
        <x:v>High-confidence fuzzy</x:v>
      </x:c>
      <x:c r="J394" t="n">
        <x:v>15</x:v>
      </x:c>
      <x:c r="K394" t="n">
        <x:v>15</x:v>
      </x:c>
      <x:c r="L394" t="n">
        <x:f>J394-K394</x:f>
        <x:v>0</x:v>
      </x:c>
      <x:c r="M394" s="20" t="n">
        <x:f>IFERROR(K394/J394,0)</x:f>
        <x:v>1</x:v>
      </x:c>
      <x:c r="N394" t="n">
        <x:v>15</x:v>
      </x:c>
      <x:c r="O394" t="n">
        <x:v>15</x:v>
      </x:c>
      <x:c r="P394" t="n">
        <x:f>N394-O394</x:f>
        <x:v>0</x:v>
      </x:c>
      <x:c r="Q394" t="n">
        <x:v>0</x:v>
      </x:c>
      <x:c r="R394" t="n">
        <x:v>0</x:v>
      </x:c>
      <x:c r="S394" t="n">
        <x:f>Q394-R394</x:f>
        <x:v>0</x:v>
      </x:c>
      <x:c r="T394" t="n">
        <x:v>15</x:v>
      </x:c>
      <x:c r="U394" t="n">
        <x:v>15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f>IF(AND(ISNUMBER(G394),I394&lt;&gt;"Excluded INI"),MAX(0,G394-J394),"")</x:f>
        <x:v>85</x:v>
      </x:c>
      <x:c r="AC394" t="n">
        <x:v>18886</x:v>
      </x:c>
      <x:c r="AD394" t="n">
        <x:v>19005</x:v>
      </x:c>
      <x:c r="AE394" t="n">
        <x:v>19791</x:v>
      </x:c>
      <x:c r="AF394" t="n">
        <x:v>20372</x:v>
      </x:c>
      <x:c r="AG394" t="n">
        <x:v>20973</x:v>
      </x:c>
      <x:c r="AH394" t="n">
        <x:v>20973</x:v>
      </x:c>
      <x:c r="AI394" t="n">
        <x:v>89588</x:v>
      </x:c>
      <x:c r="AJ394" t="n">
        <x:v>92522</x:v>
      </x:c>
      <x:c r="AK394" t="n">
        <x:v>117779</x:v>
      </x:c>
      <x:c r="AL394" t="n">
        <x:v>117779</x:v>
      </x:c>
      <x:c r="AM394" t="str">
        <x:v>Fully allotted in R1; R2 opportunity depends on upgrade/non-joining</x:v>
      </x:c>
    </x:row>
    <x:row r="395">
      <x:c r="A395" t="str">
        <x:v>Telangana</x:v>
      </x:c>
      <x:c r="B395" t="str">
        <x:v>All India except Central University</x:v>
      </x:c>
      <x:c r="C395" t="str">
        <x:v>200661</x:v>
      </x:c>
      <x:c r="D395" t="str">
        <x:v>GOVERNMENT MEDICAL COLLEGE KHAMMAM, Wyra Road, Khammam</x:v>
      </x:c>
      <x:c r="E395" t="str">
        <x:v>TS/015/G/1</x:v>
      </x:c>
      <x:c r="F395" t="str">
        <x:v>Government</x:v>
      </x:c>
      <x:c r="G395" t="n">
        <x:v>100</x:v>
      </x:c>
      <x:c r="H395" t="n">
        <x:v>100</x:v>
      </x:c>
      <x:c r="I395" t="str">
        <x:v>High-confidence fuzzy</x:v>
      </x:c>
      <x:c r="J395" t="n">
        <x:v>15</x:v>
      </x:c>
      <x:c r="K395" t="n">
        <x:v>15</x:v>
      </x:c>
      <x:c r="L395" t="n">
        <x:f>J395-K395</x:f>
        <x:v>0</x:v>
      </x:c>
      <x:c r="M395" s="20" t="n">
        <x:f>IFERROR(K395/J395,0)</x:f>
        <x:v>1</x:v>
      </x:c>
      <x:c r="N395" t="n">
        <x:v>15</x:v>
      </x:c>
      <x:c r="O395" t="n">
        <x:v>15</x:v>
      </x:c>
      <x:c r="P395" t="n">
        <x:f>N395-O395</x:f>
        <x:v>0</x:v>
      </x:c>
      <x:c r="Q395" t="n">
        <x:v>0</x:v>
      </x:c>
      <x:c r="R395" t="n">
        <x:v>0</x:v>
      </x:c>
      <x:c r="S395" t="n">
        <x:f>Q395-R395</x:f>
        <x:v>0</x:v>
      </x:c>
      <x:c r="T395" t="n">
        <x:v>15</x:v>
      </x:c>
      <x:c r="U395" t="n">
        <x:v>15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f>IF(AND(ISNUMBER(G395),I395&lt;&gt;"Excluded INI"),MAX(0,G395-J395),"")</x:f>
        <x:v>85</x:v>
      </x:c>
      <x:c r="AC395" t="n">
        <x:v>19594</x:v>
      </x:c>
      <x:c r="AD395" t="n">
        <x:v>19918</x:v>
      </x:c>
      <x:c r="AE395" t="n">
        <x:v>20631</x:v>
      </x:c>
      <x:c r="AF395" t="n">
        <x:v>21070</x:v>
      </x:c>
      <x:c r="AG395" t="n">
        <x:v>25139</x:v>
      </x:c>
      <x:c r="AH395" t="n">
        <x:v>25487</x:v>
      </x:c>
      <x:c r="AI395" t="n">
        <x:v>97832</x:v>
      </x:c>
      <x:c r="AJ395" t="n">
        <x:v>99153</x:v>
      </x:c>
      <x:c r="AK395" t="n">
        <x:v>125993</x:v>
      </x:c>
      <x:c r="AL395" t="n">
        <x:v>126658</x:v>
      </x:c>
      <x:c r="AM395" t="str">
        <x:v>Fully allotted in R1; R2 opportunity depends on upgrade/non-joining</x:v>
      </x:c>
    </x:row>
    <x:row r="396">
      <x:c r="A396" t="str">
        <x:v>Telangana</x:v>
      </x:c>
      <x:c r="B396" t="str">
        <x:v>All India except Central University</x:v>
      </x:c>
      <x:c r="C396" t="str">
        <x:v>200647</x:v>
      </x:c>
      <x:c r="D396" t="str">
        <x:v>GOVERNMENT MEDICAL COLLEGE KUMURAM BHEEM ASIFAFABAD, Government Medical College Ankushapur District Kumuram Bheem Asifabad Telangana</x:v>
      </x:c>
      <x:c r="E396" t="str">
        <x:v>TS/016/G/1</x:v>
      </x:c>
      <x:c r="F396" t="str">
        <x:v>Government</x:v>
      </x:c>
      <x:c r="G396" t="n">
        <x:v>100</x:v>
      </x:c>
      <x:c r="H396" t="n">
        <x:v>100</x:v>
      </x:c>
      <x:c r="I396" t="str">
        <x:v>High-confidence fuzzy</x:v>
      </x:c>
      <x:c r="J396" t="n">
        <x:v>15</x:v>
      </x:c>
      <x:c r="K396" t="n">
        <x:v>15</x:v>
      </x:c>
      <x:c r="L396" t="n">
        <x:f>J396-K396</x:f>
        <x:v>0</x:v>
      </x:c>
      <x:c r="M396" s="20" t="n">
        <x:f>IFERROR(K396/J396,0)</x:f>
        <x:v>1</x:v>
      </x:c>
      <x:c r="N396" t="n">
        <x:v>15</x:v>
      </x:c>
      <x:c r="O396" t="n">
        <x:v>15</x:v>
      </x:c>
      <x:c r="P396" t="n">
        <x:f>N396-O396</x:f>
        <x:v>0</x:v>
      </x:c>
      <x:c r="Q396" t="n">
        <x:v>0</x:v>
      </x:c>
      <x:c r="R396" t="n">
        <x:v>0</x:v>
      </x:c>
      <x:c r="S396" t="n">
        <x:f>Q396-R396</x:f>
        <x:v>0</x:v>
      </x:c>
      <x:c r="T396" t="n">
        <x:v>15</x:v>
      </x:c>
      <x:c r="U396" t="n">
        <x:v>15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f>IF(AND(ISNUMBER(G396),I396&lt;&gt;"Excluded INI"),MAX(0,G396-J396),"")</x:f>
        <x:v>85</x:v>
      </x:c>
      <x:c r="AC396" t="n">
        <x:v>20746</x:v>
      </x:c>
      <x:c r="AD396" t="n">
        <x:v>20996</x:v>
      </x:c>
      <x:c r="AE396" t="n">
        <x:v>22454</x:v>
      </x:c>
      <x:c r="AF396" t="n">
        <x:v>22628</x:v>
      </x:c>
      <x:c r="AG396" t="n">
        <x:v>25568</x:v>
      </x:c>
      <x:c r="AH396" t="n">
        <x:v>25625</x:v>
      </x:c>
      <x:c r="AI396" t="n">
        <x:v>98154</x:v>
      </x:c>
      <x:c r="AJ396" t="n">
        <x:v>101219</x:v>
      </x:c>
      <x:c r="AK396" t="n">
        <x:v>125232</x:v>
      </x:c>
      <x:c r="AL396" t="n">
        <x:v>125232</x:v>
      </x:c>
      <x:c r="AM396" t="str">
        <x:v>Fully allotted in R1; R2 opportunity depends on upgrade/non-joining</x:v>
      </x:c>
    </x:row>
    <x:row r="397">
      <x:c r="A397" t="str">
        <x:v>Telangana</x:v>
      </x:c>
      <x:c r="B397" t="str">
        <x:v>All India except Central University</x:v>
      </x:c>
      <x:c r="C397" t="str">
        <x:v>200648</x:v>
      </x:c>
      <x:c r="D397" t="str">
        <x:v>GOVERNMENT MEDICAL COLLEGE VIKARABAD, ANANTHAGIRI HILLS VIKARABAD VIKARABAD DISTRICT TELANGANA 501101</x:v>
      </x:c>
      <x:c r="E397" t="str">
        <x:v>TS/018/G/1</x:v>
      </x:c>
      <x:c r="F397" t="str">
        <x:v>Government</x:v>
      </x:c>
      <x:c r="G397" t="n">
        <x:v>100</x:v>
      </x:c>
      <x:c r="H397" t="n">
        <x:v>100</x:v>
      </x:c>
      <x:c r="I397" t="str">
        <x:v>High-confidence fuzzy</x:v>
      </x:c>
      <x:c r="J397" t="n">
        <x:v>15</x:v>
      </x:c>
      <x:c r="K397" t="n">
        <x:v>15</x:v>
      </x:c>
      <x:c r="L397" t="n">
        <x:f>J397-K397</x:f>
        <x:v>0</x:v>
      </x:c>
      <x:c r="M397" s="20" t="n">
        <x:f>IFERROR(K397/J397,0)</x:f>
        <x:v>1</x:v>
      </x:c>
      <x:c r="N397" t="n">
        <x:v>15</x:v>
      </x:c>
      <x:c r="O397" t="n">
        <x:v>15</x:v>
      </x:c>
      <x:c r="P397" t="n">
        <x:f>N397-O397</x:f>
        <x:v>0</x:v>
      </x:c>
      <x:c r="Q397" t="n">
        <x:v>0</x:v>
      </x:c>
      <x:c r="R397" t="n">
        <x:v>0</x:v>
      </x:c>
      <x:c r="S397" t="n">
        <x:f>Q397-R397</x:f>
        <x:v>0</x:v>
      </x:c>
      <x:c r="T397" t="n">
        <x:v>15</x:v>
      </x:c>
      <x:c r="U397" t="n">
        <x:v>15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f>IF(AND(ISNUMBER(G397),I397&lt;&gt;"Excluded INI"),MAX(0,G397-J397),"")</x:f>
        <x:v>85</x:v>
      </x:c>
      <x:c r="AC397" t="n">
        <x:v>20792</x:v>
      </x:c>
      <x:c r="AD397" t="n">
        <x:v>21921</x:v>
      </x:c>
      <x:c r="AE397" t="n">
        <x:v>22536</x:v>
      </x:c>
      <x:c r="AF397" t="n">
        <x:v>22678</x:v>
      </x:c>
      <x:c r="AG397" t="n">
        <x:v>25891</x:v>
      </x:c>
      <x:c r="AH397" t="n">
        <x:v>26129</x:v>
      </x:c>
      <x:c r="AI397" t="n">
        <x:v>98410</x:v>
      </x:c>
      <x:c r="AJ397" t="n">
        <x:v>99157</x:v>
      </x:c>
      <x:c r="AK397" t="n">
        <x:v>109260</x:v>
      </x:c>
      <x:c r="AL397" t="n">
        <x:v>109260</x:v>
      </x:c>
      <x:c r="AM397" t="str">
        <x:v>Fully allotted in R1; R2 opportunity depends on upgrade/non-joining</x:v>
      </x:c>
    </x:row>
    <x:row r="398">
      <x:c r="A398" t="str">
        <x:v>Telangana</x:v>
      </x:c>
      <x:c r="B398" t="str">
        <x:v>All India except Central University</x:v>
      </x:c>
      <x:c r="C398" t="str">
        <x:v>904356</x:v>
      </x:c>
      <x:c r="D398" t="str">
        <x:v>GOVERNMENT MEDICAL COLLEGE, KODANGAL, SURVEY NO 51 KOKAT BESIDE MOTHER AND CHILD HOSPITAL TANDUR VIKARABAD DISTRICT TELANGANA 501141 gmc</x:v>
      </x:c>
      <x:c r="E398" t="str">
        <x:v>TS/025/G/1</x:v>
      </x:c>
      <x:c r="F398" t="str">
        <x:v>Government</x:v>
      </x:c>
      <x:c r="G398" t="n">
        <x:v>50</x:v>
      </x:c>
      <x:c r="H398" t="n">
        <x:v>100</x:v>
      </x:c>
      <x:c r="I398" t="str">
        <x:v>High-confidence fuzzy</x:v>
      </x:c>
      <x:c r="J398" t="n">
        <x:v>7</x:v>
      </x:c>
      <x:c r="K398" t="n">
        <x:v>7</x:v>
      </x:c>
      <x:c r="L398" t="n">
        <x:f>J398-K398</x:f>
        <x:v>0</x:v>
      </x:c>
      <x:c r="M398" s="20" t="n">
        <x:f>IFERROR(K398/J398,0)</x:f>
        <x:v>1</x:v>
      </x:c>
      <x:c r="N398" t="n">
        <x:v>7</x:v>
      </x:c>
      <x:c r="O398" t="n">
        <x:v>7</x:v>
      </x:c>
      <x:c r="P398" t="n">
        <x:f>N398-O398</x:f>
        <x:v>0</x:v>
      </x:c>
      <x:c r="Q398" t="n">
        <x:v>0</x:v>
      </x:c>
      <x:c r="R398" t="n">
        <x:v>0</x:v>
      </x:c>
      <x:c r="S398" t="n">
        <x:f>Q398-R398</x:f>
        <x:v>0</x:v>
      </x:c>
      <x:c r="T398" t="n">
        <x:v>7</x:v>
      </x:c>
      <x:c r="U398" t="n">
        <x:v>7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f>IF(AND(ISNUMBER(G398),I398&lt;&gt;"Excluded INI"),MAX(0,G398-J398),"")</x:f>
        <x:v>43</x:v>
      </x:c>
      <x:c r="AC398" t="n">
        <x:v>21985</x:v>
      </x:c>
      <x:c r="AD398" t="n">
        <x:v>22235</x:v>
      </x:c>
      <x:c r="AE398" t="n">
        <x:v>22344</x:v>
      </x:c>
      <x:c r="AF398" t="n">
        <x:v>22386</x:v>
      </x:c>
      <x:c r="AG398" t="n">
        <x:v>26848</x:v>
      </x:c>
      <x:c r="AH398" t="n">
        <x:v>26848</x:v>
      </x:c>
      <x:c r="AI398" t="n">
        <x:v>67198</x:v>
      </x:c>
      <x:c r="AJ398" t="n">
        <x:v>67198</x:v>
      </x:c>
      <x:c r="AK398"/>
      <x:c r="AL398"/>
      <x:c r="AM398" t="str">
        <x:v>Fully allotted in R1; R2 opportunity depends on upgrade/non-joining</x:v>
      </x:c>
    </x:row>
    <x:row r="399">
      <x:c r="A399" t="str">
        <x:v>Telangana</x:v>
      </x:c>
      <x:c r="B399" t="str">
        <x:v>All India except Central University</x:v>
      </x:c>
      <x:c r="C399" t="str">
        <x:v>200445</x:v>
      </x:c>
      <x:c r="D399" t="str">
        <x:v>Gandhi Medical College, Secunderabad, MUSHEERABAD, SECUNDERABAD</x:v>
      </x:c>
      <x:c r="E399" t="str">
        <x:v>TS/013/G/1</x:v>
      </x:c>
      <x:c r="F399" t="str">
        <x:v>Government</x:v>
      </x:c>
      <x:c r="G399" t="n">
        <x:v>250</x:v>
      </x:c>
      <x:c r="H399" t="n">
        <x:v>100</x:v>
      </x:c>
      <x:c r="I399" t="str">
        <x:v>High-confidence fuzzy</x:v>
      </x:c>
      <x:c r="J399" t="n">
        <x:v>30</x:v>
      </x:c>
      <x:c r="K399" t="n">
        <x:v>30</x:v>
      </x:c>
      <x:c r="L399" t="n">
        <x:f>J399-K399</x:f>
        <x:v>0</x:v>
      </x:c>
      <x:c r="M399" s="20" t="n">
        <x:f>IFERROR(K399/J399,0)</x:f>
        <x:v>1</x:v>
      </x:c>
      <x:c r="N399" t="n">
        <x:v>30</x:v>
      </x:c>
      <x:c r="O399" t="n">
        <x:v>30</x:v>
      </x:c>
      <x:c r="P399" t="n">
        <x:f>N399-O399</x:f>
        <x:v>0</x:v>
      </x:c>
      <x:c r="Q399" t="n">
        <x:v>0</x:v>
      </x:c>
      <x:c r="R399" t="n">
        <x:v>0</x:v>
      </x:c>
      <x:c r="S399" t="n">
        <x:f>Q399-R399</x:f>
        <x:v>0</x:v>
      </x:c>
      <x:c r="T399" t="n">
        <x:v>30</x:v>
      </x:c>
      <x:c r="U399" t="n">
        <x:v>30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f>IF(AND(ISNUMBER(G399),I399&lt;&gt;"Excluded INI"),MAX(0,G399-J399),"")</x:f>
        <x:v>220</x:v>
      </x:c>
      <x:c r="AC399" t="n">
        <x:v>2401</x:v>
      </x:c>
      <x:c r="AD399" t="n">
        <x:v>2756</x:v>
      </x:c>
      <x:c r="AE399" t="n">
        <x:v>3614</x:v>
      </x:c>
      <x:c r="AF399" t="n">
        <x:v>4352</x:v>
      </x:c>
      <x:c r="AG399" t="n">
        <x:v>4537</x:v>
      </x:c>
      <x:c r="AH399" t="n">
        <x:v>4691</x:v>
      </x:c>
      <x:c r="AI399" t="n">
        <x:v>23657</x:v>
      </x:c>
      <x:c r="AJ399" t="n">
        <x:v>26995</x:v>
      </x:c>
      <x:c r="AK399" t="n">
        <x:v>34644</x:v>
      </x:c>
      <x:c r="AL399" t="n">
        <x:v>34802</x:v>
      </x:c>
      <x:c r="AM399" t="str">
        <x:v>Fully allotted in R1; R2 opportunity depends on upgrade/non-joining</x:v>
      </x:c>
    </x:row>
    <x:row r="400">
      <x:c r="A400" t="str">
        <x:v>Telangana</x:v>
      </x:c>
      <x:c r="B400" t="str">
        <x:v>All India except Central University</x:v>
      </x:c>
      <x:c r="C400" t="str">
        <x:v>903351</x:v>
      </x:c>
      <x:c r="D400" t="str">
        <x:v>Government Medical College Medak, PILLIKOTYAL, MEDAK MANDAL, MEDAK DISTRICT</x:v>
      </x:c>
      <x:c r="E400" t="str">
        <x:v>TS/017/G/1</x:v>
      </x:c>
      <x:c r="F400" t="str">
        <x:v>Government</x:v>
      </x:c>
      <x:c r="G400" t="n">
        <x:v>50</x:v>
      </x:c>
      <x:c r="H400" t="n">
        <x:v>100</x:v>
      </x:c>
      <x:c r="I400" t="str">
        <x:v>High-confidence fuzzy</x:v>
      </x:c>
      <x:c r="J400" t="n">
        <x:v>7</x:v>
      </x:c>
      <x:c r="K400" t="n">
        <x:v>7</x:v>
      </x:c>
      <x:c r="L400" t="n">
        <x:f>J400-K400</x:f>
        <x:v>0</x:v>
      </x:c>
      <x:c r="M400" s="20" t="n">
        <x:f>IFERROR(K400/J400,0)</x:f>
        <x:v>1</x:v>
      </x:c>
      <x:c r="N400" t="n">
        <x:v>7</x:v>
      </x:c>
      <x:c r="O400" t="n">
        <x:v>7</x:v>
      </x:c>
      <x:c r="P400" t="n">
        <x:f>N400-O400</x:f>
        <x:v>0</x:v>
      </x:c>
      <x:c r="Q400" t="n">
        <x:v>0</x:v>
      </x:c>
      <x:c r="R400" t="n">
        <x:v>0</x:v>
      </x:c>
      <x:c r="S400" t="n">
        <x:f>Q400-R400</x:f>
        <x:v>0</x:v>
      </x:c>
      <x:c r="T400" t="n">
        <x:v>7</x:v>
      </x:c>
      <x:c r="U400" t="n">
        <x:v>7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f>IF(AND(ISNUMBER(G400),I400&lt;&gt;"Excluded INI"),MAX(0,G400-J400),"")</x:f>
        <x:v>43</x:v>
      </x:c>
      <x:c r="AC400" t="n">
        <x:v>21490</x:v>
      </x:c>
      <x:c r="AD400" t="n">
        <x:v>21686</x:v>
      </x:c>
      <x:c r="AE400" t="n">
        <x:v>21942</x:v>
      </x:c>
      <x:c r="AF400" t="n">
        <x:v>22043</x:v>
      </x:c>
      <x:c r="AG400"/>
      <x:c r="AH400"/>
      <x:c r="AI400" t="n">
        <x:v>101660</x:v>
      </x:c>
      <x:c r="AJ400" t="n">
        <x:v>101660</x:v>
      </x:c>
      <x:c r="AK400"/>
      <x:c r="AL400"/>
      <x:c r="AM400" t="str">
        <x:v>Fully allotted in R1; R2 opportunity depends on upgrade/non-joining</x:v>
      </x:c>
    </x:row>
    <x:row r="401">
      <x:c r="A401" t="str">
        <x:v>Telangana</x:v>
      </x:c>
      <x:c r="B401" t="str">
        <x:v>All India except Central University</x:v>
      </x:c>
      <x:c r="C401" t="str">
        <x:v>200598</x:v>
      </x:c>
      <x:c r="D401" t="str">
        <x:v>Government Medical College, Bhadradri Kothagudem, Besides Sammakka Saarakka temple, Opp KSM Petrol bunk, end of 6th Battalion Rd, Palvancha, Telangana</x:v>
      </x:c>
      <x:c r="E401" t="str">
        <x:v>TS/019/G/1</x:v>
      </x:c>
      <x:c r="F401" t="str">
        <x:v>Government</x:v>
      </x:c>
      <x:c r="G401" t="n">
        <x:v>150</x:v>
      </x:c>
      <x:c r="H401" t="n">
        <x:v>100</x:v>
      </x:c>
      <x:c r="I401" t="str">
        <x:v>High-confidence fuzzy</x:v>
      </x:c>
      <x:c r="J401" t="n">
        <x:v>22</x:v>
      </x:c>
      <x:c r="K401" t="n">
        <x:v>22</x:v>
      </x:c>
      <x:c r="L401" t="n">
        <x:f>J401-K401</x:f>
        <x:v>0</x:v>
      </x:c>
      <x:c r="M401" s="20" t="n">
        <x:f>IFERROR(K401/J401,0)</x:f>
        <x:v>1</x:v>
      </x:c>
      <x:c r="N401" t="n">
        <x:v>22</x:v>
      </x:c>
      <x:c r="O401" t="n">
        <x:v>22</x:v>
      </x:c>
      <x:c r="P401" t="n">
        <x:f>N401-O401</x:f>
        <x:v>0</x:v>
      </x:c>
      <x:c r="Q401" t="n">
        <x:v>0</x:v>
      </x:c>
      <x:c r="R401" t="n">
        <x:v>0</x:v>
      </x:c>
      <x:c r="S401" t="n">
        <x:f>Q401-R401</x:f>
        <x:v>0</x:v>
      </x:c>
      <x:c r="T401" t="n">
        <x:v>22</x:v>
      </x:c>
      <x:c r="U401" t="n">
        <x:v>22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f>IF(AND(ISNUMBER(G401),I401&lt;&gt;"Excluded INI"),MAX(0,G401-J401),"")</x:f>
        <x:v>128</x:v>
      </x:c>
      <x:c r="AC401" t="n">
        <x:v>21386</x:v>
      </x:c>
      <x:c r="AD401" t="n">
        <x:v>21579</x:v>
      </x:c>
      <x:c r="AE401" t="n">
        <x:v>22200</x:v>
      </x:c>
      <x:c r="AF401" t="n">
        <x:v>22576</x:v>
      </x:c>
      <x:c r="AG401" t="n">
        <x:v>25037</x:v>
      </x:c>
      <x:c r="AH401" t="n">
        <x:v>25157</x:v>
      </x:c>
      <x:c r="AI401" t="n">
        <x:v>102219</x:v>
      </x:c>
      <x:c r="AJ401" t="n">
        <x:v>102401</x:v>
      </x:c>
      <x:c r="AK401" t="n">
        <x:v>126433</x:v>
      </x:c>
      <x:c r="AL401" t="n">
        <x:v>126433</x:v>
      </x:c>
      <x:c r="AM401" t="str">
        <x:v>Fully allotted in R1; R2 opportunity depends on upgrade/non-joining</x:v>
      </x:c>
    </x:row>
    <x:row r="402">
      <x:c r="A402" t="str">
        <x:v>Telangana</x:v>
      </x:c>
      <x:c r="B402" t="str">
        <x:v>All India except Central University</x:v>
      </x:c>
      <x:c r="C402" t="str">
        <x:v>200609</x:v>
      </x:c>
      <x:c r="D402" t="str">
        <x:v>Government Medical College, Jagtial, Government Medical College, Jagtial, Jagtial Village, Jagtial Tehsil, Jagtial Dist</x:v>
      </x:c>
      <x:c r="E402" t="str">
        <x:v>TS/020/G/1</x:v>
      </x:c>
      <x:c r="F402" t="str">
        <x:v>Government</x:v>
      </x:c>
      <x:c r="G402" t="n">
        <x:v>150</x:v>
      </x:c>
      <x:c r="H402" t="n">
        <x:v>100</x:v>
      </x:c>
      <x:c r="I402" t="str">
        <x:v>High-confidence fuzzy</x:v>
      </x:c>
      <x:c r="J402" t="n">
        <x:v>22</x:v>
      </x:c>
      <x:c r="K402" t="n">
        <x:v>22</x:v>
      </x:c>
      <x:c r="L402" t="n">
        <x:f>J402-K402</x:f>
        <x:v>0</x:v>
      </x:c>
      <x:c r="M402" s="20" t="n">
        <x:f>IFERROR(K402/J402,0)</x:f>
        <x:v>1</x:v>
      </x:c>
      <x:c r="N402" t="n">
        <x:v>22</x:v>
      </x:c>
      <x:c r="O402" t="n">
        <x:v>22</x:v>
      </x:c>
      <x:c r="P402" t="n">
        <x:f>N402-O402</x:f>
        <x:v>0</x:v>
      </x:c>
      <x:c r="Q402" t="n">
        <x:v>0</x:v>
      </x:c>
      <x:c r="R402" t="n">
        <x:v>0</x:v>
      </x:c>
      <x:c r="S402" t="n">
        <x:f>Q402-R402</x:f>
        <x:v>0</x:v>
      </x:c>
      <x:c r="T402" t="n">
        <x:v>22</x:v>
      </x:c>
      <x:c r="U402" t="n">
        <x:v>22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f>IF(AND(ISNUMBER(G402),I402&lt;&gt;"Excluded INI"),MAX(0,G402-J402),"")</x:f>
        <x:v>128</x:v>
      </x:c>
      <x:c r="AC402" t="n">
        <x:v>21746</x:v>
      </x:c>
      <x:c r="AD402" t="n">
        <x:v>21904</x:v>
      </x:c>
      <x:c r="AE402" t="n">
        <x:v>22100</x:v>
      </x:c>
      <x:c r="AF402" t="n">
        <x:v>22457</x:v>
      </x:c>
      <x:c r="AG402" t="n">
        <x:v>25878</x:v>
      </x:c>
      <x:c r="AH402" t="n">
        <x:v>26105</x:v>
      </x:c>
      <x:c r="AI402" t="n">
        <x:v>101724</x:v>
      </x:c>
      <x:c r="AJ402" t="n">
        <x:v>102552</x:v>
      </x:c>
      <x:c r="AK402" t="n">
        <x:v>113087</x:v>
      </x:c>
      <x:c r="AL402" t="n">
        <x:v>126009</x:v>
      </x:c>
      <x:c r="AM402" t="str">
        <x:v>Fully allotted in R1; R2 opportunity depends on upgrade/non-joining</x:v>
      </x:c>
    </x:row>
    <x:row r="403">
      <x:c r="A403" t="str">
        <x:v>Telangana</x:v>
      </x:c>
      <x:c r="B403" t="str">
        <x:v>All India except Central University</x:v>
      </x:c>
      <x:c r="C403" t="str">
        <x:v>200659</x:v>
      </x:c>
      <x:c r="D403" t="str">
        <x:v>Government Medical College, Jayashankar Bhupalpally, Manzoor Nagar Road, Besides thousand quarters, Jayashankar, Bhupalpally</x:v>
      </x:c>
      <x:c r="E403" t="str">
        <x:v>TS/021/G/1</x:v>
      </x:c>
      <x:c r="F403" t="str">
        <x:v>Government</x:v>
      </x:c>
      <x:c r="G403" t="n">
        <x:v>100</x:v>
      </x:c>
      <x:c r="H403" t="n">
        <x:v>100</x:v>
      </x:c>
      <x:c r="I403" t="str">
        <x:v>High-confidence fuzzy</x:v>
      </x:c>
      <x:c r="J403" t="n">
        <x:v>15</x:v>
      </x:c>
      <x:c r="K403" t="n">
        <x:v>15</x:v>
      </x:c>
      <x:c r="L403" t="n">
        <x:f>J403-K403</x:f>
        <x:v>0</x:v>
      </x:c>
      <x:c r="M403" s="20" t="n">
        <x:f>IFERROR(K403/J403,0)</x:f>
        <x:v>1</x:v>
      </x:c>
      <x:c r="N403" t="n">
        <x:v>15</x:v>
      </x:c>
      <x:c r="O403" t="n">
        <x:v>15</x:v>
      </x:c>
      <x:c r="P403" t="n">
        <x:f>N403-O403</x:f>
        <x:v>0</x:v>
      </x:c>
      <x:c r="Q403" t="n">
        <x:v>0</x:v>
      </x:c>
      <x:c r="R403" t="n">
        <x:v>0</x:v>
      </x:c>
      <x:c r="S403" t="n">
        <x:f>Q403-R403</x:f>
        <x:v>0</x:v>
      </x:c>
      <x:c r="T403" t="n">
        <x:v>15</x:v>
      </x:c>
      <x:c r="U403" t="n">
        <x:v>15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f>IF(AND(ISNUMBER(G403),I403&lt;&gt;"Excluded INI"),MAX(0,G403-J403),"")</x:f>
        <x:v>85</x:v>
      </x:c>
      <x:c r="AC403" t="n">
        <x:v>22208</x:v>
      </x:c>
      <x:c r="AD403" t="n">
        <x:v>22293</x:v>
      </x:c>
      <x:c r="AE403" t="n">
        <x:v>22772</x:v>
      </x:c>
      <x:c r="AF403" t="n">
        <x:v>22822</x:v>
      </x:c>
      <x:c r="AG403" t="n">
        <x:v>26668</x:v>
      </x:c>
      <x:c r="AH403" t="n">
        <x:v>26824</x:v>
      </x:c>
      <x:c r="AI403" t="n">
        <x:v>102242</x:v>
      </x:c>
      <x:c r="AJ403" t="n">
        <x:v>102593</x:v>
      </x:c>
      <x:c r="AK403" t="n">
        <x:v>127127</x:v>
      </x:c>
      <x:c r="AL403" t="n">
        <x:v>127127</x:v>
      </x:c>
      <x:c r="AM403" t="str">
        <x:v>Fully allotted in R1; R2 opportunity depends on upgrade/non-joining</x:v>
      </x:c>
    </x:row>
    <x:row r="404">
      <x:c r="A404" t="str">
        <x:v>Telangana</x:v>
      </x:c>
      <x:c r="B404" t="str">
        <x:v>All India except Central University</x:v>
      </x:c>
      <x:c r="C404" t="str">
        <x:v>902818</x:v>
      </x:c>
      <x:c r="D404" t="str">
        <x:v>Government Medical College, Jogulumba Gadwal, GMC Jogulamba Gadwal, Near Doulath peer Dargah, Doudharpally, Ring Road, Sangala Cheruvu, Gadwal Tow</x:v>
      </x:c>
      <x:c r="E404" t="str">
        <x:v>TS/022/G/1</x:v>
      </x:c>
      <x:c r="F404" t="str">
        <x:v>Government</x:v>
      </x:c>
      <x:c r="G404" t="n">
        <x:v>50</x:v>
      </x:c>
      <x:c r="H404" t="n">
        <x:v>100</x:v>
      </x:c>
      <x:c r="I404" t="str">
        <x:v>High-confidence fuzzy</x:v>
      </x:c>
      <x:c r="J404" t="n">
        <x:v>7</x:v>
      </x:c>
      <x:c r="K404" t="n">
        <x:v>7</x:v>
      </x:c>
      <x:c r="L404" t="n">
        <x:f>J404-K404</x:f>
        <x:v>0</x:v>
      </x:c>
      <x:c r="M404" s="20" t="n">
        <x:f>IFERROR(K404/J404,0)</x:f>
        <x:v>1</x:v>
      </x:c>
      <x:c r="N404" t="n">
        <x:v>7</x:v>
      </x:c>
      <x:c r="O404" t="n">
        <x:v>7</x:v>
      </x:c>
      <x:c r="P404" t="n">
        <x:f>N404-O404</x:f>
        <x:v>0</x:v>
      </x:c>
      <x:c r="Q404" t="n">
        <x:v>0</x:v>
      </x:c>
      <x:c r="R404" t="n">
        <x:v>0</x:v>
      </x:c>
      <x:c r="S404" t="n">
        <x:f>Q404-R404</x:f>
        <x:v>0</x:v>
      </x:c>
      <x:c r="T404" t="n">
        <x:v>7</x:v>
      </x:c>
      <x:c r="U404" t="n">
        <x:v>7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f>IF(AND(ISNUMBER(G404),I404&lt;&gt;"Excluded INI"),MAX(0,G404-J404),"")</x:f>
        <x:v>43</x:v>
      </x:c>
      <x:c r="AC404" t="n">
        <x:v>19270</x:v>
      </x:c>
      <x:c r="AD404" t="n">
        <x:v>19405</x:v>
      </x:c>
      <x:c r="AE404" t="n">
        <x:v>20712</x:v>
      </x:c>
      <x:c r="AF404" t="n">
        <x:v>20921</x:v>
      </x:c>
      <x:c r="AG404"/>
      <x:c r="AH404"/>
      <x:c r="AI404" t="n">
        <x:v>102383</x:v>
      </x:c>
      <x:c r="AJ404" t="n">
        <x:v>102677</x:v>
      </x:c>
      <x:c r="AK404"/>
      <x:c r="AL404"/>
      <x:c r="AM404" t="str">
        <x:v>Fully allotted in R1; R2 opportunity depends on upgrade/non-joining</x:v>
      </x:c>
    </x:row>
    <x:row r="405">
      <x:c r="A405" t="str">
        <x:v>Telangana</x:v>
      </x:c>
      <x:c r="B405" t="str">
        <x:v>All India except Central University</x:v>
      </x:c>
      <x:c r="C405" t="str">
        <x:v>200651</x:v>
      </x:c>
      <x:c r="D405" t="str">
        <x:v>Government Medical College, Kamareddy, Office of the Principal, Government Medical College Devanpally, Kamareddy, Telangana</x:v>
      </x:c>
      <x:c r="E405" t="str">
        <x:v>TS/023/G/1</x:v>
      </x:c>
      <x:c r="F405" t="str">
        <x:v>Government</x:v>
      </x:c>
      <x:c r="G405" t="n">
        <x:v>100</x:v>
      </x:c>
      <x:c r="H405" t="n">
        <x:v>100</x:v>
      </x:c>
      <x:c r="I405" t="str">
        <x:v>High-confidence fuzzy</x:v>
      </x:c>
      <x:c r="J405" t="n">
        <x:v>15</x:v>
      </x:c>
      <x:c r="K405" t="n">
        <x:v>15</x:v>
      </x:c>
      <x:c r="L405" t="n">
        <x:f>J405-K405</x:f>
        <x:v>0</x:v>
      </x:c>
      <x:c r="M405" s="20" t="n">
        <x:f>IFERROR(K405/J405,0)</x:f>
        <x:v>1</x:v>
      </x:c>
      <x:c r="N405" t="n">
        <x:v>15</x:v>
      </x:c>
      <x:c r="O405" t="n">
        <x:v>15</x:v>
      </x:c>
      <x:c r="P405" t="n">
        <x:f>N405-O405</x:f>
        <x:v>0</x:v>
      </x:c>
      <x:c r="Q405" t="n">
        <x:v>0</x:v>
      </x:c>
      <x:c r="R405" t="n">
        <x:v>0</x:v>
      </x:c>
      <x:c r="S405" t="n">
        <x:f>Q405-R405</x:f>
        <x:v>0</x:v>
      </x:c>
      <x:c r="T405" t="n">
        <x:v>15</x:v>
      </x:c>
      <x:c r="U405" t="n">
        <x:v>15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f>IF(AND(ISNUMBER(G405),I405&lt;&gt;"Excluded INI"),MAX(0,G405-J405),"")</x:f>
        <x:v>85</x:v>
      </x:c>
      <x:c r="AC405" t="n">
        <x:v>22009</x:v>
      </x:c>
      <x:c r="AD405" t="n">
        <x:v>22116</x:v>
      </x:c>
      <x:c r="AE405" t="n">
        <x:v>22400</x:v>
      </x:c>
      <x:c r="AF405" t="n">
        <x:v>22510</x:v>
      </x:c>
      <x:c r="AG405" t="n">
        <x:v>26646</x:v>
      </x:c>
      <x:c r="AH405" t="n">
        <x:v>26646</x:v>
      </x:c>
      <x:c r="AI405" t="n">
        <x:v>91203</x:v>
      </x:c>
      <x:c r="AJ405" t="n">
        <x:v>91203</x:v>
      </x:c>
      <x:c r="AK405" t="n">
        <x:v>122713</x:v>
      </x:c>
      <x:c r="AL405" t="n">
        <x:v>122713</x:v>
      </x:c>
      <x:c r="AM405" t="str">
        <x:v>Fully allotted in R1; R2 opportunity depends on upgrade/non-joining</x:v>
      </x:c>
    </x:row>
    <x:row r="406">
      <x:c r="A406" t="str">
        <x:v>Telangana</x:v>
      </x:c>
      <x:c r="B406" t="str">
        <x:v>All India except Central University</x:v>
      </x:c>
      <x:c r="C406" t="str">
        <x:v>200650</x:v>
      </x:c>
      <x:c r="D406" t="str">
        <x:v>Government Medical College, Karimnagar, The Additional DME /Principal, Government Medical College Karimnagar, Jagtial NH 563, Kothapalli,</x:v>
      </x:c>
      <x:c r="E406" t="str">
        <x:v>TS/020/G/1</x:v>
      </x:c>
      <x:c r="F406" t="str">
        <x:v>Government</x:v>
      </x:c>
      <x:c r="G406" t="n">
        <x:v>150</x:v>
      </x:c>
      <x:c r="H406" t="n">
        <x:v>100</x:v>
      </x:c>
      <x:c r="I406" t="str">
        <x:v>High-confidence fuzzy</x:v>
      </x:c>
      <x:c r="J406" t="n">
        <x:v>15</x:v>
      </x:c>
      <x:c r="K406" t="n">
        <x:v>15</x:v>
      </x:c>
      <x:c r="L406" t="n">
        <x:f>J406-K406</x:f>
        <x:v>0</x:v>
      </x:c>
      <x:c r="M406" s="20" t="n">
        <x:f>IFERROR(K406/J406,0)</x:f>
        <x:v>1</x:v>
      </x:c>
      <x:c r="N406" t="n">
        <x:v>15</x:v>
      </x:c>
      <x:c r="O406" t="n">
        <x:v>15</x:v>
      </x:c>
      <x:c r="P406" t="n">
        <x:f>N406-O406</x:f>
        <x:v>0</x:v>
      </x:c>
      <x:c r="Q406" t="n">
        <x:v>0</x:v>
      </x:c>
      <x:c r="R406" t="n">
        <x:v>0</x:v>
      </x:c>
      <x:c r="S406" t="n">
        <x:f>Q406-R406</x:f>
        <x:v>0</x:v>
      </x:c>
      <x:c r="T406" t="n">
        <x:v>15</x:v>
      </x:c>
      <x:c r="U406" t="n">
        <x:v>15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f>IF(AND(ISNUMBER(G406),I406&lt;&gt;"Excluded INI"),MAX(0,G406-J406),"")</x:f>
        <x:v>135</x:v>
      </x:c>
      <x:c r="AC406" t="n">
        <x:v>18688</x:v>
      </x:c>
      <x:c r="AD406" t="n">
        <x:v>19038</x:v>
      </x:c>
      <x:c r="AE406" t="n">
        <x:v>19526</x:v>
      </x:c>
      <x:c r="AF406" t="n">
        <x:v>20900</x:v>
      </x:c>
      <x:c r="AG406" t="n">
        <x:v>23018</x:v>
      </x:c>
      <x:c r="AH406" t="n">
        <x:v>23018</x:v>
      </x:c>
      <x:c r="AI406" t="n">
        <x:v>97418</x:v>
      </x:c>
      <x:c r="AJ406" t="n">
        <x:v>102785</x:v>
      </x:c>
      <x:c r="AK406" t="n">
        <x:v>120126</x:v>
      </x:c>
      <x:c r="AL406" t="n">
        <x:v>121369</x:v>
      </x:c>
      <x:c r="AM406" t="str">
        <x:v>Fully allotted in R1; R2 opportunity depends on upgrade/non-joining</x:v>
      </x:c>
    </x:row>
    <x:row r="407">
      <x:c r="A407" t="str">
        <x:v>Telangana</x:v>
      </x:c>
      <x:c r="B407" t="str">
        <x:v>All India except Central University</x:v>
      </x:c>
      <x:c r="C407" t="str">
        <x:v>200594</x:v>
      </x:c>
      <x:c r="D407" t="str">
        <x:v>Government Medical College, Mahabubabad, Government Medical College, Mahabubabad, Servey No 551-1-P ,Torrur Road ,Near SP Office , Mahabubaba</x:v>
      </x:c>
      <x:c r="E407" t="str">
        <x:v>TS/026/G/1</x:v>
      </x:c>
      <x:c r="F407" t="str">
        <x:v>Government</x:v>
      </x:c>
      <x:c r="G407" t="n">
        <x:v>150</x:v>
      </x:c>
      <x:c r="H407" t="n">
        <x:v>100</x:v>
      </x:c>
      <x:c r="I407" t="str">
        <x:v>High-confidence fuzzy</x:v>
      </x:c>
      <x:c r="J407" t="n">
        <x:v>22</x:v>
      </x:c>
      <x:c r="K407" t="n">
        <x:v>22</x:v>
      </x:c>
      <x:c r="L407" t="n">
        <x:f>J407-K407</x:f>
        <x:v>0</x:v>
      </x:c>
      <x:c r="M407" s="20" t="n">
        <x:f>IFERROR(K407/J407,0)</x:f>
        <x:v>1</x:v>
      </x:c>
      <x:c r="N407" t="n">
        <x:v>22</x:v>
      </x:c>
      <x:c r="O407" t="n">
        <x:v>22</x:v>
      </x:c>
      <x:c r="P407" t="n">
        <x:f>N407-O407</x:f>
        <x:v>0</x:v>
      </x:c>
      <x:c r="Q407" t="n">
        <x:v>0</x:v>
      </x:c>
      <x:c r="R407" t="n">
        <x:v>0</x:v>
      </x:c>
      <x:c r="S407" t="n">
        <x:f>Q407-R407</x:f>
        <x:v>0</x:v>
      </x:c>
      <x:c r="T407" t="n">
        <x:v>22</x:v>
      </x:c>
      <x:c r="U407" t="n">
        <x:v>22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f>IF(AND(ISNUMBER(G407),I407&lt;&gt;"Excluded INI"),MAX(0,G407-J407),"")</x:f>
        <x:v>128</x:v>
      </x:c>
      <x:c r="AC407" t="n">
        <x:v>20432</x:v>
      </x:c>
      <x:c r="AD407" t="n">
        <x:v>21018</x:v>
      </x:c>
      <x:c r="AE407" t="n">
        <x:v>21484</x:v>
      </x:c>
      <x:c r="AF407" t="n">
        <x:v>21691</x:v>
      </x:c>
      <x:c r="AG407" t="n">
        <x:v>26138</x:v>
      </x:c>
      <x:c r="AH407" t="n">
        <x:v>26489</x:v>
      </x:c>
      <x:c r="AI407" t="n">
        <x:v>99278</x:v>
      </x:c>
      <x:c r="AJ407" t="n">
        <x:v>100176</x:v>
      </x:c>
      <x:c r="AK407" t="n">
        <x:v>125778</x:v>
      </x:c>
      <x:c r="AL407" t="n">
        <x:v>125979</x:v>
      </x:c>
      <x:c r="AM407" t="str">
        <x:v>Fully allotted in R1; R2 opportunity depends on upgrade/non-joining</x:v>
      </x:c>
    </x:row>
    <x:row r="408">
      <x:c r="A408" t="str">
        <x:v>Telangana</x:v>
      </x:c>
      <x:c r="B408" t="str">
        <x:v>All India except Central University</x:v>
      </x:c>
      <x:c r="C408" t="str">
        <x:v>200457</x:v>
      </x:c>
      <x:c r="D408" t="str">
        <x:v>Government Medical College, Mahabubnagar, Government Medical College Mahabubnagar,Thirumala Hills, Edira Village.Mahabubnagar</x:v>
      </x:c>
      <x:c r="E408" t="str">
        <x:v>TS/027/G/1</x:v>
      </x:c>
      <x:c r="F408" t="str">
        <x:v>Government</x:v>
      </x:c>
      <x:c r="G408" t="n">
        <x:v>200</x:v>
      </x:c>
      <x:c r="H408" t="n">
        <x:v>100</x:v>
      </x:c>
      <x:c r="I408" t="str">
        <x:v>High-confidence fuzzy</x:v>
      </x:c>
      <x:c r="J408" t="n">
        <x:v>30</x:v>
      </x:c>
      <x:c r="K408" t="n">
        <x:v>30</x:v>
      </x:c>
      <x:c r="L408" t="n">
        <x:f>J408-K408</x:f>
        <x:v>0</x:v>
      </x:c>
      <x:c r="M408" s="20" t="n">
        <x:f>IFERROR(K408/J408,0)</x:f>
        <x:v>1</x:v>
      </x:c>
      <x:c r="N408" t="n">
        <x:v>30</x:v>
      </x:c>
      <x:c r="O408" t="n">
        <x:v>30</x:v>
      </x:c>
      <x:c r="P408" t="n">
        <x:f>N408-O408</x:f>
        <x:v>0</x:v>
      </x:c>
      <x:c r="Q408" t="n">
        <x:v>0</x:v>
      </x:c>
      <x:c r="R408" t="n">
        <x:v>0</x:v>
      </x:c>
      <x:c r="S408" t="n">
        <x:f>Q408-R408</x:f>
        <x:v>0</x:v>
      </x:c>
      <x:c r="T408" t="n">
        <x:v>30</x:v>
      </x:c>
      <x:c r="U408" t="n">
        <x:v>30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f>IF(AND(ISNUMBER(G408),I408&lt;&gt;"Excluded INI"),MAX(0,G408-J408),"")</x:f>
        <x:v>170</x:v>
      </x:c>
      <x:c r="AC408" t="n">
        <x:v>16753</x:v>
      </x:c>
      <x:c r="AD408" t="n">
        <x:v>17629</x:v>
      </x:c>
      <x:c r="AE408" t="n">
        <x:v>19410</x:v>
      </x:c>
      <x:c r="AF408" t="n">
        <x:v>19641</x:v>
      </x:c>
      <x:c r="AG408" t="n">
        <x:v>20157</x:v>
      </x:c>
      <x:c r="AH408" t="n">
        <x:v>21375</x:v>
      </x:c>
      <x:c r="AI408" t="n">
        <x:v>88401</x:v>
      </x:c>
      <x:c r="AJ408" t="n">
        <x:v>92694</x:v>
      </x:c>
      <x:c r="AK408" t="n">
        <x:v>77342</x:v>
      </x:c>
      <x:c r="AL408" t="n">
        <x:v>79671</x:v>
      </x:c>
      <x:c r="AM408" t="str">
        <x:v>Fully allotted in R1; R2 opportunity depends on upgrade/non-joining</x:v>
      </x:c>
    </x:row>
    <x:row r="409">
      <x:c r="A409" t="str">
        <x:v>Telangana</x:v>
      </x:c>
      <x:c r="B409" t="str">
        <x:v>All India except Central University</x:v>
      </x:c>
      <x:c r="C409" t="str">
        <x:v>903350</x:v>
      </x:c>
      <x:c r="D409" t="str">
        <x:v>Government Medical College, Maheshwaram, BIET COLLEGE CAMPUS, MANGALPALLY VILLAGE, IBRAHIMPATNAM, RANGAREDDY DISTRICT</x:v>
      </x:c>
      <x:c r="E409" t="str">
        <x:v>TS/028/G/1</x:v>
      </x:c>
      <x:c r="F409" t="str">
        <x:v>Government</x:v>
      </x:c>
      <x:c r="G409" t="n">
        <x:v>50</x:v>
      </x:c>
      <x:c r="H409" t="n">
        <x:v>100</x:v>
      </x:c>
      <x:c r="I409" t="str">
        <x:v>High-confidence fuzzy</x:v>
      </x:c>
      <x:c r="J409" t="n">
        <x:v>7</x:v>
      </x:c>
      <x:c r="K409" t="n">
        <x:v>7</x:v>
      </x:c>
      <x:c r="L409" t="n">
        <x:f>J409-K409</x:f>
        <x:v>0</x:v>
      </x:c>
      <x:c r="M409" s="20" t="n">
        <x:f>IFERROR(K409/J409,0)</x:f>
        <x:v>1</x:v>
      </x:c>
      <x:c r="N409" t="n">
        <x:v>7</x:v>
      </x:c>
      <x:c r="O409" t="n">
        <x:v>7</x:v>
      </x:c>
      <x:c r="P409" t="n">
        <x:f>N409-O409</x:f>
        <x:v>0</x:v>
      </x:c>
      <x:c r="Q409" t="n">
        <x:v>0</x:v>
      </x:c>
      <x:c r="R409" t="n">
        <x:v>0</x:v>
      </x:c>
      <x:c r="S409" t="n">
        <x:f>Q409-R409</x:f>
        <x:v>0</x:v>
      </x:c>
      <x:c r="T409" t="n">
        <x:v>7</x:v>
      </x:c>
      <x:c r="U409" t="n">
        <x:v>7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f>IF(AND(ISNUMBER(G409),I409&lt;&gt;"Excluded INI"),MAX(0,G409-J409),"")</x:f>
        <x:v>43</x:v>
      </x:c>
      <x:c r="AC409" t="n">
        <x:v>19732</x:v>
      </x:c>
      <x:c r="AD409" t="n">
        <x:v>20212</x:v>
      </x:c>
      <x:c r="AE409" t="n">
        <x:v>21742</x:v>
      </x:c>
      <x:c r="AF409" t="n">
        <x:v>22114</x:v>
      </x:c>
      <x:c r="AG409" t="n">
        <x:v>25283</x:v>
      </x:c>
      <x:c r="AH409" t="n">
        <x:v>25283</x:v>
      </x:c>
      <x:c r="AI409" t="n">
        <x:v>98101</x:v>
      </x:c>
      <x:c r="AJ409" t="n">
        <x:v>98101</x:v>
      </x:c>
      <x:c r="AK409"/>
      <x:c r="AL409"/>
      <x:c r="AM409" t="str">
        <x:v>Fully allotted in R1; R2 opportunity depends on upgrade/non-joining</x:v>
      </x:c>
    </x:row>
    <x:row r="410">
      <x:c r="A410" t="str">
        <x:v>Telangana</x:v>
      </x:c>
      <x:c r="B410" t="str">
        <x:v>All India except Central University</x:v>
      </x:c>
      <x:c r="C410" t="str">
        <x:v>200643</x:v>
      </x:c>
      <x:c r="D410" t="str">
        <x:v>Government Medical College, Mancherial, Government Medical College Mancherial, Gudipet Haziput mandal, Mancherial District, Telangana, 5042</x:v>
      </x:c>
      <x:c r="E410" t="str">
        <x:v>TS/029/G/1</x:v>
      </x:c>
      <x:c r="F410" t="str">
        <x:v>Government</x:v>
      </x:c>
      <x:c r="G410" t="n">
        <x:v>100</x:v>
      </x:c>
      <x:c r="H410" t="n">
        <x:v>100</x:v>
      </x:c>
      <x:c r="I410" t="str">
        <x:v>High-confidence fuzzy</x:v>
      </x:c>
      <x:c r="J410" t="n">
        <x:v>15</x:v>
      </x:c>
      <x:c r="K410" t="n">
        <x:v>15</x:v>
      </x:c>
      <x:c r="L410" t="n">
        <x:f>J410-K410</x:f>
        <x:v>0</x:v>
      </x:c>
      <x:c r="M410" s="20" t="n">
        <x:f>IFERROR(K410/J410,0)</x:f>
        <x:v>1</x:v>
      </x:c>
      <x:c r="N410" t="n">
        <x:v>15</x:v>
      </x:c>
      <x:c r="O410" t="n">
        <x:v>15</x:v>
      </x:c>
      <x:c r="P410" t="n">
        <x:f>N410-O410</x:f>
        <x:v>0</x:v>
      </x:c>
      <x:c r="Q410" t="n">
        <x:v>0</x:v>
      </x:c>
      <x:c r="R410" t="n">
        <x:v>0</x:v>
      </x:c>
      <x:c r="S410" t="n">
        <x:f>Q410-R410</x:f>
        <x:v>0</x:v>
      </x:c>
      <x:c r="T410" t="n">
        <x:v>15</x:v>
      </x:c>
      <x:c r="U410" t="n">
        <x:v>15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f>IF(AND(ISNUMBER(G410),I410&lt;&gt;"Excluded INI"),MAX(0,G410-J410),"")</x:f>
        <x:v>85</x:v>
      </x:c>
      <x:c r="AC410" t="n">
        <x:v>20586</x:v>
      </x:c>
      <x:c r="AD410" t="n">
        <x:v>21357</x:v>
      </x:c>
      <x:c r="AE410" t="n">
        <x:v>22072</x:v>
      </x:c>
      <x:c r="AF410" t="n">
        <x:v>22545</x:v>
      </x:c>
      <x:c r="AG410" t="n">
        <x:v>24287</x:v>
      </x:c>
      <x:c r="AH410" t="n">
        <x:v>24287</x:v>
      </x:c>
      <x:c r="AI410" t="n">
        <x:v>78422</x:v>
      </x:c>
      <x:c r="AJ410" t="n">
        <x:v>90835</x:v>
      </x:c>
      <x:c r="AK410" t="n">
        <x:v>121442</x:v>
      </x:c>
      <x:c r="AL410" t="n">
        <x:v>125231</x:v>
      </x:c>
      <x:c r="AM410" t="str">
        <x:v>Fully allotted in R1; R2 opportunity depends on upgrade/non-joining</x:v>
      </x:c>
    </x:row>
    <x:row r="411">
      <x:c r="A411" t="str">
        <x:v>Telangana</x:v>
      </x:c>
      <x:c r="B411" t="str">
        <x:v>All India except Central University</x:v>
      </x:c>
      <x:c r="C411" t="str">
        <x:v>902819</x:v>
      </x:c>
      <x:c r="D411" t="str">
        <x:v>Government Medical College, Mulugu, gmc.mulugu@gmail.com</x:v>
      </x:c>
      <x:c r="E411" t="str">
        <x:v>TS/030/G/1</x:v>
      </x:c>
      <x:c r="F411" t="str">
        <x:v>Government</x:v>
      </x:c>
      <x:c r="G411" t="n">
        <x:v>50</x:v>
      </x:c>
      <x:c r="H411" t="n">
        <x:v>100</x:v>
      </x:c>
      <x:c r="I411" t="str">
        <x:v>High-confidence fuzzy</x:v>
      </x:c>
      <x:c r="J411" t="n">
        <x:v>7</x:v>
      </x:c>
      <x:c r="K411" t="n">
        <x:v>7</x:v>
      </x:c>
      <x:c r="L411" t="n">
        <x:f>J411-K411</x:f>
        <x:v>0</x:v>
      </x:c>
      <x:c r="M411" s="20" t="n">
        <x:f>IFERROR(K411/J411,0)</x:f>
        <x:v>1</x:v>
      </x:c>
      <x:c r="N411" t="n">
        <x:v>7</x:v>
      </x:c>
      <x:c r="O411" t="n">
        <x:v>7</x:v>
      </x:c>
      <x:c r="P411" t="n">
        <x:f>N411-O411</x:f>
        <x:v>0</x:v>
      </x:c>
      <x:c r="Q411" t="n">
        <x:v>0</x:v>
      </x:c>
      <x:c r="R411" t="n">
        <x:v>0</x:v>
      </x:c>
      <x:c r="S411" t="n">
        <x:f>Q411-R411</x:f>
        <x:v>0</x:v>
      </x:c>
      <x:c r="T411" t="n">
        <x:v>7</x:v>
      </x:c>
      <x:c r="U411" t="n">
        <x:v>7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f>IF(AND(ISNUMBER(G411),I411&lt;&gt;"Excluded INI"),MAX(0,G411-J411),"")</x:f>
        <x:v>43</x:v>
      </x:c>
      <x:c r="AC411" t="n">
        <x:v>20340</x:v>
      </x:c>
      <x:c r="AD411" t="n">
        <x:v>20670</x:v>
      </x:c>
      <x:c r="AE411" t="n">
        <x:v>22007</x:v>
      </x:c>
      <x:c r="AF411" t="n">
        <x:v>22007</x:v>
      </x:c>
      <x:c r="AG411" t="n">
        <x:v>26213</x:v>
      </x:c>
      <x:c r="AH411" t="n">
        <x:v>26213</x:v>
      </x:c>
      <x:c r="AI411" t="n">
        <x:v>102880</x:v>
      </x:c>
      <x:c r="AJ411" t="n">
        <x:v>102880</x:v>
      </x:c>
      <x:c r="AK411"/>
      <x:c r="AL411"/>
      <x:c r="AM411" t="str">
        <x:v>Fully allotted in R1; R2 opportunity depends on upgrade/non-joining</x:v>
      </x:c>
    </x:row>
    <x:row r="412">
      <x:c r="A412" t="str">
        <x:v>Telangana</x:v>
      </x:c>
      <x:c r="B412" t="str">
        <x:v>All India except Central University</x:v>
      </x:c>
      <x:c r="C412" t="str">
        <x:v>200595</x:v>
      </x:c>
      <x:c r="D412" t="str">
        <x:v>Government Medical College, Nagarkurnool, Sy no. 237, Uyyalawada village, Nanagarkurnool</x:v>
      </x:c>
      <x:c r="E412" t="str">
        <x:v>TS/031/G/1</x:v>
      </x:c>
      <x:c r="F412" t="str">
        <x:v>Government</x:v>
      </x:c>
      <x:c r="G412" t="n">
        <x:v>150</x:v>
      </x:c>
      <x:c r="H412" t="n">
        <x:v>100</x:v>
      </x:c>
      <x:c r="I412" t="str">
        <x:v>High-confidence fuzzy</x:v>
      </x:c>
      <x:c r="J412" t="n">
        <x:v>22</x:v>
      </x:c>
      <x:c r="K412" t="n">
        <x:v>22</x:v>
      </x:c>
      <x:c r="L412" t="n">
        <x:f>J412-K412</x:f>
        <x:v>0</x:v>
      </x:c>
      <x:c r="M412" s="20" t="n">
        <x:f>IFERROR(K412/J412,0)</x:f>
        <x:v>1</x:v>
      </x:c>
      <x:c r="N412" t="n">
        <x:v>22</x:v>
      </x:c>
      <x:c r="O412" t="n">
        <x:v>22</x:v>
      </x:c>
      <x:c r="P412" t="n">
        <x:f>N412-O412</x:f>
        <x:v>0</x:v>
      </x:c>
      <x:c r="Q412" t="n">
        <x:v>0</x:v>
      </x:c>
      <x:c r="R412" t="n">
        <x:v>0</x:v>
      </x:c>
      <x:c r="S412" t="n">
        <x:f>Q412-R412</x:f>
        <x:v>0</x:v>
      </x:c>
      <x:c r="T412" t="n">
        <x:v>22</x:v>
      </x:c>
      <x:c r="U412" t="n">
        <x:v>22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f>IF(AND(ISNUMBER(G412),I412&lt;&gt;"Excluded INI"),MAX(0,G412-J412),"")</x:f>
        <x:v>128</x:v>
      </x:c>
      <x:c r="AC412" t="n">
        <x:v>17888</x:v>
      </x:c>
      <x:c r="AD412" t="n">
        <x:v>19893</x:v>
      </x:c>
      <x:c r="AE412" t="n">
        <x:v>20772</x:v>
      </x:c>
      <x:c r="AF412" t="n">
        <x:v>21454</x:v>
      </x:c>
      <x:c r="AG412" t="n">
        <x:v>22795</x:v>
      </x:c>
      <x:c r="AH412" t="n">
        <x:v>25694</x:v>
      </x:c>
      <x:c r="AI412" t="n">
        <x:v>98774</x:v>
      </x:c>
      <x:c r="AJ412" t="n">
        <x:v>101448</x:v>
      </x:c>
      <x:c r="AK412" t="n">
        <x:v>115162</x:v>
      </x:c>
      <x:c r="AL412" t="n">
        <x:v>118981</x:v>
      </x:c>
      <x:c r="AM412" t="str">
        <x:v>Fully allotted in R1; R2 opportunity depends on upgrade/non-joining</x:v>
      </x:c>
    </x:row>
    <x:row r="413">
      <x:c r="A413" t="str">
        <x:v>Telangana</x:v>
      </x:c>
      <x:c r="B413" t="str">
        <x:v>All India except Central University</x:v>
      </x:c>
      <x:c r="C413" t="str">
        <x:v>200482</x:v>
      </x:c>
      <x:c r="D413" t="str">
        <x:v>Government Medical College, Nalgonda, OFFICE OF THE PRINCIPAL, GOVERNMENT MEDICAL COLLGEGE,GANDHAMVARI GUDEM,SLBC,SAGAR ROAD,NALGONDA,TELA</x:v>
      </x:c>
      <x:c r="E413" t="str">
        <x:v>TS/032/G/1</x:v>
      </x:c>
      <x:c r="F413" t="str">
        <x:v>Government</x:v>
      </x:c>
      <x:c r="G413" t="n">
        <x:v>150</x:v>
      </x:c>
      <x:c r="H413" t="n">
        <x:v>100</x:v>
      </x:c>
      <x:c r="I413" t="str">
        <x:v>High-confidence fuzzy</x:v>
      </x:c>
      <x:c r="J413" t="n">
        <x:v>22</x:v>
      </x:c>
      <x:c r="K413" t="n">
        <x:v>22</x:v>
      </x:c>
      <x:c r="L413" t="n">
        <x:f>J413-K413</x:f>
        <x:v>0</x:v>
      </x:c>
      <x:c r="M413" s="20" t="n">
        <x:f>IFERROR(K413/J413,0)</x:f>
        <x:v>1</x:v>
      </x:c>
      <x:c r="N413" t="n">
        <x:v>22</x:v>
      </x:c>
      <x:c r="O413" t="n">
        <x:v>22</x:v>
      </x:c>
      <x:c r="P413" t="n">
        <x:f>N413-O413</x:f>
        <x:v>0</x:v>
      </x:c>
      <x:c r="Q413" t="n">
        <x:v>0</x:v>
      </x:c>
      <x:c r="R413" t="n">
        <x:v>0</x:v>
      </x:c>
      <x:c r="S413" t="n">
        <x:f>Q413-R413</x:f>
        <x:v>0</x:v>
      </x:c>
      <x:c r="T413" t="n">
        <x:v>22</x:v>
      </x:c>
      <x:c r="U413" t="n">
        <x:v>22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f>IF(AND(ISNUMBER(G413),I413&lt;&gt;"Excluded INI"),MAX(0,G413-J413),"")</x:f>
        <x:v>128</x:v>
      </x:c>
      <x:c r="AC413" t="n">
        <x:v>18870</x:v>
      </x:c>
      <x:c r="AD413" t="n">
        <x:v>19443</x:v>
      </x:c>
      <x:c r="AE413" t="n">
        <x:v>20496</x:v>
      </x:c>
      <x:c r="AF413" t="n">
        <x:v>20564</x:v>
      </x:c>
      <x:c r="AG413" t="n">
        <x:v>23782</x:v>
      </x:c>
      <x:c r="AH413" t="n">
        <x:v>24312</x:v>
      </x:c>
      <x:c r="AI413" t="n">
        <x:v>93236</x:v>
      </x:c>
      <x:c r="AJ413" t="n">
        <x:v>94150</x:v>
      </x:c>
      <x:c r="AK413" t="n">
        <x:v>106416</x:v>
      </x:c>
      <x:c r="AL413" t="n">
        <x:v>106416</x:v>
      </x:c>
      <x:c r="AM413" t="str">
        <x:v>Fully allotted in R1; R2 opportunity depends on upgrade/non-joining</x:v>
      </x:c>
    </x:row>
    <x:row r="414">
      <x:c r="A414" t="str">
        <x:v>Telangana</x:v>
      </x:c>
      <x:c r="B414" t="str">
        <x:v>All India except Central University</x:v>
      </x:c>
      <x:c r="C414" t="str">
        <x:v>902821</x:v>
      </x:c>
      <x:c r="D414" t="str">
        <x:v>Government Medical College, Narayanpet, Government Medical College Narayanpet Jajapur Narayanpet District Telangana Pincode 509210</x:v>
      </x:c>
      <x:c r="E414" t="str">
        <x:v>TS/033/G/1</x:v>
      </x:c>
      <x:c r="F414" t="str">
        <x:v>Government</x:v>
      </x:c>
      <x:c r="G414" t="n">
        <x:v>50</x:v>
      </x:c>
      <x:c r="H414" t="n">
        <x:v>100</x:v>
      </x:c>
      <x:c r="I414" t="str">
        <x:v>High-confidence fuzzy</x:v>
      </x:c>
      <x:c r="J414" t="n">
        <x:v>7</x:v>
      </x:c>
      <x:c r="K414" t="n">
        <x:v>7</x:v>
      </x:c>
      <x:c r="L414" t="n">
        <x:f>J414-K414</x:f>
        <x:v>0</x:v>
      </x:c>
      <x:c r="M414" s="20" t="n">
        <x:f>IFERROR(K414/J414,0)</x:f>
        <x:v>1</x:v>
      </x:c>
      <x:c r="N414" t="n">
        <x:v>7</x:v>
      </x:c>
      <x:c r="O414" t="n">
        <x:v>7</x:v>
      </x:c>
      <x:c r="P414" t="n">
        <x:f>N414-O414</x:f>
        <x:v>0</x:v>
      </x:c>
      <x:c r="Q414" t="n">
        <x:v>0</x:v>
      </x:c>
      <x:c r="R414" t="n">
        <x:v>0</x:v>
      </x:c>
      <x:c r="S414" t="n">
        <x:f>Q414-R414</x:f>
        <x:v>0</x:v>
      </x:c>
      <x:c r="T414" t="n">
        <x:v>7</x:v>
      </x:c>
      <x:c r="U414" t="n">
        <x:v>7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f>IF(AND(ISNUMBER(G414),I414&lt;&gt;"Excluded INI"),MAX(0,G414-J414),"")</x:f>
        <x:v>43</x:v>
      </x:c>
      <x:c r="AC414" t="n">
        <x:v>19315</x:v>
      </x:c>
      <x:c r="AD414" t="n">
        <x:v>20117</x:v>
      </x:c>
      <x:c r="AE414" t="n">
        <x:v>21170</x:v>
      </x:c>
      <x:c r="AF414" t="n">
        <x:v>21367</x:v>
      </x:c>
      <x:c r="AG414" t="n">
        <x:v>25317</x:v>
      </x:c>
      <x:c r="AH414" t="n">
        <x:v>25317</x:v>
      </x:c>
      <x:c r="AI414" t="n">
        <x:v>89056</x:v>
      </x:c>
      <x:c r="AJ414" t="n">
        <x:v>89056</x:v>
      </x:c>
      <x:c r="AK414" t="n">
        <x:v>120465</x:v>
      </x:c>
      <x:c r="AL414" t="n">
        <x:v>120465</x:v>
      </x:c>
      <x:c r="AM414" t="str">
        <x:v>Fully allotted in R1; R2 opportunity depends on upgrade/non-joining</x:v>
      </x:c>
    </x:row>
    <x:row r="415">
      <x:c r="A415" t="str">
        <x:v>Telangana</x:v>
      </x:c>
      <x:c r="B415" t="str">
        <x:v>All India except Central University</x:v>
      </x:c>
      <x:c r="C415" t="str">
        <x:v>902817</x:v>
      </x:c>
      <x:c r="D415" t="str">
        <x:v>Government Medical College, Narsampet, Sarwapuram, Pakhal road, Land mark- Bharath petrol pump, Narsamapet</x:v>
      </x:c>
      <x:c r="E415" t="str">
        <x:v>TS/034/G/1</x:v>
      </x:c>
      <x:c r="F415" t="str">
        <x:v>Government</x:v>
      </x:c>
      <x:c r="G415" t="n">
        <x:v>50</x:v>
      </x:c>
      <x:c r="H415" t="n">
        <x:v>100</x:v>
      </x:c>
      <x:c r="I415" t="str">
        <x:v>High-confidence fuzzy</x:v>
      </x:c>
      <x:c r="J415" t="n">
        <x:v>7</x:v>
      </x:c>
      <x:c r="K415" t="n">
        <x:v>7</x:v>
      </x:c>
      <x:c r="L415" t="n">
        <x:f>J415-K415</x:f>
        <x:v>0</x:v>
      </x:c>
      <x:c r="M415" s="20" t="n">
        <x:f>IFERROR(K415/J415,0)</x:f>
        <x:v>1</x:v>
      </x:c>
      <x:c r="N415" t="n">
        <x:v>7</x:v>
      </x:c>
      <x:c r="O415" t="n">
        <x:v>7</x:v>
      </x:c>
      <x:c r="P415" t="n">
        <x:f>N415-O415</x:f>
        <x:v>0</x:v>
      </x:c>
      <x:c r="Q415" t="n">
        <x:v>0</x:v>
      </x:c>
      <x:c r="R415" t="n">
        <x:v>0</x:v>
      </x:c>
      <x:c r="S415" t="n">
        <x:f>Q415-R415</x:f>
        <x:v>0</x:v>
      </x:c>
      <x:c r="T415" t="n">
        <x:v>7</x:v>
      </x:c>
      <x:c r="U415" t="n">
        <x:v>7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f>IF(AND(ISNUMBER(G415),I415&lt;&gt;"Excluded INI"),MAX(0,G415-J415),"")</x:f>
        <x:v>43</x:v>
      </x:c>
      <x:c r="AC415" t="n">
        <x:v>21091</x:v>
      </x:c>
      <x:c r="AD415" t="n">
        <x:v>21301</x:v>
      </x:c>
      <x:c r="AE415" t="n">
        <x:v>21701</x:v>
      </x:c>
      <x:c r="AF415" t="n">
        <x:v>21701</x:v>
      </x:c>
      <x:c r="AG415" t="n">
        <x:v>26348</x:v>
      </x:c>
      <x:c r="AH415" t="n">
        <x:v>26348</x:v>
      </x:c>
      <x:c r="AI415" t="n">
        <x:v>103391</x:v>
      </x:c>
      <x:c r="AJ415" t="n">
        <x:v>103493</x:v>
      </x:c>
      <x:c r="AK415"/>
      <x:c r="AL415"/>
      <x:c r="AM415" t="str">
        <x:v>Fully allotted in R1; R2 opportunity depends on upgrade/non-joining</x:v>
      </x:c>
    </x:row>
    <x:row r="416">
      <x:c r="A416" t="str">
        <x:v>Telangana</x:v>
      </x:c>
      <x:c r="B416" t="str">
        <x:v>All India except Central University</x:v>
      </x:c>
      <x:c r="C416" t="str">
        <x:v>200653</x:v>
      </x:c>
      <x:c r="D416" t="str">
        <x:v>Government Medical College, Nirmal, BESIDE DIVYA GARDEN , DIVYA NAGAR NIRMAL</x:v>
      </x:c>
      <x:c r="E416" t="str">
        <x:v>TS/035/G/1</x:v>
      </x:c>
      <x:c r="F416" t="str">
        <x:v>Government</x:v>
      </x:c>
      <x:c r="G416" t="n">
        <x:v>100</x:v>
      </x:c>
      <x:c r="H416" t="n">
        <x:v>100</x:v>
      </x:c>
      <x:c r="I416" t="str">
        <x:v>High-confidence fuzzy</x:v>
      </x:c>
      <x:c r="J416" t="n">
        <x:v>15</x:v>
      </x:c>
      <x:c r="K416" t="n">
        <x:v>15</x:v>
      </x:c>
      <x:c r="L416" t="n">
        <x:f>J416-K416</x:f>
        <x:v>0</x:v>
      </x:c>
      <x:c r="M416" s="20" t="n">
        <x:f>IFERROR(K416/J416,0)</x:f>
        <x:v>1</x:v>
      </x:c>
      <x:c r="N416" t="n">
        <x:v>15</x:v>
      </x:c>
      <x:c r="O416" t="n">
        <x:v>15</x:v>
      </x:c>
      <x:c r="P416" t="n">
        <x:f>N416-O416</x:f>
        <x:v>0</x:v>
      </x:c>
      <x:c r="Q416" t="n">
        <x:v>0</x:v>
      </x:c>
      <x:c r="R416" t="n">
        <x:v>0</x:v>
      </x:c>
      <x:c r="S416" t="n">
        <x:f>Q416-R416</x:f>
        <x:v>0</x:v>
      </x:c>
      <x:c r="T416" t="n">
        <x:v>15</x:v>
      </x:c>
      <x:c r="U416" t="n">
        <x:v>15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f>IF(AND(ISNUMBER(G416),I416&lt;&gt;"Excluded INI"),MAX(0,G416-J416),"")</x:f>
        <x:v>85</x:v>
      </x:c>
      <x:c r="AC416" t="n">
        <x:v>16526</x:v>
      </x:c>
      <x:c r="AD416" t="n">
        <x:v>17996</x:v>
      </x:c>
      <x:c r="AE416" t="n">
        <x:v>20738</x:v>
      </x:c>
      <x:c r="AF416" t="n">
        <x:v>22175</x:v>
      </x:c>
      <x:c r="AG416" t="n">
        <x:v>26636</x:v>
      </x:c>
      <x:c r="AH416" t="n">
        <x:v>26636</x:v>
      </x:c>
      <x:c r="AI416" t="n">
        <x:v>95168</x:v>
      </x:c>
      <x:c r="AJ416" t="n">
        <x:v>99984</x:v>
      </x:c>
      <x:c r="AK416" t="n">
        <x:v>119538</x:v>
      </x:c>
      <x:c r="AL416" t="n">
        <x:v>124819</x:v>
      </x:c>
      <x:c r="AM416" t="str">
        <x:v>Fully allotted in R1; R2 opportunity depends on upgrade/non-joining</x:v>
      </x:c>
    </x:row>
    <x:row r="417">
      <x:c r="A417" t="str">
        <x:v>Telangana</x:v>
      </x:c>
      <x:c r="B417" t="str">
        <x:v>All India except Central University</x:v>
      </x:c>
      <x:c r="C417" t="str">
        <x:v>200456</x:v>
      </x:c>
      <x:c r="D417" t="str">
        <x:v>Government Medical College, Nizamabad, R.P.Road, Near Bustand, Khaleelwadi Nizamabad</x:v>
      </x:c>
      <x:c r="E417" t="str">
        <x:v>TS/036/G/1</x:v>
      </x:c>
      <x:c r="F417" t="str">
        <x:v>Government</x:v>
      </x:c>
      <x:c r="G417" t="n">
        <x:v>150</x:v>
      </x:c>
      <x:c r="H417" t="n">
        <x:v>100</x:v>
      </x:c>
      <x:c r="I417" t="str">
        <x:v>High-confidence fuzzy</x:v>
      </x:c>
      <x:c r="J417" t="n">
        <x:v>19</x:v>
      </x:c>
      <x:c r="K417" t="n">
        <x:v>19</x:v>
      </x:c>
      <x:c r="L417" t="n">
        <x:f>J417-K417</x:f>
        <x:v>0</x:v>
      </x:c>
      <x:c r="M417" s="20" t="n">
        <x:f>IFERROR(K417/J417,0)</x:f>
        <x:v>1</x:v>
      </x:c>
      <x:c r="N417" t="n">
        <x:v>19</x:v>
      </x:c>
      <x:c r="O417" t="n">
        <x:v>19</x:v>
      </x:c>
      <x:c r="P417" t="n">
        <x:f>N417-O417</x:f>
        <x:v>0</x:v>
      </x:c>
      <x:c r="Q417" t="n">
        <x:v>0</x:v>
      </x:c>
      <x:c r="R417" t="n">
        <x:v>0</x:v>
      </x:c>
      <x:c r="S417" t="n">
        <x:f>Q417-R417</x:f>
        <x:v>0</x:v>
      </x:c>
      <x:c r="T417" t="n">
        <x:v>19</x:v>
      </x:c>
      <x:c r="U417" t="n">
        <x:v>19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f>IF(AND(ISNUMBER(G417),I417&lt;&gt;"Excluded INI"),MAX(0,G417-J417),"")</x:f>
        <x:v>131</x:v>
      </x:c>
      <x:c r="AC417" t="n">
        <x:v>12180</x:v>
      </x:c>
      <x:c r="AD417" t="n">
        <x:v>14277</x:v>
      </x:c>
      <x:c r="AE417" t="n">
        <x:v>16004</x:v>
      </x:c>
      <x:c r="AF417" t="n">
        <x:v>16341</x:v>
      </x:c>
      <x:c r="AG417" t="n">
        <x:v>16350</x:v>
      </x:c>
      <x:c r="AH417" t="n">
        <x:v>16350</x:v>
      </x:c>
      <x:c r="AI417" t="n">
        <x:v>68878</x:v>
      </x:c>
      <x:c r="AJ417" t="n">
        <x:v>75217</x:v>
      </x:c>
      <x:c r="AK417"/>
      <x:c r="AL417"/>
      <x:c r="AM417" t="str">
        <x:v>Fully allotted in R1; R2 opportunity depends on upgrade/non-joining</x:v>
      </x:c>
    </x:row>
    <x:row r="418">
      <x:c r="A418" t="str">
        <x:v>Telangana</x:v>
      </x:c>
      <x:c r="B418" t="str">
        <x:v>All India except Central University</x:v>
      </x:c>
      <x:c r="C418" t="str">
        <x:v>200656</x:v>
      </x:c>
      <x:c r="D418" t="str">
        <x:v>Government Medical College, Rajanna Sircilla, GOVERNMENT MEDICAL COLLEGE NEAR KASTURBA GIRLS SCHOOL PEDDUR SIRCILLA DISTRICT RAJANNA SIRCILLA</x:v>
      </x:c>
      <x:c r="E418" t="str">
        <x:v>TS/038/G/1</x:v>
      </x:c>
      <x:c r="F418" t="str">
        <x:v>Government</x:v>
      </x:c>
      <x:c r="G418" t="n">
        <x:v>100</x:v>
      </x:c>
      <x:c r="H418" t="n">
        <x:v>100</x:v>
      </x:c>
      <x:c r="I418" t="str">
        <x:v>High-confidence fuzzy</x:v>
      </x:c>
      <x:c r="J418" t="n">
        <x:v>15</x:v>
      </x:c>
      <x:c r="K418" t="n">
        <x:v>15</x:v>
      </x:c>
      <x:c r="L418" t="n">
        <x:f>J418-K418</x:f>
        <x:v>0</x:v>
      </x:c>
      <x:c r="M418" s="20" t="n">
        <x:f>IFERROR(K418/J418,0)</x:f>
        <x:v>1</x:v>
      </x:c>
      <x:c r="N418" t="n">
        <x:v>15</x:v>
      </x:c>
      <x:c r="O418" t="n">
        <x:v>15</x:v>
      </x:c>
      <x:c r="P418" t="n">
        <x:f>N418-O418</x:f>
        <x:v>0</x:v>
      </x:c>
      <x:c r="Q418" t="n">
        <x:v>0</x:v>
      </x:c>
      <x:c r="R418" t="n">
        <x:v>0</x:v>
      </x:c>
      <x:c r="S418" t="n">
        <x:f>Q418-R418</x:f>
        <x:v>0</x:v>
      </x:c>
      <x:c r="T418" t="n">
        <x:v>15</x:v>
      </x:c>
      <x:c r="U418" t="n">
        <x:v>15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f>IF(AND(ISNUMBER(G418),I418&lt;&gt;"Excluded INI"),MAX(0,G418-J418),"")</x:f>
        <x:v>85</x:v>
      </x:c>
      <x:c r="AC418" t="n">
        <x:v>20950</x:v>
      </x:c>
      <x:c r="AD418" t="n">
        <x:v>21038</x:v>
      </x:c>
      <x:c r="AE418" t="n">
        <x:v>21744</x:v>
      </x:c>
      <x:c r="AF418" t="n">
        <x:v>21951</x:v>
      </x:c>
      <x:c r="AG418" t="n">
        <x:v>25422</x:v>
      </x:c>
      <x:c r="AH418" t="n">
        <x:v>25422</x:v>
      </x:c>
      <x:c r="AI418" t="n">
        <x:v>103349</x:v>
      </x:c>
      <x:c r="AJ418" t="n">
        <x:v>103480</x:v>
      </x:c>
      <x:c r="AK418" t="n">
        <x:v>124325</x:v>
      </x:c>
      <x:c r="AL418" t="n">
        <x:v>124325</x:v>
      </x:c>
      <x:c r="AM418" t="str">
        <x:v>Fully allotted in R1; R2 opportunity depends on upgrade/non-joining</x:v>
      </x:c>
    </x:row>
    <x:row r="419">
      <x:c r="A419" t="str">
        <x:v>Telangana</x:v>
      </x:c>
      <x:c r="B419" t="str">
        <x:v>All India except Central University</x:v>
      </x:c>
      <x:c r="C419" t="str">
        <x:v>200616</x:v>
      </x:c>
      <x:c r="D419" t="str">
        <x:v>Government Medical College, Ramagundam, SURVEY NUMBER 92 95 96 MALKAPUR VILLAGE RAMAGUNDAM</x:v>
      </x:c>
      <x:c r="E419" t="str">
        <x:v>TS/039/G/1</x:v>
      </x:c>
      <x:c r="F419" t="str">
        <x:v>Government</x:v>
      </x:c>
      <x:c r="G419" t="n">
        <x:v>150</x:v>
      </x:c>
      <x:c r="H419" t="n">
        <x:v>100</x:v>
      </x:c>
      <x:c r="I419" t="str">
        <x:v>High-confidence fuzzy</x:v>
      </x:c>
      <x:c r="J419" t="n">
        <x:v>22</x:v>
      </x:c>
      <x:c r="K419" t="n">
        <x:v>22</x:v>
      </x:c>
      <x:c r="L419" t="n">
        <x:f>J419-K419</x:f>
        <x:v>0</x:v>
      </x:c>
      <x:c r="M419" s="20" t="n">
        <x:f>IFERROR(K419/J419,0)</x:f>
        <x:v>1</x:v>
      </x:c>
      <x:c r="N419" t="n">
        <x:v>22</x:v>
      </x:c>
      <x:c r="O419" t="n">
        <x:v>22</x:v>
      </x:c>
      <x:c r="P419" t="n">
        <x:f>N419-O419</x:f>
        <x:v>0</x:v>
      </x:c>
      <x:c r="Q419" t="n">
        <x:v>0</x:v>
      </x:c>
      <x:c r="R419" t="n">
        <x:v>0</x:v>
      </x:c>
      <x:c r="S419" t="n">
        <x:f>Q419-R419</x:f>
        <x:v>0</x:v>
      </x:c>
      <x:c r="T419" t="n">
        <x:v>22</x:v>
      </x:c>
      <x:c r="U419" t="n">
        <x:v>22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f>IF(AND(ISNUMBER(G419),I419&lt;&gt;"Excluded INI"),MAX(0,G419-J419),"")</x:f>
        <x:v>128</x:v>
      </x:c>
      <x:c r="AC419" t="n">
        <x:v>20525</x:v>
      </x:c>
      <x:c r="AD419" t="n">
        <x:v>21436</x:v>
      </x:c>
      <x:c r="AE419" t="n">
        <x:v>21936</x:v>
      </x:c>
      <x:c r="AF419" t="n">
        <x:v>22263</x:v>
      </x:c>
      <x:c r="AG419" t="n">
        <x:v>26016</x:v>
      </x:c>
      <x:c r="AH419" t="n">
        <x:v>26763</x:v>
      </x:c>
      <x:c r="AI419" t="n">
        <x:v>102360</x:v>
      </x:c>
      <x:c r="AJ419" t="n">
        <x:v>103064</x:v>
      </x:c>
      <x:c r="AK419" t="n">
        <x:v>123735</x:v>
      </x:c>
      <x:c r="AL419" t="n">
        <x:v>123735</x:v>
      </x:c>
      <x:c r="AM419" t="str">
        <x:v>Fully allotted in R1; R2 opportunity depends on upgrade/non-joining</x:v>
      </x:c>
    </x:row>
    <x:row r="420">
      <x:c r="A420" t="str">
        <x:v>Telangana</x:v>
      </x:c>
      <x:c r="B420" t="str">
        <x:v>All India except Central University</x:v>
      </x:c>
      <x:c r="C420" t="str">
        <x:v>200597</x:v>
      </x:c>
      <x:c r="D420" t="str">
        <x:v>Government Medical College, Sangareddy, OPP. TOWN POLICE STATION, NETAJI NAGAR, SANGAREDDY DISTRICT, TELANGANA - 502001</x:v>
      </x:c>
      <x:c r="E420" t="str">
        <x:v>TS/040/G/1</x:v>
      </x:c>
      <x:c r="F420" t="str">
        <x:v>Government</x:v>
      </x:c>
      <x:c r="G420" t="n">
        <x:v>150</x:v>
      </x:c>
      <x:c r="H420" t="n">
        <x:v>100</x:v>
      </x:c>
      <x:c r="I420" t="str">
        <x:v>High-confidence fuzzy</x:v>
      </x:c>
      <x:c r="J420" t="n">
        <x:v>22</x:v>
      </x:c>
      <x:c r="K420" t="n">
        <x:v>22</x:v>
      </x:c>
      <x:c r="L420" t="n">
        <x:f>J420-K420</x:f>
        <x:v>0</x:v>
      </x:c>
      <x:c r="M420" s="20" t="n">
        <x:f>IFERROR(K420/J420,0)</x:f>
        <x:v>1</x:v>
      </x:c>
      <x:c r="N420" t="n">
        <x:v>22</x:v>
      </x:c>
      <x:c r="O420" t="n">
        <x:v>22</x:v>
      </x:c>
      <x:c r="P420" t="n">
        <x:f>N420-O420</x:f>
        <x:v>0</x:v>
      </x:c>
      <x:c r="Q420" t="n">
        <x:v>0</x:v>
      </x:c>
      <x:c r="R420" t="n">
        <x:v>0</x:v>
      </x:c>
      <x:c r="S420" t="n">
        <x:f>Q420-R420</x:f>
        <x:v>0</x:v>
      </x:c>
      <x:c r="T420" t="n">
        <x:v>22</x:v>
      </x:c>
      <x:c r="U420" t="n">
        <x:v>22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f>IF(AND(ISNUMBER(G420),I420&lt;&gt;"Excluded INI"),MAX(0,G420-J420),"")</x:f>
        <x:v>128</x:v>
      </x:c>
      <x:c r="AC420" t="n">
        <x:v>18783</x:v>
      </x:c>
      <x:c r="AD420" t="n">
        <x:v>20656</x:v>
      </x:c>
      <x:c r="AE420" t="n">
        <x:v>20715</x:v>
      </x:c>
      <x:c r="AF420" t="n">
        <x:v>21005</x:v>
      </x:c>
      <x:c r="AG420" t="n">
        <x:v>23706</x:v>
      </x:c>
      <x:c r="AH420" t="n">
        <x:v>23850</x:v>
      </x:c>
      <x:c r="AI420" t="n">
        <x:v>88104</x:v>
      </x:c>
      <x:c r="AJ420" t="n">
        <x:v>98164</x:v>
      </x:c>
      <x:c r="AK420" t="n">
        <x:v>94656</x:v>
      </x:c>
      <x:c r="AL420" t="n">
        <x:v>100174</x:v>
      </x:c>
      <x:c r="AM420" t="str">
        <x:v>Fully allotted in R1; R2 opportunity depends on upgrade/non-joining</x:v>
      </x:c>
    </x:row>
    <x:row r="421">
      <x:c r="A421" t="str">
        <x:v>Telangana</x:v>
      </x:c>
      <x:c r="B421" t="str">
        <x:v>All India except Central University</x:v>
      </x:c>
      <x:c r="C421" t="str">
        <x:v>200458</x:v>
      </x:c>
      <x:c r="D421" t="str">
        <x:v>Government Medical College, Siddipet, Survey No 54, Ensanpalli Village, Siddipet Mandal, Siddipet</x:v>
      </x:c>
      <x:c r="E421" t="str">
        <x:v>TS/041/G/1</x:v>
      </x:c>
      <x:c r="F421" t="str">
        <x:v>Government</x:v>
      </x:c>
      <x:c r="G421" t="n">
        <x:v>200</x:v>
      </x:c>
      <x:c r="H421" t="n">
        <x:v>100</x:v>
      </x:c>
      <x:c r="I421" t="str">
        <x:v>High-confidence fuzzy</x:v>
      </x:c>
      <x:c r="J421" t="n">
        <x:v>26</x:v>
      </x:c>
      <x:c r="K421" t="n">
        <x:v>26</x:v>
      </x:c>
      <x:c r="L421" t="n">
        <x:f>J421-K421</x:f>
        <x:v>0</x:v>
      </x:c>
      <x:c r="M421" s="20" t="n">
        <x:f>IFERROR(K421/J421,0)</x:f>
        <x:v>1</x:v>
      </x:c>
      <x:c r="N421" t="n">
        <x:v>26</x:v>
      </x:c>
      <x:c r="O421" t="n">
        <x:v>26</x:v>
      </x:c>
      <x:c r="P421" t="n">
        <x:f>N421-O421</x:f>
        <x:v>0</x:v>
      </x:c>
      <x:c r="Q421" t="n">
        <x:v>0</x:v>
      </x:c>
      <x:c r="R421" t="n">
        <x:v>0</x:v>
      </x:c>
      <x:c r="S421" t="n">
        <x:f>Q421-R421</x:f>
        <x:v>0</x:v>
      </x:c>
      <x:c r="T421" t="n">
        <x:v>26</x:v>
      </x:c>
      <x:c r="U421" t="n">
        <x:v>26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f>IF(AND(ISNUMBER(G421),I421&lt;&gt;"Excluded INI"),MAX(0,G421-J421),"")</x:f>
        <x:v>174</x:v>
      </x:c>
      <x:c r="AC421" t="n">
        <x:v>17617</x:v>
      </x:c>
      <x:c r="AD421" t="n">
        <x:v>18420</x:v>
      </x:c>
      <x:c r="AE421" t="n">
        <x:v>19424</x:v>
      </x:c>
      <x:c r="AF421" t="n">
        <x:v>20199</x:v>
      </x:c>
      <x:c r="AG421" t="n">
        <x:v>23084</x:v>
      </x:c>
      <x:c r="AH421" t="n">
        <x:v>23128</x:v>
      </x:c>
      <x:c r="AI421" t="n">
        <x:v>82228</x:v>
      </x:c>
      <x:c r="AJ421" t="n">
        <x:v>90312</x:v>
      </x:c>
      <x:c r="AK421" t="n">
        <x:v>92562</x:v>
      </x:c>
      <x:c r="AL421" t="n">
        <x:v>94668</x:v>
      </x:c>
      <x:c r="AM421" t="str">
        <x:v>Fully allotted in R1; R2 opportunity depends on upgrade/non-joining</x:v>
      </x:c>
    </x:row>
    <x:row r="422">
      <x:c r="A422" t="str">
        <x:v>Telangana</x:v>
      </x:c>
      <x:c r="B422" t="str">
        <x:v>All India except Central University</x:v>
      </x:c>
      <x:c r="C422" t="str">
        <x:v>200481</x:v>
      </x:c>
      <x:c r="D422" t="str">
        <x:v>Government Medical College, Suryapet, AMARAVADI NAGAR, TALLAGADDA, SURYAPET-508213 Suraypet Dist</x:v>
      </x:c>
      <x:c r="E422" t="str">
        <x:v>TS/042/G/1</x:v>
      </x:c>
      <x:c r="F422" t="str">
        <x:v>Government</x:v>
      </x:c>
      <x:c r="G422" t="n">
        <x:v>150</x:v>
      </x:c>
      <x:c r="H422" t="n">
        <x:v>100</x:v>
      </x:c>
      <x:c r="I422" t="str">
        <x:v>High-confidence fuzzy</x:v>
      </x:c>
      <x:c r="J422" t="n">
        <x:v>22</x:v>
      </x:c>
      <x:c r="K422" t="n">
        <x:v>22</x:v>
      </x:c>
      <x:c r="L422" t="n">
        <x:f>J422-K422</x:f>
        <x:v>0</x:v>
      </x:c>
      <x:c r="M422" s="20" t="n">
        <x:f>IFERROR(K422/J422,0)</x:f>
        <x:v>1</x:v>
      </x:c>
      <x:c r="N422" t="n">
        <x:v>22</x:v>
      </x:c>
      <x:c r="O422" t="n">
        <x:v>22</x:v>
      </x:c>
      <x:c r="P422" t="n">
        <x:f>N422-O422</x:f>
        <x:v>0</x:v>
      </x:c>
      <x:c r="Q422" t="n">
        <x:v>0</x:v>
      </x:c>
      <x:c r="R422" t="n">
        <x:v>0</x:v>
      </x:c>
      <x:c r="S422" t="n">
        <x:f>Q422-R422</x:f>
        <x:v>0</x:v>
      </x:c>
      <x:c r="T422" t="n">
        <x:v>22</x:v>
      </x:c>
      <x:c r="U422" t="n">
        <x:v>22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f>IF(AND(ISNUMBER(G422),I422&lt;&gt;"Excluded INI"),MAX(0,G422-J422),"")</x:f>
        <x:v>128</x:v>
      </x:c>
      <x:c r="AC422" t="n">
        <x:v>18583</x:v>
      </x:c>
      <x:c r="AD422" t="n">
        <x:v>19386</x:v>
      </x:c>
      <x:c r="AE422" t="n">
        <x:v>19975</x:v>
      </x:c>
      <x:c r="AF422" t="n">
        <x:v>20183</x:v>
      </x:c>
      <x:c r="AG422" t="n">
        <x:v>22464</x:v>
      </x:c>
      <x:c r="AH422" t="n">
        <x:v>23756</x:v>
      </x:c>
      <x:c r="AI422" t="n">
        <x:v>94945</x:v>
      </x:c>
      <x:c r="AJ422" t="n">
        <x:v>96542</x:v>
      </x:c>
      <x:c r="AK422" t="n">
        <x:v>101692</x:v>
      </x:c>
      <x:c r="AL422" t="n">
        <x:v>108610</x:v>
      </x:c>
      <x:c r="AM422" t="str">
        <x:v>Fully allotted in R1; R2 opportunity depends on upgrade/non-joining</x:v>
      </x:c>
    </x:row>
    <x:row r="423">
      <x:c r="A423" t="str">
        <x:v>Telangana</x:v>
      </x:c>
      <x:c r="B423" t="str">
        <x:v>All India except Central University</x:v>
      </x:c>
      <x:c r="C423" t="str">
        <x:v>200600</x:v>
      </x:c>
      <x:c r="D423" t="str">
        <x:v>Government Medical College, Wanaparthy, Marrikunta, Pebbair Road, Wanaparthy District, Telangana state.</x:v>
      </x:c>
      <x:c r="E423" t="str">
        <x:v>TS/043/G/1</x:v>
      </x:c>
      <x:c r="F423" t="str">
        <x:v>Government</x:v>
      </x:c>
      <x:c r="G423" t="n">
        <x:v>150</x:v>
      </x:c>
      <x:c r="H423" t="n">
        <x:v>100</x:v>
      </x:c>
      <x:c r="I423" t="str">
        <x:v>High-confidence fuzzy</x:v>
      </x:c>
      <x:c r="J423" t="n">
        <x:v>22</x:v>
      </x:c>
      <x:c r="K423" t="n">
        <x:v>22</x:v>
      </x:c>
      <x:c r="L423" t="n">
        <x:f>J423-K423</x:f>
        <x:v>0</x:v>
      </x:c>
      <x:c r="M423" s="20" t="n">
        <x:f>IFERROR(K423/J423,0)</x:f>
        <x:v>1</x:v>
      </x:c>
      <x:c r="N423" t="n">
        <x:v>22</x:v>
      </x:c>
      <x:c r="O423" t="n">
        <x:v>22</x:v>
      </x:c>
      <x:c r="P423" t="n">
        <x:f>N423-O423</x:f>
        <x:v>0</x:v>
      </x:c>
      <x:c r="Q423" t="n">
        <x:v>0</x:v>
      </x:c>
      <x:c r="R423" t="n">
        <x:v>0</x:v>
      </x:c>
      <x:c r="S423" t="n">
        <x:f>Q423-R423</x:f>
        <x:v>0</x:v>
      </x:c>
      <x:c r="T423" t="n">
        <x:v>22</x:v>
      </x:c>
      <x:c r="U423" t="n">
        <x:v>22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f>IF(AND(ISNUMBER(G423),I423&lt;&gt;"Excluded INI"),MAX(0,G423-J423),"")</x:f>
        <x:v>128</x:v>
      </x:c>
      <x:c r="AC423" t="n">
        <x:v>21184</x:v>
      </x:c>
      <x:c r="AD423" t="n">
        <x:v>21622</x:v>
      </x:c>
      <x:c r="AE423" t="n">
        <x:v>22618</x:v>
      </x:c>
      <x:c r="AF423" t="n">
        <x:v>22723</x:v>
      </x:c>
      <x:c r="AG423" t="n">
        <x:v>25951</x:v>
      </x:c>
      <x:c r="AH423" t="n">
        <x:v>26345</x:v>
      </x:c>
      <x:c r="AI423" t="n">
        <x:v>99668</x:v>
      </x:c>
      <x:c r="AJ423" t="n">
        <x:v>100680</x:v>
      </x:c>
      <x:c r="AK423" t="n">
        <x:v>120300</x:v>
      </x:c>
      <x:c r="AL423" t="n">
        <x:v>120300</x:v>
      </x:c>
      <x:c r="AM423" t="str">
        <x:v>Fully allotted in R1; R2 opportunity depends on upgrade/non-joining</x:v>
      </x:c>
    </x:row>
    <x:row r="424">
      <x:c r="A424" t="str">
        <x:v>Telangana</x:v>
      </x:c>
      <x:c r="B424" t="str">
        <x:v>All India except Central University</x:v>
      </x:c>
      <x:c r="C424" t="str">
        <x:v>903353</x:v>
      </x:c>
      <x:c r="D424" t="str">
        <x:v>Government Medical College, Yadadri, PAGADIPALLY BHONGIR YADADRI BHUVANAGIRI</x:v>
      </x:c>
      <x:c r="E424" t="str">
        <x:v>TS/003/G/1</x:v>
      </x:c>
      <x:c r="F424" t="str">
        <x:v>Government</x:v>
      </x:c>
      <x:c r="G424" t="n">
        <x:v>50</x:v>
      </x:c>
      <x:c r="H424" t="n">
        <x:v>100</x:v>
      </x:c>
      <x:c r="I424" t="str">
        <x:v>High-confidence fuzzy</x:v>
      </x:c>
      <x:c r="J424" t="n">
        <x:v>7</x:v>
      </x:c>
      <x:c r="K424" t="n">
        <x:v>7</x:v>
      </x:c>
      <x:c r="L424" t="n">
        <x:f>J424-K424</x:f>
        <x:v>0</x:v>
      </x:c>
      <x:c r="M424" s="20" t="n">
        <x:f>IFERROR(K424/J424,0)</x:f>
        <x:v>1</x:v>
      </x:c>
      <x:c r="N424" t="n">
        <x:v>7</x:v>
      </x:c>
      <x:c r="O424" t="n">
        <x:v>7</x:v>
      </x:c>
      <x:c r="P424" t="n">
        <x:f>N424-O424</x:f>
        <x:v>0</x:v>
      </x:c>
      <x:c r="Q424" t="n">
        <x:v>0</x:v>
      </x:c>
      <x:c r="R424" t="n">
        <x:v>0</x:v>
      </x:c>
      <x:c r="S424" t="n">
        <x:f>Q424-R424</x:f>
        <x:v>0</x:v>
      </x:c>
      <x:c r="T424" t="n">
        <x:v>7</x:v>
      </x:c>
      <x:c r="U424" t="n">
        <x:v>7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f>IF(AND(ISNUMBER(G424),I424&lt;&gt;"Excluded INI"),MAX(0,G424-J424),"")</x:f>
        <x:v>43</x:v>
      </x:c>
      <x:c r="AC424" t="n">
        <x:v>17975</x:v>
      </x:c>
      <x:c r="AD424" t="n">
        <x:v>18353</x:v>
      </x:c>
      <x:c r="AE424" t="n">
        <x:v>21894</x:v>
      </x:c>
      <x:c r="AF424" t="n">
        <x:v>21894</x:v>
      </x:c>
      <x:c r="AG424" t="n">
        <x:v>26507</x:v>
      </x:c>
      <x:c r="AH424" t="n">
        <x:v>26507</x:v>
      </x:c>
      <x:c r="AI424" t="n">
        <x:v>93484</x:v>
      </x:c>
      <x:c r="AJ424" t="n">
        <x:v>93484</x:v>
      </x:c>
      <x:c r="AK424" t="n">
        <x:v>127392</x:v>
      </x:c>
      <x:c r="AL424" t="n">
        <x:v>127392</x:v>
      </x:c>
      <x:c r="AM424" t="str">
        <x:v>Fully allotted in R1; R2 opportunity depends on upgrade/non-joining</x:v>
      </x:c>
    </x:row>
    <x:row r="425">
      <x:c r="A425" t="str">
        <x:v>Telangana</x:v>
      </x:c>
      <x:c r="B425" t="str">
        <x:v>All India except Central University</x:v>
      </x:c>
      <x:c r="C425" t="str">
        <x:v>903352</x:v>
      </x:c>
      <x:c r="D425" t="str">
        <x:v>Government medical College, Quthbullapur, Government Medical College Quthbullapur, Plot A2-4, ECIL cross roads, Kushaiguda Hyderabad, Med</x:v>
      </x:c>
      <x:c r="E425" t="str">
        <x:v>TS/037/G/1</x:v>
      </x:c>
      <x:c r="F425" t="str">
        <x:v>Government</x:v>
      </x:c>
      <x:c r="G425" t="n">
        <x:v>50</x:v>
      </x:c>
      <x:c r="H425" t="n">
        <x:v>100</x:v>
      </x:c>
      <x:c r="I425" t="str">
        <x:v>High-confidence fuzzy</x:v>
      </x:c>
      <x:c r="J425" t="n">
        <x:v>7</x:v>
      </x:c>
      <x:c r="K425" t="n">
        <x:v>7</x:v>
      </x:c>
      <x:c r="L425" t="n">
        <x:f>J425-K425</x:f>
        <x:v>0</x:v>
      </x:c>
      <x:c r="M425" s="20" t="n">
        <x:f>IFERROR(K425/J425,0)</x:f>
        <x:v>1</x:v>
      </x:c>
      <x:c r="N425" t="n">
        <x:v>7</x:v>
      </x:c>
      <x:c r="O425" t="n">
        <x:v>7</x:v>
      </x:c>
      <x:c r="P425" t="n">
        <x:f>N425-O425</x:f>
        <x:v>0</x:v>
      </x:c>
      <x:c r="Q425" t="n">
        <x:v>0</x:v>
      </x:c>
      <x:c r="R425" t="n">
        <x:v>0</x:v>
      </x:c>
      <x:c r="S425" t="n">
        <x:f>Q425-R425</x:f>
        <x:v>0</x:v>
      </x:c>
      <x:c r="T425" t="n">
        <x:v>7</x:v>
      </x:c>
      <x:c r="U425" t="n">
        <x:v>7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f>IF(AND(ISNUMBER(G425),I425&lt;&gt;"Excluded INI"),MAX(0,G425-J425),"")</x:f>
        <x:v>43</x:v>
      </x:c>
      <x:c r="AC425" t="n">
        <x:v>17464</x:v>
      </x:c>
      <x:c r="AD425" t="n">
        <x:v>17548</x:v>
      </x:c>
      <x:c r="AE425" t="n">
        <x:v>18550</x:v>
      </x:c>
      <x:c r="AF425" t="n">
        <x:v>18550</x:v>
      </x:c>
      <x:c r="AG425" t="n">
        <x:v>25133</x:v>
      </x:c>
      <x:c r="AH425" t="n">
        <x:v>25133</x:v>
      </x:c>
      <x:c r="AI425" t="n">
        <x:v>92123</x:v>
      </x:c>
      <x:c r="AJ425" t="n">
        <x:v>92123</x:v>
      </x:c>
      <x:c r="AK425" t="n">
        <x:v>102347</x:v>
      </x:c>
      <x:c r="AL425" t="n">
        <x:v>102347</x:v>
      </x:c>
      <x:c r="AM425" t="str">
        <x:v>Fully allotted in R1; R2 opportunity depends on upgrade/non-joining</x:v>
      </x:c>
    </x:row>
    <x:row r="426">
      <x:c r="A426" t="str">
        <x:v>Telangana</x:v>
      </x:c>
      <x:c r="B426" t="str">
        <x:v>All India except Central University</x:v>
      </x:c>
      <x:c r="C426" t="str">
        <x:v>200453</x:v>
      </x:c>
      <x:c r="D426" t="str">
        <x:v>Kakatiya Medical College, Warangal, SVP Road, Warangal</x:v>
      </x:c>
      <x:c r="E426" t="str">
        <x:v>TS/044/G/1</x:v>
      </x:c>
      <x:c r="F426" t="str">
        <x:v>Government</x:v>
      </x:c>
      <x:c r="G426" t="n">
        <x:v>250</x:v>
      </x:c>
      <x:c r="H426" t="n">
        <x:v>100</x:v>
      </x:c>
      <x:c r="I426" t="str">
        <x:v>High-confidence fuzzy</x:v>
      </x:c>
      <x:c r="J426" t="n">
        <x:v>30</x:v>
      </x:c>
      <x:c r="K426" t="n">
        <x:v>30</x:v>
      </x:c>
      <x:c r="L426" t="n">
        <x:f>J426-K426</x:f>
        <x:v>0</x:v>
      </x:c>
      <x:c r="M426" s="20" t="n">
        <x:f>IFERROR(K426/J426,0)</x:f>
        <x:v>1</x:v>
      </x:c>
      <x:c r="N426" t="n">
        <x:v>30</x:v>
      </x:c>
      <x:c r="O426" t="n">
        <x:v>30</x:v>
      </x:c>
      <x:c r="P426" t="n">
        <x:f>N426-O426</x:f>
        <x:v>0</x:v>
      </x:c>
      <x:c r="Q426" t="n">
        <x:v>0</x:v>
      </x:c>
      <x:c r="R426" t="n">
        <x:v>0</x:v>
      </x:c>
      <x:c r="S426" t="n">
        <x:f>Q426-R426</x:f>
        <x:v>0</x:v>
      </x:c>
      <x:c r="T426" t="n">
        <x:v>30</x:v>
      </x:c>
      <x:c r="U426" t="n">
        <x:v>30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f>IF(AND(ISNUMBER(G426),I426&lt;&gt;"Excluded INI"),MAX(0,G426-J426),"")</x:f>
        <x:v>220</x:v>
      </x:c>
      <x:c r="AC426" t="n">
        <x:v>7104</x:v>
      </x:c>
      <x:c r="AD426" t="n">
        <x:v>9122</x:v>
      </x:c>
      <x:c r="AE426" t="n">
        <x:v>11484</x:v>
      </x:c>
      <x:c r="AF426" t="n">
        <x:v>11971</x:v>
      </x:c>
      <x:c r="AG426" t="n">
        <x:v>13137</x:v>
      </x:c>
      <x:c r="AH426" t="n">
        <x:v>15115</x:v>
      </x:c>
      <x:c r="AI426" t="n">
        <x:v>48491</x:v>
      </x:c>
      <x:c r="AJ426" t="n">
        <x:v>51547</x:v>
      </x:c>
      <x:c r="AK426" t="n">
        <x:v>51478</x:v>
      </x:c>
      <x:c r="AL426" t="n">
        <x:v>55742</x:v>
      </x:c>
      <x:c r="AM426" t="str">
        <x:v>Fully allotted in R1; R2 opportunity depends on upgrade/non-joining</x:v>
      </x:c>
    </x:row>
    <x:row r="427">
      <x:c r="A427" t="str">
        <x:v>Telangana</x:v>
      </x:c>
      <x:c r="B427" t="str">
        <x:v>Deemed University</x:v>
      </x:c>
      <x:c r="C427" t="str">
        <x:v>902856</x:v>
      </x:c>
      <x:c r="D427" t="str">
        <x:v>Malla Reddy Institute of Medical Sciences, Hyderabad, Suraram X Roads Jeedimetla Hyderabad</x:v>
      </x:c>
      <x:c r="E427" t="str">
        <x:v>TS/049/P/4</x:v>
      </x:c>
      <x:c r="F427" t="str">
        <x:v>Private</x:v>
      </x:c>
      <x:c r="G427" t="n">
        <x:v>250</x:v>
      </x:c>
      <x:c r="H427" t="n">
        <x:v>100</x:v>
      </x:c>
      <x:c r="I427" t="str">
        <x:v>High-confidence fuzzy</x:v>
      </x:c>
      <x:c r="J427" t="n">
        <x:v>250</x:v>
      </x:c>
      <x:c r="K427" t="n">
        <x:v>213</x:v>
      </x:c>
      <x:c r="L427" t="n">
        <x:f>J427-K427</x:f>
        <x:v>37</x:v>
      </x:c>
      <x:c r="M427" s="20" t="n">
        <x:f>IFERROR(K427/J427,0)</x:f>
        <x:v>0.852</x:v>
      </x:c>
      <x:c r="N427" t="n">
        <x:v>0</x:v>
      </x:c>
      <x:c r="O427" t="n">
        <x:v>0</x:v>
      </x:c>
      <x:c r="P427" t="n">
        <x:f>N427-O427</x:f>
        <x:v>0</x:v>
      </x:c>
      <x:c r="Q427" t="n">
        <x:v>250</x:v>
      </x:c>
      <x:c r="R427" t="n">
        <x:v>213</x:v>
      </x:c>
      <x:c r="S427" t="n">
        <x:f>Q427-R427</x:f>
        <x:v>37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213</x:v>
      </x:c>
      <x:c r="Y427" t="n">
        <x:v>213</x:v>
      </x:c>
      <x:c r="Z427" t="n">
        <x:v>37</x:v>
      </x:c>
      <x:c r="AA427" t="n">
        <x:v>0</x:v>
      </x:c>
      <x:c r="AB427" t="n">
        <x:f>IF(AND(ISNUMBER(G427),I427&lt;&gt;"Excluded INI"),MAX(0,G427-J427),"")</x:f>
        <x:v>0</x:v>
      </x:c>
      <x:c r="AC427" t="n">
        <x:v>394040</x:v>
      </x:c>
      <x:c r="AD427" t="n">
        <x:v>467647</x:v>
      </x:c>
      <x:c r="AE427"/>
      <x:c r="AF427"/>
      <x:c r="AG427"/>
      <x:c r="AH427"/>
      <x:c r="AI427"/>
      <x:c r="AJ427"/>
      <x:c r="AK427"/>
      <x:c r="AL427"/>
      <x:c r="AM427" t="str">
        <x:v>Unfilled mainly private/NRI/minority; regular R2 depends on movement</x:v>
      </x:c>
    </x:row>
    <x:row r="428">
      <x:c r="A428" t="str">
        <x:v>Telangana</x:v>
      </x:c>
      <x:c r="B428" t="str">
        <x:v>Deemed University</x:v>
      </x:c>
      <x:c r="C428" t="str">
        <x:v>902855</x:v>
      </x:c>
      <x:c r="D428" t="str">
        <x:v>Mallareddy Medical College for Women, Hyderabad, Suraram X Roads Jeedimetla Hyderabad</x:v>
      </x:c>
      <x:c r="E428" t="str">
        <x:v>TS/050/P/4</x:v>
      </x:c>
      <x:c r="F428" t="str">
        <x:v>Private</x:v>
      </x:c>
      <x:c r="G428" t="n">
        <x:v>250</x:v>
      </x:c>
      <x:c r="H428" t="n">
        <x:v>100</x:v>
      </x:c>
      <x:c r="I428" t="str">
        <x:v>High-confidence fuzzy</x:v>
      </x:c>
      <x:c r="J428" t="n">
        <x:v>250</x:v>
      </x:c>
      <x:c r="K428" t="n">
        <x:v>226</x:v>
      </x:c>
      <x:c r="L428" t="n">
        <x:f>J428-K428</x:f>
        <x:v>24</x:v>
      </x:c>
      <x:c r="M428" s="20" t="n">
        <x:f>IFERROR(K428/J428,0)</x:f>
        <x:v>0.904</x:v>
      </x:c>
      <x:c r="N428" t="n">
        <x:v>0</x:v>
      </x:c>
      <x:c r="O428" t="n">
        <x:v>0</x:v>
      </x:c>
      <x:c r="P428" t="n">
        <x:f>N428-O428</x:f>
        <x:v>0</x:v>
      </x:c>
      <x:c r="Q428" t="n">
        <x:v>250</x:v>
      </x:c>
      <x:c r="R428" t="n">
        <x:v>226</x:v>
      </x:c>
      <x:c r="S428" t="n">
        <x:f>Q428-R428</x:f>
        <x:v>24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225</x:v>
      </x:c>
      <x:c r="Y428" t="n">
        <x:v>225</x:v>
      </x:c>
      <x:c r="Z428" t="n">
        <x:v>25</x:v>
      </x:c>
      <x:c r="AA428" t="n">
        <x:v>1</x:v>
      </x:c>
      <x:c r="AB428" t="n">
        <x:f>IF(AND(ISNUMBER(G428),I428&lt;&gt;"Excluded INI"),MAX(0,G428-J428),"")</x:f>
        <x:v>0</x:v>
      </x:c>
      <x:c r="AC428" t="n">
        <x:v>461219</x:v>
      </x:c>
      <x:c r="AD428" t="n">
        <x:v>810932</x:v>
      </x:c>
      <x:c r="AE428"/>
      <x:c r="AF428"/>
      <x:c r="AG428"/>
      <x:c r="AH428"/>
      <x:c r="AI428"/>
      <x:c r="AJ428"/>
      <x:c r="AK428"/>
      <x:c r="AL428"/>
      <x:c r="AM428" t="str">
        <x:v>Unfilled mainly private/NRI/minority; regular R2 depends on movement</x:v>
      </x:c>
    </x:row>
    <x:row r="429">
      <x:c r="A429" t="str">
        <x:v>Telangana</x:v>
      </x:c>
      <x:c r="B429" t="str">
        <x:v>All India except Central University</x:v>
      </x:c>
      <x:c r="C429" t="str">
        <x:v>200454</x:v>
      </x:c>
      <x:c r="D429" t="str">
        <x:v>Osmania Medical College, Hyderabad, HYDERABAD</x:v>
      </x:c>
      <x:c r="E429" t="str">
        <x:v>TS/057/G/1</x:v>
      </x:c>
      <x:c r="F429" t="str">
        <x:v>Government</x:v>
      </x:c>
      <x:c r="G429" t="n">
        <x:v>250</x:v>
      </x:c>
      <x:c r="H429" t="n">
        <x:v>100</x:v>
      </x:c>
      <x:c r="I429" t="str">
        <x:v>High-confidence fuzzy</x:v>
      </x:c>
      <x:c r="J429" t="n">
        <x:v>37</x:v>
      </x:c>
      <x:c r="K429" t="n">
        <x:v>37</x:v>
      </x:c>
      <x:c r="L429" t="n">
        <x:f>J429-K429</x:f>
        <x:v>0</x:v>
      </x:c>
      <x:c r="M429" s="20" t="n">
        <x:f>IFERROR(K429/J429,0)</x:f>
        <x:v>1</x:v>
      </x:c>
      <x:c r="N429" t="n">
        <x:v>37</x:v>
      </x:c>
      <x:c r="O429" t="n">
        <x:v>37</x:v>
      </x:c>
      <x:c r="P429" t="n">
        <x:f>N429-O429</x:f>
        <x:v>0</x:v>
      </x:c>
      <x:c r="Q429" t="n">
        <x:v>0</x:v>
      </x:c>
      <x:c r="R429" t="n">
        <x:v>0</x:v>
      </x:c>
      <x:c r="S429" t="n">
        <x:f>Q429-R429</x:f>
        <x:v>0</x:v>
      </x:c>
      <x:c r="T429" t="n">
        <x:v>37</x:v>
      </x:c>
      <x:c r="U429" t="n">
        <x:v>37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f>IF(AND(ISNUMBER(G429),I429&lt;&gt;"Excluded INI"),MAX(0,G429-J429),"")</x:f>
        <x:v>213</x:v>
      </x:c>
      <x:c r="AC429" t="n">
        <x:v>3415</x:v>
      </x:c>
      <x:c r="AD429" t="n">
        <x:v>3776</x:v>
      </x:c>
      <x:c r="AE429" t="n">
        <x:v>4950</x:v>
      </x:c>
      <x:c r="AF429" t="n">
        <x:v>5351</x:v>
      </x:c>
      <x:c r="AG429" t="n">
        <x:v>4640</x:v>
      </x:c>
      <x:c r="AH429" t="n">
        <x:v>4705</x:v>
      </x:c>
      <x:c r="AI429" t="n">
        <x:v>32322</x:v>
      </x:c>
      <x:c r="AJ429" t="n">
        <x:v>34962</x:v>
      </x:c>
      <x:c r="AK429" t="n">
        <x:v>36188</x:v>
      </x:c>
      <x:c r="AL429" t="n">
        <x:v>44477</x:v>
      </x:c>
      <x:c r="AM429" t="str">
        <x:v>Fully allotted in R1; R2 opportunity depends on upgrade/non-joining</x:v>
      </x:c>
    </x:row>
    <x:row r="430">
      <x:c r="A430" t="str">
        <x:v>Telangana</x:v>
      </x:c>
      <x:c r="B430" t="str">
        <x:v>All India except Central University</x:v>
      </x:c>
      <x:c r="C430" t="str">
        <x:v>200455</x:v>
      </x:c>
      <x:c r="D430" t="str">
        <x:v>Rajiv Gandhi Institute of Medical Sciences, adilabad, MAIN ROAD, OLD NH 07, ADILABAD TOWN ADILABAD DISTRICT, TELANGANA STATE-504001</x:v>
      </x:c>
      <x:c r="E430" t="str">
        <x:v>TS/061/G/1</x:v>
      </x:c>
      <x:c r="F430" t="str">
        <x:v>Government</x:v>
      </x:c>
      <x:c r="G430" t="n">
        <x:v>150</x:v>
      </x:c>
      <x:c r="H430" t="n">
        <x:v>100</x:v>
      </x:c>
      <x:c r="I430" t="str">
        <x:v>High-confidence fuzzy</x:v>
      </x:c>
      <x:c r="J430" t="n">
        <x:v>19</x:v>
      </x:c>
      <x:c r="K430" t="n">
        <x:v>19</x:v>
      </x:c>
      <x:c r="L430" t="n">
        <x:f>J430-K430</x:f>
        <x:v>0</x:v>
      </x:c>
      <x:c r="M430" s="20" t="n">
        <x:f>IFERROR(K430/J430,0)</x:f>
        <x:v>1</x:v>
      </x:c>
      <x:c r="N430" t="n">
        <x:v>19</x:v>
      </x:c>
      <x:c r="O430" t="n">
        <x:v>19</x:v>
      </x:c>
      <x:c r="P430" t="n">
        <x:f>N430-O430</x:f>
        <x:v>0</x:v>
      </x:c>
      <x:c r="Q430" t="n">
        <x:v>0</x:v>
      </x:c>
      <x:c r="R430" t="n">
        <x:v>0</x:v>
      </x:c>
      <x:c r="S430" t="n">
        <x:f>Q430-R430</x:f>
        <x:v>0</x:v>
      </x:c>
      <x:c r="T430" t="n">
        <x:v>19</x:v>
      </x:c>
      <x:c r="U430" t="n">
        <x:v>19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f>IF(AND(ISNUMBER(G430),I430&lt;&gt;"Excluded INI"),MAX(0,G430-J430),"")</x:f>
        <x:v>131</x:v>
      </x:c>
      <x:c r="AC430" t="n">
        <x:v>14610</x:v>
      </x:c>
      <x:c r="AD430" t="n">
        <x:v>16059</x:v>
      </x:c>
      <x:c r="AE430" t="n">
        <x:v>17160</x:v>
      </x:c>
      <x:c r="AF430" t="n">
        <x:v>17234</x:v>
      </x:c>
      <x:c r="AG430" t="n">
        <x:v>17696</x:v>
      </x:c>
      <x:c r="AH430" t="n">
        <x:v>18111</x:v>
      </x:c>
      <x:c r="AI430" t="n">
        <x:v>74586</x:v>
      </x:c>
      <x:c r="AJ430" t="n">
        <x:v>76817</x:v>
      </x:c>
      <x:c r="AK430" t="n">
        <x:v>63365</x:v>
      </x:c>
      <x:c r="AL430" t="n">
        <x:v>63365</x:v>
      </x:c>
      <x:c r="AM430" t="str">
        <x:v>Fully allotted in R1; R2 opportunity depends on upgrade/non-joining</x:v>
      </x:c>
    </x:row>
    <x:row r="431">
      <x:c r="A431" t="str">
        <x:v>The Dadra And Nagar Haveli And Daman And Diu</x:v>
      </x:c>
      <x:c r="B431" t="str">
        <x:v>All India except Central University</x:v>
      </x:c>
      <x:c r="C431" t="str">
        <x:v>200470</x:v>
      </x:c>
      <x:c r="D431" t="str">
        <x:v>NAMO Medical Education &amp; Research Institute, Govt Medical College Silvassa, NAMO Medical Education and Research Institute, next to Sayli cricket stadium, Sayli Road, Silvassa</x:v>
      </x:c>
      <x:c r="E431" t="str">
        <x:v>ND/001/G/1</x:v>
      </x:c>
      <x:c r="F431" t="str">
        <x:v>Government</x:v>
      </x:c>
      <x:c r="G431" t="n">
        <x:v>177</x:v>
      </x:c>
      <x:c r="H431" t="n">
        <x:v>100</x:v>
      </x:c>
      <x:c r="I431" t="str">
        <x:v>Manual/high-confidence alias</x:v>
      </x:c>
      <x:c r="J431" t="n">
        <x:v>27</x:v>
      </x:c>
      <x:c r="K431" t="n">
        <x:v>27</x:v>
      </x:c>
      <x:c r="L431" t="n">
        <x:f>J431-K431</x:f>
        <x:v>0</x:v>
      </x:c>
      <x:c r="M431" s="20" t="n">
        <x:f>IFERROR(K431/J431,0)</x:f>
        <x:v>1</x:v>
      </x:c>
      <x:c r="N431" t="n">
        <x:v>27</x:v>
      </x:c>
      <x:c r="O431" t="n">
        <x:v>27</x:v>
      </x:c>
      <x:c r="P431" t="n">
        <x:f>N431-O431</x:f>
        <x:v>0</x:v>
      </x:c>
      <x:c r="Q431" t="n">
        <x:v>0</x:v>
      </x:c>
      <x:c r="R431" t="n">
        <x:v>0</x:v>
      </x:c>
      <x:c r="S431" t="n">
        <x:f>Q431-R431</x:f>
        <x:v>0</x:v>
      </x:c>
      <x:c r="T431" t="n">
        <x:v>27</x:v>
      </x:c>
      <x:c r="U431" t="n">
        <x:v>27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f>IF(AND(ISNUMBER(G431),I431&lt;&gt;"Excluded INI"),MAX(0,G431-J431),"")</x:f>
        <x:v>150</x:v>
      </x:c>
      <x:c r="AC431" t="n">
        <x:v>8073</x:v>
      </x:c>
      <x:c r="AD431" t="n">
        <x:v>9157</x:v>
      </x:c>
      <x:c r="AE431" t="n">
        <x:v>10430</x:v>
      </x:c>
      <x:c r="AF431" t="n">
        <x:v>10735</x:v>
      </x:c>
      <x:c r="AG431" t="n">
        <x:v>10152</x:v>
      </x:c>
      <x:c r="AH431" t="n">
        <x:v>11196</x:v>
      </x:c>
      <x:c r="AI431" t="n">
        <x:v>69246</x:v>
      </x:c>
      <x:c r="AJ431" t="n">
        <x:v>75463</x:v>
      </x:c>
      <x:c r="AK431" t="n">
        <x:v>95243</x:v>
      </x:c>
      <x:c r="AL431" t="n">
        <x:v>98634</x:v>
      </x:c>
      <x:c r="AM431" t="str">
        <x:v>Fully allotted in R1; R2 opportunity depends on upgrade/non-joining</x:v>
      </x:c>
    </x:row>
    <x:row r="432">
      <x:c r="A432" t="str">
        <x:v>Tripura</x:v>
      </x:c>
      <x:c r="B432" t="str">
        <x:v>All India except Central University</x:v>
      </x:c>
      <x:c r="C432" t="str">
        <x:v>200285</x:v>
      </x:c>
      <x:c r="D432" t="str">
        <x:v>Agartala Government Medical College,Agartala, Kunjaban, Agartala, Tripura West</x:v>
      </x:c>
      <x:c r="E432" t="str">
        <x:v>TR/001/G/1</x:v>
      </x:c>
      <x:c r="F432" t="str">
        <x:v>Government</x:v>
      </x:c>
      <x:c r="G432" t="n">
        <x:v>200</x:v>
      </x:c>
      <x:c r="H432" t="n">
        <x:v>100</x:v>
      </x:c>
      <x:c r="I432" t="str">
        <x:v>High-confidence fuzzy</x:v>
      </x:c>
      <x:c r="J432" t="n">
        <x:v>30</x:v>
      </x:c>
      <x:c r="K432" t="n">
        <x:v>28</x:v>
      </x:c>
      <x:c r="L432" t="n">
        <x:f>J432-K432</x:f>
        <x:v>2</x:v>
      </x:c>
      <x:c r="M432" s="20" t="n">
        <x:f>IFERROR(K432/J432,0)</x:f>
        <x:v>0.9333333333333333</x:v>
      </x:c>
      <x:c r="N432" t="n">
        <x:v>30</x:v>
      </x:c>
      <x:c r="O432" t="n">
        <x:v>28</x:v>
      </x:c>
      <x:c r="P432" t="n">
        <x:f>N432-O432</x:f>
        <x:v>2</x:v>
      </x:c>
      <x:c r="Q432" t="n">
        <x:v>0</x:v>
      </x:c>
      <x:c r="R432" t="n">
        <x:v>0</x:v>
      </x:c>
      <x:c r="S432" t="n">
        <x:f>Q432-R432</x:f>
        <x:v>0</x:v>
      </x:c>
      <x:c r="T432" t="n">
        <x:v>30</x:v>
      </x:c>
      <x:c r="U432" t="n">
        <x:v>28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f>IF(AND(ISNUMBER(G432),I432&lt;&gt;"Excluded INI"),MAX(0,G432-J432),"")</x:f>
        <x:v>170</x:v>
      </x:c>
      <x:c r="AC432" t="n">
        <x:v>15885</x:v>
      </x:c>
      <x:c r="AD432" t="n">
        <x:v>17895</x:v>
      </x:c>
      <x:c r="AE432" t="n">
        <x:v>20980</x:v>
      </x:c>
      <x:c r="AF432" t="n">
        <x:v>21719</x:v>
      </x:c>
      <x:c r="AG432" t="n">
        <x:v>23989</x:v>
      </x:c>
      <x:c r="AH432" t="n">
        <x:v>24353</x:v>
      </x:c>
      <x:c r="AI432" t="n">
        <x:v>74494</x:v>
      </x:c>
      <x:c r="AJ432" t="n">
        <x:v>86784</x:v>
      </x:c>
      <x:c r="AK432" t="n">
        <x:v>42507</x:v>
      </x:c>
      <x:c r="AL432" t="n">
        <x:v>42507</x:v>
      </x:c>
      <x:c r="AM432" t="str">
        <x:v>R1 regular-central gap visible; verify in official R2 matrix</x:v>
      </x:c>
    </x:row>
    <x:row r="433">
      <x:c r="A433" t="str">
        <x:v>Uttar Pradesh</x:v>
      </x:c>
      <x:c r="B433" t="str">
        <x:v>All India Institute Of Medical Science(AIIMS)</x:v>
      </x:c>
      <x:c r="C433" t="str">
        <x:v>200513</x:v>
      </x:c>
      <x:c r="D433" t="str">
        <x:v>AIIMS, Gorakhpur , AIIMS Gorakhpur, Medical College Building, Kunraghat, Gorakhpur</x:v>
      </x:c>
      <x:c r="E433" t="str"/>
      <x:c r="F433" t="str"/>
      <x:c r="G433"/>
      <x:c r="H433" t="n">
        <x:v>100</x:v>
      </x:c>
      <x:c r="I433" t="str">
        <x:v>Excluded INI</x:v>
      </x:c>
      <x:c r="J433" t="n">
        <x:v>125</x:v>
      </x:c>
      <x:c r="K433" t="n">
        <x:v>125</x:v>
      </x:c>
      <x:c r="L433" t="n">
        <x:f>J433-K433</x:f>
        <x:v>0</x:v>
      </x:c>
      <x:c r="M433" s="20" t="n">
        <x:f>IFERROR(K433/J433,0)</x:f>
        <x:v>1</x:v>
      </x:c>
      <x:c r="N433" t="n">
        <x:v>125</x:v>
      </x:c>
      <x:c r="O433" t="n">
        <x:v>125</x:v>
      </x:c>
      <x:c r="P433" t="n">
        <x:f>N433-O433</x:f>
        <x:v>0</x:v>
      </x:c>
      <x:c r="Q433" t="n">
        <x:v>0</x:v>
      </x:c>
      <x:c r="R433" t="n">
        <x:v>0</x:v>
      </x:c>
      <x:c r="S433" t="n">
        <x:f>Q433-R433</x:f>
        <x:v>0</x:v>
      </x:c>
      <x:c r="T433" t="n">
        <x:v>0</x:v>
      </x:c>
      <x:c r="U433" t="n">
        <x:v>0</x:v>
      </x:c>
      <x:c r="V433" t="n">
        <x:v>125</x:v>
      </x:c>
      <x:c r="W433" t="n">
        <x:v>125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str">
        <x:f>IF(AND(ISNUMBER(G433),I433&lt;&gt;"Excluded INI"),MAX(0,G433-J433),"")</x:f>
      </x:c>
      <x:c r="AC433" t="n">
        <x:v>1811</x:v>
      </x:c>
      <x:c r="AD433" t="n">
        <x:v>2114</x:v>
      </x:c>
      <x:c r="AE433" t="n">
        <x:v>2346</x:v>
      </x:c>
      <x:c r="AF433" t="n">
        <x:v>2443</x:v>
      </x:c>
      <x:c r="AG433" t="n">
        <x:v>2914</x:v>
      </x:c>
      <x:c r="AH433" t="n">
        <x:v>3085</x:v>
      </x:c>
      <x:c r="AI433" t="n">
        <x:v>16729</x:v>
      </x:c>
      <x:c r="AJ433" t="n">
        <x:v>19159</x:v>
      </x:c>
      <x:c r="AK433" t="n">
        <x:v>32334</x:v>
      </x:c>
      <x:c r="AL433" t="n">
        <x:v>33950</x:v>
      </x:c>
      <x:c r="AM433" t="str">
        <x:v>Fully allotted in R1; R2 opportunity depends on upgrade/non-joining</x:v>
      </x:c>
    </x:row>
    <x:row r="434">
      <x:c r="A434" t="str">
        <x:v>Uttar Pradesh</x:v>
      </x:c>
      <x:c r="B434" t="str">
        <x:v>All India Institute Of Medical Science(AIIMS)</x:v>
      </x:c>
      <x:c r="C434" t="str">
        <x:v>200516</x:v>
      </x:c>
      <x:c r="D434" t="str">
        <x:v>AIIMS, Rai Bareli , All India Institute of Medical Sciences Raebareli</x:v>
      </x:c>
      <x:c r="E434" t="str"/>
      <x:c r="F434" t="str"/>
      <x:c r="G434"/>
      <x:c r="H434" t="n">
        <x:v>100</x:v>
      </x:c>
      <x:c r="I434" t="str">
        <x:v>Excluded INI</x:v>
      </x:c>
      <x:c r="J434" t="n">
        <x:v>125</x:v>
      </x:c>
      <x:c r="K434" t="n">
        <x:v>125</x:v>
      </x:c>
      <x:c r="L434" t="n">
        <x:f>J434-K434</x:f>
        <x:v>0</x:v>
      </x:c>
      <x:c r="M434" s="20" t="n">
        <x:f>IFERROR(K434/J434,0)</x:f>
        <x:v>1</x:v>
      </x:c>
      <x:c r="N434" t="n">
        <x:v>125</x:v>
      </x:c>
      <x:c r="O434" t="n">
        <x:v>125</x:v>
      </x:c>
      <x:c r="P434" t="n">
        <x:f>N434-O434</x:f>
        <x:v>0</x:v>
      </x:c>
      <x:c r="Q434" t="n">
        <x:v>0</x:v>
      </x:c>
      <x:c r="R434" t="n">
        <x:v>0</x:v>
      </x:c>
      <x:c r="S434" t="n">
        <x:f>Q434-R434</x:f>
        <x:v>0</x:v>
      </x:c>
      <x:c r="T434" t="n">
        <x:v>0</x:v>
      </x:c>
      <x:c r="U434" t="n">
        <x:v>0</x:v>
      </x:c>
      <x:c r="V434" t="n">
        <x:v>125</x:v>
      </x:c>
      <x:c r="W434" t="n">
        <x:v>125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str">
        <x:f>IF(AND(ISNUMBER(G434),I434&lt;&gt;"Excluded INI"),MAX(0,G434-J434),"")</x:f>
      </x:c>
      <x:c r="AC434" t="n">
        <x:v>2449</x:v>
      </x:c>
      <x:c r="AD434" t="n">
        <x:v>2634</x:v>
      </x:c>
      <x:c r="AE434" t="n">
        <x:v>2951</x:v>
      </x:c>
      <x:c r="AF434" t="n">
        <x:v>3160</x:v>
      </x:c>
      <x:c r="AG434" t="n">
        <x:v>3384</x:v>
      </x:c>
      <x:c r="AH434" t="n">
        <x:v>3586</x:v>
      </x:c>
      <x:c r="AI434" t="n">
        <x:v>20784</x:v>
      </x:c>
      <x:c r="AJ434" t="n">
        <x:v>22455</x:v>
      </x:c>
      <x:c r="AK434" t="n">
        <x:v>34982</x:v>
      </x:c>
      <x:c r="AL434" t="n">
        <x:v>35875</x:v>
      </x:c>
      <x:c r="AM434" t="str">
        <x:v>Fully allotted in R1; R2 opportunity depends on upgrade/non-joining</x:v>
      </x:c>
    </x:row>
    <x:row r="435">
      <x:c r="A435" t="str">
        <x:v>Uttar Pradesh</x:v>
      </x:c>
      <x:c r="B435" t="str">
        <x:v>All India except Central University</x:v>
      </x:c>
      <x:c r="C435" t="str">
        <x:v>902822</x:v>
      </x:c>
      <x:c r="D435" t="str">
        <x:v>Autonomous State Medical College Kushinagar, Autonomous State Medical Collage, Kubersthan Road, Harka, Kushinagar</x:v>
      </x:c>
      <x:c r="E435" t="str">
        <x:v>UP/008/G/5</x:v>
      </x:c>
      <x:c r="F435" t="str">
        <x:v>Government</x:v>
      </x:c>
      <x:c r="G435" t="n">
        <x:v>100</x:v>
      </x:c>
      <x:c r="H435" t="n">
        <x:v>100</x:v>
      </x:c>
      <x:c r="I435" t="str">
        <x:v>High-confidence fuzzy</x:v>
      </x:c>
      <x:c r="J435" t="n">
        <x:v>15</x:v>
      </x:c>
      <x:c r="K435" t="n">
        <x:v>15</x:v>
      </x:c>
      <x:c r="L435" t="n">
        <x:f>J435-K435</x:f>
        <x:v>0</x:v>
      </x:c>
      <x:c r="M435" s="20" t="n">
        <x:f>IFERROR(K435/J435,0)</x:f>
        <x:v>1</x:v>
      </x:c>
      <x:c r="N435" t="n">
        <x:v>15</x:v>
      </x:c>
      <x:c r="O435" t="n">
        <x:v>15</x:v>
      </x:c>
      <x:c r="P435" t="n">
        <x:f>N435-O435</x:f>
        <x:v>0</x:v>
      </x:c>
      <x:c r="Q435" t="n">
        <x:v>0</x:v>
      </x:c>
      <x:c r="R435" t="n">
        <x:v>0</x:v>
      </x:c>
      <x:c r="S435" t="n">
        <x:f>Q435-R435</x:f>
        <x:v>0</x:v>
      </x:c>
      <x:c r="T435" t="n">
        <x:v>15</x:v>
      </x:c>
      <x:c r="U435" t="n">
        <x:v>15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f>IF(AND(ISNUMBER(G435),I435&lt;&gt;"Excluded INI"),MAX(0,G435-J435),"")</x:f>
        <x:v>85</x:v>
      </x:c>
      <x:c r="AC435" t="n">
        <x:v>15278</x:v>
      </x:c>
      <x:c r="AD435" t="n">
        <x:v>15703</x:v>
      </x:c>
      <x:c r="AE435" t="n">
        <x:v>16702</x:v>
      </x:c>
      <x:c r="AF435" t="n">
        <x:v>16919</x:v>
      </x:c>
      <x:c r="AG435" t="n">
        <x:v>18880</x:v>
      </x:c>
      <x:c r="AH435" t="n">
        <x:v>19611</x:v>
      </x:c>
      <x:c r="AI435" t="n">
        <x:v>82805</x:v>
      </x:c>
      <x:c r="AJ435" t="n">
        <x:v>83216</x:v>
      </x:c>
      <x:c r="AK435" t="n">
        <x:v>105980</x:v>
      </x:c>
      <x:c r="AL435" t="n">
        <x:v>105980</x:v>
      </x:c>
      <x:c r="AM435" t="str">
        <x:v>Fully allotted in R1; R2 opportunity depends on upgrade/non-joining</x:v>
      </x:c>
    </x:row>
    <x:row r="436">
      <x:c r="A436" t="str">
        <x:v>Uttar Pradesh</x:v>
      </x:c>
      <x:c r="B436" t="str">
        <x:v>All India except Central University</x:v>
      </x:c>
      <x:c r="C436" t="str">
        <x:v>902824</x:v>
      </x:c>
      <x:c r="D436" t="str">
        <x:v>Autonomous State Medical College Lalitpur, Amarpur Galla Mandi Jhansi Road Lalitpur</x:v>
      </x:c>
      <x:c r="E436" t="str">
        <x:v>UP/009/G/1</x:v>
      </x:c>
      <x:c r="F436" t="str">
        <x:v>Government</x:v>
      </x:c>
      <x:c r="G436" t="n">
        <x:v>100</x:v>
      </x:c>
      <x:c r="H436" t="n">
        <x:v>100</x:v>
      </x:c>
      <x:c r="I436" t="str">
        <x:v>High-confidence fuzzy</x:v>
      </x:c>
      <x:c r="J436" t="n">
        <x:v>15</x:v>
      </x:c>
      <x:c r="K436" t="n">
        <x:v>15</x:v>
      </x:c>
      <x:c r="L436" t="n">
        <x:f>J436-K436</x:f>
        <x:v>0</x:v>
      </x:c>
      <x:c r="M436" s="20" t="n">
        <x:f>IFERROR(K436/J436,0)</x:f>
        <x:v>1</x:v>
      </x:c>
      <x:c r="N436" t="n">
        <x:v>15</x:v>
      </x:c>
      <x:c r="O436" t="n">
        <x:v>15</x:v>
      </x:c>
      <x:c r="P436" t="n">
        <x:f>N436-O436</x:f>
        <x:v>0</x:v>
      </x:c>
      <x:c r="Q436" t="n">
        <x:v>0</x:v>
      </x:c>
      <x:c r="R436" t="n">
        <x:v>0</x:v>
      </x:c>
      <x:c r="S436" t="n">
        <x:f>Q436-R436</x:f>
        <x:v>0</x:v>
      </x:c>
      <x:c r="T436" t="n">
        <x:v>15</x:v>
      </x:c>
      <x:c r="U436" t="n">
        <x:v>15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f>IF(AND(ISNUMBER(G436),I436&lt;&gt;"Excluded INI"),MAX(0,G436-J436),"")</x:f>
        <x:v>85</x:v>
      </x:c>
      <x:c r="AC436" t="n">
        <x:v>16659</x:v>
      </x:c>
      <x:c r="AD436" t="n">
        <x:v>16795</x:v>
      </x:c>
      <x:c r="AE436" t="n">
        <x:v>17042</x:v>
      </x:c>
      <x:c r="AF436" t="n">
        <x:v>17073</x:v>
      </x:c>
      <x:c r="AG436" t="n">
        <x:v>17215</x:v>
      </x:c>
      <x:c r="AH436" t="n">
        <x:v>17215</x:v>
      </x:c>
      <x:c r="AI436" t="n">
        <x:v>72568</x:v>
      </x:c>
      <x:c r="AJ436" t="n">
        <x:v>78299</x:v>
      </x:c>
      <x:c r="AK436" t="n">
        <x:v>97870</x:v>
      </x:c>
      <x:c r="AL436" t="n">
        <x:v>97870</x:v>
      </x:c>
      <x:c r="AM436" t="str">
        <x:v>Fully allotted in R1; R2 opportunity depends on upgrade/non-joining</x:v>
      </x:c>
    </x:row>
    <x:row r="437">
      <x:c r="A437" t="str">
        <x:v>Uttar Pradesh</x:v>
      </x:c>
      <x:c r="B437" t="str">
        <x:v>All India except Central University</x:v>
      </x:c>
      <x:c r="C437" t="str">
        <x:v>902813</x:v>
      </x:c>
      <x:c r="D437" t="str">
        <x:v>Autonomous State Medical College Pilibhit, SH26 Bithaura Kalan Puranpur Road Pilibhit</x:v>
      </x:c>
      <x:c r="E437" t="str">
        <x:v>UP/010/G/1</x:v>
      </x:c>
      <x:c r="F437" t="str">
        <x:v>Government</x:v>
      </x:c>
      <x:c r="G437" t="n">
        <x:v>100</x:v>
      </x:c>
      <x:c r="H437" t="n">
        <x:v>100</x:v>
      </x:c>
      <x:c r="I437" t="str">
        <x:v>High-confidence fuzzy</x:v>
      </x:c>
      <x:c r="J437" t="n">
        <x:v>15</x:v>
      </x:c>
      <x:c r="K437" t="n">
        <x:v>15</x:v>
      </x:c>
      <x:c r="L437" t="n">
        <x:f>J437-K437</x:f>
        <x:v>0</x:v>
      </x:c>
      <x:c r="M437" s="20" t="n">
        <x:f>IFERROR(K437/J437,0)</x:f>
        <x:v>1</x:v>
      </x:c>
      <x:c r="N437" t="n">
        <x:v>15</x:v>
      </x:c>
      <x:c r="O437" t="n">
        <x:v>15</x:v>
      </x:c>
      <x:c r="P437" t="n">
        <x:f>N437-O437</x:f>
        <x:v>0</x:v>
      </x:c>
      <x:c r="Q437" t="n">
        <x:v>0</x:v>
      </x:c>
      <x:c r="R437" t="n">
        <x:v>0</x:v>
      </x:c>
      <x:c r="S437" t="n">
        <x:f>Q437-R437</x:f>
        <x:v>0</x:v>
      </x:c>
      <x:c r="T437" t="n">
        <x:v>15</x:v>
      </x:c>
      <x:c r="U437" t="n">
        <x:v>15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f>IF(AND(ISNUMBER(G437),I437&lt;&gt;"Excluded INI"),MAX(0,G437-J437),"")</x:f>
        <x:v>85</x:v>
      </x:c>
      <x:c r="AC437" t="n">
        <x:v>14724</x:v>
      </x:c>
      <x:c r="AD437" t="n">
        <x:v>15637</x:v>
      </x:c>
      <x:c r="AE437" t="n">
        <x:v>16594</x:v>
      </x:c>
      <x:c r="AF437" t="n">
        <x:v>16600</x:v>
      </x:c>
      <x:c r="AG437" t="n">
        <x:v>16940</x:v>
      </x:c>
      <x:c r="AH437" t="n">
        <x:v>17048</x:v>
      </x:c>
      <x:c r="AI437" t="n">
        <x:v>84374</x:v>
      </x:c>
      <x:c r="AJ437" t="n">
        <x:v>84933</x:v>
      </x:c>
      <x:c r="AK437" t="n">
        <x:v>103777</x:v>
      </x:c>
      <x:c r="AL437" t="n">
        <x:v>103777</x:v>
      </x:c>
      <x:c r="AM437" t="str">
        <x:v>Fully allotted in R1; R2 opportunity depends on upgrade/non-joining</x:v>
      </x:c>
    </x:row>
    <x:row r="438">
      <x:c r="A438" t="str">
        <x:v>Uttar Pradesh</x:v>
      </x:c>
      <x:c r="B438" t="str">
        <x:v>All India except Central University</x:v>
      </x:c>
      <x:c r="C438" t="str">
        <x:v>200554</x:v>
      </x:c>
      <x:c r="D438" t="str">
        <x:v>Autonomous State Medical College Pratapgarh, Pure Keshav Rai Gay Ghat Road Pratapgarh</x:v>
      </x:c>
      <x:c r="E438" t="str">
        <x:v>UP/011/G/1</x:v>
      </x:c>
      <x:c r="F438" t="str">
        <x:v>Government</x:v>
      </x:c>
      <x:c r="G438" t="n">
        <x:v>100</x:v>
      </x:c>
      <x:c r="H438" t="n">
        <x:v>100</x:v>
      </x:c>
      <x:c r="I438" t="str">
        <x:v>High-confidence fuzzy</x:v>
      </x:c>
      <x:c r="J438" t="n">
        <x:v>15</x:v>
      </x:c>
      <x:c r="K438" t="n">
        <x:v>15</x:v>
      </x:c>
      <x:c r="L438" t="n">
        <x:f>J438-K438</x:f>
        <x:v>0</x:v>
      </x:c>
      <x:c r="M438" s="20" t="n">
        <x:f>IFERROR(K438/J438,0)</x:f>
        <x:v>1</x:v>
      </x:c>
      <x:c r="N438" t="n">
        <x:v>15</x:v>
      </x:c>
      <x:c r="O438" t="n">
        <x:v>15</x:v>
      </x:c>
      <x:c r="P438" t="n">
        <x:f>N438-O438</x:f>
        <x:v>0</x:v>
      </x:c>
      <x:c r="Q438" t="n">
        <x:v>0</x:v>
      </x:c>
      <x:c r="R438" t="n">
        <x:v>0</x:v>
      </x:c>
      <x:c r="S438" t="n">
        <x:f>Q438-R438</x:f>
        <x:v>0</x:v>
      </x:c>
      <x:c r="T438" t="n">
        <x:v>15</x:v>
      </x:c>
      <x:c r="U438" t="n">
        <x:v>15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f>IF(AND(ISNUMBER(G438),I438&lt;&gt;"Excluded INI"),MAX(0,G438-J438),"")</x:f>
        <x:v>85</x:v>
      </x:c>
      <x:c r="AC438" t="n">
        <x:v>13287</x:v>
      </x:c>
      <x:c r="AD438" t="n">
        <x:v>14011</x:v>
      </x:c>
      <x:c r="AE438" t="n">
        <x:v>15234</x:v>
      </x:c>
      <x:c r="AF438" t="n">
        <x:v>16032</x:v>
      </x:c>
      <x:c r="AG438" t="n">
        <x:v>16395</x:v>
      </x:c>
      <x:c r="AH438" t="n">
        <x:v>16395</x:v>
      </x:c>
      <x:c r="AI438" t="n">
        <x:v>82521</x:v>
      </x:c>
      <x:c r="AJ438" t="n">
        <x:v>82872</x:v>
      </x:c>
      <x:c r="AK438" t="n">
        <x:v>100339</x:v>
      </x:c>
      <x:c r="AL438" t="n">
        <x:v>105380</x:v>
      </x:c>
      <x:c r="AM438" t="str">
        <x:v>Fully allotted in R1; R2 opportunity depends on upgrade/non-joining</x:v>
      </x:c>
    </x:row>
    <x:row r="439">
      <x:c r="A439" t="str">
        <x:v>Uttar Pradesh</x:v>
      </x:c>
      <x:c r="B439" t="str">
        <x:v>All India except Central University</x:v>
      </x:c>
      <x:c r="C439" t="str">
        <x:v>200556</x:v>
      </x:c>
      <x:c r="D439" t="str">
        <x:v>Autonomous State Medical College Society Ghazipur, R.T.I. Ground, Ghazipur (U.P) (233001)</x:v>
      </x:c>
      <x:c r="E439" t="str">
        <x:v>UP/012/G/1</x:v>
      </x:c>
      <x:c r="F439" t="str">
        <x:v>Government</x:v>
      </x:c>
      <x:c r="G439" t="n">
        <x:v>100</x:v>
      </x:c>
      <x:c r="H439" t="n">
        <x:v>100</x:v>
      </x:c>
      <x:c r="I439" t="str">
        <x:v>High-confidence fuzzy</x:v>
      </x:c>
      <x:c r="J439" t="n">
        <x:v>15</x:v>
      </x:c>
      <x:c r="K439" t="n">
        <x:v>15</x:v>
      </x:c>
      <x:c r="L439" t="n">
        <x:f>J439-K439</x:f>
        <x:v>0</x:v>
      </x:c>
      <x:c r="M439" s="20" t="n">
        <x:f>IFERROR(K439/J439,0)</x:f>
        <x:v>1</x:v>
      </x:c>
      <x:c r="N439" t="n">
        <x:v>15</x:v>
      </x:c>
      <x:c r="O439" t="n">
        <x:v>15</x:v>
      </x:c>
      <x:c r="P439" t="n">
        <x:f>N439-O439</x:f>
        <x:v>0</x:v>
      </x:c>
      <x:c r="Q439" t="n">
        <x:v>0</x:v>
      </x:c>
      <x:c r="R439" t="n">
        <x:v>0</x:v>
      </x:c>
      <x:c r="S439" t="n">
        <x:f>Q439-R439</x:f>
        <x:v>0</x:v>
      </x:c>
      <x:c r="T439" t="n">
        <x:v>15</x:v>
      </x:c>
      <x:c r="U439" t="n">
        <x:v>15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f>IF(AND(ISNUMBER(G439),I439&lt;&gt;"Excluded INI"),MAX(0,G439-J439),"")</x:f>
        <x:v>85</x:v>
      </x:c>
      <x:c r="AC439" t="n">
        <x:v>15948</x:v>
      </x:c>
      <x:c r="AD439" t="n">
        <x:v>16111</x:v>
      </x:c>
      <x:c r="AE439" t="n">
        <x:v>16456</x:v>
      </x:c>
      <x:c r="AF439" t="n">
        <x:v>16616</x:v>
      </x:c>
      <x:c r="AG439" t="n">
        <x:v>17980</x:v>
      </x:c>
      <x:c r="AH439" t="n">
        <x:v>17980</x:v>
      </x:c>
      <x:c r="AI439" t="n">
        <x:v>83436</x:v>
      </x:c>
      <x:c r="AJ439" t="n">
        <x:v>84025</x:v>
      </x:c>
      <x:c r="AK439"/>
      <x:c r="AL439"/>
      <x:c r="AM439" t="str">
        <x:v>Fully allotted in R1; R2 opportunity depends on upgrade/non-joining</x:v>
      </x:c>
    </x:row>
    <x:row r="440">
      <x:c r="A440" t="str">
        <x:v>Uttar Pradesh</x:v>
      </x:c>
      <x:c r="B440" t="str">
        <x:v>All India except Central University</x:v>
      </x:c>
      <x:c r="C440" t="str">
        <x:v>200552</x:v>
      </x:c>
      <x:c r="D440" t="str">
        <x:v>Autonomous State Medical College Society, Etah, Uttar Pradesh, NAGLA PADIHAR SIRAO MAHARARA LINK, PAC ROAD, SAKEET, ETAH,U.P.- 207001</x:v>
      </x:c>
      <x:c r="E440" t="str">
        <x:v>UP/013/G/1</x:v>
      </x:c>
      <x:c r="F440" t="str">
        <x:v>Government</x:v>
      </x:c>
      <x:c r="G440" t="n">
        <x:v>100</x:v>
      </x:c>
      <x:c r="H440" t="n">
        <x:v>100</x:v>
      </x:c>
      <x:c r="I440" t="str">
        <x:v>High-confidence fuzzy</x:v>
      </x:c>
      <x:c r="J440" t="n">
        <x:v>15</x:v>
      </x:c>
      <x:c r="K440" t="n">
        <x:v>15</x:v>
      </x:c>
      <x:c r="L440" t="n">
        <x:f>J440-K440</x:f>
        <x:v>0</x:v>
      </x:c>
      <x:c r="M440" s="20" t="n">
        <x:f>IFERROR(K440/J440,0)</x:f>
        <x:v>1</x:v>
      </x:c>
      <x:c r="N440" t="n">
        <x:v>15</x:v>
      </x:c>
      <x:c r="O440" t="n">
        <x:v>15</x:v>
      </x:c>
      <x:c r="P440" t="n">
        <x:f>N440-O440</x:f>
        <x:v>0</x:v>
      </x:c>
      <x:c r="Q440" t="n">
        <x:v>0</x:v>
      </x:c>
      <x:c r="R440" t="n">
        <x:v>0</x:v>
      </x:c>
      <x:c r="S440" t="n">
        <x:f>Q440-R440</x:f>
        <x:v>0</x:v>
      </x:c>
      <x:c r="T440" t="n">
        <x:v>15</x:v>
      </x:c>
      <x:c r="U440" t="n">
        <x:v>15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f>IF(AND(ISNUMBER(G440),I440&lt;&gt;"Excluded INI"),MAX(0,G440-J440),"")</x:f>
        <x:v>85</x:v>
      </x:c>
      <x:c r="AC440" t="n">
        <x:v>11650</x:v>
      </x:c>
      <x:c r="AD440" t="n">
        <x:v>12371</x:v>
      </x:c>
      <x:c r="AE440" t="n">
        <x:v>13143</x:v>
      </x:c>
      <x:c r="AF440" t="n">
        <x:v>13222</x:v>
      </x:c>
      <x:c r="AG440" t="n">
        <x:v>12976</x:v>
      </x:c>
      <x:c r="AH440" t="n">
        <x:v>12976</x:v>
      </x:c>
      <x:c r="AI440" t="n">
        <x:v>55674</x:v>
      </x:c>
      <x:c r="AJ440" t="n">
        <x:v>58566</x:v>
      </x:c>
      <x:c r="AK440" t="n">
        <x:v>91109</x:v>
      </x:c>
      <x:c r="AL440" t="n">
        <x:v>104408</x:v>
      </x:c>
      <x:c r="AM440" t="str">
        <x:v>Fully allotted in R1; R2 opportunity depends on upgrade/non-joining</x:v>
      </x:c>
    </x:row>
    <x:row r="441">
      <x:c r="A441" t="str">
        <x:v>Uttar Pradesh</x:v>
      </x:c>
      <x:c r="B441" t="str">
        <x:v>All India except Central University</x:v>
      </x:c>
      <x:c r="C441" t="str">
        <x:v>200563</x:v>
      </x:c>
      <x:c r="D441" t="str">
        <x:v>Autonomous State Medical College Society, Fatehpur, Autonomous State Medical College Village chittaura near Allipur GT road fatehpur</x:v>
      </x:c>
      <x:c r="E441" t="str">
        <x:v>UP/014/G/1</x:v>
      </x:c>
      <x:c r="F441" t="str">
        <x:v>Government</x:v>
      </x:c>
      <x:c r="G441" t="n">
        <x:v>100</x:v>
      </x:c>
      <x:c r="H441" t="n">
        <x:v>100</x:v>
      </x:c>
      <x:c r="I441" t="str">
        <x:v>High-confidence fuzzy</x:v>
      </x:c>
      <x:c r="J441" t="n">
        <x:v>15</x:v>
      </x:c>
      <x:c r="K441" t="n">
        <x:v>15</x:v>
      </x:c>
      <x:c r="L441" t="n">
        <x:f>J441-K441</x:f>
        <x:v>0</x:v>
      </x:c>
      <x:c r="M441" s="20" t="n">
        <x:f>IFERROR(K441/J441,0)</x:f>
        <x:v>1</x:v>
      </x:c>
      <x:c r="N441" t="n">
        <x:v>15</x:v>
      </x:c>
      <x:c r="O441" t="n">
        <x:v>15</x:v>
      </x:c>
      <x:c r="P441" t="n">
        <x:f>N441-O441</x:f>
        <x:v>0</x:v>
      </x:c>
      <x:c r="Q441" t="n">
        <x:v>0</x:v>
      </x:c>
      <x:c r="R441" t="n">
        <x:v>0</x:v>
      </x:c>
      <x:c r="S441" t="n">
        <x:f>Q441-R441</x:f>
        <x:v>0</x:v>
      </x:c>
      <x:c r="T441" t="n">
        <x:v>15</x:v>
      </x:c>
      <x:c r="U441" t="n">
        <x:v>15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f>IF(AND(ISNUMBER(G441),I441&lt;&gt;"Excluded INI"),MAX(0,G441-J441),"")</x:f>
        <x:v>85</x:v>
      </x:c>
      <x:c r="AC441" t="n">
        <x:v>12951</x:v>
      </x:c>
      <x:c r="AD441" t="n">
        <x:v>13729</x:v>
      </x:c>
      <x:c r="AE441" t="n">
        <x:v>15693</x:v>
      </x:c>
      <x:c r="AF441" t="n">
        <x:v>15881</x:v>
      </x:c>
      <x:c r="AG441" t="n">
        <x:v>15645</x:v>
      </x:c>
      <x:c r="AH441" t="n">
        <x:v>16860</x:v>
      </x:c>
      <x:c r="AI441" t="n">
        <x:v>73875</x:v>
      </x:c>
      <x:c r="AJ441" t="n">
        <x:v>75640</x:v>
      </x:c>
      <x:c r="AK441" t="n">
        <x:v>77759</x:v>
      </x:c>
      <x:c r="AL441" t="n">
        <x:v>77759</x:v>
      </x:c>
      <x:c r="AM441" t="str">
        <x:v>Fully allotted in R1; R2 opportunity depends on upgrade/non-joining</x:v>
      </x:c>
    </x:row>
    <x:row r="442">
      <x:c r="A442" t="str">
        <x:v>Uttar Pradesh</x:v>
      </x:c>
      <x:c r="B442" t="str">
        <x:v>All India except Central University</x:v>
      </x:c>
      <x:c r="C442" t="str">
        <x:v>200570</x:v>
      </x:c>
      <x:c r="D442" t="str">
        <x:v>Autonomous State Medical College Society, Hardoi, Gaura Danda, Sitapur Road, Hardoi</x:v>
      </x:c>
      <x:c r="E442" t="str">
        <x:v>UP/015/G/1</x:v>
      </x:c>
      <x:c r="F442" t="str">
        <x:v>Government</x:v>
      </x:c>
      <x:c r="G442" t="n">
        <x:v>100</x:v>
      </x:c>
      <x:c r="H442" t="n">
        <x:v>100</x:v>
      </x:c>
      <x:c r="I442" t="str">
        <x:v>High-confidence fuzzy</x:v>
      </x:c>
      <x:c r="J442" t="n">
        <x:v>15</x:v>
      </x:c>
      <x:c r="K442" t="n">
        <x:v>15</x:v>
      </x:c>
      <x:c r="L442" t="n">
        <x:f>J442-K442</x:f>
        <x:v>0</x:v>
      </x:c>
      <x:c r="M442" s="20" t="n">
        <x:f>IFERROR(K442/J442,0)</x:f>
        <x:v>1</x:v>
      </x:c>
      <x:c r="N442" t="n">
        <x:v>15</x:v>
      </x:c>
      <x:c r="O442" t="n">
        <x:v>15</x:v>
      </x:c>
      <x:c r="P442" t="n">
        <x:f>N442-O442</x:f>
        <x:v>0</x:v>
      </x:c>
      <x:c r="Q442" t="n">
        <x:v>0</x:v>
      </x:c>
      <x:c r="R442" t="n">
        <x:v>0</x:v>
      </x:c>
      <x:c r="S442" t="n">
        <x:f>Q442-R442</x:f>
        <x:v>0</x:v>
      </x:c>
      <x:c r="T442" t="n">
        <x:v>15</x:v>
      </x:c>
      <x:c r="U442" t="n">
        <x:v>15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f>IF(AND(ISNUMBER(G442),I442&lt;&gt;"Excluded INI"),MAX(0,G442-J442),"")</x:f>
        <x:v>85</x:v>
      </x:c>
      <x:c r="AC442" t="n">
        <x:v>14169</x:v>
      </x:c>
      <x:c r="AD442" t="n">
        <x:v>14609</x:v>
      </x:c>
      <x:c r="AE442" t="n">
        <x:v>15429</x:v>
      </x:c>
      <x:c r="AF442" t="n">
        <x:v>15586</x:v>
      </x:c>
      <x:c r="AG442" t="n">
        <x:v>14727</x:v>
      </x:c>
      <x:c r="AH442" t="n">
        <x:v>14727</x:v>
      </x:c>
      <x:c r="AI442" t="n">
        <x:v>68806</x:v>
      </x:c>
      <x:c r="AJ442" t="n">
        <x:v>69214</x:v>
      </x:c>
      <x:c r="AK442" t="n">
        <x:v>99245</x:v>
      </x:c>
      <x:c r="AL442" t="n">
        <x:v>99245</x:v>
      </x:c>
      <x:c r="AM442" t="str">
        <x:v>Fully allotted in R1; R2 opportunity depends on upgrade/non-joining</x:v>
      </x:c>
    </x:row>
    <x:row r="443">
      <x:c r="A443" t="str">
        <x:v>Uttar Pradesh</x:v>
      </x:c>
      <x:c r="B443" t="str">
        <x:v>All India except Central University</x:v>
      </x:c>
      <x:c r="C443" t="str">
        <x:v>902823</x:v>
      </x:c>
      <x:c r="D443" t="str">
        <x:v>Autonomous State Medical College Sultanpur, Autonomous State Medical College Dubepur Sultanpur</x:v>
      </x:c>
      <x:c r="E443" t="str">
        <x:v>UP/002/G/1</x:v>
      </x:c>
      <x:c r="F443" t="str">
        <x:v>Government</x:v>
      </x:c>
      <x:c r="G443" t="n">
        <x:v>100</x:v>
      </x:c>
      <x:c r="H443" t="n">
        <x:v>100</x:v>
      </x:c>
      <x:c r="I443" t="str">
        <x:v>High-confidence fuzzy</x:v>
      </x:c>
      <x:c r="J443" t="n">
        <x:v>15</x:v>
      </x:c>
      <x:c r="K443" t="n">
        <x:v>15</x:v>
      </x:c>
      <x:c r="L443" t="n">
        <x:f>J443-K443</x:f>
        <x:v>0</x:v>
      </x:c>
      <x:c r="M443" s="20" t="n">
        <x:f>IFERROR(K443/J443,0)</x:f>
        <x:v>1</x:v>
      </x:c>
      <x:c r="N443" t="n">
        <x:v>15</x:v>
      </x:c>
      <x:c r="O443" t="n">
        <x:v>15</x:v>
      </x:c>
      <x:c r="P443" t="n">
        <x:f>N443-O443</x:f>
        <x:v>0</x:v>
      </x:c>
      <x:c r="Q443" t="n">
        <x:v>0</x:v>
      </x:c>
      <x:c r="R443" t="n">
        <x:v>0</x:v>
      </x:c>
      <x:c r="S443" t="n">
        <x:f>Q443-R443</x:f>
        <x:v>0</x:v>
      </x:c>
      <x:c r="T443" t="n">
        <x:v>15</x:v>
      </x:c>
      <x:c r="U443" t="n">
        <x:v>15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f>IF(AND(ISNUMBER(G443),I443&lt;&gt;"Excluded INI"),MAX(0,G443-J443),"")</x:f>
        <x:v>85</x:v>
      </x:c>
      <x:c r="AC443" t="n">
        <x:v>14320</x:v>
      </x:c>
      <x:c r="AD443" t="n">
        <x:v>14694</x:v>
      </x:c>
      <x:c r="AE443" t="n">
        <x:v>15190</x:v>
      </x:c>
      <x:c r="AF443" t="n">
        <x:v>15505</x:v>
      </x:c>
      <x:c r="AG443" t="n">
        <x:v>17726</x:v>
      </x:c>
      <x:c r="AH443" t="n">
        <x:v>18304</x:v>
      </x:c>
      <x:c r="AI443" t="n">
        <x:v>79758</x:v>
      </x:c>
      <x:c r="AJ443" t="n">
        <x:v>82836</x:v>
      </x:c>
      <x:c r="AK443" t="n">
        <x:v>105459</x:v>
      </x:c>
      <x:c r="AL443" t="n">
        <x:v>105459</x:v>
      </x:c>
      <x:c r="AM443" t="str">
        <x:v>Fully allotted in R1; R2 opportunity depends on upgrade/non-joining</x:v>
      </x:c>
    </x:row>
    <x:row r="444">
      <x:c r="A444" t="str">
        <x:v>Uttar Pradesh</x:v>
      </x:c>
      <x:c r="B444" t="str">
        <x:v>All India except Central University</x:v>
      </x:c>
      <x:c r="C444" t="str">
        <x:v>902861</x:v>
      </x:c>
      <x:c r="D444" t="str">
        <x:v>Autonomous State Medical College and Hospital Gonda, Chhavanni Sarkar Infront of Circuit House Gonda</x:v>
      </x:c>
      <x:c r="E444" t="str">
        <x:v>UP/005/G/5</x:v>
      </x:c>
      <x:c r="F444" t="str">
        <x:v>Government</x:v>
      </x:c>
      <x:c r="G444" t="n">
        <x:v>100</x:v>
      </x:c>
      <x:c r="H444" t="n">
        <x:v>100</x:v>
      </x:c>
      <x:c r="I444" t="str">
        <x:v>High-confidence fuzzy</x:v>
      </x:c>
      <x:c r="J444" t="n">
        <x:v>15</x:v>
      </x:c>
      <x:c r="K444" t="n">
        <x:v>15</x:v>
      </x:c>
      <x:c r="L444" t="n">
        <x:f>J444-K444</x:f>
        <x:v>0</x:v>
      </x:c>
      <x:c r="M444" s="20" t="n">
        <x:f>IFERROR(K444/J444,0)</x:f>
        <x:v>1</x:v>
      </x:c>
      <x:c r="N444" t="n">
        <x:v>15</x:v>
      </x:c>
      <x:c r="O444" t="n">
        <x:v>15</x:v>
      </x:c>
      <x:c r="P444" t="n">
        <x:f>N444-O444</x:f>
        <x:v>0</x:v>
      </x:c>
      <x:c r="Q444" t="n">
        <x:v>0</x:v>
      </x:c>
      <x:c r="R444" t="n">
        <x:v>0</x:v>
      </x:c>
      <x:c r="S444" t="n">
        <x:f>Q444-R444</x:f>
        <x:v>0</x:v>
      </x:c>
      <x:c r="T444" t="n">
        <x:v>15</x:v>
      </x:c>
      <x:c r="U444" t="n">
        <x:v>15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f>IF(AND(ISNUMBER(G444),I444&lt;&gt;"Excluded INI"),MAX(0,G444-J444),"")</x:f>
        <x:v>85</x:v>
      </x:c>
      <x:c r="AC444" t="n">
        <x:v>15946</x:v>
      </x:c>
      <x:c r="AD444" t="n">
        <x:v>16303</x:v>
      </x:c>
      <x:c r="AE444" t="n">
        <x:v>16808</x:v>
      </x:c>
      <x:c r="AF444" t="n">
        <x:v>17002</x:v>
      </x:c>
      <x:c r="AG444" t="n">
        <x:v>17895</x:v>
      </x:c>
      <x:c r="AH444" t="n">
        <x:v>18082</x:v>
      </x:c>
      <x:c r="AI444" t="n">
        <x:v>84168</x:v>
      </x:c>
      <x:c r="AJ444" t="n">
        <x:v>86954</x:v>
      </x:c>
      <x:c r="AK444" t="n">
        <x:v>107840</x:v>
      </x:c>
      <x:c r="AL444" t="n">
        <x:v>107840</x:v>
      </x:c>
      <x:c r="AM444" t="str">
        <x:v>Fully allotted in R1; R2 opportunity depends on upgrade/non-joining</x:v>
      </x:c>
    </x:row>
    <x:row r="445">
      <x:c r="A445" t="str">
        <x:v>Uttar Pradesh</x:v>
      </x:c>
      <x:c r="B445" t="str">
        <x:v>All India except Central University</x:v>
      </x:c>
      <x:c r="C445" t="str">
        <x:v>902859</x:v>
      </x:c>
      <x:c r="D445" t="str">
        <x:v>Autonomous State Medical College and Hospital Kaushambi, Kadipur Manjhanpur Kaushambi District</x:v>
      </x:c>
      <x:c r="E445" t="str">
        <x:v>UP/006/G/1</x:v>
      </x:c>
      <x:c r="F445" t="str">
        <x:v>Government</x:v>
      </x:c>
      <x:c r="G445" t="n">
        <x:v>100</x:v>
      </x:c>
      <x:c r="H445" t="n">
        <x:v>100</x:v>
      </x:c>
      <x:c r="I445" t="str">
        <x:v>High-confidence fuzzy</x:v>
      </x:c>
      <x:c r="J445" t="n">
        <x:v>15</x:v>
      </x:c>
      <x:c r="K445" t="n">
        <x:v>15</x:v>
      </x:c>
      <x:c r="L445" t="n">
        <x:f>J445-K445</x:f>
        <x:v>0</x:v>
      </x:c>
      <x:c r="M445" s="20" t="n">
        <x:f>IFERROR(K445/J445,0)</x:f>
        <x:v>1</x:v>
      </x:c>
      <x:c r="N445" t="n">
        <x:v>15</x:v>
      </x:c>
      <x:c r="O445" t="n">
        <x:v>15</x:v>
      </x:c>
      <x:c r="P445" t="n">
        <x:f>N445-O445</x:f>
        <x:v>0</x:v>
      </x:c>
      <x:c r="Q445" t="n">
        <x:v>0</x:v>
      </x:c>
      <x:c r="R445" t="n">
        <x:v>0</x:v>
      </x:c>
      <x:c r="S445" t="n">
        <x:f>Q445-R445</x:f>
        <x:v>0</x:v>
      </x:c>
      <x:c r="T445" t="n">
        <x:v>15</x:v>
      </x:c>
      <x:c r="U445" t="n">
        <x:v>15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f>IF(AND(ISNUMBER(G445),I445&lt;&gt;"Excluded INI"),MAX(0,G445-J445),"")</x:f>
        <x:v>85</x:v>
      </x:c>
      <x:c r="AC445" t="n">
        <x:v>15129</x:v>
      </x:c>
      <x:c r="AD445" t="n">
        <x:v>16819</x:v>
      </x:c>
      <x:c r="AE445" t="n">
        <x:v>17101</x:v>
      </x:c>
      <x:c r="AF445" t="n">
        <x:v>17400</x:v>
      </x:c>
      <x:c r="AG445" t="n">
        <x:v>18345</x:v>
      </x:c>
      <x:c r="AH445" t="n">
        <x:v>18345</x:v>
      </x:c>
      <x:c r="AI445" t="n">
        <x:v>81736</x:v>
      </x:c>
      <x:c r="AJ445" t="n">
        <x:v>85649</x:v>
      </x:c>
      <x:c r="AK445" t="n">
        <x:v>108029</x:v>
      </x:c>
      <x:c r="AL445" t="n">
        <x:v>108029</x:v>
      </x:c>
      <x:c r="AM445" t="str">
        <x:v>Fully allotted in R1; R2 opportunity depends on upgrade/non-joining</x:v>
      </x:c>
    </x:row>
    <x:row r="446">
      <x:c r="A446" t="str">
        <x:v>Uttar Pradesh</x:v>
      </x:c>
      <x:c r="B446" t="str">
        <x:v>All India except Central University</x:v>
      </x:c>
      <x:c r="C446" t="str">
        <x:v>902816</x:v>
      </x:c>
      <x:c r="D446" t="str">
        <x:v>Autonomous State Medical College, Akbarpur, Kanpur, Kumbhi, Akabarpur, Kanpur Dehat U.P.</x:v>
      </x:c>
      <x:c r="E446" t="str">
        <x:v>UP/016/G/1</x:v>
      </x:c>
      <x:c r="F446" t="str">
        <x:v>Government</x:v>
      </x:c>
      <x:c r="G446" t="n">
        <x:v>100</x:v>
      </x:c>
      <x:c r="H446" t="n">
        <x:v>100</x:v>
      </x:c>
      <x:c r="I446" t="str">
        <x:v>High-confidence fuzzy</x:v>
      </x:c>
      <x:c r="J446" t="n">
        <x:v>15</x:v>
      </x:c>
      <x:c r="K446" t="n">
        <x:v>15</x:v>
      </x:c>
      <x:c r="L446" t="n">
        <x:f>J446-K446</x:f>
        <x:v>0</x:v>
      </x:c>
      <x:c r="M446" s="20" t="n">
        <x:f>IFERROR(K446/J446,0)</x:f>
        <x:v>1</x:v>
      </x:c>
      <x:c r="N446" t="n">
        <x:v>15</x:v>
      </x:c>
      <x:c r="O446" t="n">
        <x:v>15</x:v>
      </x:c>
      <x:c r="P446" t="n">
        <x:f>N446-O446</x:f>
        <x:v>0</x:v>
      </x:c>
      <x:c r="Q446" t="n">
        <x:v>0</x:v>
      </x:c>
      <x:c r="R446" t="n">
        <x:v>0</x:v>
      </x:c>
      <x:c r="S446" t="n">
        <x:f>Q446-R446</x:f>
        <x:v>0</x:v>
      </x:c>
      <x:c r="T446" t="n">
        <x:v>15</x:v>
      </x:c>
      <x:c r="U446" t="n">
        <x:v>15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f>IF(AND(ISNUMBER(G446),I446&lt;&gt;"Excluded INI"),MAX(0,G446-J446),"")</x:f>
        <x:v>85</x:v>
      </x:c>
      <x:c r="AC446" t="n">
        <x:v>10360</x:v>
      </x:c>
      <x:c r="AD446" t="n">
        <x:v>10913</x:v>
      </x:c>
      <x:c r="AE446" t="n">
        <x:v>14060</x:v>
      </x:c>
      <x:c r="AF446" t="n">
        <x:v>15359</x:v>
      </x:c>
      <x:c r="AG446" t="n">
        <x:v>11396</x:v>
      </x:c>
      <x:c r="AH446" t="n">
        <x:v>11396</x:v>
      </x:c>
      <x:c r="AI446" t="n">
        <x:v>56266</x:v>
      </x:c>
      <x:c r="AJ446" t="n">
        <x:v>57764</x:v>
      </x:c>
      <x:c r="AK446" t="n">
        <x:v>103013</x:v>
      </x:c>
      <x:c r="AL446" t="n">
        <x:v>103013</x:v>
      </x:c>
      <x:c r="AM446" t="str">
        <x:v>Fully allotted in R1; R2 opportunity depends on upgrade/non-joining</x:v>
      </x:c>
    </x:row>
    <x:row r="447">
      <x:c r="A447" t="str">
        <x:v>Uttar Pradesh</x:v>
      </x:c>
      <x:c r="B447" t="str">
        <x:v>All India except Central University</x:v>
      </x:c>
      <x:c r="C447" t="str">
        <x:v>200553</x:v>
      </x:c>
      <x:c r="D447" t="str">
        <x:v>Autonomous State Medical College, Siddharthnagar, Autonomous State Medical College Siddharthnagar 71 Ashok Marg Village Mudila Naugarh Uttar Prade</x:v>
      </x:c>
      <x:c r="E447" t="str">
        <x:v>UP/017/G/1</x:v>
      </x:c>
      <x:c r="F447" t="str">
        <x:v>Government</x:v>
      </x:c>
      <x:c r="G447" t="n">
        <x:v>100</x:v>
      </x:c>
      <x:c r="H447" t="n">
        <x:v>100</x:v>
      </x:c>
      <x:c r="I447" t="str">
        <x:v>High-confidence fuzzy</x:v>
      </x:c>
      <x:c r="J447" t="n">
        <x:v>15</x:v>
      </x:c>
      <x:c r="K447" t="n">
        <x:v>15</x:v>
      </x:c>
      <x:c r="L447" t="n">
        <x:f>J447-K447</x:f>
        <x:v>0</x:v>
      </x:c>
      <x:c r="M447" s="20" t="n">
        <x:f>IFERROR(K447/J447,0)</x:f>
        <x:v>1</x:v>
      </x:c>
      <x:c r="N447" t="n">
        <x:v>15</x:v>
      </x:c>
      <x:c r="O447" t="n">
        <x:v>15</x:v>
      </x:c>
      <x:c r="P447" t="n">
        <x:f>N447-O447</x:f>
        <x:v>0</x:v>
      </x:c>
      <x:c r="Q447" t="n">
        <x:v>0</x:v>
      </x:c>
      <x:c r="R447" t="n">
        <x:v>0</x:v>
      </x:c>
      <x:c r="S447" t="n">
        <x:f>Q447-R447</x:f>
        <x:v>0</x:v>
      </x:c>
      <x:c r="T447" t="n">
        <x:v>15</x:v>
      </x:c>
      <x:c r="U447" t="n">
        <x:v>15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f>IF(AND(ISNUMBER(G447),I447&lt;&gt;"Excluded INI"),MAX(0,G447-J447),"")</x:f>
        <x:v>85</x:v>
      </x:c>
      <x:c r="AC447" t="n">
        <x:v>13788</x:v>
      </x:c>
      <x:c r="AD447" t="n">
        <x:v>14620</x:v>
      </x:c>
      <x:c r="AE447" t="n">
        <x:v>15700</x:v>
      </x:c>
      <x:c r="AF447" t="n">
        <x:v>15999</x:v>
      </x:c>
      <x:c r="AG447" t="n">
        <x:v>17271</x:v>
      </x:c>
      <x:c r="AH447" t="n">
        <x:v>17280</x:v>
      </x:c>
      <x:c r="AI447" t="n">
        <x:v>72964</x:v>
      </x:c>
      <x:c r="AJ447" t="n">
        <x:v>76581</x:v>
      </x:c>
      <x:c r="AK447" t="n">
        <x:v>105728</x:v>
      </x:c>
      <x:c r="AL447" t="n">
        <x:v>105728</x:v>
      </x:c>
      <x:c r="AM447" t="str">
        <x:v>Fully allotted in R1; R2 opportunity depends on upgrade/non-joining</x:v>
      </x:c>
    </x:row>
    <x:row r="448">
      <x:c r="A448" t="str">
        <x:v>Uttar Pradesh</x:v>
      </x:c>
      <x:c r="B448" t="str">
        <x:v>All India except Central University</x:v>
      </x:c>
      <x:c r="C448" t="str">
        <x:v>903362</x:v>
      </x:c>
      <x:c r="D448" t="str">
        <x:v>Autonomous State Medical College, Sonebhadra, Rounp Rd, Churk,Robertsganj, Sonebhadra</x:v>
      </x:c>
      <x:c r="E448" t="str">
        <x:v>UP/018/G/1</x:v>
      </x:c>
      <x:c r="F448" t="str">
        <x:v>Government</x:v>
      </x:c>
      <x:c r="G448" t="n">
        <x:v>100</x:v>
      </x:c>
      <x:c r="H448" t="n">
        <x:v>100</x:v>
      </x:c>
      <x:c r="I448" t="str">
        <x:v>High-confidence fuzzy</x:v>
      </x:c>
      <x:c r="J448" t="n">
        <x:v>15</x:v>
      </x:c>
      <x:c r="K448" t="n">
        <x:v>15</x:v>
      </x:c>
      <x:c r="L448" t="n">
        <x:f>J448-K448</x:f>
        <x:v>0</x:v>
      </x:c>
      <x:c r="M448" s="20" t="n">
        <x:f>IFERROR(K448/J448,0)</x:f>
        <x:v>1</x:v>
      </x:c>
      <x:c r="N448" t="n">
        <x:v>15</x:v>
      </x:c>
      <x:c r="O448" t="n">
        <x:v>15</x:v>
      </x:c>
      <x:c r="P448" t="n">
        <x:f>N448-O448</x:f>
        <x:v>0</x:v>
      </x:c>
      <x:c r="Q448" t="n">
        <x:v>0</x:v>
      </x:c>
      <x:c r="R448" t="n">
        <x:v>0</x:v>
      </x:c>
      <x:c r="S448" t="n">
        <x:f>Q448-R448</x:f>
        <x:v>0</x:v>
      </x:c>
      <x:c r="T448" t="n">
        <x:v>15</x:v>
      </x:c>
      <x:c r="U448" t="n">
        <x:v>15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f>IF(AND(ISNUMBER(G448),I448&lt;&gt;"Excluded INI"),MAX(0,G448-J448),"")</x:f>
        <x:v>85</x:v>
      </x:c>
      <x:c r="AC448" t="n">
        <x:v>17186</x:v>
      </x:c>
      <x:c r="AD448" t="n">
        <x:v>17283</x:v>
      </x:c>
      <x:c r="AE448" t="n">
        <x:v>17501</x:v>
      </x:c>
      <x:c r="AF448" t="n">
        <x:v>17651</x:v>
      </x:c>
      <x:c r="AG448" t="n">
        <x:v>17626</x:v>
      </x:c>
      <x:c r="AH448" t="n">
        <x:v>17626</x:v>
      </x:c>
      <x:c r="AI448" t="n">
        <x:v>87896</x:v>
      </x:c>
      <x:c r="AJ448" t="n">
        <x:v>88245</x:v>
      </x:c>
      <x:c r="AK448" t="n">
        <x:v>113337</x:v>
      </x:c>
      <x:c r="AL448" t="n">
        <x:v>113337</x:v>
      </x:c>
      <x:c r="AM448" t="str">
        <x:v>Fully allotted in R1; R2 opportunity depends on upgrade/non-joining</x:v>
      </x:c>
    </x:row>
    <x:row r="449">
      <x:c r="A449" t="str">
        <x:v>Uttar Pradesh</x:v>
      </x:c>
      <x:c r="B449" t="str">
        <x:v>All India except Central University</x:v>
      </x:c>
      <x:c r="C449" t="str">
        <x:v>200574</x:v>
      </x:c>
      <x:c r="D449" t="str">
        <x:v>Autonomous State Society Medical College Mirzapur, MAA VINDHYAVASINI AUTONOMOUS STATE MEDICAL COLLEGE PIPARDARH, VISHUNDERPUR, MIRZAPUR</x:v>
      </x:c>
      <x:c r="E449" t="str">
        <x:v>UP/019/G/1</x:v>
      </x:c>
      <x:c r="F449" t="str">
        <x:v>Government</x:v>
      </x:c>
      <x:c r="G449" t="n">
        <x:v>100</x:v>
      </x:c>
      <x:c r="H449" t="n">
        <x:v>100</x:v>
      </x:c>
      <x:c r="I449" t="str">
        <x:v>High-confidence fuzzy</x:v>
      </x:c>
      <x:c r="J449" t="n">
        <x:v>15</x:v>
      </x:c>
      <x:c r="K449" t="n">
        <x:v>15</x:v>
      </x:c>
      <x:c r="L449" t="n">
        <x:f>J449-K449</x:f>
        <x:v>0</x:v>
      </x:c>
      <x:c r="M449" s="20" t="n">
        <x:f>IFERROR(K449/J449,0)</x:f>
        <x:v>1</x:v>
      </x:c>
      <x:c r="N449" t="n">
        <x:v>15</x:v>
      </x:c>
      <x:c r="O449" t="n">
        <x:v>15</x:v>
      </x:c>
      <x:c r="P449" t="n">
        <x:f>N449-O449</x:f>
        <x:v>0</x:v>
      </x:c>
      <x:c r="Q449" t="n">
        <x:v>0</x:v>
      </x:c>
      <x:c r="R449" t="n">
        <x:v>0</x:v>
      </x:c>
      <x:c r="S449" t="n">
        <x:f>Q449-R449</x:f>
        <x:v>0</x:v>
      </x:c>
      <x:c r="T449" t="n">
        <x:v>15</x:v>
      </x:c>
      <x:c r="U449" t="n">
        <x:v>15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f>IF(AND(ISNUMBER(G449),I449&lt;&gt;"Excluded INI"),MAX(0,G449-J449),"")</x:f>
        <x:v>85</x:v>
      </x:c>
      <x:c r="AC449" t="n">
        <x:v>15291</x:v>
      </x:c>
      <x:c r="AD449" t="n">
        <x:v>15735</x:v>
      </x:c>
      <x:c r="AE449" t="n">
        <x:v>16176</x:v>
      </x:c>
      <x:c r="AF449" t="n">
        <x:v>16262</x:v>
      </x:c>
      <x:c r="AG449" t="n">
        <x:v>17530</x:v>
      </x:c>
      <x:c r="AH449" t="n">
        <x:v>17675</x:v>
      </x:c>
      <x:c r="AI449" t="n">
        <x:v>82108</x:v>
      </x:c>
      <x:c r="AJ449" t="n">
        <x:v>82993</x:v>
      </x:c>
      <x:c r="AK449" t="n">
        <x:v>105322</x:v>
      </x:c>
      <x:c r="AL449" t="n">
        <x:v>105322</x:v>
      </x:c>
      <x:c r="AM449" t="str">
        <x:v>Fully allotted in R1; R2 opportunity depends on upgrade/non-joining</x:v>
      </x:c>
    </x:row>
    <x:row r="450">
      <x:c r="A450" t="str">
        <x:v>Uttar Pradesh</x:v>
      </x:c>
      <x:c r="B450" t="str">
        <x:v>All India except Central University</x:v>
      </x:c>
      <x:c r="C450" t="str">
        <x:v>904370</x:v>
      </x:c>
      <x:c r="D450" t="str">
        <x:v>Autonomous state medical college Amethi, Autonomous State Medical College, Tiloi, Amethi, Uttar Pradesh, Pin code- 229309.</x:v>
      </x:c>
      <x:c r="E450" t="str">
        <x:v>UP/003/G/5</x:v>
      </x:c>
      <x:c r="F450" t="str">
        <x:v>Government</x:v>
      </x:c>
      <x:c r="G450" t="n">
        <x:v>100</x:v>
      </x:c>
      <x:c r="H450" t="n">
        <x:v>100</x:v>
      </x:c>
      <x:c r="I450" t="str">
        <x:v>High-confidence fuzzy</x:v>
      </x:c>
      <x:c r="J450" t="n">
        <x:v>15</x:v>
      </x:c>
      <x:c r="K450" t="n">
        <x:v>15</x:v>
      </x:c>
      <x:c r="L450" t="n">
        <x:f>J450-K450</x:f>
        <x:v>0</x:v>
      </x:c>
      <x:c r="M450" s="20" t="n">
        <x:f>IFERROR(K450/J450,0)</x:f>
        <x:v>1</x:v>
      </x:c>
      <x:c r="N450" t="n">
        <x:v>15</x:v>
      </x:c>
      <x:c r="O450" t="n">
        <x:v>15</x:v>
      </x:c>
      <x:c r="P450" t="n">
        <x:f>N450-O450</x:f>
        <x:v>0</x:v>
      </x:c>
      <x:c r="Q450" t="n">
        <x:v>0</x:v>
      </x:c>
      <x:c r="R450" t="n">
        <x:v>0</x:v>
      </x:c>
      <x:c r="S450" t="n">
        <x:f>Q450-R450</x:f>
        <x:v>0</x:v>
      </x:c>
      <x:c r="T450" t="n">
        <x:v>15</x:v>
      </x:c>
      <x:c r="U450" t="n">
        <x:v>15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f>IF(AND(ISNUMBER(G450),I450&lt;&gt;"Excluded INI"),MAX(0,G450-J450),"")</x:f>
        <x:v>85</x:v>
      </x:c>
      <x:c r="AC450" t="n">
        <x:v>14032</x:v>
      </x:c>
      <x:c r="AD450" t="n">
        <x:v>15379</x:v>
      </x:c>
      <x:c r="AE450" t="n">
        <x:v>16470</x:v>
      </x:c>
      <x:c r="AF450" t="n">
        <x:v>16769</x:v>
      </x:c>
      <x:c r="AG450" t="n">
        <x:v>17340</x:v>
      </x:c>
      <x:c r="AH450" t="n">
        <x:v>17340</x:v>
      </x:c>
      <x:c r="AI450" t="n">
        <x:v>74160</x:v>
      </x:c>
      <x:c r="AJ450" t="n">
        <x:v>74764</x:v>
      </x:c>
      <x:c r="AK450" t="n">
        <x:v>102178</x:v>
      </x:c>
      <x:c r="AL450" t="n">
        <x:v>106129</x:v>
      </x:c>
      <x:c r="AM450" t="str">
        <x:v>Fully allotted in R1; R2 opportunity depends on upgrade/non-joining</x:v>
      </x:c>
    </x:row>
    <x:row r="451">
      <x:c r="A451" t="str">
        <x:v>Uttar Pradesh</x:v>
      </x:c>
      <x:c r="B451" t="str">
        <x:v>All India except Central University</x:v>
      </x:c>
      <x:c r="C451" t="str">
        <x:v>200286</x:v>
      </x:c>
      <x:c r="D451" t="str">
        <x:v>BRD Medical College, Gorakhpur, MAHARAJGANJ ROAD,GORAKHPUR</x:v>
      </x:c>
      <x:c r="E451" t="str">
        <x:v>UP/021/G/1</x:v>
      </x:c>
      <x:c r="F451" t="str">
        <x:v>Government</x:v>
      </x:c>
      <x:c r="G451" t="n">
        <x:v>150</x:v>
      </x:c>
      <x:c r="H451" t="n">
        <x:v>100</x:v>
      </x:c>
      <x:c r="I451" t="str">
        <x:v>High-confidence fuzzy</x:v>
      </x:c>
      <x:c r="J451" t="n">
        <x:v>22</x:v>
      </x:c>
      <x:c r="K451" t="n">
        <x:v>22</x:v>
      </x:c>
      <x:c r="L451" t="n">
        <x:f>J451-K451</x:f>
        <x:v>0</x:v>
      </x:c>
      <x:c r="M451" s="20" t="n">
        <x:f>IFERROR(K451/J451,0)</x:f>
        <x:v>1</x:v>
      </x:c>
      <x:c r="N451" t="n">
        <x:v>22</x:v>
      </x:c>
      <x:c r="O451" t="n">
        <x:v>22</x:v>
      </x:c>
      <x:c r="P451" t="n">
        <x:f>N451-O451</x:f>
        <x:v>0</x:v>
      </x:c>
      <x:c r="Q451" t="n">
        <x:v>0</x:v>
      </x:c>
      <x:c r="R451" t="n">
        <x:v>0</x:v>
      </x:c>
      <x:c r="S451" t="n">
        <x:f>Q451-R451</x:f>
        <x:v>0</x:v>
      </x:c>
      <x:c r="T451" t="n">
        <x:v>22</x:v>
      </x:c>
      <x:c r="U451" t="n">
        <x:v>22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f>IF(AND(ISNUMBER(G451),I451&lt;&gt;"Excluded INI"),MAX(0,G451-J451),"")</x:f>
        <x:v>128</x:v>
      </x:c>
      <x:c r="AC451" t="n">
        <x:v>5786</x:v>
      </x:c>
      <x:c r="AD451" t="n">
        <x:v>6026</x:v>
      </x:c>
      <x:c r="AE451" t="n">
        <x:v>6934</x:v>
      </x:c>
      <x:c r="AF451" t="n">
        <x:v>7388</x:v>
      </x:c>
      <x:c r="AG451" t="n">
        <x:v>8667</x:v>
      </x:c>
      <x:c r="AH451" t="n">
        <x:v>8737</x:v>
      </x:c>
      <x:c r="AI451" t="n">
        <x:v>42561</x:v>
      </x:c>
      <x:c r="AJ451" t="n">
        <x:v>44257</x:v>
      </x:c>
      <x:c r="AK451" t="n">
        <x:v>68082</x:v>
      </x:c>
      <x:c r="AL451" t="n">
        <x:v>68082</x:v>
      </x:c>
      <x:c r="AM451" t="str">
        <x:v>Fully allotted in R1; R2 opportunity depends on upgrade/non-joining</x:v>
      </x:c>
    </x:row>
    <x:row r="452">
      <x:c r="A452" t="str">
        <x:v>Uttar Pradesh</x:v>
      </x:c>
      <x:c r="B452" t="str">
        <x:v>All India except Central University</x:v>
      </x:c>
      <x:c r="C452" t="str">
        <x:v>902863</x:v>
      </x:c>
      <x:c r="D452" t="str">
        <x:v>Baba Kina Ram Autonomous State Medical College and Hospital Chandauli , Baba kinaram autonomous state Medical college , Naubatpur ,Chandauli</x:v>
      </x:c>
      <x:c r="E452" t="str">
        <x:v>UP/020/G/1</x:v>
      </x:c>
      <x:c r="F452" t="str">
        <x:v>Government</x:v>
      </x:c>
      <x:c r="G452" t="n">
        <x:v>100</x:v>
      </x:c>
      <x:c r="H452" t="n">
        <x:v>100</x:v>
      </x:c>
      <x:c r="I452" t="str">
        <x:v>High-confidence fuzzy</x:v>
      </x:c>
      <x:c r="J452" t="n">
        <x:v>15</x:v>
      </x:c>
      <x:c r="K452" t="n">
        <x:v>14</x:v>
      </x:c>
      <x:c r="L452" t="n">
        <x:f>J452-K452</x:f>
        <x:v>1</x:v>
      </x:c>
      <x:c r="M452" s="20" t="n">
        <x:f>IFERROR(K452/J452,0)</x:f>
        <x:v>0.9333333333333333</x:v>
      </x:c>
      <x:c r="N452" t="n">
        <x:v>15</x:v>
      </x:c>
      <x:c r="O452" t="n">
        <x:v>14</x:v>
      </x:c>
      <x:c r="P452" t="n">
        <x:f>N452-O452</x:f>
        <x:v>1</x:v>
      </x:c>
      <x:c r="Q452" t="n">
        <x:v>0</x:v>
      </x:c>
      <x:c r="R452" t="n">
        <x:v>0</x:v>
      </x:c>
      <x:c r="S452" t="n">
        <x:f>Q452-R452</x:f>
        <x:v>0</x:v>
      </x:c>
      <x:c r="T452" t="n">
        <x:v>15</x:v>
      </x:c>
      <x:c r="U452" t="n">
        <x:v>14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f>IF(AND(ISNUMBER(G452),I452&lt;&gt;"Excluded INI"),MAX(0,G452-J452),"")</x:f>
        <x:v>85</x:v>
      </x:c>
      <x:c r="AC452" t="n">
        <x:v>14490</x:v>
      </x:c>
      <x:c r="AD452" t="n">
        <x:v>16131</x:v>
      </x:c>
      <x:c r="AE452" t="n">
        <x:v>17460</x:v>
      </x:c>
      <x:c r="AF452" t="n">
        <x:v>18007</x:v>
      </x:c>
      <x:c r="AG452" t="n">
        <x:v>17105</x:v>
      </x:c>
      <x:c r="AH452" t="n">
        <x:v>17105</x:v>
      </x:c>
      <x:c r="AI452" t="n">
        <x:v>77993</x:v>
      </x:c>
      <x:c r="AJ452" t="n">
        <x:v>79308</x:v>
      </x:c>
      <x:c r="AK452" t="n">
        <x:v>108539</x:v>
      </x:c>
      <x:c r="AL452" t="n">
        <x:v>108539</x:v>
      </x:c>
      <x:c r="AM452" t="str">
        <x:v>R1 regular-central gap visible; verify in official R2 matrix</x:v>
      </x:c>
    </x:row>
    <x:row r="453">
      <x:c r="A453" t="str">
        <x:v>Uttar Pradesh</x:v>
      </x:c>
      <x:c r="B453" t="str">
        <x:v>All India except Central University</x:v>
      </x:c>
      <x:c r="C453" t="str">
        <x:v>200293</x:v>
      </x:c>
      <x:c r="D453" t="str">
        <x:v>Dr. Bhimrao Ramji Ambedkar, Government Medical College, Kannauj, U.P., Tirwa Road, Kannauj</x:v>
      </x:c>
      <x:c r="E453" t="str">
        <x:v>UP/036/G/1</x:v>
      </x:c>
      <x:c r="F453" t="str">
        <x:v>Government</x:v>
      </x:c>
      <x:c r="G453" t="n">
        <x:v>100</x:v>
      </x:c>
      <x:c r="H453" t="n">
        <x:v>91.7</x:v>
      </x:c>
      <x:c r="I453" t="str">
        <x:v>High-confidence fuzzy</x:v>
      </x:c>
      <x:c r="J453" t="n">
        <x:v>15</x:v>
      </x:c>
      <x:c r="K453" t="n">
        <x:v>15</x:v>
      </x:c>
      <x:c r="L453" t="n">
        <x:f>J453-K453</x:f>
        <x:v>0</x:v>
      </x:c>
      <x:c r="M453" s="20" t="n">
        <x:f>IFERROR(K453/J453,0)</x:f>
        <x:v>1</x:v>
      </x:c>
      <x:c r="N453" t="n">
        <x:v>15</x:v>
      </x:c>
      <x:c r="O453" t="n">
        <x:v>15</x:v>
      </x:c>
      <x:c r="P453" t="n">
        <x:f>N453-O453</x:f>
        <x:v>0</x:v>
      </x:c>
      <x:c r="Q453" t="n">
        <x:v>0</x:v>
      </x:c>
      <x:c r="R453" t="n">
        <x:v>0</x:v>
      </x:c>
      <x:c r="S453" t="n">
        <x:f>Q453-R453</x:f>
        <x:v>0</x:v>
      </x:c>
      <x:c r="T453" t="n">
        <x:v>15</x:v>
      </x:c>
      <x:c r="U453" t="n">
        <x:v>15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f>IF(AND(ISNUMBER(G453),I453&lt;&gt;"Excluded INI"),MAX(0,G453-J453),"")</x:f>
        <x:v>85</x:v>
      </x:c>
      <x:c r="AC453" t="n">
        <x:v>8205</x:v>
      </x:c>
      <x:c r="AD453" t="n">
        <x:v>9070</x:v>
      </x:c>
      <x:c r="AE453" t="n">
        <x:v>9190</x:v>
      </x:c>
      <x:c r="AF453" t="n">
        <x:v>10330</x:v>
      </x:c>
      <x:c r="AG453" t="n">
        <x:v>9351</x:v>
      </x:c>
      <x:c r="AH453" t="n">
        <x:v>9351</x:v>
      </x:c>
      <x:c r="AI453" t="n">
        <x:v>64225</x:v>
      </x:c>
      <x:c r="AJ453" t="n">
        <x:v>64228</x:v>
      </x:c>
      <x:c r="AK453" t="n">
        <x:v>75352</x:v>
      </x:c>
      <x:c r="AL453" t="n">
        <x:v>75352</x:v>
      </x:c>
      <x:c r="AM453" t="str">
        <x:v>Fully allotted in R1; R2 opportunity depends on upgrade/non-joining</x:v>
      </x:c>
    </x:row>
    <x:row r="454">
      <x:c r="A454" t="str">
        <x:v>Uttar Pradesh</x:v>
      </x:c>
      <x:c r="B454" t="str">
        <x:v>All India except Central University</x:v>
      </x:c>
      <x:c r="C454" t="str">
        <x:v>200287</x:v>
      </x:c>
      <x:c r="D454" t="str">
        <x:v>Dr. Ram Manohar Lohia Institute of Medical Sciences,Lucknow, Vibhuti Khand Gomti Nagar Lucknow</x:v>
      </x:c>
      <x:c r="E454" t="str">
        <x:v>UP/024/G/1</x:v>
      </x:c>
      <x:c r="F454" t="str">
        <x:v>Government</x:v>
      </x:c>
      <x:c r="G454" t="n">
        <x:v>200</x:v>
      </x:c>
      <x:c r="H454" t="n">
        <x:v>100</x:v>
      </x:c>
      <x:c r="I454" t="str">
        <x:v>High-confidence fuzzy</x:v>
      </x:c>
      <x:c r="J454" t="n">
        <x:v>30</x:v>
      </x:c>
      <x:c r="K454" t="n">
        <x:v>30</x:v>
      </x:c>
      <x:c r="L454" t="n">
        <x:f>J454-K454</x:f>
        <x:v>0</x:v>
      </x:c>
      <x:c r="M454" s="20" t="n">
        <x:f>IFERROR(K454/J454,0)</x:f>
        <x:v>1</x:v>
      </x:c>
      <x:c r="N454" t="n">
        <x:v>30</x:v>
      </x:c>
      <x:c r="O454" t="n">
        <x:v>30</x:v>
      </x:c>
      <x:c r="P454" t="n">
        <x:f>N454-O454</x:f>
        <x:v>0</x:v>
      </x:c>
      <x:c r="Q454" t="n">
        <x:v>0</x:v>
      </x:c>
      <x:c r="R454" t="n">
        <x:v>0</x:v>
      </x:c>
      <x:c r="S454" t="n">
        <x:f>Q454-R454</x:f>
        <x:v>0</x:v>
      </x:c>
      <x:c r="T454" t="n">
        <x:v>30</x:v>
      </x:c>
      <x:c r="U454" t="n">
        <x:v>30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f>IF(AND(ISNUMBER(G454),I454&lt;&gt;"Excluded INI"),MAX(0,G454-J454),"")</x:f>
        <x:v>170</x:v>
      </x:c>
      <x:c r="AC454" t="n">
        <x:v>2408</x:v>
      </x:c>
      <x:c r="AD454" t="n">
        <x:v>2673</x:v>
      </x:c>
      <x:c r="AE454" t="n">
        <x:v>3115</x:v>
      </x:c>
      <x:c r="AF454" t="n">
        <x:v>3362</x:v>
      </x:c>
      <x:c r="AG454" t="n">
        <x:v>3458</x:v>
      </x:c>
      <x:c r="AH454" t="n">
        <x:v>3588</x:v>
      </x:c>
      <x:c r="AI454" t="n">
        <x:v>24700</x:v>
      </x:c>
      <x:c r="AJ454" t="n">
        <x:v>28117</x:v>
      </x:c>
      <x:c r="AK454" t="n">
        <x:v>52819</x:v>
      </x:c>
      <x:c r="AL454" t="n">
        <x:v>53946</x:v>
      </x:c>
      <x:c r="AM454" t="str">
        <x:v>Fully allotted in R1; R2 opportunity depends on upgrade/non-joining</x:v>
      </x:c>
    </x:row>
    <x:row r="455">
      <x:c r="A455" t="str">
        <x:v>Uttar Pradesh</x:v>
      </x:c>
      <x:c r="B455" t="str">
        <x:v>All India except Central University</x:v>
      </x:c>
      <x:c r="C455" t="str">
        <x:v>904362</x:v>
      </x:c>
      <x:c r="D455" t="str">
        <x:v>ESIC MEDICAL COLLEGE AND HOSPITAL, NOIDA, A-3, Tulsi Marg, Sector-24, Noida</x:v>
      </x:c>
      <x:c r="E455" t="str">
        <x:v>UP/026/G/1</x:v>
      </x:c>
      <x:c r="F455" t="str">
        <x:v>Government</x:v>
      </x:c>
      <x:c r="G455" t="n">
        <x:v>50</x:v>
      </x:c>
      <x:c r="H455" t="n">
        <x:v>100</x:v>
      </x:c>
      <x:c r="I455" t="str">
        <x:v>High-confidence fuzzy</x:v>
      </x:c>
      <x:c r="J455" t="n">
        <x:v>32</x:v>
      </x:c>
      <x:c r="K455" t="n">
        <x:v>31</x:v>
      </x:c>
      <x:c r="L455" t="n">
        <x:f>J455-K455</x:f>
        <x:v>1</x:v>
      </x:c>
      <x:c r="M455" s="20" t="n">
        <x:f>IFERROR(K455/J455,0)</x:f>
        <x:v>0.96875</x:v>
      </x:c>
      <x:c r="N455" t="n">
        <x:v>32</x:v>
      </x:c>
      <x:c r="O455" t="n">
        <x:v>31</x:v>
      </x:c>
      <x:c r="P455" t="n">
        <x:f>N455-O455</x:f>
        <x:v>1</x:v>
      </x:c>
      <x:c r="Q455" t="n">
        <x:v>0</x:v>
      </x:c>
      <x:c r="R455" t="n">
        <x:v>0</x:v>
      </x:c>
      <x:c r="S455" t="n">
        <x:f>Q455-R455</x:f>
        <x:v>0</x:v>
      </x:c>
      <x:c r="T455" t="n">
        <x:v>7</x:v>
      </x:c>
      <x:c r="U455" t="n">
        <x:v>7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f>IF(AND(ISNUMBER(G455),I455&lt;&gt;"Excluded INI"),MAX(0,G455-J455),"")</x:f>
        <x:v>18</x:v>
      </x:c>
      <x:c r="AC455" t="n">
        <x:v>14603</x:v>
      </x:c>
      <x:c r="AD455" t="n">
        <x:v>19880</x:v>
      </x:c>
      <x:c r="AE455" t="n">
        <x:v>17827</x:v>
      </x:c>
      <x:c r="AF455" t="n">
        <x:v>21712</x:v>
      </x:c>
      <x:c r="AG455" t="n">
        <x:v>19078</x:v>
      </x:c>
      <x:c r="AH455" t="n">
        <x:v>25686</x:v>
      </x:c>
      <x:c r="AI455" t="n">
        <x:v>108636</x:v>
      </x:c>
      <x:c r="AJ455" t="n">
        <x:v>131306</x:v>
      </x:c>
      <x:c r="AK455" t="n">
        <x:v>189719</x:v>
      </x:c>
      <x:c r="AL455" t="n">
        <x:v>199473</x:v>
      </x:c>
      <x:c r="AM455" t="str">
        <x:v>R1 regular-central gap visible; verify in official R2 matrix</x:v>
      </x:c>
    </x:row>
    <x:row r="456">
      <x:c r="A456" t="str">
        <x:v>Uttar Pradesh</x:v>
      </x:c>
      <x:c r="B456" t="str">
        <x:v>All India except Central University</x:v>
      </x:c>
      <x:c r="C456" t="str">
        <x:v>904551</x:v>
      </x:c>
      <x:c r="D456" t="str">
        <x:v>ESIC Medical College and Hospital, VARANASI, ESIC MEDICAL COLLEGE AND HOSPITAL, PANDEYPUR,VARANASI U. P. 221002</x:v>
      </x:c>
      <x:c r="E456" t="str">
        <x:v>UP/027/G/1</x:v>
      </x:c>
      <x:c r="F456" t="str">
        <x:v>Government</x:v>
      </x:c>
      <x:c r="G456" t="n">
        <x:v>50</x:v>
      </x:c>
      <x:c r="H456" t="n">
        <x:v>100</x:v>
      </x:c>
      <x:c r="I456" t="str">
        <x:v>High-confidence fuzzy</x:v>
      </x:c>
      <x:c r="J456" t="n">
        <x:v>32</x:v>
      </x:c>
      <x:c r="K456" t="n">
        <x:v>32</x:v>
      </x:c>
      <x:c r="L456" t="n">
        <x:f>J456-K456</x:f>
        <x:v>0</x:v>
      </x:c>
      <x:c r="M456" s="20" t="n">
        <x:f>IFERROR(K456/J456,0)</x:f>
        <x:v>1</x:v>
      </x:c>
      <x:c r="N456" t="n">
        <x:v>32</x:v>
      </x:c>
      <x:c r="O456" t="n">
        <x:v>32</x:v>
      </x:c>
      <x:c r="P456" t="n">
        <x:f>N456-O456</x:f>
        <x:v>0</x:v>
      </x:c>
      <x:c r="Q456" t="n">
        <x:v>0</x:v>
      </x:c>
      <x:c r="R456" t="n">
        <x:v>0</x:v>
      </x:c>
      <x:c r="S456" t="n">
        <x:f>Q456-R456</x:f>
        <x:v>0</x:v>
      </x:c>
      <x:c r="T456" t="n">
        <x:v>7</x:v>
      </x:c>
      <x:c r="U456" t="n">
        <x:v>7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f>IF(AND(ISNUMBER(G456),I456&lt;&gt;"Excluded INI"),MAX(0,G456-J456),"")</x:f>
        <x:v>18</x:v>
      </x:c>
      <x:c r="AC456" t="n">
        <x:v>19901</x:v>
      </x:c>
      <x:c r="AD456" t="n">
        <x:v>27155</x:v>
      </x:c>
      <x:c r="AE456" t="n">
        <x:v>25947</x:v>
      </x:c>
      <x:c r="AF456" t="n">
        <x:v>32927</x:v>
      </x:c>
      <x:c r="AG456" t="n">
        <x:v>29673</x:v>
      </x:c>
      <x:c r="AH456" t="n">
        <x:v>30461</x:v>
      </x:c>
      <x:c r="AI456" t="n">
        <x:v>150841</x:v>
      </x:c>
      <x:c r="AJ456" t="n">
        <x:v>186227</x:v>
      </x:c>
      <x:c r="AK456" t="n">
        <x:v>207222</x:v>
      </x:c>
      <x:c r="AL456" t="n">
        <x:v>284661</x:v>
      </x:c>
      <x:c r="AM456" t="str">
        <x:v>Fully allotted in R1; R2 opportunity depends on upgrade/non-joining</x:v>
      </x:c>
    </x:row>
    <x:row r="457">
      <x:c r="A457" t="str">
        <x:v>Uttar Pradesh</x:v>
      </x:c>
      <x:c r="B457" t="str">
        <x:v>All India except Central University</x:v>
      </x:c>
      <x:c r="C457" t="str">
        <x:v>200289</x:v>
      </x:c>
      <x:c r="D457" t="str">
        <x:v>GSVM Medical College, Kanpur, G.S.V.M Medical College Kanpur Swaroop Nagar Kanpur U.P 208002</x:v>
      </x:c>
      <x:c r="E457" t="str">
        <x:v>UP/039/G/1</x:v>
      </x:c>
      <x:c r="F457" t="str">
        <x:v>Government</x:v>
      </x:c>
      <x:c r="G457" t="n">
        <x:v>250</x:v>
      </x:c>
      <x:c r="H457" t="n">
        <x:v>100</x:v>
      </x:c>
      <x:c r="I457" t="str">
        <x:v>High-confidence fuzzy</x:v>
      </x:c>
      <x:c r="J457" t="n">
        <x:v>37</x:v>
      </x:c>
      <x:c r="K457" t="n">
        <x:v>37</x:v>
      </x:c>
      <x:c r="L457" t="n">
        <x:f>J457-K457</x:f>
        <x:v>0</x:v>
      </x:c>
      <x:c r="M457" s="20" t="n">
        <x:f>IFERROR(K457/J457,0)</x:f>
        <x:v>1</x:v>
      </x:c>
      <x:c r="N457" t="n">
        <x:v>37</x:v>
      </x:c>
      <x:c r="O457" t="n">
        <x:v>37</x:v>
      </x:c>
      <x:c r="P457" t="n">
        <x:f>N457-O457</x:f>
        <x:v>0</x:v>
      </x:c>
      <x:c r="Q457" t="n">
        <x:v>0</x:v>
      </x:c>
      <x:c r="R457" t="n">
        <x:v>0</x:v>
      </x:c>
      <x:c r="S457" t="n">
        <x:f>Q457-R457</x:f>
        <x:v>0</x:v>
      </x:c>
      <x:c r="T457" t="n">
        <x:v>37</x:v>
      </x:c>
      <x:c r="U457" t="n">
        <x:v>37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f>IF(AND(ISNUMBER(G457),I457&lt;&gt;"Excluded INI"),MAX(0,G457-J457),"")</x:f>
        <x:v>213</x:v>
      </x:c>
      <x:c r="AC457" t="n">
        <x:v>3748</x:v>
      </x:c>
      <x:c r="AD457" t="n">
        <x:v>4422</x:v>
      </x:c>
      <x:c r="AE457" t="n">
        <x:v>5167</x:v>
      </x:c>
      <x:c r="AF457" t="n">
        <x:v>5522</x:v>
      </x:c>
      <x:c r="AG457" t="n">
        <x:v>4730</x:v>
      </x:c>
      <x:c r="AH457" t="n">
        <x:v>5066</x:v>
      </x:c>
      <x:c r="AI457" t="n">
        <x:v>38597</x:v>
      </x:c>
      <x:c r="AJ457" t="n">
        <x:v>39730</x:v>
      </x:c>
      <x:c r="AK457" t="n">
        <x:v>50676</x:v>
      </x:c>
      <x:c r="AL457" t="n">
        <x:v>55221</x:v>
      </x:c>
      <x:c r="AM457" t="str">
        <x:v>Fully allotted in R1; R2 opportunity depends on upgrade/non-joining</x:v>
      </x:c>
    </x:row>
    <x:row r="458">
      <x:c r="A458" t="str">
        <x:v>Uttar Pradesh</x:v>
      </x:c>
      <x:c r="B458" t="str">
        <x:v>All India except Central University</x:v>
      </x:c>
      <x:c r="C458" t="str">
        <x:v>200292</x:v>
      </x:c>
      <x:c r="D458" t="str">
        <x:v>Government Allopathic Medical College, Banda, UP, RANI DURGAVATI MEDICAL COLLEGE, NARAINI ROAD, BANDA-210001</x:v>
      </x:c>
      <x:c r="E458" t="str">
        <x:v>UP/030/G/1</x:v>
      </x:c>
      <x:c r="F458" t="str">
        <x:v>Government</x:v>
      </x:c>
      <x:c r="G458" t="n">
        <x:v>100</x:v>
      </x:c>
      <x:c r="H458" t="n">
        <x:v>100</x:v>
      </x:c>
      <x:c r="I458" t="str">
        <x:v>High-confidence fuzzy</x:v>
      </x:c>
      <x:c r="J458" t="n">
        <x:v>15</x:v>
      </x:c>
      <x:c r="K458" t="n">
        <x:v>15</x:v>
      </x:c>
      <x:c r="L458" t="n">
        <x:f>J458-K458</x:f>
        <x:v>0</x:v>
      </x:c>
      <x:c r="M458" s="20" t="n">
        <x:f>IFERROR(K458/J458,0)</x:f>
        <x:v>1</x:v>
      </x:c>
      <x:c r="N458" t="n">
        <x:v>15</x:v>
      </x:c>
      <x:c r="O458" t="n">
        <x:v>15</x:v>
      </x:c>
      <x:c r="P458" t="n">
        <x:f>N458-O458</x:f>
        <x:v>0</x:v>
      </x:c>
      <x:c r="Q458" t="n">
        <x:v>0</x:v>
      </x:c>
      <x:c r="R458" t="n">
        <x:v>0</x:v>
      </x:c>
      <x:c r="S458" t="n">
        <x:f>Q458-R458</x:f>
        <x:v>0</x:v>
      </x:c>
      <x:c r="T458" t="n">
        <x:v>15</x:v>
      </x:c>
      <x:c r="U458" t="n">
        <x:v>15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f>IF(AND(ISNUMBER(G458),I458&lt;&gt;"Excluded INI"),MAX(0,G458-J458),"")</x:f>
        <x:v>85</x:v>
      </x:c>
      <x:c r="AC458" t="n">
        <x:v>10997</x:v>
      </x:c>
      <x:c r="AD458" t="n">
        <x:v>11560</x:v>
      </x:c>
      <x:c r="AE458" t="n">
        <x:v>12161</x:v>
      </x:c>
      <x:c r="AF458" t="n">
        <x:v>12225</x:v>
      </x:c>
      <x:c r="AG458" t="n">
        <x:v>14202</x:v>
      </x:c>
      <x:c r="AH458" t="n">
        <x:v>14357</x:v>
      </x:c>
      <x:c r="AI458" t="n">
        <x:v>65676</x:v>
      </x:c>
      <x:c r="AJ458" t="n">
        <x:v>67074</x:v>
      </x:c>
      <x:c r="AK458" t="n">
        <x:v>95643</x:v>
      </x:c>
      <x:c r="AL458" t="n">
        <x:v>95643</x:v>
      </x:c>
      <x:c r="AM458" t="str">
        <x:v>Fully allotted in R1; R2 opportunity depends on upgrade/non-joining</x:v>
      </x:c>
    </x:row>
    <x:row r="459">
      <x:c r="A459" t="str">
        <x:v>Uttar Pradesh</x:v>
      </x:c>
      <x:c r="B459" t="str">
        <x:v>All India except Central University</x:v>
      </x:c>
      <x:c r="C459" t="str">
        <x:v>200486</x:v>
      </x:c>
      <x:c r="D459" t="str">
        <x:v>Government Institute of Medical Sciences, Kasna, Greater Noida, GOVERNMENT INSTITUTE OF MEDICAL SCIENCES GREATER NOIDA GAUTAM BUDH NAGAR UTTAR PRADESH</x:v>
      </x:c>
      <x:c r="E459" t="str">
        <x:v>UP/031/G/1</x:v>
      </x:c>
      <x:c r="F459" t="str">
        <x:v>Government</x:v>
      </x:c>
      <x:c r="G459" t="n">
        <x:v>100</x:v>
      </x:c>
      <x:c r="H459" t="n">
        <x:v>100</x:v>
      </x:c>
      <x:c r="I459" t="str">
        <x:v>High-confidence fuzzy</x:v>
      </x:c>
      <x:c r="J459" t="n">
        <x:v>15</x:v>
      </x:c>
      <x:c r="K459" t="n">
        <x:v>15</x:v>
      </x:c>
      <x:c r="L459" t="n">
        <x:f>J459-K459</x:f>
        <x:v>0</x:v>
      </x:c>
      <x:c r="M459" s="20" t="n">
        <x:f>IFERROR(K459/J459,0)</x:f>
        <x:v>1</x:v>
      </x:c>
      <x:c r="N459" t="n">
        <x:v>15</x:v>
      </x:c>
      <x:c r="O459" t="n">
        <x:v>15</x:v>
      </x:c>
      <x:c r="P459" t="n">
        <x:f>N459-O459</x:f>
        <x:v>0</x:v>
      </x:c>
      <x:c r="Q459" t="n">
        <x:v>0</x:v>
      </x:c>
      <x:c r="R459" t="n">
        <x:v>0</x:v>
      </x:c>
      <x:c r="S459" t="n">
        <x:f>Q459-R459</x:f>
        <x:v>0</x:v>
      </x:c>
      <x:c r="T459" t="n">
        <x:v>15</x:v>
      </x:c>
      <x:c r="U459" t="n">
        <x:v>15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f>IF(AND(ISNUMBER(G459),I459&lt;&gt;"Excluded INI"),MAX(0,G459-J459),"")</x:f>
        <x:v>85</x:v>
      </x:c>
      <x:c r="AC459" t="n">
        <x:v>4258</x:v>
      </x:c>
      <x:c r="AD459" t="n">
        <x:v>4601</x:v>
      </x:c>
      <x:c r="AE459" t="n">
        <x:v>5303</x:v>
      </x:c>
      <x:c r="AF459" t="n">
        <x:v>5592</x:v>
      </x:c>
      <x:c r="AG459" t="n">
        <x:v>5420</x:v>
      </x:c>
      <x:c r="AH459" t="n">
        <x:v>5420</x:v>
      </x:c>
      <x:c r="AI459" t="n">
        <x:v>30064</x:v>
      </x:c>
      <x:c r="AJ459" t="n">
        <x:v>31077</x:v>
      </x:c>
      <x:c r="AK459" t="n">
        <x:v>52810</x:v>
      </x:c>
      <x:c r="AL459" t="n">
        <x:v>52810</x:v>
      </x:c>
      <x:c r="AM459" t="str">
        <x:v>Fully allotted in R1; R2 opportunity depends on upgrade/non-joining</x:v>
      </x:c>
    </x:row>
    <x:row r="460">
      <x:c r="A460" t="str">
        <x:v>Uttar Pradesh</x:v>
      </x:c>
      <x:c r="B460" t="str">
        <x:v>All India except Central University</x:v>
      </x:c>
      <x:c r="C460" t="str">
        <x:v>200290</x:v>
      </x:c>
      <x:c r="D460" t="str">
        <x:v>Government Medical College &amp; Super facility Hospital, Azamgarh, Government Medical College and Super Facility Hospital Chakrapanpur Post Office-Kanaila, Azamgarh</x:v>
      </x:c>
      <x:c r="E460" t="str">
        <x:v>UP/032/G/1</x:v>
      </x:c>
      <x:c r="F460" t="str">
        <x:v>Government</x:v>
      </x:c>
      <x:c r="G460" t="n">
        <x:v>100</x:v>
      </x:c>
      <x:c r="H460" t="n">
        <x:v>100</x:v>
      </x:c>
      <x:c r="I460" t="str">
        <x:v>High-confidence fuzzy</x:v>
      </x:c>
      <x:c r="J460" t="n">
        <x:v>15</x:v>
      </x:c>
      <x:c r="K460" t="n">
        <x:v>15</x:v>
      </x:c>
      <x:c r="L460" t="n">
        <x:f>J460-K460</x:f>
        <x:v>0</x:v>
      </x:c>
      <x:c r="M460" s="20" t="n">
        <x:f>IFERROR(K460/J460,0)</x:f>
        <x:v>1</x:v>
      </x:c>
      <x:c r="N460" t="n">
        <x:v>15</x:v>
      </x:c>
      <x:c r="O460" t="n">
        <x:v>15</x:v>
      </x:c>
      <x:c r="P460" t="n">
        <x:f>N460-O460</x:f>
        <x:v>0</x:v>
      </x:c>
      <x:c r="Q460" t="n">
        <x:v>0</x:v>
      </x:c>
      <x:c r="R460" t="n">
        <x:v>0</x:v>
      </x:c>
      <x:c r="S460" t="n">
        <x:f>Q460-R460</x:f>
        <x:v>0</x:v>
      </x:c>
      <x:c r="T460" t="n">
        <x:v>15</x:v>
      </x:c>
      <x:c r="U460" t="n">
        <x:v>15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f>IF(AND(ISNUMBER(G460),I460&lt;&gt;"Excluded INI"),MAX(0,G460-J460),"")</x:f>
        <x:v>85</x:v>
      </x:c>
      <x:c r="AC460" t="n">
        <x:v>9074</x:v>
      </x:c>
      <x:c r="AD460" t="n">
        <x:v>9159</x:v>
      </x:c>
      <x:c r="AE460" t="n">
        <x:v>9982</x:v>
      </x:c>
      <x:c r="AF460" t="n">
        <x:v>10002</x:v>
      </x:c>
      <x:c r="AG460" t="n">
        <x:v>13130</x:v>
      </x:c>
      <x:c r="AH460" t="n">
        <x:v>13483</x:v>
      </x:c>
      <x:c r="AI460" t="n">
        <x:v>64982</x:v>
      </x:c>
      <x:c r="AJ460" t="n">
        <x:v>67169</x:v>
      </x:c>
      <x:c r="AK460" t="n">
        <x:v>70175</x:v>
      </x:c>
      <x:c r="AL460" t="n">
        <x:v>70175</x:v>
      </x:c>
      <x:c r="AM460" t="str">
        <x:v>Fully allotted in R1; R2 opportunity depends on upgrade/non-joining</x:v>
      </x:c>
    </x:row>
    <x:row r="461">
      <x:c r="A461" t="str">
        <x:v>Uttar Pradesh</x:v>
      </x:c>
      <x:c r="B461" t="str">
        <x:v>All India except Central University</x:v>
      </x:c>
      <x:c r="C461" t="str">
        <x:v>200493</x:v>
      </x:c>
      <x:c r="D461" t="str">
        <x:v>Government Medical College, Badaun, U.P., Gunera Wazidpur Ujhani Road Badaun U.P. 243601</x:v>
      </x:c>
      <x:c r="E461" t="str">
        <x:v>UP/033/G/1</x:v>
      </x:c>
      <x:c r="F461" t="str">
        <x:v>Government</x:v>
      </x:c>
      <x:c r="G461" t="n">
        <x:v>100</x:v>
      </x:c>
      <x:c r="H461" t="n">
        <x:v>100</x:v>
      </x:c>
      <x:c r="I461" t="str">
        <x:v>High-confidence fuzzy</x:v>
      </x:c>
      <x:c r="J461" t="n">
        <x:v>15</x:v>
      </x:c>
      <x:c r="K461" t="n">
        <x:v>15</x:v>
      </x:c>
      <x:c r="L461" t="n">
        <x:f>J461-K461</x:f>
        <x:v>0</x:v>
      </x:c>
      <x:c r="M461" s="20" t="n">
        <x:f>IFERROR(K461/J461,0)</x:f>
        <x:v>1</x:v>
      </x:c>
      <x:c r="N461" t="n">
        <x:v>15</x:v>
      </x:c>
      <x:c r="O461" t="n">
        <x:v>15</x:v>
      </x:c>
      <x:c r="P461" t="n">
        <x:f>N461-O461</x:f>
        <x:v>0</x:v>
      </x:c>
      <x:c r="Q461" t="n">
        <x:v>0</x:v>
      </x:c>
      <x:c r="R461" t="n">
        <x:v>0</x:v>
      </x:c>
      <x:c r="S461" t="n">
        <x:f>Q461-R461</x:f>
        <x:v>0</x:v>
      </x:c>
      <x:c r="T461" t="n">
        <x:v>15</x:v>
      </x:c>
      <x:c r="U461" t="n">
        <x:v>15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f>IF(AND(ISNUMBER(G461),I461&lt;&gt;"Excluded INI"),MAX(0,G461-J461),"")</x:f>
        <x:v>85</x:v>
      </x:c>
      <x:c r="AC461" t="n">
        <x:v>10040</x:v>
      </x:c>
      <x:c r="AD461" t="n">
        <x:v>11135</x:v>
      </x:c>
      <x:c r="AE461" t="n">
        <x:v>12310</x:v>
      </x:c>
      <x:c r="AF461" t="n">
        <x:v>12934</x:v>
      </x:c>
      <x:c r="AG461" t="n">
        <x:v>12904</x:v>
      </x:c>
      <x:c r="AH461" t="n">
        <x:v>13832</x:v>
      </x:c>
      <x:c r="AI461" t="n">
        <x:v>62347</x:v>
      </x:c>
      <x:c r="AJ461" t="n">
        <x:v>62852</x:v>
      </x:c>
      <x:c r="AK461" t="n">
        <x:v>97262</x:v>
      </x:c>
      <x:c r="AL461" t="n">
        <x:v>97262</x:v>
      </x:c>
      <x:c r="AM461" t="str">
        <x:v>Fully allotted in R1; R2 opportunity depends on upgrade/non-joining</x:v>
      </x:c>
    </x:row>
    <x:row r="462">
      <x:c r="A462" t="str">
        <x:v>Uttar Pradesh</x:v>
      </x:c>
      <x:c r="B462" t="str">
        <x:v>All India except Central University</x:v>
      </x:c>
      <x:c r="C462" t="str">
        <x:v>200489</x:v>
      </x:c>
      <x:c r="D462" t="str">
        <x:v>Government Medical College, Faizabad, GANJA PARGANA- HAVELI AWADH, TAHSIL- SADAR AYODHYA (FAIZABAD)</x:v>
      </x:c>
      <x:c r="E462" t="str">
        <x:v>UP/034/G/1</x:v>
      </x:c>
      <x:c r="F462" t="str">
        <x:v>Government</x:v>
      </x:c>
      <x:c r="G462" t="n">
        <x:v>100</x:v>
      </x:c>
      <x:c r="H462" t="n">
        <x:v>100</x:v>
      </x:c>
      <x:c r="I462" t="str">
        <x:v>High-confidence fuzzy</x:v>
      </x:c>
      <x:c r="J462" t="n">
        <x:v>15</x:v>
      </x:c>
      <x:c r="K462" t="n">
        <x:v>15</x:v>
      </x:c>
      <x:c r="L462" t="n">
        <x:f>J462-K462</x:f>
        <x:v>0</x:v>
      </x:c>
      <x:c r="M462" s="20" t="n">
        <x:f>IFERROR(K462/J462,0)</x:f>
        <x:v>1</x:v>
      </x:c>
      <x:c r="N462" t="n">
        <x:v>15</x:v>
      </x:c>
      <x:c r="O462" t="n">
        <x:v>15</x:v>
      </x:c>
      <x:c r="P462" t="n">
        <x:f>N462-O462</x:f>
        <x:v>0</x:v>
      </x:c>
      <x:c r="Q462" t="n">
        <x:v>0</x:v>
      </x:c>
      <x:c r="R462" t="n">
        <x:v>0</x:v>
      </x:c>
      <x:c r="S462" t="n">
        <x:f>Q462-R462</x:f>
        <x:v>0</x:v>
      </x:c>
      <x:c r="T462" t="n">
        <x:v>15</x:v>
      </x:c>
      <x:c r="U462" t="n">
        <x:v>15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f>IF(AND(ISNUMBER(G462),I462&lt;&gt;"Excluded INI"),MAX(0,G462-J462),"")</x:f>
        <x:v>85</x:v>
      </x:c>
      <x:c r="AC462" t="n">
        <x:v>10269</x:v>
      </x:c>
      <x:c r="AD462" t="n">
        <x:v>10487</x:v>
      </x:c>
      <x:c r="AE462" t="n">
        <x:v>11204</x:v>
      </x:c>
      <x:c r="AF462" t="n">
        <x:v>11904</x:v>
      </x:c>
      <x:c r="AG462" t="n">
        <x:v>13429</x:v>
      </x:c>
      <x:c r="AH462" t="n">
        <x:v>13429</x:v>
      </x:c>
      <x:c r="AI462" t="n">
        <x:v>65930</x:v>
      </x:c>
      <x:c r="AJ462" t="n">
        <x:v>68931</x:v>
      </x:c>
      <x:c r="AK462" t="n">
        <x:v>76589</x:v>
      </x:c>
      <x:c r="AL462" t="n">
        <x:v>76589</x:v>
      </x:c>
      <x:c r="AM462" t="str">
        <x:v>Fully allotted in R1; R2 opportunity depends on upgrade/non-joining</x:v>
      </x:c>
    </x:row>
    <x:row r="463">
      <x:c r="A463" t="str">
        <x:v>Uttar Pradesh</x:v>
      </x:c>
      <x:c r="B463" t="str">
        <x:v>All India except Central University</x:v>
      </x:c>
      <x:c r="C463" t="str">
        <x:v>200473</x:v>
      </x:c>
      <x:c r="D463" t="str">
        <x:v>Government Medical College, Firozabad, DAULATTAPUR JALESHAR ROAD NARKHI FIROZABAD</x:v>
      </x:c>
      <x:c r="E463" t="str">
        <x:v>UP/035/G/1</x:v>
      </x:c>
      <x:c r="F463" t="str">
        <x:v>Government</x:v>
      </x:c>
      <x:c r="G463" t="n">
        <x:v>100</x:v>
      </x:c>
      <x:c r="H463" t="n">
        <x:v>100</x:v>
      </x:c>
      <x:c r="I463" t="str">
        <x:v>High-confidence fuzzy</x:v>
      </x:c>
      <x:c r="J463" t="n">
        <x:v>15</x:v>
      </x:c>
      <x:c r="K463" t="n">
        <x:v>15</x:v>
      </x:c>
      <x:c r="L463" t="n">
        <x:f>J463-K463</x:f>
        <x:v>0</x:v>
      </x:c>
      <x:c r="M463" s="20" t="n">
        <x:f>IFERROR(K463/J463,0)</x:f>
        <x:v>1</x:v>
      </x:c>
      <x:c r="N463" t="n">
        <x:v>15</x:v>
      </x:c>
      <x:c r="O463" t="n">
        <x:v>15</x:v>
      </x:c>
      <x:c r="P463" t="n">
        <x:f>N463-O463</x:f>
        <x:v>0</x:v>
      </x:c>
      <x:c r="Q463" t="n">
        <x:v>0</x:v>
      </x:c>
      <x:c r="R463" t="n">
        <x:v>0</x:v>
      </x:c>
      <x:c r="S463" t="n">
        <x:f>Q463-R463</x:f>
        <x:v>0</x:v>
      </x:c>
      <x:c r="T463" t="n">
        <x:v>15</x:v>
      </x:c>
      <x:c r="U463" t="n">
        <x:v>15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f>IF(AND(ISNUMBER(G463),I463&lt;&gt;"Excluded INI"),MAX(0,G463-J463),"")</x:f>
        <x:v>85</x:v>
      </x:c>
      <x:c r="AC463" t="n">
        <x:v>11272</x:v>
      </x:c>
      <x:c r="AD463" t="n">
        <x:v>11443</x:v>
      </x:c>
      <x:c r="AE463" t="n">
        <x:v>12022</x:v>
      </x:c>
      <x:c r="AF463" t="n">
        <x:v>12505</x:v>
      </x:c>
      <x:c r="AG463" t="n">
        <x:v>13352</x:v>
      </x:c>
      <x:c r="AH463" t="n">
        <x:v>13352</x:v>
      </x:c>
      <x:c r="AI463" t="n">
        <x:v>57374</x:v>
      </x:c>
      <x:c r="AJ463" t="n">
        <x:v>61895</x:v>
      </x:c>
      <x:c r="AK463" t="n">
        <x:v>66841</x:v>
      </x:c>
      <x:c r="AL463" t="n">
        <x:v>66841</x:v>
      </x:c>
      <x:c r="AM463" t="str">
        <x:v>Fully allotted in R1; R2 opportunity depends on upgrade/non-joining</x:v>
      </x:c>
    </x:row>
    <x:row r="464">
      <x:c r="A464" t="str">
        <x:v>Uttar Pradesh</x:v>
      </x:c>
      <x:c r="B464" t="str">
        <x:v>All India except Central University</x:v>
      </x:c>
      <x:c r="C464" t="str">
        <x:v>200490</x:v>
      </x:c>
      <x:c r="D464" t="str">
        <x:v>Government Medical College, Rampur, Basti, RAMPUR TAHSIL SADAR BASTI BASTI</x:v>
      </x:c>
      <x:c r="E464" t="str">
        <x:v>UP/037/G/1</x:v>
      </x:c>
      <x:c r="F464" t="str">
        <x:v>Government</x:v>
      </x:c>
      <x:c r="G464" t="n">
        <x:v>100</x:v>
      </x:c>
      <x:c r="H464" t="n">
        <x:v>100</x:v>
      </x:c>
      <x:c r="I464" t="str">
        <x:v>High-confidence fuzzy</x:v>
      </x:c>
      <x:c r="J464" t="n">
        <x:v>15</x:v>
      </x:c>
      <x:c r="K464" t="n">
        <x:v>15</x:v>
      </x:c>
      <x:c r="L464" t="n">
        <x:f>J464-K464</x:f>
        <x:v>0</x:v>
      </x:c>
      <x:c r="M464" s="20" t="n">
        <x:f>IFERROR(K464/J464,0)</x:f>
        <x:v>1</x:v>
      </x:c>
      <x:c r="N464" t="n">
        <x:v>15</x:v>
      </x:c>
      <x:c r="O464" t="n">
        <x:v>15</x:v>
      </x:c>
      <x:c r="P464" t="n">
        <x:f>N464-O464</x:f>
        <x:v>0</x:v>
      </x:c>
      <x:c r="Q464" t="n">
        <x:v>0</x:v>
      </x:c>
      <x:c r="R464" t="n">
        <x:v>0</x:v>
      </x:c>
      <x:c r="S464" t="n">
        <x:f>Q464-R464</x:f>
        <x:v>0</x:v>
      </x:c>
      <x:c r="T464" t="n">
        <x:v>15</x:v>
      </x:c>
      <x:c r="U464" t="n">
        <x:v>15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f>IF(AND(ISNUMBER(G464),I464&lt;&gt;"Excluded INI"),MAX(0,G464-J464),"")</x:f>
        <x:v>85</x:v>
      </x:c>
      <x:c r="AC464" t="n">
        <x:v>12198</x:v>
      </x:c>
      <x:c r="AD464" t="n">
        <x:v>12713</x:v>
      </x:c>
      <x:c r="AE464" t="n">
        <x:v>13410</x:v>
      </x:c>
      <x:c r="AF464" t="n">
        <x:v>13577</x:v>
      </x:c>
      <x:c r="AG464" t="n">
        <x:v>15867</x:v>
      </x:c>
      <x:c r="AH464" t="n">
        <x:v>15932</x:v>
      </x:c>
      <x:c r="AI464" t="n">
        <x:v>68235</x:v>
      </x:c>
      <x:c r="AJ464" t="n">
        <x:v>69860</x:v>
      </x:c>
      <x:c r="AK464" t="n">
        <x:v>77305</x:v>
      </x:c>
      <x:c r="AL464" t="n">
        <x:v>77305</x:v>
      </x:c>
      <x:c r="AM464" t="str">
        <x:v>Fully allotted in R1; R2 opportunity depends on upgrade/non-joining</x:v>
      </x:c>
    </x:row>
    <x:row r="465">
      <x:c r="A465" t="str">
        <x:v>Uttar Pradesh</x:v>
      </x:c>
      <x:c r="B465" t="str">
        <x:v>All India except Central University</x:v>
      </x:c>
      <x:c r="C465" t="str">
        <x:v>200491</x:v>
      </x:c>
      <x:c r="D465" t="str">
        <x:v>Government Medical College, Shahjahanpur, UP, AUTONOMOUS STATE MEDICAL COLLEGE ALLIED PANDIT RAM PRASAD BISMIL HOSPITAL SHAHJAHANPUR UTTAR PRADESH</x:v>
      </x:c>
      <x:c r="E465" t="str">
        <x:v>UP/038/G/1</x:v>
      </x:c>
      <x:c r="F465" t="str">
        <x:v>Government</x:v>
      </x:c>
      <x:c r="G465" t="n">
        <x:v>100</x:v>
      </x:c>
      <x:c r="H465" t="n">
        <x:v>100</x:v>
      </x:c>
      <x:c r="I465" t="str">
        <x:v>High-confidence fuzzy</x:v>
      </x:c>
      <x:c r="J465" t="n">
        <x:v>15</x:v>
      </x:c>
      <x:c r="K465" t="n">
        <x:v>15</x:v>
      </x:c>
      <x:c r="L465" t="n">
        <x:f>J465-K465</x:f>
        <x:v>0</x:v>
      </x:c>
      <x:c r="M465" s="20" t="n">
        <x:f>IFERROR(K465/J465,0)</x:f>
        <x:v>1</x:v>
      </x:c>
      <x:c r="N465" t="n">
        <x:v>15</x:v>
      </x:c>
      <x:c r="O465" t="n">
        <x:v>15</x:v>
      </x:c>
      <x:c r="P465" t="n">
        <x:f>N465-O465</x:f>
        <x:v>0</x:v>
      </x:c>
      <x:c r="Q465" t="n">
        <x:v>0</x:v>
      </x:c>
      <x:c r="R465" t="n">
        <x:v>0</x:v>
      </x:c>
      <x:c r="S465" t="n">
        <x:f>Q465-R465</x:f>
        <x:v>0</x:v>
      </x:c>
      <x:c r="T465" t="n">
        <x:v>15</x:v>
      </x:c>
      <x:c r="U465" t="n">
        <x:v>15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f>IF(AND(ISNUMBER(G465),I465&lt;&gt;"Excluded INI"),MAX(0,G465-J465),"")</x:f>
        <x:v>85</x:v>
      </x:c>
      <x:c r="AC465" t="n">
        <x:v>11794</x:v>
      </x:c>
      <x:c r="AD465" t="n">
        <x:v>11928</x:v>
      </x:c>
      <x:c r="AE465" t="n">
        <x:v>12768</x:v>
      </x:c>
      <x:c r="AF465" t="n">
        <x:v>13188</x:v>
      </x:c>
      <x:c r="AG465" t="n">
        <x:v>14135</x:v>
      </x:c>
      <x:c r="AH465" t="n">
        <x:v>14975</x:v>
      </x:c>
      <x:c r="AI465" t="n">
        <x:v>67449</x:v>
      </x:c>
      <x:c r="AJ465" t="n">
        <x:v>71850</x:v>
      </x:c>
      <x:c r="AK465" t="n">
        <x:v>98184</x:v>
      </x:c>
      <x:c r="AL465" t="n">
        <x:v>98287</x:v>
      </x:c>
      <x:c r="AM465" t="str">
        <x:v>Fully allotted in R1; R2 opportunity depends on upgrade/non-joining</x:v>
      </x:c>
    </x:row>
    <x:row r="466">
      <x:c r="A466" t="str">
        <x:v>Uttar Pradesh</x:v>
      </x:c>
      <x:c r="B466" t="str">
        <x:v>Central University</x:v>
      </x:c>
      <x:c r="C466" t="str">
        <x:v>200405</x:v>
      </x:c>
      <x:c r="D466" t="str">
        <x:v>Institute of Medical Sciences, BHU, Varansi, Institute of Medical Sciences, Banaras Hindu University</x:v>
      </x:c>
      <x:c r="E466" t="str">
        <x:v>UP/043/G/1</x:v>
      </x:c>
      <x:c r="F466" t="str">
        <x:v>Government</x:v>
      </x:c>
      <x:c r="G466" t="n">
        <x:v>100</x:v>
      </x:c>
      <x:c r="H466" t="n">
        <x:v>100</x:v>
      </x:c>
      <x:c r="I466" t="str">
        <x:v>High-confidence fuzzy</x:v>
      </x:c>
      <x:c r="J466" t="n">
        <x:v>100</x:v>
      </x:c>
      <x:c r="K466" t="n">
        <x:v>100</x:v>
      </x:c>
      <x:c r="L466" t="n">
        <x:f>J466-K466</x:f>
        <x:v>0</x:v>
      </x:c>
      <x:c r="M466" s="20" t="n">
        <x:f>IFERROR(K466/J466,0)</x:f>
        <x:v>1</x:v>
      </x:c>
      <x:c r="N466" t="n">
        <x:v>100</x:v>
      </x:c>
      <x:c r="O466" t="n">
        <x:v>100</x:v>
      </x:c>
      <x:c r="P466" t="n">
        <x:f>N466-O466</x:f>
        <x:v>0</x:v>
      </x:c>
      <x:c r="Q466" t="n">
        <x:v>0</x:v>
      </x:c>
      <x:c r="R466" t="n">
        <x:v>0</x:v>
      </x:c>
      <x:c r="S466" t="n">
        <x:f>Q466-R466</x:f>
        <x:v>0</x:v>
      </x:c>
      <x:c r="T466" t="n">
        <x:v>0</x:v>
      </x:c>
      <x:c r="U466" t="n">
        <x:v>0</x:v>
      </x:c>
      <x:c r="V466" t="n">
        <x:v>100</x:v>
      </x:c>
      <x:c r="W466" t="n">
        <x:v>100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f>IF(AND(ISNUMBER(G466),I466&lt;&gt;"Excluded INI"),MAX(0,G466-J466),"")</x:f>
        <x:v>0</x:v>
      </x:c>
      <x:c r="AC466" t="n">
        <x:v>845</x:v>
      </x:c>
      <x:c r="AD466" t="n">
        <x:v>1043</x:v>
      </x:c>
      <x:c r="AE466" t="n">
        <x:v>1467</x:v>
      </x:c>
      <x:c r="AF466" t="n">
        <x:v>1620</x:v>
      </x:c>
      <x:c r="AG466" t="n">
        <x:v>1616</x:v>
      </x:c>
      <x:c r="AH466" t="n">
        <x:v>2017</x:v>
      </x:c>
      <x:c r="AI466" t="n">
        <x:v>11626</x:v>
      </x:c>
      <x:c r="AJ466" t="n">
        <x:v>14522</x:v>
      </x:c>
      <x:c r="AK466" t="n">
        <x:v>17122</x:v>
      </x:c>
      <x:c r="AL466" t="n">
        <x:v>21083</x:v>
      </x:c>
      <x:c r="AM466" t="str">
        <x:v>Fully allotted in R1; R2 opportunity depends on upgrade/non-joining</x:v>
      </x:c>
    </x:row>
    <x:row r="467">
      <x:c r="A467" t="str">
        <x:v>Uttar Pradesh</x:v>
      </x:c>
      <x:c r="B467" t="str">
        <x:v>Central University</x:v>
      </x:c>
      <x:c r="C467" t="str">
        <x:v>200406</x:v>
      </x:c>
      <x:c r="D467" t="str">
        <x:v>Jawaharlal Nehru Medical College, Aligarh, ALIGARH MUSLIM UNIVERSITY, ALIGARH</x:v>
      </x:c>
      <x:c r="E467" t="str">
        <x:v>UP/045/G/1</x:v>
      </x:c>
      <x:c r="F467" t="str">
        <x:v>Government</x:v>
      </x:c>
      <x:c r="G467" t="n">
        <x:v>150</x:v>
      </x:c>
      <x:c r="H467" t="n">
        <x:v>100</x:v>
      </x:c>
      <x:c r="I467" t="str">
        <x:v>High-confidence fuzzy</x:v>
      </x:c>
      <x:c r="J467" t="n">
        <x:v>150</x:v>
      </x:c>
      <x:c r="K467" t="n">
        <x:v>150</x:v>
      </x:c>
      <x:c r="L467" t="n">
        <x:f>J467-K467</x:f>
        <x:v>0</x:v>
      </x:c>
      <x:c r="M467" s="20" t="n">
        <x:f>IFERROR(K467/J467,0)</x:f>
        <x:v>1</x:v>
      </x:c>
      <x:c r="N467" t="n">
        <x:v>145</x:v>
      </x:c>
      <x:c r="O467" t="n">
        <x:v>145</x:v>
      </x:c>
      <x:c r="P467" t="n">
        <x:f>N467-O467</x:f>
        <x:v>0</x:v>
      </x:c>
      <x:c r="Q467" t="n">
        <x:v>5</x:v>
      </x:c>
      <x:c r="R467" t="n">
        <x:v>5</x:v>
      </x:c>
      <x:c r="S467" t="n">
        <x:f>Q467-R467</x:f>
        <x:v>0</x:v>
      </x:c>
      <x:c r="T467" t="n">
        <x:v>0</x:v>
      </x:c>
      <x:c r="U467" t="n">
        <x:v>0</x:v>
      </x:c>
      <x:c r="V467" t="n">
        <x:v>72</x:v>
      </x:c>
      <x:c r="W467" t="n">
        <x:v>72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f>IF(AND(ISNUMBER(G467),I467&lt;&gt;"Excluded INI"),MAX(0,G467-J467),"")</x:f>
        <x:v>0</x:v>
      </x:c>
      <x:c r="AC467" t="n">
        <x:v>10489</x:v>
      </x:c>
      <x:c r="AD467" t="n">
        <x:v>110281</x:v>
      </x:c>
      <x:c r="AE467"/>
      <x:c r="AF467"/>
      <x:c r="AG467"/>
      <x:c r="AH467"/>
      <x:c r="AI467"/>
      <x:c r="AJ467"/>
      <x:c r="AK467"/>
      <x:c r="AL467"/>
      <x:c r="AM467" t="str">
        <x:v>Fully allotted in R1; R2 opportunity depends on upgrade/non-joining</x:v>
      </x:c>
    </x:row>
    <x:row r="468">
      <x:c r="A468" t="str">
        <x:v>Uttar Pradesh</x:v>
      </x:c>
      <x:c r="B468" t="str">
        <x:v>All India except Central University</x:v>
      </x:c>
      <x:c r="C468" t="str">
        <x:v>902815</x:v>
      </x:c>
      <x:c r="D468" t="str">
        <x:v>Kalyan Singh Government Medical College, 339, CHANDPUR ROAD, NEAR SADAR TEHSIL, BULANDSHAHR</x:v>
      </x:c>
      <x:c r="E468" t="str">
        <x:v>UP/047/G/5</x:v>
      </x:c>
      <x:c r="F468" t="str">
        <x:v>Government</x:v>
      </x:c>
      <x:c r="G468" t="n">
        <x:v>100</x:v>
      </x:c>
      <x:c r="H468" t="n">
        <x:v>100</x:v>
      </x:c>
      <x:c r="I468" t="str">
        <x:v>High-confidence fuzzy</x:v>
      </x:c>
      <x:c r="J468" t="n">
        <x:v>15</x:v>
      </x:c>
      <x:c r="K468" t="n">
        <x:v>14</x:v>
      </x:c>
      <x:c r="L468" t="n">
        <x:f>J468-K468</x:f>
        <x:v>1</x:v>
      </x:c>
      <x:c r="M468" s="20" t="n">
        <x:f>IFERROR(K468/J468,0)</x:f>
        <x:v>0.9333333333333333</x:v>
      </x:c>
      <x:c r="N468" t="n">
        <x:v>15</x:v>
      </x:c>
      <x:c r="O468" t="n">
        <x:v>14</x:v>
      </x:c>
      <x:c r="P468" t="n">
        <x:f>N468-O468</x:f>
        <x:v>1</x:v>
      </x:c>
      <x:c r="Q468" t="n">
        <x:v>0</x:v>
      </x:c>
      <x:c r="R468" t="n">
        <x:v>0</x:v>
      </x:c>
      <x:c r="S468" t="n">
        <x:f>Q468-R468</x:f>
        <x:v>0</x:v>
      </x:c>
      <x:c r="T468" t="n">
        <x:v>15</x:v>
      </x:c>
      <x:c r="U468" t="n">
        <x:v>14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f>IF(AND(ISNUMBER(G468),I468&lt;&gt;"Excluded INI"),MAX(0,G468-J468),"")</x:f>
        <x:v>85</x:v>
      </x:c>
      <x:c r="AC468" t="n">
        <x:v>9494</x:v>
      </x:c>
      <x:c r="AD468" t="n">
        <x:v>9794</x:v>
      </x:c>
      <x:c r="AE468" t="n">
        <x:v>10424</x:v>
      </x:c>
      <x:c r="AF468" t="n">
        <x:v>10988</x:v>
      </x:c>
      <x:c r="AG468" t="n">
        <x:v>14013</x:v>
      </x:c>
      <x:c r="AH468" t="n">
        <x:v>14013</x:v>
      </x:c>
      <x:c r="AI468" t="n">
        <x:v>67784</x:v>
      </x:c>
      <x:c r="AJ468" t="n">
        <x:v>67784</x:v>
      </x:c>
      <x:c r="AK468" t="n">
        <x:v>82640</x:v>
      </x:c>
      <x:c r="AL468" t="n">
        <x:v>82640</x:v>
      </x:c>
      <x:c r="AM468" t="str">
        <x:v>R1 regular-central gap visible; verify in official R2 matrix</x:v>
      </x:c>
    </x:row>
    <x:row r="469">
      <x:c r="A469" t="str">
        <x:v>Uttar Pradesh</x:v>
      </x:c>
      <x:c r="B469" t="str">
        <x:v>All India except Central University</x:v>
      </x:c>
      <x:c r="C469" t="str">
        <x:v>200296</x:v>
      </x:c>
      <x:c r="D469" t="str">
        <x:v>King George Medical University, Lucknow, SHAHMINA ROAD, CHOWK, LUCKNOW, Uttar Pradesh, 226003</x:v>
      </x:c>
      <x:c r="E469" t="str">
        <x:v>UP/048/G/1</x:v>
      </x:c>
      <x:c r="F469" t="str">
        <x:v>Government</x:v>
      </x:c>
      <x:c r="G469" t="n">
        <x:v>250</x:v>
      </x:c>
      <x:c r="H469" t="n">
        <x:v>100</x:v>
      </x:c>
      <x:c r="I469" t="str">
        <x:v>High-confidence fuzzy</x:v>
      </x:c>
      <x:c r="J469" t="n">
        <x:v>37</x:v>
      </x:c>
      <x:c r="K469" t="n">
        <x:v>37</x:v>
      </x:c>
      <x:c r="L469" t="n">
        <x:f>J469-K469</x:f>
        <x:v>0</x:v>
      </x:c>
      <x:c r="M469" s="20" t="n">
        <x:f>IFERROR(K469/J469,0)</x:f>
        <x:v>1</x:v>
      </x:c>
      <x:c r="N469" t="n">
        <x:v>37</x:v>
      </x:c>
      <x:c r="O469" t="n">
        <x:v>37</x:v>
      </x:c>
      <x:c r="P469" t="n">
        <x:f>N469-O469</x:f>
        <x:v>0</x:v>
      </x:c>
      <x:c r="Q469" t="n">
        <x:v>0</x:v>
      </x:c>
      <x:c r="R469" t="n">
        <x:v>0</x:v>
      </x:c>
      <x:c r="S469" t="n">
        <x:f>Q469-R469</x:f>
        <x:v>0</x:v>
      </x:c>
      <x:c r="T469" t="n">
        <x:v>37</x:v>
      </x:c>
      <x:c r="U469" t="n">
        <x:v>37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f>IF(AND(ISNUMBER(G469),I469&lt;&gt;"Excluded INI"),MAX(0,G469-J469),"")</x:f>
        <x:v>213</x:v>
      </x:c>
      <x:c r="AC469" t="n">
        <x:v>1194</x:v>
      </x:c>
      <x:c r="AD469" t="n">
        <x:v>1349</x:v>
      </x:c>
      <x:c r="AE469" t="n">
        <x:v>1955</x:v>
      </x:c>
      <x:c r="AF469" t="n">
        <x:v>2087</x:v>
      </x:c>
      <x:c r="AG469" t="n">
        <x:v>2448</x:v>
      </x:c>
      <x:c r="AH469" t="n">
        <x:v>2507</x:v>
      </x:c>
      <x:c r="AI469" t="n">
        <x:v>16102</x:v>
      </x:c>
      <x:c r="AJ469" t="n">
        <x:v>17539</x:v>
      </x:c>
      <x:c r="AK469" t="n">
        <x:v>19692</x:v>
      </x:c>
      <x:c r="AL469" t="n">
        <x:v>24606</x:v>
      </x:c>
      <x:c r="AM469" t="str">
        <x:v>Fully allotted in R1; R2 opportunity depends on upgrade/non-joining</x:v>
      </x:c>
    </x:row>
    <x:row r="470">
      <x:c r="A470" t="str">
        <x:v>Uttar Pradesh</x:v>
      </x:c>
      <x:c r="B470" t="str">
        <x:v>All India except Central University</x:v>
      </x:c>
      <x:c r="C470" t="str">
        <x:v>200297</x:v>
      </x:c>
      <x:c r="D470" t="str">
        <x:v>LLRM Medical College, Meerut, LALA LAJPAT RAI MEMORIAL, MEDICAL COLLEGE, GARH ROAD, MEERUT</x:v>
      </x:c>
      <x:c r="E470" t="str">
        <x:v>UP/051/G/1</x:v>
      </x:c>
      <x:c r="F470" t="str">
        <x:v>Government</x:v>
      </x:c>
      <x:c r="G470" t="n">
        <x:v>150</x:v>
      </x:c>
      <x:c r="H470" t="n">
        <x:v>100</x:v>
      </x:c>
      <x:c r="I470" t="str">
        <x:v>High-confidence fuzzy</x:v>
      </x:c>
      <x:c r="J470" t="n">
        <x:v>22</x:v>
      </x:c>
      <x:c r="K470" t="n">
        <x:v>22</x:v>
      </x:c>
      <x:c r="L470" t="n">
        <x:f>J470-K470</x:f>
        <x:v>0</x:v>
      </x:c>
      <x:c r="M470" s="20" t="n">
        <x:f>IFERROR(K470/J470,0)</x:f>
        <x:v>1</x:v>
      </x:c>
      <x:c r="N470" t="n">
        <x:v>22</x:v>
      </x:c>
      <x:c r="O470" t="n">
        <x:v>22</x:v>
      </x:c>
      <x:c r="P470" t="n">
        <x:f>N470-O470</x:f>
        <x:v>0</x:v>
      </x:c>
      <x:c r="Q470" t="n">
        <x:v>0</x:v>
      </x:c>
      <x:c r="R470" t="n">
        <x:v>0</x:v>
      </x:c>
      <x:c r="S470" t="n">
        <x:f>Q470-R470</x:f>
        <x:v>0</x:v>
      </x:c>
      <x:c r="T470" t="n">
        <x:v>22</x:v>
      </x:c>
      <x:c r="U470" t="n">
        <x:v>22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f>IF(AND(ISNUMBER(G470),I470&lt;&gt;"Excluded INI"),MAX(0,G470-J470),"")</x:f>
        <x:v>128</x:v>
      </x:c>
      <x:c r="AC470" t="n">
        <x:v>4080</x:v>
      </x:c>
      <x:c r="AD470" t="n">
        <x:v>4942</x:v>
      </x:c>
      <x:c r="AE470" t="n">
        <x:v>6022</x:v>
      </x:c>
      <x:c r="AF470" t="n">
        <x:v>6242</x:v>
      </x:c>
      <x:c r="AG470" t="n">
        <x:v>5934</x:v>
      </x:c>
      <x:c r="AH470" t="n">
        <x:v>6468</x:v>
      </x:c>
      <x:c r="AI470" t="n">
        <x:v>38290</x:v>
      </x:c>
      <x:c r="AJ470" t="n">
        <x:v>42471</x:v>
      </x:c>
      <x:c r="AK470" t="n">
        <x:v>50793</x:v>
      </x:c>
      <x:c r="AL470" t="n">
        <x:v>60461</x:v>
      </x:c>
      <x:c r="AM470" t="str">
        <x:v>Fully allotted in R1; R2 opportunity depends on upgrade/non-joining</x:v>
      </x:c>
    </x:row>
    <x:row r="471">
      <x:c r="A471" t="str">
        <x:v>Uttar Pradesh</x:v>
      </x:c>
      <x:c r="B471" t="str">
        <x:v>All India except Central University</x:v>
      </x:c>
      <x:c r="C471" t="str">
        <x:v>200300</x:v>
      </x:c>
      <x:c r="D471" t="str">
        <x:v>Mahamaya Rajkiya Allopathic Medical College, Ambedkarnagar, VILLAGE SADDARPUR POST SURAPUR DISTRICT AMBEDKAR NAGAR</x:v>
      </x:c>
      <x:c r="E471" t="str">
        <x:v>UP/052/G/1</x:v>
      </x:c>
      <x:c r="F471" t="str">
        <x:v>Government</x:v>
      </x:c>
      <x:c r="G471" t="n">
        <x:v>100</x:v>
      </x:c>
      <x:c r="H471" t="n">
        <x:v>100</x:v>
      </x:c>
      <x:c r="I471" t="str">
        <x:v>High-confidence fuzzy</x:v>
      </x:c>
      <x:c r="J471" t="n">
        <x:v>15</x:v>
      </x:c>
      <x:c r="K471" t="n">
        <x:v>15</x:v>
      </x:c>
      <x:c r="L471" t="n">
        <x:f>J471-K471</x:f>
        <x:v>0</x:v>
      </x:c>
      <x:c r="M471" s="20" t="n">
        <x:f>IFERROR(K471/J471,0)</x:f>
        <x:v>1</x:v>
      </x:c>
      <x:c r="N471" t="n">
        <x:v>15</x:v>
      </x:c>
      <x:c r="O471" t="n">
        <x:v>15</x:v>
      </x:c>
      <x:c r="P471" t="n">
        <x:f>N471-O471</x:f>
        <x:v>0</x:v>
      </x:c>
      <x:c r="Q471" t="n">
        <x:v>0</x:v>
      </x:c>
      <x:c r="R471" t="n">
        <x:v>0</x:v>
      </x:c>
      <x:c r="S471" t="n">
        <x:f>Q471-R471</x:f>
        <x:v>0</x:v>
      </x:c>
      <x:c r="T471" t="n">
        <x:v>15</x:v>
      </x:c>
      <x:c r="U471" t="n">
        <x:v>15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f>IF(AND(ISNUMBER(G471),I471&lt;&gt;"Excluded INI"),MAX(0,G471-J471),"")</x:f>
        <x:v>85</x:v>
      </x:c>
      <x:c r="AC471" t="n">
        <x:v>9482</x:v>
      </x:c>
      <x:c r="AD471" t="n">
        <x:v>9873</x:v>
      </x:c>
      <x:c r="AE471" t="n">
        <x:v>10499</x:v>
      </x:c>
      <x:c r="AF471" t="n">
        <x:v>10537</x:v>
      </x:c>
      <x:c r="AG471" t="n">
        <x:v>12624</x:v>
      </x:c>
      <x:c r="AH471" t="n">
        <x:v>13025</x:v>
      </x:c>
      <x:c r="AI471" t="n">
        <x:v>60327</x:v>
      </x:c>
      <x:c r="AJ471" t="n">
        <x:v>60874</x:v>
      </x:c>
      <x:c r="AK471" t="n">
        <x:v>87418</x:v>
      </x:c>
      <x:c r="AL471" t="n">
        <x:v>87418</x:v>
      </x:c>
      <x:c r="AM471" t="str">
        <x:v>Fully allotted in R1; R2 opportunity depends on upgrade/non-joining</x:v>
      </x:c>
    </x:row>
    <x:row r="472">
      <x:c r="A472" t="str">
        <x:v>Uttar Pradesh</x:v>
      </x:c>
      <x:c r="B472" t="str">
        <x:v>All India except Central University</x:v>
      </x:c>
      <x:c r="C472" t="str">
        <x:v>200298</x:v>
      </x:c>
      <x:c r="D472" t="str">
        <x:v>Maharani Laxmi Bai Medical College, Jhansi, M.L.B. MEDICAL COLLEGE, KANPUR ROAD, JHANSI</x:v>
      </x:c>
      <x:c r="E472" t="str">
        <x:v>UP/053/G/1</x:v>
      </x:c>
      <x:c r="F472" t="str">
        <x:v>Government</x:v>
      </x:c>
      <x:c r="G472" t="n">
        <x:v>150</x:v>
      </x:c>
      <x:c r="H472" t="n">
        <x:v>100</x:v>
      </x:c>
      <x:c r="I472" t="str">
        <x:v>High-confidence fuzzy</x:v>
      </x:c>
      <x:c r="J472" t="n">
        <x:v>23</x:v>
      </x:c>
      <x:c r="K472" t="n">
        <x:v>23</x:v>
      </x:c>
      <x:c r="L472" t="n">
        <x:f>J472-K472</x:f>
        <x:v>0</x:v>
      </x:c>
      <x:c r="M472" s="20" t="n">
        <x:f>IFERROR(K472/J472,0)</x:f>
        <x:v>1</x:v>
      </x:c>
      <x:c r="N472" t="n">
        <x:v>23</x:v>
      </x:c>
      <x:c r="O472" t="n">
        <x:v>23</x:v>
      </x:c>
      <x:c r="P472" t="n">
        <x:f>N472-O472</x:f>
        <x:v>0</x:v>
      </x:c>
      <x:c r="Q472" t="n">
        <x:v>0</x:v>
      </x:c>
      <x:c r="R472" t="n">
        <x:v>0</x:v>
      </x:c>
      <x:c r="S472" t="n">
        <x:f>Q472-R472</x:f>
        <x:v>0</x:v>
      </x:c>
      <x:c r="T472" t="n">
        <x:v>23</x:v>
      </x:c>
      <x:c r="U472" t="n">
        <x:v>23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f>IF(AND(ISNUMBER(G472),I472&lt;&gt;"Excluded INI"),MAX(0,G472-J472),"")</x:f>
        <x:v>127</x:v>
      </x:c>
      <x:c r="AC472" t="n">
        <x:v>6520</x:v>
      </x:c>
      <x:c r="AD472" t="n">
        <x:v>6882</x:v>
      </x:c>
      <x:c r="AE472" t="n">
        <x:v>8066</x:v>
      </x:c>
      <x:c r="AF472" t="n">
        <x:v>8355</x:v>
      </x:c>
      <x:c r="AG472" t="n">
        <x:v>8543</x:v>
      </x:c>
      <x:c r="AH472" t="n">
        <x:v>8811</x:v>
      </x:c>
      <x:c r="AI472" t="n">
        <x:v>46465</x:v>
      </x:c>
      <x:c r="AJ472" t="n">
        <x:v>48981</x:v>
      </x:c>
      <x:c r="AK472" t="n">
        <x:v>67438</x:v>
      </x:c>
      <x:c r="AL472" t="n">
        <x:v>68321</x:v>
      </x:c>
      <x:c r="AM472" t="str">
        <x:v>Fully allotted in R1; R2 opportunity depends on upgrade/non-joining</x:v>
      </x:c>
    </x:row>
    <x:row r="473">
      <x:c r="A473" t="str">
        <x:v>Uttar Pradesh</x:v>
      </x:c>
      <x:c r="B473" t="str">
        <x:v>All India except Central University</x:v>
      </x:c>
      <x:c r="C473" t="str">
        <x:v>200549</x:v>
      </x:c>
      <x:c r="D473" t="str">
        <x:v>Maharshi Devraha Baba Autonomous State Medical College, Deoria, 207 Hospital Road Saket nagar Deoria</x:v>
      </x:c>
      <x:c r="E473" t="str">
        <x:v>UP/054/G/1</x:v>
      </x:c>
      <x:c r="F473" t="str">
        <x:v>Government</x:v>
      </x:c>
      <x:c r="G473" t="n">
        <x:v>100</x:v>
      </x:c>
      <x:c r="H473" t="n">
        <x:v>100</x:v>
      </x:c>
      <x:c r="I473" t="str">
        <x:v>High-confidence fuzzy</x:v>
      </x:c>
      <x:c r="J473" t="n">
        <x:v>15</x:v>
      </x:c>
      <x:c r="K473" t="n">
        <x:v>15</x:v>
      </x:c>
      <x:c r="L473" t="n">
        <x:f>J473-K473</x:f>
        <x:v>0</x:v>
      </x:c>
      <x:c r="M473" s="20" t="n">
        <x:f>IFERROR(K473/J473,0)</x:f>
        <x:v>1</x:v>
      </x:c>
      <x:c r="N473" t="n">
        <x:v>15</x:v>
      </x:c>
      <x:c r="O473" t="n">
        <x:v>15</x:v>
      </x:c>
      <x:c r="P473" t="n">
        <x:f>N473-O473</x:f>
        <x:v>0</x:v>
      </x:c>
      <x:c r="Q473" t="n">
        <x:v>0</x:v>
      </x:c>
      <x:c r="R473" t="n">
        <x:v>0</x:v>
      </x:c>
      <x:c r="S473" t="n">
        <x:f>Q473-R473</x:f>
        <x:v>0</x:v>
      </x:c>
      <x:c r="T473" t="n">
        <x:v>15</x:v>
      </x:c>
      <x:c r="U473" t="n">
        <x:v>15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f>IF(AND(ISNUMBER(G473),I473&lt;&gt;"Excluded INI"),MAX(0,G473-J473),"")</x:f>
        <x:v>85</x:v>
      </x:c>
      <x:c r="AC473" t="n">
        <x:v>13086</x:v>
      </x:c>
      <x:c r="AD473" t="n">
        <x:v>13718</x:v>
      </x:c>
      <x:c r="AE473" t="n">
        <x:v>14921</x:v>
      </x:c>
      <x:c r="AF473" t="n">
        <x:v>15068</x:v>
      </x:c>
      <x:c r="AG473" t="n">
        <x:v>13771</x:v>
      </x:c>
      <x:c r="AH473" t="n">
        <x:v>13771</x:v>
      </x:c>
      <x:c r="AI473" t="n">
        <x:v>73354</x:v>
      </x:c>
      <x:c r="AJ473" t="n">
        <x:v>75764</x:v>
      </x:c>
      <x:c r="AK473" t="n">
        <x:v>103675</x:v>
      </x:c>
      <x:c r="AL473" t="n">
        <x:v>103675</x:v>
      </x:c>
      <x:c r="AM473" t="str">
        <x:v>Fully allotted in R1; R2 opportunity depends on upgrade/non-joining</x:v>
      </x:c>
    </x:row>
    <x:row r="474">
      <x:c r="A474" t="str">
        <x:v>Uttar Pradesh</x:v>
      </x:c>
      <x:c r="B474" t="str">
        <x:v>All India except Central University</x:v>
      </x:c>
      <x:c r="C474" t="str">
        <x:v>902814</x:v>
      </x:c>
      <x:c r="D474" t="str">
        <x:v>Mahatma Vidur Autonomous State Medical College, Mahatma Vidur Autonomous State Medical College, Village Madhusudanpur Devidas, Post Kiratpur, Naziba</x:v>
      </x:c>
      <x:c r="E474" t="str">
        <x:v>UP/055/G/1</x:v>
      </x:c>
      <x:c r="F474" t="str">
        <x:v>Government</x:v>
      </x:c>
      <x:c r="G474" t="n">
        <x:v>100</x:v>
      </x:c>
      <x:c r="H474" t="n">
        <x:v>100</x:v>
      </x:c>
      <x:c r="I474" t="str">
        <x:v>High-confidence fuzzy</x:v>
      </x:c>
      <x:c r="J474" t="n">
        <x:v>15</x:v>
      </x:c>
      <x:c r="K474" t="n">
        <x:v>15</x:v>
      </x:c>
      <x:c r="L474" t="n">
        <x:f>J474-K474</x:f>
        <x:v>0</x:v>
      </x:c>
      <x:c r="M474" s="20" t="n">
        <x:f>IFERROR(K474/J474,0)</x:f>
        <x:v>1</x:v>
      </x:c>
      <x:c r="N474" t="n">
        <x:v>15</x:v>
      </x:c>
      <x:c r="O474" t="n">
        <x:v>15</x:v>
      </x:c>
      <x:c r="P474" t="n">
        <x:f>N474-O474</x:f>
        <x:v>0</x:v>
      </x:c>
      <x:c r="Q474" t="n">
        <x:v>0</x:v>
      </x:c>
      <x:c r="R474" t="n">
        <x:v>0</x:v>
      </x:c>
      <x:c r="S474" t="n">
        <x:f>Q474-R474</x:f>
        <x:v>0</x:v>
      </x:c>
      <x:c r="T474" t="n">
        <x:v>15</x:v>
      </x:c>
      <x:c r="U474" t="n">
        <x:v>15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f>IF(AND(ISNUMBER(G474),I474&lt;&gt;"Excluded INI"),MAX(0,G474-J474),"")</x:f>
        <x:v>85</x:v>
      </x:c>
      <x:c r="AC474" t="n">
        <x:v>13856</x:v>
      </x:c>
      <x:c r="AD474" t="n">
        <x:v>14248</x:v>
      </x:c>
      <x:c r="AE474" t="n">
        <x:v>14738</x:v>
      </x:c>
      <x:c r="AF474" t="n">
        <x:v>14936</x:v>
      </x:c>
      <x:c r="AG474" t="n">
        <x:v>16083</x:v>
      </x:c>
      <x:c r="AH474" t="n">
        <x:v>16083</x:v>
      </x:c>
      <x:c r="AI474" t="n">
        <x:v>78530</x:v>
      </x:c>
      <x:c r="AJ474" t="n">
        <x:v>80371</x:v>
      </x:c>
      <x:c r="AK474" t="n">
        <x:v>106157</x:v>
      </x:c>
      <x:c r="AL474" t="n">
        <x:v>106157</x:v>
      </x:c>
      <x:c r="AM474" t="str">
        <x:v>Fully allotted in R1; R2 opportunity depends on upgrade/non-joining</x:v>
      </x:c>
    </x:row>
    <x:row r="475">
      <x:c r="A475" t="str">
        <x:v>Uttar Pradesh</x:v>
      </x:c>
      <x:c r="B475" t="str">
        <x:v>All India except Central University</x:v>
      </x:c>
      <x:c r="C475" t="str">
        <x:v>200299</x:v>
      </x:c>
      <x:c r="D475" t="str">
        <x:v>Moti Lal Nehru Medical College, Allahabad, Principal Office Moti Lal Nehru Medical College, Lowther Road George Town Prayagraj</x:v>
      </x:c>
      <x:c r="E475" t="str">
        <x:v>UP/057/G/1</x:v>
      </x:c>
      <x:c r="F475" t="str">
        <x:v>Government</x:v>
      </x:c>
      <x:c r="G475" t="n">
        <x:v>200</x:v>
      </x:c>
      <x:c r="H475" t="n">
        <x:v>100</x:v>
      </x:c>
      <x:c r="I475" t="str">
        <x:v>High-confidence fuzzy</x:v>
      </x:c>
      <x:c r="J475" t="n">
        <x:v>30</x:v>
      </x:c>
      <x:c r="K475" t="n">
        <x:v>30</x:v>
      </x:c>
      <x:c r="L475" t="n">
        <x:f>J475-K475</x:f>
        <x:v>0</x:v>
      </x:c>
      <x:c r="M475" s="20" t="n">
        <x:f>IFERROR(K475/J475,0)</x:f>
        <x:v>1</x:v>
      </x:c>
      <x:c r="N475" t="n">
        <x:v>30</x:v>
      </x:c>
      <x:c r="O475" t="n">
        <x:v>30</x:v>
      </x:c>
      <x:c r="P475" t="n">
        <x:f>N475-O475</x:f>
        <x:v>0</x:v>
      </x:c>
      <x:c r="Q475" t="n">
        <x:v>0</x:v>
      </x:c>
      <x:c r="R475" t="n">
        <x:v>0</x:v>
      </x:c>
      <x:c r="S475" t="n">
        <x:f>Q475-R475</x:f>
        <x:v>0</x:v>
      </x:c>
      <x:c r="T475" t="n">
        <x:v>30</x:v>
      </x:c>
      <x:c r="U475" t="n">
        <x:v>30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f>IF(AND(ISNUMBER(G475),I475&lt;&gt;"Excluded INI"),MAX(0,G475-J475),"")</x:f>
        <x:v>170</x:v>
      </x:c>
      <x:c r="AC475" t="n">
        <x:v>5258</x:v>
      </x:c>
      <x:c r="AD475" t="n">
        <x:v>5603</x:v>
      </x:c>
      <x:c r="AE475" t="n">
        <x:v>6432</x:v>
      </x:c>
      <x:c r="AF475" t="n">
        <x:v>6692</x:v>
      </x:c>
      <x:c r="AG475" t="n">
        <x:v>6969</x:v>
      </x:c>
      <x:c r="AH475" t="n">
        <x:v>6978</x:v>
      </x:c>
      <x:c r="AI475" t="n">
        <x:v>28497</x:v>
      </x:c>
      <x:c r="AJ475" t="n">
        <x:v>40232</x:v>
      </x:c>
      <x:c r="AK475" t="n">
        <x:v>62365</x:v>
      </x:c>
      <x:c r="AL475" t="n">
        <x:v>64521</x:v>
      </x:c>
      <x:c r="AM475" t="str">
        <x:v>Fully allotted in R1; R2 opportunity depends on upgrade/non-joining</x:v>
      </x:c>
    </x:row>
    <x:row r="476">
      <x:c r="A476" t="str">
        <x:v>Uttar Pradesh</x:v>
      </x:c>
      <x:c r="B476" t="str">
        <x:v>All India except Central University</x:v>
      </x:c>
      <x:c r="C476" t="str">
        <x:v>902860</x:v>
      </x:c>
      <x:c r="D476" t="str">
        <x:v>Punyashloka Lokmata Devi Ahilyabai Holkar Autonomous State Medical College Auraiya, Sehud Auraiya</x:v>
      </x:c>
      <x:c r="E476" t="str">
        <x:v>UP/004/G/5</x:v>
      </x:c>
      <x:c r="F476" t="str">
        <x:v>Government</x:v>
      </x:c>
      <x:c r="G476" t="n">
        <x:v>100</x:v>
      </x:c>
      <x:c r="H476" t="n">
        <x:v>97.6</x:v>
      </x:c>
      <x:c r="I476" t="str">
        <x:v>High-confidence fuzzy</x:v>
      </x:c>
      <x:c r="J476" t="n">
        <x:v>15</x:v>
      </x:c>
      <x:c r="K476" t="n">
        <x:v>15</x:v>
      </x:c>
      <x:c r="L476" t="n">
        <x:f>J476-K476</x:f>
        <x:v>0</x:v>
      </x:c>
      <x:c r="M476" s="20" t="n">
        <x:f>IFERROR(K476/J476,0)</x:f>
        <x:v>1</x:v>
      </x:c>
      <x:c r="N476" t="n">
        <x:v>15</x:v>
      </x:c>
      <x:c r="O476" t="n">
        <x:v>15</x:v>
      </x:c>
      <x:c r="P476" t="n">
        <x:f>N476-O476</x:f>
        <x:v>0</x:v>
      </x:c>
      <x:c r="Q476" t="n">
        <x:v>0</x:v>
      </x:c>
      <x:c r="R476" t="n">
        <x:v>0</x:v>
      </x:c>
      <x:c r="S476" t="n">
        <x:f>Q476-R476</x:f>
        <x:v>0</x:v>
      </x:c>
      <x:c r="T476" t="n">
        <x:v>15</x:v>
      </x:c>
      <x:c r="U476" t="n">
        <x:v>15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f>IF(AND(ISNUMBER(G476),I476&lt;&gt;"Excluded INI"),MAX(0,G476-J476),"")</x:f>
        <x:v>85</x:v>
      </x:c>
      <x:c r="AC476" t="n">
        <x:v>16456</x:v>
      </x:c>
      <x:c r="AD476" t="n">
        <x:v>16682</x:v>
      </x:c>
      <x:c r="AE476" t="n">
        <x:v>17443</x:v>
      </x:c>
      <x:c r="AF476" t="n">
        <x:v>17467</x:v>
      </x:c>
      <x:c r="AG476" t="n">
        <x:v>17738</x:v>
      </x:c>
      <x:c r="AH476" t="n">
        <x:v>17968</x:v>
      </x:c>
      <x:c r="AI476" t="n">
        <x:v>82669</x:v>
      </x:c>
      <x:c r="AJ476" t="n">
        <x:v>84561</x:v>
      </x:c>
      <x:c r="AK476" t="n">
        <x:v>111415</x:v>
      </x:c>
      <x:c r="AL476" t="n">
        <x:v>111415</x:v>
      </x:c>
      <x:c r="AM476" t="str">
        <x:v>Fully allotted in R1; R2 opportunity depends on upgrade/non-joining</x:v>
      </x:c>
    </x:row>
    <x:row r="477">
      <x:c r="A477" t="str">
        <x:v>Uttar Pradesh</x:v>
      </x:c>
      <x:c r="B477" t="str">
        <x:v>All India except Central University</x:v>
      </x:c>
      <x:c r="C477" t="str">
        <x:v>200492</x:v>
      </x:c>
      <x:c r="D477" t="str">
        <x:v>Rajkiya Allopathic Medical College, Bahraich, UP, K.D.C Road Bahraich-271801</x:v>
      </x:c>
      <x:c r="E477" t="str">
        <x:v>UP/063/G/1</x:v>
      </x:c>
      <x:c r="F477" t="str">
        <x:v>Government</x:v>
      </x:c>
      <x:c r="G477" t="n">
        <x:v>100</x:v>
      </x:c>
      <x:c r="H477" t="n">
        <x:v>100</x:v>
      </x:c>
      <x:c r="I477" t="str">
        <x:v>High-confidence fuzzy</x:v>
      </x:c>
      <x:c r="J477" t="n">
        <x:v>15</x:v>
      </x:c>
      <x:c r="K477" t="n">
        <x:v>15</x:v>
      </x:c>
      <x:c r="L477" t="n">
        <x:f>J477-K477</x:f>
        <x:v>0</x:v>
      </x:c>
      <x:c r="M477" s="20" t="n">
        <x:f>IFERROR(K477/J477,0)</x:f>
        <x:v>1</x:v>
      </x:c>
      <x:c r="N477" t="n">
        <x:v>15</x:v>
      </x:c>
      <x:c r="O477" t="n">
        <x:v>15</x:v>
      </x:c>
      <x:c r="P477" t="n">
        <x:f>N477-O477</x:f>
        <x:v>0</x:v>
      </x:c>
      <x:c r="Q477" t="n">
        <x:v>0</x:v>
      </x:c>
      <x:c r="R477" t="n">
        <x:v>0</x:v>
      </x:c>
      <x:c r="S477" t="n">
        <x:f>Q477-R477</x:f>
        <x:v>0</x:v>
      </x:c>
      <x:c r="T477" t="n">
        <x:v>15</x:v>
      </x:c>
      <x:c r="U477" t="n">
        <x:v>15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f>IF(AND(ISNUMBER(G477),I477&lt;&gt;"Excluded INI"),MAX(0,G477-J477),"")</x:f>
        <x:v>85</x:v>
      </x:c>
      <x:c r="AC477" t="n">
        <x:v>11358</x:v>
      </x:c>
      <x:c r="AD477" t="n">
        <x:v>12179</x:v>
      </x:c>
      <x:c r="AE477" t="n">
        <x:v>12553</x:v>
      </x:c>
      <x:c r="AF477" t="n">
        <x:v>13124</x:v>
      </x:c>
      <x:c r="AG477" t="n">
        <x:v>14344</x:v>
      </x:c>
      <x:c r="AH477" t="n">
        <x:v>14344</x:v>
      </x:c>
      <x:c r="AI477" t="n">
        <x:v>75164</x:v>
      </x:c>
      <x:c r="AJ477" t="n">
        <x:v>75443</x:v>
      </x:c>
      <x:c r="AK477" t="n">
        <x:v>95069</x:v>
      </x:c>
      <x:c r="AL477" t="n">
        <x:v>102394</x:v>
      </x:c>
      <x:c r="AM477" t="str">
        <x:v>Fully allotted in R1; R2 opportunity depends on upgrade/non-joining</x:v>
      </x:c>
    </x:row>
    <x:row r="478">
      <x:c r="A478" t="str">
        <x:v>Uttar Pradesh</x:v>
      </x:c>
      <x:c r="B478" t="str">
        <x:v>All India except Central University</x:v>
      </x:c>
      <x:c r="C478" t="str">
        <x:v>200291</x:v>
      </x:c>
      <x:c r="D478" t="str">
        <x:v>Rajkiya Medical College Jalaun, Orai, Uttar Pradesh, Kalpi Road Orai Jalaun</x:v>
      </x:c>
      <x:c r="E478" t="str">
        <x:v>UP/064/G/1</x:v>
      </x:c>
      <x:c r="F478" t="str">
        <x:v>Government</x:v>
      </x:c>
      <x:c r="G478" t="n">
        <x:v>100</x:v>
      </x:c>
      <x:c r="H478" t="n">
        <x:v>100</x:v>
      </x:c>
      <x:c r="I478" t="str">
        <x:v>High-confidence fuzzy</x:v>
      </x:c>
      <x:c r="J478" t="n">
        <x:v>15</x:v>
      </x:c>
      <x:c r="K478" t="n">
        <x:v>15</x:v>
      </x:c>
      <x:c r="L478" t="n">
        <x:f>J478-K478</x:f>
        <x:v>0</x:v>
      </x:c>
      <x:c r="M478" s="20" t="n">
        <x:f>IFERROR(K478/J478,0)</x:f>
        <x:v>1</x:v>
      </x:c>
      <x:c r="N478" t="n">
        <x:v>15</x:v>
      </x:c>
      <x:c r="O478" t="n">
        <x:v>15</x:v>
      </x:c>
      <x:c r="P478" t="n">
        <x:f>N478-O478</x:f>
        <x:v>0</x:v>
      </x:c>
      <x:c r="Q478" t="n">
        <x:v>0</x:v>
      </x:c>
      <x:c r="R478" t="n">
        <x:v>0</x:v>
      </x:c>
      <x:c r="S478" t="n">
        <x:f>Q478-R478</x:f>
        <x:v>0</x:v>
      </x:c>
      <x:c r="T478" t="n">
        <x:v>15</x:v>
      </x:c>
      <x:c r="U478" t="n">
        <x:v>15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f>IF(AND(ISNUMBER(G478),I478&lt;&gt;"Excluded INI"),MAX(0,G478-J478),"")</x:f>
        <x:v>85</x:v>
      </x:c>
      <x:c r="AC478" t="n">
        <x:v>10700</x:v>
      </x:c>
      <x:c r="AD478" t="n">
        <x:v>11184</x:v>
      </x:c>
      <x:c r="AE478" t="n">
        <x:v>11849</x:v>
      </x:c>
      <x:c r="AF478" t="n">
        <x:v>11976</x:v>
      </x:c>
      <x:c r="AG478" t="n">
        <x:v>13184</x:v>
      </x:c>
      <x:c r="AH478" t="n">
        <x:v>13184</x:v>
      </x:c>
      <x:c r="AI478" t="n">
        <x:v>58636</x:v>
      </x:c>
      <x:c r="AJ478" t="n">
        <x:v>58825</x:v>
      </x:c>
      <x:c r="AK478" t="n">
        <x:v>93248</x:v>
      </x:c>
      <x:c r="AL478" t="n">
        <x:v>93248</x:v>
      </x:c>
      <x:c r="AM478" t="str">
        <x:v>Fully allotted in R1; R2 opportunity depends on upgrade/non-joining</x:v>
      </x:c>
    </x:row>
    <x:row r="479">
      <x:c r="A479" t="str">
        <x:v>Uttar Pradesh</x:v>
      </x:c>
      <x:c r="B479" t="str">
        <x:v>All India except Central University</x:v>
      </x:c>
      <x:c r="C479" t="str">
        <x:v>200302</x:v>
      </x:c>
      <x:c r="D479" t="str">
        <x:v>S N Medical College, Agra, HOSPITAL ROAD AGRA</x:v>
      </x:c>
      <x:c r="E479" t="str">
        <x:v>UP/069/G/1</x:v>
      </x:c>
      <x:c r="F479" t="str">
        <x:v>Government</x:v>
      </x:c>
      <x:c r="G479" t="n">
        <x:v>200</x:v>
      </x:c>
      <x:c r="H479" t="n">
        <x:v>100</x:v>
      </x:c>
      <x:c r="I479" t="str">
        <x:v>High-confidence fuzzy</x:v>
      </x:c>
      <x:c r="J479" t="n">
        <x:v>30</x:v>
      </x:c>
      <x:c r="K479" t="n">
        <x:v>30</x:v>
      </x:c>
      <x:c r="L479" t="n">
        <x:f>J479-K479</x:f>
        <x:v>0</x:v>
      </x:c>
      <x:c r="M479" s="20" t="n">
        <x:f>IFERROR(K479/J479,0)</x:f>
        <x:v>1</x:v>
      </x:c>
      <x:c r="N479" t="n">
        <x:v>30</x:v>
      </x:c>
      <x:c r="O479" t="n">
        <x:v>30</x:v>
      </x:c>
      <x:c r="P479" t="n">
        <x:f>N479-O479</x:f>
        <x:v>0</x:v>
      </x:c>
      <x:c r="Q479" t="n">
        <x:v>0</x:v>
      </x:c>
      <x:c r="R479" t="n">
        <x:v>0</x:v>
      </x:c>
      <x:c r="S479" t="n">
        <x:f>Q479-R479</x:f>
        <x:v>0</x:v>
      </x:c>
      <x:c r="T479" t="n">
        <x:v>30</x:v>
      </x:c>
      <x:c r="U479" t="n">
        <x:v>30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f>IF(AND(ISNUMBER(G479),I479&lt;&gt;"Excluded INI"),MAX(0,G479-J479),"")</x:f>
        <x:v>170</x:v>
      </x:c>
      <x:c r="AC479" t="n">
        <x:v>5276</x:v>
      </x:c>
      <x:c r="AD479" t="n">
        <x:v>5563</x:v>
      </x:c>
      <x:c r="AE479" t="n">
        <x:v>6176</x:v>
      </x:c>
      <x:c r="AF479" t="n">
        <x:v>6637</x:v>
      </x:c>
      <x:c r="AG479" t="n">
        <x:v>7088</x:v>
      </x:c>
      <x:c r="AH479" t="n">
        <x:v>7547</x:v>
      </x:c>
      <x:c r="AI479" t="n">
        <x:v>34338</x:v>
      </x:c>
      <x:c r="AJ479" t="n">
        <x:v>40486</x:v>
      </x:c>
      <x:c r="AK479" t="n">
        <x:v>49712</x:v>
      </x:c>
      <x:c r="AL479" t="n">
        <x:v>51404</x:v>
      </x:c>
      <x:c r="AM479" t="str">
        <x:v>Fully allotted in R1; R2 opportunity depends on upgrade/non-joining</x:v>
      </x:c>
    </x:row>
    <x:row r="480">
      <x:c r="A480" t="str">
        <x:v>Uttar Pradesh</x:v>
      </x:c>
      <x:c r="B480" t="str">
        <x:v>Deemed University</x:v>
      </x:c>
      <x:c r="C480" t="str">
        <x:v>200408</x:v>
      </x:c>
      <x:c r="D480" t="str">
        <x:v>Santosh Medical College, Ghaziabad, No.1, Santosh Nagar, Ghaziabad, Delhi NCR</x:v>
      </x:c>
      <x:c r="E480" t="str">
        <x:v>UP/070/P/3</x:v>
      </x:c>
      <x:c r="F480" t="str">
        <x:v>Private</x:v>
      </x:c>
      <x:c r="G480" t="n">
        <x:v>150</x:v>
      </x:c>
      <x:c r="H480" t="n">
        <x:v>100</x:v>
      </x:c>
      <x:c r="I480" t="str">
        <x:v>High-confidence fuzzy</x:v>
      </x:c>
      <x:c r="J480" t="n">
        <x:v>150</x:v>
      </x:c>
      <x:c r="K480" t="n">
        <x:v>132</x:v>
      </x:c>
      <x:c r="L480" t="n">
        <x:f>J480-K480</x:f>
        <x:v>18</x:v>
      </x:c>
      <x:c r="M480" s="20" t="n">
        <x:f>IFERROR(K480/J480,0)</x:f>
        <x:v>0.88</x:v>
      </x:c>
      <x:c r="N480" t="n">
        <x:v>0</x:v>
      </x:c>
      <x:c r="O480" t="n">
        <x:v>0</x:v>
      </x:c>
      <x:c r="P480" t="n">
        <x:f>N480-O480</x:f>
        <x:v>0</x:v>
      </x:c>
      <x:c r="Q480" t="n">
        <x:v>150</x:v>
      </x:c>
      <x:c r="R480" t="n">
        <x:v>132</x:v>
      </x:c>
      <x:c r="S480" t="n">
        <x:f>Q480-R480</x:f>
        <x:v>18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127</x:v>
      </x:c>
      <x:c r="Y480" t="n">
        <x:v>127</x:v>
      </x:c>
      <x:c r="Z480" t="n">
        <x:v>23</x:v>
      </x:c>
      <x:c r="AA480" t="n">
        <x:v>5</x:v>
      </x:c>
      <x:c r="AB480" t="n">
        <x:f>IF(AND(ISNUMBER(G480),I480&lt;&gt;"Excluded INI"),MAX(0,G480-J480),"")</x:f>
        <x:v>0</x:v>
      </x:c>
      <x:c r="AC480" t="n">
        <x:v>526990</x:v>
      </x:c>
      <x:c r="AD480" t="n">
        <x:v>993507</x:v>
      </x:c>
      <x:c r="AE480"/>
      <x:c r="AF480"/>
      <x:c r="AG480"/>
      <x:c r="AH480"/>
      <x:c r="AI480"/>
      <x:c r="AJ480"/>
      <x:c r="AK480"/>
      <x:c r="AL480"/>
      <x:c r="AM480" t="str">
        <x:v>Unfilled mainly private/NRI/minority; regular R2 depends on movement</x:v>
      </x:c>
    </x:row>
    <x:row r="481">
      <x:c r="A481" t="str">
        <x:v>Uttar Pradesh</x:v>
      </x:c>
      <x:c r="B481" t="str">
        <x:v>All India except Central University</x:v>
      </x:c>
      <x:c r="C481" t="str">
        <x:v>200303</x:v>
      </x:c>
      <x:c r="D481" t="str">
        <x:v>Shaikh-UL-Hind Maulana Mahmood Hasan Medical College, Saharanpur, Ambala Road, Pilakhni, Saharanpur</x:v>
      </x:c>
      <x:c r="E481" t="str">
        <x:v>UP/074/G/1</x:v>
      </x:c>
      <x:c r="F481" t="str">
        <x:v>Government</x:v>
      </x:c>
      <x:c r="G481" t="n">
        <x:v>100</x:v>
      </x:c>
      <x:c r="H481" t="n">
        <x:v>100</x:v>
      </x:c>
      <x:c r="I481" t="str">
        <x:v>High-confidence fuzzy</x:v>
      </x:c>
      <x:c r="J481" t="n">
        <x:v>15</x:v>
      </x:c>
      <x:c r="K481" t="n">
        <x:v>15</x:v>
      </x:c>
      <x:c r="L481" t="n">
        <x:f>J481-K481</x:f>
        <x:v>0</x:v>
      </x:c>
      <x:c r="M481" s="20" t="n">
        <x:f>IFERROR(K481/J481,0)</x:f>
        <x:v>1</x:v>
      </x:c>
      <x:c r="N481" t="n">
        <x:v>15</x:v>
      </x:c>
      <x:c r="O481" t="n">
        <x:v>15</x:v>
      </x:c>
      <x:c r="P481" t="n">
        <x:f>N481-O481</x:f>
        <x:v>0</x:v>
      </x:c>
      <x:c r="Q481" t="n">
        <x:v>0</x:v>
      </x:c>
      <x:c r="R481" t="n">
        <x:v>0</x:v>
      </x:c>
      <x:c r="S481" t="n">
        <x:f>Q481-R481</x:f>
        <x:v>0</x:v>
      </x:c>
      <x:c r="T481" t="n">
        <x:v>15</x:v>
      </x:c>
      <x:c r="U481" t="n">
        <x:v>15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f>IF(AND(ISNUMBER(G481),I481&lt;&gt;"Excluded INI"),MAX(0,G481-J481),"")</x:f>
        <x:v>85</x:v>
      </x:c>
      <x:c r="AC481" t="n">
        <x:v>8350</x:v>
      </x:c>
      <x:c r="AD481" t="n">
        <x:v>8562</x:v>
      </x:c>
      <x:c r="AE481" t="n">
        <x:v>9759</x:v>
      </x:c>
      <x:c r="AF481" t="n">
        <x:v>9824</x:v>
      </x:c>
      <x:c r="AG481" t="n">
        <x:v>11046</x:v>
      </x:c>
      <x:c r="AH481" t="n">
        <x:v>11046</x:v>
      </x:c>
      <x:c r="AI481" t="n">
        <x:v>64355</x:v>
      </x:c>
      <x:c r="AJ481" t="n">
        <x:v>64813</x:v>
      </x:c>
      <x:c r="AK481" t="n">
        <x:v>87624</x:v>
      </x:c>
      <x:c r="AL481" t="n">
        <x:v>87624</x:v>
      </x:c>
      <x:c r="AM481" t="str">
        <x:v>Fully allotted in R1; R2 opportunity depends on upgrade/non-joining</x:v>
      </x:c>
    </x:row>
    <x:row r="482">
      <x:c r="A482" t="str">
        <x:v>Uttar Pradesh</x:v>
      </x:c>
      <x:c r="B482" t="str">
        <x:v>All India except Central University</x:v>
      </x:c>
      <x:c r="C482" t="str">
        <x:v>200550</x:v>
      </x:c>
      <x:c r="D482" t="str">
        <x:v>Uma Nath Singh Autonomous State Medical College Society Jaunpur, UNS AUTONOMOUS STATE MEDICAL COLLEGE SIDDIQUEPUR SHAHGANJ ROAD JAUNPUR UP</x:v>
      </x:c>
      <x:c r="E482" t="str">
        <x:v>UP/082/G/1</x:v>
      </x:c>
      <x:c r="F482" t="str">
        <x:v>Government</x:v>
      </x:c>
      <x:c r="G482" t="n">
        <x:v>100</x:v>
      </x:c>
      <x:c r="H482" t="n">
        <x:v>100</x:v>
      </x:c>
      <x:c r="I482" t="str">
        <x:v>High-confidence fuzzy</x:v>
      </x:c>
      <x:c r="J482" t="n">
        <x:v>15</x:v>
      </x:c>
      <x:c r="K482" t="n">
        <x:v>15</x:v>
      </x:c>
      <x:c r="L482" t="n">
        <x:f>J482-K482</x:f>
        <x:v>0</x:v>
      </x:c>
      <x:c r="M482" s="20" t="n">
        <x:f>IFERROR(K482/J482,0)</x:f>
        <x:v>1</x:v>
      </x:c>
      <x:c r="N482" t="n">
        <x:v>15</x:v>
      </x:c>
      <x:c r="O482" t="n">
        <x:v>15</x:v>
      </x:c>
      <x:c r="P482" t="n">
        <x:f>N482-O482</x:f>
        <x:v>0</x:v>
      </x:c>
      <x:c r="Q482" t="n">
        <x:v>0</x:v>
      </x:c>
      <x:c r="R482" t="n">
        <x:v>0</x:v>
      </x:c>
      <x:c r="S482" t="n">
        <x:f>Q482-R482</x:f>
        <x:v>0</x:v>
      </x:c>
      <x:c r="T482" t="n">
        <x:v>15</x:v>
      </x:c>
      <x:c r="U482" t="n">
        <x:v>15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f>IF(AND(ISNUMBER(G482),I482&lt;&gt;"Excluded INI"),MAX(0,G482-J482),"")</x:f>
        <x:v>85</x:v>
      </x:c>
      <x:c r="AC482" t="n">
        <x:v>14638</x:v>
      </x:c>
      <x:c r="AD482" t="n">
        <x:v>16006</x:v>
      </x:c>
      <x:c r="AE482" t="n">
        <x:v>16314</x:v>
      </x:c>
      <x:c r="AF482" t="n">
        <x:v>16858</x:v>
      </x:c>
      <x:c r="AG482" t="n">
        <x:v>16296</x:v>
      </x:c>
      <x:c r="AH482" t="n">
        <x:v>16438</x:v>
      </x:c>
      <x:c r="AI482" t="n">
        <x:v>86689</x:v>
      </x:c>
      <x:c r="AJ482" t="n">
        <x:v>87544</x:v>
      </x:c>
      <x:c r="AK482" t="n">
        <x:v>106133</x:v>
      </x:c>
      <x:c r="AL482" t="n">
        <x:v>106133</x:v>
      </x:c>
      <x:c r="AM482" t="str">
        <x:v>Fully allotted in R1; R2 opportunity depends on upgrade/non-joining</x:v>
      </x:c>
    </x:row>
    <x:row r="483">
      <x:c r="A483" t="str">
        <x:v>Uttar Pradesh</x:v>
      </x:c>
      <x:c r="B483" t="str">
        <x:v>All India except Central University</x:v>
      </x:c>
      <x:c r="C483" t="str">
        <x:v>200301</x:v>
      </x:c>
      <x:c r="D483" t="str">
        <x:v>Uttar Pradesh University of Medical Sciences, (Prev. UP Rural Inst.of Med.Sc&amp;R) Etawah, SAIFAI ETAWAH</x:v>
      </x:c>
      <x:c r="E483" t="str">
        <x:v>UP/084/G/1</x:v>
      </x:c>
      <x:c r="F483" t="str">
        <x:v>Government</x:v>
      </x:c>
      <x:c r="G483" t="n">
        <x:v>200</x:v>
      </x:c>
      <x:c r="H483" t="n">
        <x:v>100</x:v>
      </x:c>
      <x:c r="I483" t="str">
        <x:v>High-confidence fuzzy</x:v>
      </x:c>
      <x:c r="J483" t="n">
        <x:v>30</x:v>
      </x:c>
      <x:c r="K483" t="n">
        <x:v>30</x:v>
      </x:c>
      <x:c r="L483" t="n">
        <x:f>J483-K483</x:f>
        <x:v>0</x:v>
      </x:c>
      <x:c r="M483" s="20" t="n">
        <x:f>IFERROR(K483/J483,0)</x:f>
        <x:v>1</x:v>
      </x:c>
      <x:c r="N483" t="n">
        <x:v>30</x:v>
      </x:c>
      <x:c r="O483" t="n">
        <x:v>30</x:v>
      </x:c>
      <x:c r="P483" t="n">
        <x:f>N483-O483</x:f>
        <x:v>0</x:v>
      </x:c>
      <x:c r="Q483" t="n">
        <x:v>0</x:v>
      </x:c>
      <x:c r="R483" t="n">
        <x:v>0</x:v>
      </x:c>
      <x:c r="S483" t="n">
        <x:f>Q483-R483</x:f>
        <x:v>0</x:v>
      </x:c>
      <x:c r="T483" t="n">
        <x:v>30</x:v>
      </x:c>
      <x:c r="U483" t="n">
        <x:v>30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f>IF(AND(ISNUMBER(G483),I483&lt;&gt;"Excluded INI"),MAX(0,G483-J483),"")</x:f>
        <x:v>170</x:v>
      </x:c>
      <x:c r="AC483" t="n">
        <x:v>7228</x:v>
      </x:c>
      <x:c r="AD483" t="n">
        <x:v>7583</x:v>
      </x:c>
      <x:c r="AE483" t="n">
        <x:v>8566</x:v>
      </x:c>
      <x:c r="AF483" t="n">
        <x:v>9009</x:v>
      </x:c>
      <x:c r="AG483" t="n">
        <x:v>9287</x:v>
      </x:c>
      <x:c r="AH483" t="n">
        <x:v>10469</x:v>
      </x:c>
      <x:c r="AI483" t="n">
        <x:v>52868</x:v>
      </x:c>
      <x:c r="AJ483" t="n">
        <x:v>57250</x:v>
      </x:c>
      <x:c r="AK483" t="n">
        <x:v>76807</x:v>
      </x:c>
      <x:c r="AL483" t="n">
        <x:v>76807</x:v>
      </x:c>
      <x:c r="AM483" t="str">
        <x:v>Fully allotted in R1; R2 opportunity depends on upgrade/non-joining</x:v>
      </x:c>
    </x:row>
    <x:row r="484">
      <x:c r="A484" t="str">
        <x:v>Uttarakhand</x:v>
      </x:c>
      <x:c r="B484" t="str">
        <x:v>All India Institute Of Medical Science(AIIMS)</x:v>
      </x:c>
      <x:c r="C484" t="str">
        <x:v>200507</x:v>
      </x:c>
      <x:c r="D484" t="str">
        <x:v>AIIMS, Rishikesh , ALL INDIA INSTITUTE OF MEDICAL SCIENCES, RISHIKESH Uttarakhand - 249203</x:v>
      </x:c>
      <x:c r="E484" t="str"/>
      <x:c r="F484" t="str"/>
      <x:c r="G484"/>
      <x:c r="H484" t="n">
        <x:v>100</x:v>
      </x:c>
      <x:c r="I484" t="str">
        <x:v>Excluded INI</x:v>
      </x:c>
      <x:c r="J484" t="n">
        <x:v>125</x:v>
      </x:c>
      <x:c r="K484" t="n">
        <x:v>125</x:v>
      </x:c>
      <x:c r="L484" t="n">
        <x:f>J484-K484</x:f>
        <x:v>0</x:v>
      </x:c>
      <x:c r="M484" s="20" t="n">
        <x:f>IFERROR(K484/J484,0)</x:f>
        <x:v>1</x:v>
      </x:c>
      <x:c r="N484" t="n">
        <x:v>125</x:v>
      </x:c>
      <x:c r="O484" t="n">
        <x:v>125</x:v>
      </x:c>
      <x:c r="P484" t="n">
        <x:f>N484-O484</x:f>
        <x:v>0</x:v>
      </x:c>
      <x:c r="Q484" t="n">
        <x:v>0</x:v>
      </x:c>
      <x:c r="R484" t="n">
        <x:v>0</x:v>
      </x:c>
      <x:c r="S484" t="n">
        <x:f>Q484-R484</x:f>
        <x:v>0</x:v>
      </x:c>
      <x:c r="T484" t="n">
        <x:v>0</x:v>
      </x:c>
      <x:c r="U484" t="n">
        <x:v>0</x:v>
      </x:c>
      <x:c r="V484" t="n">
        <x:v>125</x:v>
      </x:c>
      <x:c r="W484" t="n">
        <x:v>125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str">
        <x:f>IF(AND(ISNUMBER(G484),I484&lt;&gt;"Excluded INI"),MAX(0,G484-J484),"")</x:f>
      </x:c>
      <x:c r="AC484" t="n">
        <x:v>401</x:v>
      </x:c>
      <x:c r="AD484" t="n">
        <x:v>537</x:v>
      </x:c>
      <x:c r="AE484" t="n">
        <x:v>807</x:v>
      </x:c>
      <x:c r="AF484" t="n">
        <x:v>979</x:v>
      </x:c>
      <x:c r="AG484" t="n">
        <x:v>962</x:v>
      </x:c>
      <x:c r="AH484" t="n">
        <x:v>1089</x:v>
      </x:c>
      <x:c r="AI484" t="n">
        <x:v>4610</x:v>
      </x:c>
      <x:c r="AJ484" t="n">
        <x:v>6429</x:v>
      </x:c>
      <x:c r="AK484" t="n">
        <x:v>7676</x:v>
      </x:c>
      <x:c r="AL484" t="n">
        <x:v>8532</x:v>
      </x:c>
      <x:c r="AM484" t="str">
        <x:v>Fully allotted in R1; R2 opportunity depends on upgrade/non-joining</x:v>
      </x:c>
    </x:row>
    <x:row r="485">
      <x:c r="A485" t="str">
        <x:v>Uttarakhand</x:v>
      </x:c>
      <x:c r="B485" t="str">
        <x:v>All India except Central University</x:v>
      </x:c>
      <x:c r="C485" t="str">
        <x:v>200305</x:v>
      </x:c>
      <x:c r="D485" t="str">
        <x:v>Doon Medical College, Dehradun, Uttarakhand, Government Doon Medical College, Dehrakhas Patel Nagar, Dehradun 248001</x:v>
      </x:c>
      <x:c r="E485" t="str">
        <x:v>UK/001/G/1</x:v>
      </x:c>
      <x:c r="F485" t="str">
        <x:v>Government</x:v>
      </x:c>
      <x:c r="G485" t="n">
        <x:v>150</x:v>
      </x:c>
      <x:c r="H485" t="n">
        <x:v>100</x:v>
      </x:c>
      <x:c r="I485" t="str">
        <x:v>High-confidence fuzzy</x:v>
      </x:c>
      <x:c r="J485" t="n">
        <x:v>23</x:v>
      </x:c>
      <x:c r="K485" t="n">
        <x:v>23</x:v>
      </x:c>
      <x:c r="L485" t="n">
        <x:f>J485-K485</x:f>
        <x:v>0</x:v>
      </x:c>
      <x:c r="M485" s="20" t="n">
        <x:f>IFERROR(K485/J485,0)</x:f>
        <x:v>1</x:v>
      </x:c>
      <x:c r="N485" t="n">
        <x:v>23</x:v>
      </x:c>
      <x:c r="O485" t="n">
        <x:v>23</x:v>
      </x:c>
      <x:c r="P485" t="n">
        <x:f>N485-O485</x:f>
        <x:v>0</x:v>
      </x:c>
      <x:c r="Q485" t="n">
        <x:v>0</x:v>
      </x:c>
      <x:c r="R485" t="n">
        <x:v>0</x:v>
      </x:c>
      <x:c r="S485" t="n">
        <x:f>Q485-R485</x:f>
        <x:v>0</x:v>
      </x:c>
      <x:c r="T485" t="n">
        <x:v>23</x:v>
      </x:c>
      <x:c r="U485" t="n">
        <x:v>23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f>IF(AND(ISNUMBER(G485),I485&lt;&gt;"Excluded INI"),MAX(0,G485-J485),"")</x:f>
        <x:v>127</x:v>
      </x:c>
      <x:c r="AC485" t="n">
        <x:v>5236</x:v>
      </x:c>
      <x:c r="AD485" t="n">
        <x:v>5705</x:v>
      </x:c>
      <x:c r="AE485" t="n">
        <x:v>7534</x:v>
      </x:c>
      <x:c r="AF485" t="n">
        <x:v>7658</x:v>
      </x:c>
      <x:c r="AG485" t="n">
        <x:v>8228</x:v>
      </x:c>
      <x:c r="AH485" t="n">
        <x:v>9131</x:v>
      </x:c>
      <x:c r="AI485" t="n">
        <x:v>30618</x:v>
      </x:c>
      <x:c r="AJ485" t="n">
        <x:v>31684</x:v>
      </x:c>
      <x:c r="AK485" t="n">
        <x:v>45804</x:v>
      </x:c>
      <x:c r="AL485" t="n">
        <x:v>51679</x:v>
      </x:c>
      <x:c r="AM485" t="str">
        <x:v>Fully allotted in R1; R2 opportunity depends on upgrade/non-joining</x:v>
      </x:c>
    </x:row>
    <x:row r="486">
      <x:c r="A486" t="str">
        <x:v>Uttarakhand</x:v>
      </x:c>
      <x:c r="B486" t="str">
        <x:v>All India except Central University</x:v>
      </x:c>
      <x:c r="C486" t="str">
        <x:v>200306</x:v>
      </x:c>
      <x:c r="D486" t="str">
        <x:v>Government Medical College (Prev.Uttarakhand Forest Hospital Trust Med.Col.), Haldwani, Government Medical College, Rampur Road Haldwani, Distt. Nainiatl</x:v>
      </x:c>
      <x:c r="E486" t="str">
        <x:v>UK/003/G/1</x:v>
      </x:c>
      <x:c r="F486" t="str">
        <x:v>Government</x:v>
      </x:c>
      <x:c r="G486" t="n">
        <x:v>125</x:v>
      </x:c>
      <x:c r="H486" t="n">
        <x:v>100</x:v>
      </x:c>
      <x:c r="I486" t="str">
        <x:v>High-confidence fuzzy</x:v>
      </x:c>
      <x:c r="J486" t="n">
        <x:v>19</x:v>
      </x:c>
      <x:c r="K486" t="n">
        <x:v>19</x:v>
      </x:c>
      <x:c r="L486" t="n">
        <x:f>J486-K486</x:f>
        <x:v>0</x:v>
      </x:c>
      <x:c r="M486" s="20" t="n">
        <x:f>IFERROR(K486/J486,0)</x:f>
        <x:v>1</x:v>
      </x:c>
      <x:c r="N486" t="n">
        <x:v>19</x:v>
      </x:c>
      <x:c r="O486" t="n">
        <x:v>19</x:v>
      </x:c>
      <x:c r="P486" t="n">
        <x:f>N486-O486</x:f>
        <x:v>0</x:v>
      </x:c>
      <x:c r="Q486" t="n">
        <x:v>0</x:v>
      </x:c>
      <x:c r="R486" t="n">
        <x:v>0</x:v>
      </x:c>
      <x:c r="S486" t="n">
        <x:f>Q486-R486</x:f>
        <x:v>0</x:v>
      </x:c>
      <x:c r="T486" t="n">
        <x:v>19</x:v>
      </x:c>
      <x:c r="U486" t="n">
        <x:v>19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f>IF(AND(ISNUMBER(G486),I486&lt;&gt;"Excluded INI"),MAX(0,G486-J486),"")</x:f>
        <x:v>106</x:v>
      </x:c>
      <x:c r="AC486" t="n">
        <x:v>5864</x:v>
      </x:c>
      <x:c r="AD486" t="n">
        <x:v>6813</x:v>
      </x:c>
      <x:c r="AE486" t="n">
        <x:v>8836</x:v>
      </x:c>
      <x:c r="AF486" t="n">
        <x:v>9366</x:v>
      </x:c>
      <x:c r="AG486" t="n">
        <x:v>9960</x:v>
      </x:c>
      <x:c r="AH486" t="n">
        <x:v>10019</x:v>
      </x:c>
      <x:c r="AI486" t="n">
        <x:v>50889</x:v>
      </x:c>
      <x:c r="AJ486" t="n">
        <x:v>53481</x:v>
      </x:c>
      <x:c r="AK486" t="n">
        <x:v>74786</x:v>
      </x:c>
      <x:c r="AL486" t="n">
        <x:v>78442</x:v>
      </x:c>
      <x:c r="AM486" t="str">
        <x:v>Fully allotted in R1; R2 opportunity depends on upgrade/non-joining</x:v>
      </x:c>
    </x:row>
    <x:row r="487">
      <x:c r="A487" t="str">
        <x:v>Uttarakhand</x:v>
      </x:c>
      <x:c r="B487" t="str">
        <x:v>All India except Central University</x:v>
      </x:c>
      <x:c r="C487" t="str">
        <x:v>903365</x:v>
      </x:c>
      <x:c r="D487" t="str">
        <x:v>Government Medical College, Haridwar, Jagjeetpur Laksar road Haridwar</x:v>
      </x:c>
      <x:c r="E487" t="str">
        <x:v>UK/004/G/1</x:v>
      </x:c>
      <x:c r="F487" t="str">
        <x:v>Government</x:v>
      </x:c>
      <x:c r="G487" t="n">
        <x:v>100</x:v>
      </x:c>
      <x:c r="H487" t="n">
        <x:v>100</x:v>
      </x:c>
      <x:c r="I487" t="str">
        <x:v>High-confidence fuzzy</x:v>
      </x:c>
      <x:c r="J487" t="n">
        <x:v>15</x:v>
      </x:c>
      <x:c r="K487" t="n">
        <x:v>15</x:v>
      </x:c>
      <x:c r="L487" t="n">
        <x:f>J487-K487</x:f>
        <x:v>0</x:v>
      </x:c>
      <x:c r="M487" s="20" t="n">
        <x:f>IFERROR(K487/J487,0)</x:f>
        <x:v>1</x:v>
      </x:c>
      <x:c r="N487" t="n">
        <x:v>15</x:v>
      </x:c>
      <x:c r="O487" t="n">
        <x:v>15</x:v>
      </x:c>
      <x:c r="P487" t="n">
        <x:f>N487-O487</x:f>
        <x:v>0</x:v>
      </x:c>
      <x:c r="Q487" t="n">
        <x:v>0</x:v>
      </x:c>
      <x:c r="R487" t="n">
        <x:v>0</x:v>
      </x:c>
      <x:c r="S487" t="n">
        <x:f>Q487-R487</x:f>
        <x:v>0</x:v>
      </x:c>
      <x:c r="T487" t="n">
        <x:v>15</x:v>
      </x:c>
      <x:c r="U487" t="n">
        <x:v>15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f>IF(AND(ISNUMBER(G487),I487&lt;&gt;"Excluded INI"),MAX(0,G487-J487),"")</x:f>
        <x:v>85</x:v>
      </x:c>
      <x:c r="AC487" t="n">
        <x:v>7721</x:v>
      </x:c>
      <x:c r="AD487" t="n">
        <x:v>8651</x:v>
      </x:c>
      <x:c r="AE487" t="n">
        <x:v>10530</x:v>
      </x:c>
      <x:c r="AF487" t="n">
        <x:v>11708</x:v>
      </x:c>
      <x:c r="AG487" t="n">
        <x:v>11504</x:v>
      </x:c>
      <x:c r="AH487" t="n">
        <x:v>12712</x:v>
      </x:c>
      <x:c r="AI487" t="n">
        <x:v>57642</x:v>
      </x:c>
      <x:c r="AJ487" t="n">
        <x:v>60707</x:v>
      </x:c>
      <x:c r="AK487" t="n">
        <x:v>64880</x:v>
      </x:c>
      <x:c r="AL487" t="n">
        <x:v>64880</x:v>
      </x:c>
      <x:c r="AM487" t="str">
        <x:v>Fully allotted in R1; R2 opportunity depends on upgrade/non-joining</x:v>
      </x:c>
    </x:row>
    <x:row r="488">
      <x:c r="A488" t="str">
        <x:v>Uttarakhand</x:v>
      </x:c>
      <x:c r="B488" t="str">
        <x:v>Deemed University</x:v>
      </x:c>
      <x:c r="C488" t="str">
        <x:v>902812</x:v>
      </x:c>
      <x:c r="D488" t="str">
        <x:v>Graphic Era Institute of Medical Sciences Dehradun, Uttrakhand, Graphic Era Institute of Medical Sciences 16th Milestone Chakrata Road Dehradun, Uttarakhand</x:v>
      </x:c>
      <x:c r="E488" t="str">
        <x:v>UK/005/P/4</x:v>
      </x:c>
      <x:c r="F488" t="str">
        <x:v>Private</x:v>
      </x:c>
      <x:c r="G488" t="n">
        <x:v>200</x:v>
      </x:c>
      <x:c r="H488" t="n">
        <x:v>100</x:v>
      </x:c>
      <x:c r="I488" t="str">
        <x:v>High-confidence fuzzy</x:v>
      </x:c>
      <x:c r="J488" t="n">
        <x:v>200</x:v>
      </x:c>
      <x:c r="K488" t="n">
        <x:v>170</x:v>
      </x:c>
      <x:c r="L488" t="n">
        <x:f>J488-K488</x:f>
        <x:v>30</x:v>
      </x:c>
      <x:c r="M488" s="20" t="n">
        <x:f>IFERROR(K488/J488,0)</x:f>
        <x:v>0.85</x:v>
      </x:c>
      <x:c r="N488" t="n">
        <x:v>0</x:v>
      </x:c>
      <x:c r="O488" t="n">
        <x:v>0</x:v>
      </x:c>
      <x:c r="P488" t="n">
        <x:f>N488-O488</x:f>
        <x:v>0</x:v>
      </x:c>
      <x:c r="Q488" t="n">
        <x:v>200</x:v>
      </x:c>
      <x:c r="R488" t="n">
        <x:v>170</x:v>
      </x:c>
      <x:c r="S488" t="n">
        <x:f>Q488-R488</x:f>
        <x:v>30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170</x:v>
      </x:c>
      <x:c r="Y488" t="n">
        <x:v>170</x:v>
      </x:c>
      <x:c r="Z488" t="n">
        <x:v>30</x:v>
      </x:c>
      <x:c r="AA488" t="n">
        <x:v>0</x:v>
      </x:c>
      <x:c r="AB488" t="n">
        <x:f>IF(AND(ISNUMBER(G488),I488&lt;&gt;"Excluded INI"),MAX(0,G488-J488),"")</x:f>
        <x:v>0</x:v>
      </x:c>
      <x:c r="AC488" t="n">
        <x:v>479276</x:v>
      </x:c>
      <x:c r="AD488" t="n">
        <x:v>564667</x:v>
      </x:c>
      <x:c r="AE488"/>
      <x:c r="AF488"/>
      <x:c r="AG488"/>
      <x:c r="AH488"/>
      <x:c r="AI488"/>
      <x:c r="AJ488"/>
      <x:c r="AK488"/>
      <x:c r="AL488"/>
      <x:c r="AM488" t="str">
        <x:v>Unfilled mainly private/NRI/minority; regular R2 depends on movement</x:v>
      </x:c>
    </x:row>
    <x:row r="489">
      <x:c r="A489" t="str">
        <x:v>Uttarakhand</x:v>
      </x:c>
      <x:c r="B489" t="str">
        <x:v>All India except Central University</x:v>
      </x:c>
      <x:c r="C489" t="str">
        <x:v>200582</x:v>
      </x:c>
      <x:c r="D489" t="str">
        <x:v>Soban Singh jeena Government institute of Medical science &amp; Research, Almora, Near Vikas Bhawan Pandeykhola Almora</x:v>
      </x:c>
      <x:c r="E489" t="str">
        <x:v>UK/008/G/1</x:v>
      </x:c>
      <x:c r="F489" t="str">
        <x:v>Government</x:v>
      </x:c>
      <x:c r="G489" t="n">
        <x:v>100</x:v>
      </x:c>
      <x:c r="H489" t="n">
        <x:v>100</x:v>
      </x:c>
      <x:c r="I489" t="str">
        <x:v>High-confidence fuzzy</x:v>
      </x:c>
      <x:c r="J489" t="n">
        <x:v>15</x:v>
      </x:c>
      <x:c r="K489" t="n">
        <x:v>15</x:v>
      </x:c>
      <x:c r="L489" t="n">
        <x:f>J489-K489</x:f>
        <x:v>0</x:v>
      </x:c>
      <x:c r="M489" s="20" t="n">
        <x:f>IFERROR(K489/J489,0)</x:f>
        <x:v>1</x:v>
      </x:c>
      <x:c r="N489" t="n">
        <x:v>15</x:v>
      </x:c>
      <x:c r="O489" t="n">
        <x:v>15</x:v>
      </x:c>
      <x:c r="P489" t="n">
        <x:f>N489-O489</x:f>
        <x:v>0</x:v>
      </x:c>
      <x:c r="Q489" t="n">
        <x:v>0</x:v>
      </x:c>
      <x:c r="R489" t="n">
        <x:v>0</x:v>
      </x:c>
      <x:c r="S489" t="n">
        <x:f>Q489-R489</x:f>
        <x:v>0</x:v>
      </x:c>
      <x:c r="T489" t="n">
        <x:v>15</x:v>
      </x:c>
      <x:c r="U489" t="n">
        <x:v>15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f>IF(AND(ISNUMBER(G489),I489&lt;&gt;"Excluded INI"),MAX(0,G489-J489),"")</x:f>
        <x:v>85</x:v>
      </x:c>
      <x:c r="AC489" t="n">
        <x:v>11354</x:v>
      </x:c>
      <x:c r="AD489" t="n">
        <x:v>11600</x:v>
      </x:c>
      <x:c r="AE489" t="n">
        <x:v>13466</x:v>
      </x:c>
      <x:c r="AF489" t="n">
        <x:v>14483</x:v>
      </x:c>
      <x:c r="AG489" t="n">
        <x:v>13823</x:v>
      </x:c>
      <x:c r="AH489" t="n">
        <x:v>13823</x:v>
      </x:c>
      <x:c r="AI489" t="n">
        <x:v>69031</x:v>
      </x:c>
      <x:c r="AJ489" t="n">
        <x:v>74671</x:v>
      </x:c>
      <x:c r="AK489" t="n">
        <x:v>86684</x:v>
      </x:c>
      <x:c r="AL489" t="n">
        <x:v>86684</x:v>
      </x:c>
      <x:c r="AM489" t="str">
        <x:v>Fully allotted in R1; R2 opportunity depends on upgrade/non-joining</x:v>
      </x:c>
    </x:row>
    <x:row r="490">
      <x:c r="A490" t="str">
        <x:v>Uttarakhand</x:v>
      </x:c>
      <x:c r="B490" t="str">
        <x:v>All India except Central University</x:v>
      </x:c>
      <x:c r="C490" t="str">
        <x:v>200304</x:v>
      </x:c>
      <x:c r="D490" t="str">
        <x:v>Veer Chandra Singh Garhwali Govt. Medical Sc. &amp; Research Instt, Srinagar, Pauri Garhwal, BADRINATH MARG, SRIKOT, SRINAGAR - PAURI GARHWAL</x:v>
      </x:c>
      <x:c r="E490" t="str">
        <x:v>UK/009/G/1</x:v>
      </x:c>
      <x:c r="F490" t="str">
        <x:v>Government</x:v>
      </x:c>
      <x:c r="G490" t="n">
        <x:v>150</x:v>
      </x:c>
      <x:c r="H490" t="n">
        <x:v>100</x:v>
      </x:c>
      <x:c r="I490" t="str">
        <x:v>High-confidence fuzzy</x:v>
      </x:c>
      <x:c r="J490" t="n">
        <x:v>23</x:v>
      </x:c>
      <x:c r="K490" t="n">
        <x:v>23</x:v>
      </x:c>
      <x:c r="L490" t="n">
        <x:f>J490-K490</x:f>
        <x:v>0</x:v>
      </x:c>
      <x:c r="M490" s="20" t="n">
        <x:f>IFERROR(K490/J490,0)</x:f>
        <x:v>1</x:v>
      </x:c>
      <x:c r="N490" t="n">
        <x:v>23</x:v>
      </x:c>
      <x:c r="O490" t="n">
        <x:v>23</x:v>
      </x:c>
      <x:c r="P490" t="n">
        <x:f>N490-O490</x:f>
        <x:v>0</x:v>
      </x:c>
      <x:c r="Q490" t="n">
        <x:v>0</x:v>
      </x:c>
      <x:c r="R490" t="n">
        <x:v>0</x:v>
      </x:c>
      <x:c r="S490" t="n">
        <x:f>Q490-R490</x:f>
        <x:v>0</x:v>
      </x:c>
      <x:c r="T490" t="n">
        <x:v>23</x:v>
      </x:c>
      <x:c r="U490" t="n">
        <x:v>23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f>IF(AND(ISNUMBER(G490),I490&lt;&gt;"Excluded INI"),MAX(0,G490-J490),"")</x:f>
        <x:v>127</x:v>
      </x:c>
      <x:c r="AC490" t="n">
        <x:v>8322</x:v>
      </x:c>
      <x:c r="AD490" t="n">
        <x:v>10587</x:v>
      </x:c>
      <x:c r="AE490" t="n">
        <x:v>12184</x:v>
      </x:c>
      <x:c r="AF490" t="n">
        <x:v>13007</x:v>
      </x:c>
      <x:c r="AG490" t="n">
        <x:v>13072</x:v>
      </x:c>
      <x:c r="AH490" t="n">
        <x:v>13865</x:v>
      </x:c>
      <x:c r="AI490" t="n">
        <x:v>59627</x:v>
      </x:c>
      <x:c r="AJ490" t="n">
        <x:v>64798</x:v>
      </x:c>
      <x:c r="AK490" t="n">
        <x:v>85214</x:v>
      </x:c>
      <x:c r="AL490" t="n">
        <x:v>89080</x:v>
      </x:c>
      <x:c r="AM490" t="str">
        <x:v>Fully allotted in R1; R2 opportunity depends on upgrade/non-joining</x:v>
      </x:c>
    </x:row>
    <x:row r="491">
      <x:c r="A491" t="str">
        <x:v>West Bengal</x:v>
      </x:c>
      <x:c r="B491" t="str">
        <x:v>All India Institute Of Medical Science(AIIMS)</x:v>
      </x:c>
      <x:c r="C491" t="str">
        <x:v>200514</x:v>
      </x:c>
      <x:c r="D491" t="str">
        <x:v>AIIMS, Kalyani, NH-34 Connector, Basantapur, Saguna, Kalyani, 741245, West Bengal, India</x:v>
      </x:c>
      <x:c r="E491" t="str"/>
      <x:c r="F491" t="str"/>
      <x:c r="G491"/>
      <x:c r="H491" t="n">
        <x:v>100</x:v>
      </x:c>
      <x:c r="I491" t="str">
        <x:v>Excluded INI</x:v>
      </x:c>
      <x:c r="J491" t="n">
        <x:v>125</x:v>
      </x:c>
      <x:c r="K491" t="n">
        <x:v>125</x:v>
      </x:c>
      <x:c r="L491" t="n">
        <x:f>J491-K491</x:f>
        <x:v>0</x:v>
      </x:c>
      <x:c r="M491" s="20" t="n">
        <x:f>IFERROR(K491/J491,0)</x:f>
        <x:v>1</x:v>
      </x:c>
      <x:c r="N491" t="n">
        <x:v>125</x:v>
      </x:c>
      <x:c r="O491" t="n">
        <x:v>125</x:v>
      </x:c>
      <x:c r="P491" t="n">
        <x:f>N491-O491</x:f>
        <x:v>0</x:v>
      </x:c>
      <x:c r="Q491" t="n">
        <x:v>0</x:v>
      </x:c>
      <x:c r="R491" t="n">
        <x:v>0</x:v>
      </x:c>
      <x:c r="S491" t="n">
        <x:f>Q491-R491</x:f>
        <x:v>0</x:v>
      </x:c>
      <x:c r="T491" t="n">
        <x:v>0</x:v>
      </x:c>
      <x:c r="U491" t="n">
        <x:v>0</x:v>
      </x:c>
      <x:c r="V491" t="n">
        <x:v>125</x:v>
      </x:c>
      <x:c r="W491" t="n">
        <x:v>125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str">
        <x:f>IF(AND(ISNUMBER(G491),I491&lt;&gt;"Excluded INI"),MAX(0,G491-J491),"")</x:f>
      </x:c>
      <x:c r="AC491" t="n">
        <x:v>1773</x:v>
      </x:c>
      <x:c r="AD491" t="n">
        <x:v>2188</x:v>
      </x:c>
      <x:c r="AE491" t="n">
        <x:v>2748</x:v>
      </x:c>
      <x:c r="AF491" t="n">
        <x:v>3049</x:v>
      </x:c>
      <x:c r="AG491" t="n">
        <x:v>3681</x:v>
      </x:c>
      <x:c r="AH491" t="n">
        <x:v>3955</x:v>
      </x:c>
      <x:c r="AI491" t="n">
        <x:v>15324</x:v>
      </x:c>
      <x:c r="AJ491" t="n">
        <x:v>18440</x:v>
      </x:c>
      <x:c r="AK491" t="n">
        <x:v>33008</x:v>
      </x:c>
      <x:c r="AL491" t="n">
        <x:v>37522</x:v>
      </x:c>
      <x:c r="AM491" t="str">
        <x:v>Fully allotted in R1; R2 opportunity depends on upgrade/non-joining</x:v>
      </x:c>
    </x:row>
    <x:row r="492">
      <x:c r="A492" t="str">
        <x:v>West Bengal</x:v>
      </x:c>
      <x:c r="B492" t="str">
        <x:v>All India except Central University</x:v>
      </x:c>
      <x:c r="C492" t="str">
        <x:v>200307</x:v>
      </x:c>
      <x:c r="D492" t="str">
        <x:v>Bankura Sammilani Medical College, Bankura, Principal, Bankura Sammilani Medical College, Lokepur, PO- Kenduadihi, Bankura, Pin- 722102</x:v>
      </x:c>
      <x:c r="E492" t="str">
        <x:v>WB/001/G/1</x:v>
      </x:c>
      <x:c r="F492" t="str">
        <x:v>Government</x:v>
      </x:c>
      <x:c r="G492" t="n">
        <x:v>200</x:v>
      </x:c>
      <x:c r="H492" t="n">
        <x:v>100</x:v>
      </x:c>
      <x:c r="I492" t="str">
        <x:v>High-confidence fuzzy</x:v>
      </x:c>
      <x:c r="J492" t="n">
        <x:v>30</x:v>
      </x:c>
      <x:c r="K492" t="n">
        <x:v>30</x:v>
      </x:c>
      <x:c r="L492" t="n">
        <x:f>J492-K492</x:f>
        <x:v>0</x:v>
      </x:c>
      <x:c r="M492" s="20" t="n">
        <x:f>IFERROR(K492/J492,0)</x:f>
        <x:v>1</x:v>
      </x:c>
      <x:c r="N492" t="n">
        <x:v>30</x:v>
      </x:c>
      <x:c r="O492" t="n">
        <x:v>30</x:v>
      </x:c>
      <x:c r="P492" t="n">
        <x:f>N492-O492</x:f>
        <x:v>0</x:v>
      </x:c>
      <x:c r="Q492" t="n">
        <x:v>0</x:v>
      </x:c>
      <x:c r="R492" t="n">
        <x:v>0</x:v>
      </x:c>
      <x:c r="S492" t="n">
        <x:f>Q492-R492</x:f>
        <x:v>0</x:v>
      </x:c>
      <x:c r="T492" t="n">
        <x:v>30</x:v>
      </x:c>
      <x:c r="U492" t="n">
        <x:v>30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f>IF(AND(ISNUMBER(G492),I492&lt;&gt;"Excluded INI"),MAX(0,G492-J492),"")</x:f>
        <x:v>170</x:v>
      </x:c>
      <x:c r="AC492" t="n">
        <x:v>12424</x:v>
      </x:c>
      <x:c r="AD492" t="n">
        <x:v>12710</x:v>
      </x:c>
      <x:c r="AE492" t="n">
        <x:v>14792</x:v>
      </x:c>
      <x:c r="AF492" t="n">
        <x:v>15249</x:v>
      </x:c>
      <x:c r="AG492" t="n">
        <x:v>14708</x:v>
      </x:c>
      <x:c r="AH492" t="n">
        <x:v>16140</x:v>
      </x:c>
      <x:c r="AI492" t="n">
        <x:v>73980</x:v>
      </x:c>
      <x:c r="AJ492" t="n">
        <x:v>74361</x:v>
      </x:c>
      <x:c r="AK492" t="n">
        <x:v>101416</x:v>
      </x:c>
      <x:c r="AL492" t="n">
        <x:v>101628</x:v>
      </x:c>
      <x:c r="AM492" t="str">
        <x:v>Fully allotted in R1; R2 opportunity depends on upgrade/non-joining</x:v>
      </x:c>
    </x:row>
    <x:row r="493">
      <x:c r="A493" t="str">
        <x:v>West Bengal</x:v>
      </x:c>
      <x:c r="B493" t="str">
        <x:v>All India except Central University</x:v>
      </x:c>
      <x:c r="C493" t="str">
        <x:v>200613</x:v>
      </x:c>
      <x:c r="D493" t="str">
        <x:v>Barasat Government Medical College &amp; Hospital, 80 Jessore Road Banamalipur JL NO 80and Uttorhat JL no 78 Barasat North Twenty Four Parganas 700124</x:v>
      </x:c>
      <x:c r="E493" t="str">
        <x:v>WB/002/G/1</x:v>
      </x:c>
      <x:c r="F493" t="str">
        <x:v>Government</x:v>
      </x:c>
      <x:c r="G493" t="n">
        <x:v>100</x:v>
      </x:c>
      <x:c r="H493" t="n">
        <x:v>100</x:v>
      </x:c>
      <x:c r="I493" t="str">
        <x:v>High-confidence fuzzy</x:v>
      </x:c>
      <x:c r="J493" t="n">
        <x:v>15</x:v>
      </x:c>
      <x:c r="K493" t="n">
        <x:v>15</x:v>
      </x:c>
      <x:c r="L493" t="n">
        <x:f>J493-K493</x:f>
        <x:v>0</x:v>
      </x:c>
      <x:c r="M493" s="20" t="n">
        <x:f>IFERROR(K493/J493,0)</x:f>
        <x:v>1</x:v>
      </x:c>
      <x:c r="N493" t="n">
        <x:v>15</x:v>
      </x:c>
      <x:c r="O493" t="n">
        <x:v>15</x:v>
      </x:c>
      <x:c r="P493" t="n">
        <x:f>N493-O493</x:f>
        <x:v>0</x:v>
      </x:c>
      <x:c r="Q493" t="n">
        <x:v>0</x:v>
      </x:c>
      <x:c r="R493" t="n">
        <x:v>0</x:v>
      </x:c>
      <x:c r="S493" t="n">
        <x:f>Q493-R493</x:f>
        <x:v>0</x:v>
      </x:c>
      <x:c r="T493" t="n">
        <x:v>15</x:v>
      </x:c>
      <x:c r="U493" t="n">
        <x:v>15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f>IF(AND(ISNUMBER(G493),I493&lt;&gt;"Excluded INI"),MAX(0,G493-J493),"")</x:f>
        <x:v>85</x:v>
      </x:c>
      <x:c r="AC493" t="n">
        <x:v>11236</x:v>
      </x:c>
      <x:c r="AD493" t="n">
        <x:v>11947</x:v>
      </x:c>
      <x:c r="AE493" t="n">
        <x:v>15598</x:v>
      </x:c>
      <x:c r="AF493" t="n">
        <x:v>16446</x:v>
      </x:c>
      <x:c r="AG493" t="n">
        <x:v>18644</x:v>
      </x:c>
      <x:c r="AH493" t="n">
        <x:v>19248</x:v>
      </x:c>
      <x:c r="AI493" t="n">
        <x:v>87044</x:v>
      </x:c>
      <x:c r="AJ493" t="n">
        <x:v>87396</x:v>
      </x:c>
      <x:c r="AK493" t="n">
        <x:v>67896</x:v>
      </x:c>
      <x:c r="AL493" t="n">
        <x:v>67896</x:v>
      </x:c>
      <x:c r="AM493" t="str">
        <x:v>Fully allotted in R1; R2 opportunity depends on upgrade/non-joining</x:v>
      </x:c>
    </x:row>
    <x:row r="494">
      <x:c r="A494" t="str">
        <x:v>West Bengal</x:v>
      </x:c>
      <x:c r="B494" t="str">
        <x:v>All India except Central University</x:v>
      </x:c>
      <x:c r="C494" t="str">
        <x:v>200309</x:v>
      </x:c>
      <x:c r="D494" t="str">
        <x:v>Burdwan Medical College, Burdwan, BURDWAN MEDICAL COLLEGE, BABURBAG, POST- RAJBATI, DIST- PURBA BARDHAMAN, PIN-713104,WEST BENGAL</x:v>
      </x:c>
      <x:c r="E494" t="str">
        <x:v>WB/003/G/1</x:v>
      </x:c>
      <x:c r="F494" t="str">
        <x:v>Government</x:v>
      </x:c>
      <x:c r="G494" t="n">
        <x:v>200</x:v>
      </x:c>
      <x:c r="H494" t="n">
        <x:v>100</x:v>
      </x:c>
      <x:c r="I494" t="str">
        <x:v>High-confidence fuzzy</x:v>
      </x:c>
      <x:c r="J494" t="n">
        <x:v>38</x:v>
      </x:c>
      <x:c r="K494" t="n">
        <x:v>38</x:v>
      </x:c>
      <x:c r="L494" t="n">
        <x:f>J494-K494</x:f>
        <x:v>0</x:v>
      </x:c>
      <x:c r="M494" s="20" t="n">
        <x:f>IFERROR(K494/J494,0)</x:f>
        <x:v>1</x:v>
      </x:c>
      <x:c r="N494" t="n">
        <x:v>38</x:v>
      </x:c>
      <x:c r="O494" t="n">
        <x:v>38</x:v>
      </x:c>
      <x:c r="P494" t="n">
        <x:f>N494-O494</x:f>
        <x:v>0</x:v>
      </x:c>
      <x:c r="Q494" t="n">
        <x:v>0</x:v>
      </x:c>
      <x:c r="R494" t="n">
        <x:v>0</x:v>
      </x:c>
      <x:c r="S494" t="n">
        <x:f>Q494-R494</x:f>
        <x:v>0</x:v>
      </x:c>
      <x:c r="T494" t="n">
        <x:v>38</x:v>
      </x:c>
      <x:c r="U494" t="n">
        <x:v>38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f>IF(AND(ISNUMBER(G494),I494&lt;&gt;"Excluded INI"),MAX(0,G494-J494),"")</x:f>
        <x:v>162</x:v>
      </x:c>
      <x:c r="AC494" t="n">
        <x:v>9563</x:v>
      </x:c>
      <x:c r="AD494" t="n">
        <x:v>10132</x:v>
      </x:c>
      <x:c r="AE494" t="n">
        <x:v>12040</x:v>
      </x:c>
      <x:c r="AF494" t="n">
        <x:v>12702</x:v>
      </x:c>
      <x:c r="AG494" t="n">
        <x:v>13894</x:v>
      </x:c>
      <x:c r="AH494" t="n">
        <x:v>14612</x:v>
      </x:c>
      <x:c r="AI494" t="n">
        <x:v>64016</x:v>
      </x:c>
      <x:c r="AJ494" t="n">
        <x:v>66920</x:v>
      </x:c>
      <x:c r="AK494" t="n">
        <x:v>95138</x:v>
      </x:c>
      <x:c r="AL494" t="n">
        <x:v>97163</x:v>
      </x:c>
      <x:c r="AM494" t="str">
        <x:v>Fully allotted in R1; R2 opportunity depends on upgrade/non-joining</x:v>
      </x:c>
    </x:row>
    <x:row r="495">
      <x:c r="A495" t="str">
        <x:v>West Bengal</x:v>
      </x:c>
      <x:c r="B495" t="str">
        <x:v>All India except Central University</x:v>
      </x:c>
      <x:c r="C495" t="str">
        <x:v>200310</x:v>
      </x:c>
      <x:c r="D495" t="str">
        <x:v>Calcutta National Medical College, Kolkata, 32, GORACHAND ROAD, PARK CIRCUS, KOLKATA - 700014</x:v>
      </x:c>
      <x:c r="E495" t="str">
        <x:v>WB/012/G/1</x:v>
      </x:c>
      <x:c r="F495" t="str">
        <x:v>Government</x:v>
      </x:c>
      <x:c r="G495" t="n">
        <x:v>250</x:v>
      </x:c>
      <x:c r="H495" t="n">
        <x:v>100</x:v>
      </x:c>
      <x:c r="I495" t="str">
        <x:v>Manual/high-confidence alias</x:v>
      </x:c>
      <x:c r="J495" t="n">
        <x:v>37</x:v>
      </x:c>
      <x:c r="K495" t="n">
        <x:v>37</x:v>
      </x:c>
      <x:c r="L495" t="n">
        <x:f>J495-K495</x:f>
        <x:v>0</x:v>
      </x:c>
      <x:c r="M495" s="20" t="n">
        <x:f>IFERROR(K495/J495,0)</x:f>
        <x:v>1</x:v>
      </x:c>
      <x:c r="N495" t="n">
        <x:v>37</x:v>
      </x:c>
      <x:c r="O495" t="n">
        <x:v>37</x:v>
      </x:c>
      <x:c r="P495" t="n">
        <x:f>N495-O495</x:f>
        <x:v>0</x:v>
      </x:c>
      <x:c r="Q495" t="n">
        <x:v>0</x:v>
      </x:c>
      <x:c r="R495" t="n">
        <x:v>0</x:v>
      </x:c>
      <x:c r="S495" t="n">
        <x:f>Q495-R495</x:f>
        <x:v>0</x:v>
      </x:c>
      <x:c r="T495" t="n">
        <x:v>37</x:v>
      </x:c>
      <x:c r="U495" t="n">
        <x:v>37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f>IF(AND(ISNUMBER(G495),I495&lt;&gt;"Excluded INI"),MAX(0,G495-J495),"")</x:f>
        <x:v>213</x:v>
      </x:c>
      <x:c r="AC495" t="n">
        <x:v>4990</x:v>
      </x:c>
      <x:c r="AD495" t="n">
        <x:v>5736</x:v>
      </x:c>
      <x:c r="AE495" t="n">
        <x:v>6718</x:v>
      </x:c>
      <x:c r="AF495" t="n">
        <x:v>7451</x:v>
      </x:c>
      <x:c r="AG495" t="n">
        <x:v>7637</x:v>
      </x:c>
      <x:c r="AH495" t="n">
        <x:v>8071</x:v>
      </x:c>
      <x:c r="AI495" t="n">
        <x:v>36084</x:v>
      </x:c>
      <x:c r="AJ495" t="n">
        <x:v>42214</x:v>
      </x:c>
      <x:c r="AK495" t="n">
        <x:v>80570</x:v>
      </x:c>
      <x:c r="AL495" t="n">
        <x:v>87582</x:v>
      </x:c>
      <x:c r="AM495" t="str">
        <x:v>Fully allotted in R1; R2 opportunity depends on upgrade/non-joining</x:v>
      </x:c>
    </x:row>
    <x:row r="496">
      <x:c r="A496" t="str">
        <x:v>West Bengal</x:v>
      </x:c>
      <x:c r="B496" t="str">
        <x:v>All India except Central University</x:v>
      </x:c>
      <x:c r="C496" t="str">
        <x:v>200467</x:v>
      </x:c>
      <x:c r="D496" t="str">
        <x:v>College of Medicine and JNM Hospital, Kalyani, Nadia, A Block PS- Kalyani District - Nadia,West Bengal,Pin 741235</x:v>
      </x:c>
      <x:c r="E496" t="str">
        <x:v>WB/005/G/1</x:v>
      </x:c>
      <x:c r="F496" t="str">
        <x:v>Government</x:v>
      </x:c>
      <x:c r="G496" t="n">
        <x:v>150</x:v>
      </x:c>
      <x:c r="H496" t="n">
        <x:v>100</x:v>
      </x:c>
      <x:c r="I496" t="str">
        <x:v>High-confidence fuzzy</x:v>
      </x:c>
      <x:c r="J496" t="n">
        <x:v>23</x:v>
      </x:c>
      <x:c r="K496" t="n">
        <x:v>23</x:v>
      </x:c>
      <x:c r="L496" t="n">
        <x:f>J496-K496</x:f>
        <x:v>0</x:v>
      </x:c>
      <x:c r="M496" s="20" t="n">
        <x:f>IFERROR(K496/J496,0)</x:f>
        <x:v>1</x:v>
      </x:c>
      <x:c r="N496" t="n">
        <x:v>23</x:v>
      </x:c>
      <x:c r="O496" t="n">
        <x:v>23</x:v>
      </x:c>
      <x:c r="P496" t="n">
        <x:f>N496-O496</x:f>
        <x:v>0</x:v>
      </x:c>
      <x:c r="Q496" t="n">
        <x:v>0</x:v>
      </x:c>
      <x:c r="R496" t="n">
        <x:v>0</x:v>
      </x:c>
      <x:c r="S496" t="n">
        <x:f>Q496-R496</x:f>
        <x:v>0</x:v>
      </x:c>
      <x:c r="T496" t="n">
        <x:v>23</x:v>
      </x:c>
      <x:c r="U496" t="n">
        <x:v>23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f>IF(AND(ISNUMBER(G496),I496&lt;&gt;"Excluded INI"),MAX(0,G496-J496),"")</x:f>
        <x:v>127</x:v>
      </x:c>
      <x:c r="AC496" t="n">
        <x:v>9959</x:v>
      </x:c>
      <x:c r="AD496" t="n">
        <x:v>10855</x:v>
      </x:c>
      <x:c r="AE496" t="n">
        <x:v>13518</x:v>
      </x:c>
      <x:c r="AF496" t="n">
        <x:v>13951</x:v>
      </x:c>
      <x:c r="AG496" t="n">
        <x:v>14479</x:v>
      </x:c>
      <x:c r="AH496" t="n">
        <x:v>14605</x:v>
      </x:c>
      <x:c r="AI496" t="n">
        <x:v>69589</x:v>
      </x:c>
      <x:c r="AJ496" t="n">
        <x:v>74620</x:v>
      </x:c>
      <x:c r="AK496" t="n">
        <x:v>103836</x:v>
      </x:c>
      <x:c r="AL496" t="n">
        <x:v>103836</x:v>
      </x:c>
      <x:c r="AM496" t="str">
        <x:v>Fully allotted in R1; R2 opportunity depends on upgrade/non-joining</x:v>
      </x:c>
    </x:row>
    <x:row r="497">
      <x:c r="A497" t="str">
        <x:v>West Bengal</x:v>
      </x:c>
      <x:c r="B497" t="str">
        <x:v>All India except Central University</x:v>
      </x:c>
      <x:c r="C497" t="str">
        <x:v>200323</x:v>
      </x:c>
      <x:c r="D497" t="str">
        <x:v>College of Medicine and Sagore Dutta Hospital, Kolkata, 578, B.T. Road, Kamarhati, Kolkata</x:v>
      </x:c>
      <x:c r="E497" t="str">
        <x:v>WB/006/G/1</x:v>
      </x:c>
      <x:c r="F497" t="str">
        <x:v>Government</x:v>
      </x:c>
      <x:c r="G497" t="n">
        <x:v>150</x:v>
      </x:c>
      <x:c r="H497" t="n">
        <x:v>100</x:v>
      </x:c>
      <x:c r="I497" t="str">
        <x:v>High-confidence fuzzy</x:v>
      </x:c>
      <x:c r="J497" t="n">
        <x:v>23</x:v>
      </x:c>
      <x:c r="K497" t="n">
        <x:v>22</x:v>
      </x:c>
      <x:c r="L497" t="n">
        <x:f>J497-K497</x:f>
        <x:v>1</x:v>
      </x:c>
      <x:c r="M497" s="20" t="n">
        <x:f>IFERROR(K497/J497,0)</x:f>
        <x:v>0.9565217391304348</x:v>
      </x:c>
      <x:c r="N497" t="n">
        <x:v>23</x:v>
      </x:c>
      <x:c r="O497" t="n">
        <x:v>22</x:v>
      </x:c>
      <x:c r="P497" t="n">
        <x:f>N497-O497</x:f>
        <x:v>1</x:v>
      </x:c>
      <x:c r="Q497" t="n">
        <x:v>0</x:v>
      </x:c>
      <x:c r="R497" t="n">
        <x:v>0</x:v>
      </x:c>
      <x:c r="S497" t="n">
        <x:f>Q497-R497</x:f>
        <x:v>0</x:v>
      </x:c>
      <x:c r="T497" t="n">
        <x:v>23</x:v>
      </x:c>
      <x:c r="U497" t="n">
        <x:v>22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f>IF(AND(ISNUMBER(G497),I497&lt;&gt;"Excluded INI"),MAX(0,G497-J497),"")</x:f>
        <x:v>127</x:v>
      </x:c>
      <x:c r="AC497" t="n">
        <x:v>8080</x:v>
      </x:c>
      <x:c r="AD497" t="n">
        <x:v>8626</x:v>
      </x:c>
      <x:c r="AE497" t="n">
        <x:v>10088</x:v>
      </x:c>
      <x:c r="AF497" t="n">
        <x:v>10366</x:v>
      </x:c>
      <x:c r="AG497" t="n">
        <x:v>10517</x:v>
      </x:c>
      <x:c r="AH497" t="n">
        <x:v>10776</x:v>
      </x:c>
      <x:c r="AI497" t="n">
        <x:v>54151</x:v>
      </x:c>
      <x:c r="AJ497" t="n">
        <x:v>64400</x:v>
      </x:c>
      <x:c r="AK497" t="n">
        <x:v>87101</x:v>
      </x:c>
      <x:c r="AL497" t="n">
        <x:v>87101</x:v>
      </x:c>
      <x:c r="AM497" t="str">
        <x:v>R1 regular-central gap visible; verify in official R2 matrix</x:v>
      </x:c>
    </x:row>
    <x:row r="498">
      <x:c r="A498" t="str">
        <x:v>West Bengal</x:v>
      </x:c>
      <x:c r="B498" t="str">
        <x:v>All India except Central University</x:v>
      </x:c>
      <x:c r="C498" t="str">
        <x:v>200466</x:v>
      </x:c>
      <x:c r="D498" t="str">
        <x:v>Coochbehar Government Medical College &amp; Hospital, Coochbehar, WB, Vivekananda Street, Pilkhana, Beside Panchanan Barma University, Coochbehar</x:v>
      </x:c>
      <x:c r="E498" t="str">
        <x:v>WB/007/G/1</x:v>
      </x:c>
      <x:c r="F498" t="str">
        <x:v>Government</x:v>
      </x:c>
      <x:c r="G498" t="n">
        <x:v>150</x:v>
      </x:c>
      <x:c r="H498" t="n">
        <x:v>100</x:v>
      </x:c>
      <x:c r="I498" t="str">
        <x:v>High-confidence fuzzy</x:v>
      </x:c>
      <x:c r="J498" t="n">
        <x:v>23</x:v>
      </x:c>
      <x:c r="K498" t="n">
        <x:v>23</x:v>
      </x:c>
      <x:c r="L498" t="n">
        <x:f>J498-K498</x:f>
        <x:v>0</x:v>
      </x:c>
      <x:c r="M498" s="20" t="n">
        <x:f>IFERROR(K498/J498,0)</x:f>
        <x:v>1</x:v>
      </x:c>
      <x:c r="N498" t="n">
        <x:v>23</x:v>
      </x:c>
      <x:c r="O498" t="n">
        <x:v>23</x:v>
      </x:c>
      <x:c r="P498" t="n">
        <x:f>N498-O498</x:f>
        <x:v>0</x:v>
      </x:c>
      <x:c r="Q498" t="n">
        <x:v>0</x:v>
      </x:c>
      <x:c r="R498" t="n">
        <x:v>0</x:v>
      </x:c>
      <x:c r="S498" t="n">
        <x:f>Q498-R498</x:f>
        <x:v>0</x:v>
      </x:c>
      <x:c r="T498" t="n">
        <x:v>23</x:v>
      </x:c>
      <x:c r="U498" t="n">
        <x:v>23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f>IF(AND(ISNUMBER(G498),I498&lt;&gt;"Excluded INI"),MAX(0,G498-J498),"")</x:f>
        <x:v>127</x:v>
      </x:c>
      <x:c r="AC498" t="n">
        <x:v>17693</x:v>
      </x:c>
      <x:c r="AD498" t="n">
        <x:v>18694</x:v>
      </x:c>
      <x:c r="AE498" t="n">
        <x:v>19412</x:v>
      </x:c>
      <x:c r="AF498" t="n">
        <x:v>19912</x:v>
      </x:c>
      <x:c r="AG498" t="n">
        <x:v>20096</x:v>
      </x:c>
      <x:c r="AH498" t="n">
        <x:v>21229</x:v>
      </x:c>
      <x:c r="AI498" t="n">
        <x:v>89144</x:v>
      </x:c>
      <x:c r="AJ498" t="n">
        <x:v>92948</x:v>
      </x:c>
      <x:c r="AK498" t="n">
        <x:v>114805</x:v>
      </x:c>
      <x:c r="AL498" t="n">
        <x:v>118038</x:v>
      </x:c>
      <x:c r="AM498" t="str">
        <x:v>Fully allotted in R1; R2 opportunity depends on upgrade/non-joining</x:v>
      </x:c>
    </x:row>
    <x:row r="499">
      <x:c r="A499" t="str">
        <x:v>West Bengal</x:v>
      </x:c>
      <x:c r="B499" t="str">
        <x:v>All India except Central University</x:v>
      </x:c>
      <x:c r="C499" t="str">
        <x:v>200474</x:v>
      </x:c>
      <x:c r="D499" t="str">
        <x:v>Diamond Harbour Government Medical College and Hospital, West Bengal, New Town, Post-Diamond Harbour, PS- Diamond Harbour, District South 24 Parganas</x:v>
      </x:c>
      <x:c r="E499" t="str">
        <x:v>WB/008/G/1</x:v>
      </x:c>
      <x:c r="F499" t="str">
        <x:v>Government</x:v>
      </x:c>
      <x:c r="G499" t="n">
        <x:v>150</x:v>
      </x:c>
      <x:c r="H499" t="n">
        <x:v>100</x:v>
      </x:c>
      <x:c r="I499" t="str">
        <x:v>High-confidence fuzzy</x:v>
      </x:c>
      <x:c r="J499" t="n">
        <x:v>23</x:v>
      </x:c>
      <x:c r="K499" t="n">
        <x:v>23</x:v>
      </x:c>
      <x:c r="L499" t="n">
        <x:f>J499-K499</x:f>
        <x:v>0</x:v>
      </x:c>
      <x:c r="M499" s="20" t="n">
        <x:f>IFERROR(K499/J499,0)</x:f>
        <x:v>1</x:v>
      </x:c>
      <x:c r="N499" t="n">
        <x:v>23</x:v>
      </x:c>
      <x:c r="O499" t="n">
        <x:v>23</x:v>
      </x:c>
      <x:c r="P499" t="n">
        <x:f>N499-O499</x:f>
        <x:v>0</x:v>
      </x:c>
      <x:c r="Q499" t="n">
        <x:v>0</x:v>
      </x:c>
      <x:c r="R499" t="n">
        <x:v>0</x:v>
      </x:c>
      <x:c r="S499" t="n">
        <x:f>Q499-R499</x:f>
        <x:v>0</x:v>
      </x:c>
      <x:c r="T499" t="n">
        <x:v>23</x:v>
      </x:c>
      <x:c r="U499" t="n">
        <x:v>23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f>IF(AND(ISNUMBER(G499),I499&lt;&gt;"Excluded INI"),MAX(0,G499-J499),"")</x:f>
        <x:v>127</x:v>
      </x:c>
      <x:c r="AC499" t="n">
        <x:v>11401</x:v>
      </x:c>
      <x:c r="AD499" t="n">
        <x:v>12727</x:v>
      </x:c>
      <x:c r="AE499" t="n">
        <x:v>14652</x:v>
      </x:c>
      <x:c r="AF499" t="n">
        <x:v>15667</x:v>
      </x:c>
      <x:c r="AG499" t="n">
        <x:v>15950</x:v>
      </x:c>
      <x:c r="AH499" t="n">
        <x:v>17476</x:v>
      </x:c>
      <x:c r="AI499" t="n">
        <x:v>73798</x:v>
      </x:c>
      <x:c r="AJ499" t="n">
        <x:v>83046</x:v>
      </x:c>
      <x:c r="AK499" t="n">
        <x:v>106685</x:v>
      </x:c>
      <x:c r="AL499" t="n">
        <x:v>108023</x:v>
      </x:c>
      <x:c r="AM499" t="str">
        <x:v>Fully allotted in R1; R2 opportunity depends on upgrade/non-joining</x:v>
      </x:c>
    </x:row>
    <x:row r="500">
      <x:c r="A500" t="str">
        <x:v>West Bengal</x:v>
      </x:c>
      <x:c r="B500" t="str">
        <x:v>Employees State Insurance Scheme</x:v>
      </x:c>
      <x:c r="C500" t="str">
        <x:v>200313</x:v>
      </x:c>
      <x:c r="D500" t="str">
        <x:v>Employees State Insurance Corporation Medical College, Joka, Kolkata, DIAMOND HARBOUR ROAD POST OFFICE JOKA KOLKATA 700104</x:v>
      </x:c>
      <x:c r="E500" t="str">
        <x:v>WB/010/G/1</x:v>
      </x:c>
      <x:c r="F500" t="str">
        <x:v>Government</x:v>
      </x:c>
      <x:c r="G500" t="n">
        <x:v>150</x:v>
      </x:c>
      <x:c r="H500" t="n">
        <x:v>100</x:v>
      </x:c>
      <x:c r="I500" t="str">
        <x:v>High-confidence fuzzy</x:v>
      </x:c>
      <x:c r="J500" t="n">
        <x:v>100</x:v>
      </x:c>
      <x:c r="K500" t="n">
        <x:v>97</x:v>
      </x:c>
      <x:c r="L500" t="n">
        <x:f>J500-K500</x:f>
        <x:v>3</x:v>
      </x:c>
      <x:c r="M500" s="20" t="n">
        <x:f>IFERROR(K500/J500,0)</x:f>
        <x:v>0.97</x:v>
      </x:c>
      <x:c r="N500" t="n">
        <x:v>100</x:v>
      </x:c>
      <x:c r="O500" t="n">
        <x:v>97</x:v>
      </x:c>
      <x:c r="P500" t="n">
        <x:f>N500-O500</x:f>
        <x:v>3</x:v>
      </x:c>
      <x:c r="Q500" t="n">
        <x:v>0</x:v>
      </x:c>
      <x:c r="R500" t="n">
        <x:v>0</x:v>
      </x:c>
      <x:c r="S500" t="n">
        <x:f>Q500-R500</x:f>
        <x:v>0</x:v>
      </x:c>
      <x:c r="T500" t="n">
        <x:v>22</x:v>
      </x:c>
      <x:c r="U500" t="n">
        <x:v>22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f>IF(AND(ISNUMBER(G500),I500&lt;&gt;"Excluded INI"),MAX(0,G500-J500),"")</x:f>
        <x:v>50</x:v>
      </x:c>
      <x:c r="AC500" t="n">
        <x:v>33938</x:v>
      </x:c>
      <x:c r="AD500" t="n">
        <x:v>46191</x:v>
      </x:c>
      <x:c r="AE500" t="n">
        <x:v>41542</x:v>
      </x:c>
      <x:c r="AF500" t="n">
        <x:v>49992</x:v>
      </x:c>
      <x:c r="AG500" t="n">
        <x:v>40355</x:v>
      </x:c>
      <x:c r="AH500" t="n">
        <x:v>49162</x:v>
      </x:c>
      <x:c r="AI500" t="n">
        <x:v>149177</x:v>
      </x:c>
      <x:c r="AJ500" t="n">
        <x:v>191434</x:v>
      </x:c>
      <x:c r="AK500" t="n">
        <x:v>303039</x:v>
      </x:c>
      <x:c r="AL500" t="n">
        <x:v>364342</x:v>
      </x:c>
      <x:c r="AM500" t="str">
        <x:v>R1 regular-central gap visible; verify in official R2 matrix</x:v>
      </x:c>
    </x:row>
    <x:row r="501">
      <x:c r="A501" t="str">
        <x:v>West Bengal</x:v>
      </x:c>
      <x:c r="B501" t="str">
        <x:v>All India except Central University</x:v>
      </x:c>
      <x:c r="C501" t="str">
        <x:v>200314</x:v>
      </x:c>
      <x:c r="D501" t="str">
        <x:v>Institute of Postgraduate Medical Education &amp; Research, Kolkata, 244 AJC Bose Road, Kolkata</x:v>
      </x:c>
      <x:c r="E501" t="str">
        <x:v>WB/014/G/1</x:v>
      </x:c>
      <x:c r="F501" t="str">
        <x:v>Government</x:v>
      </x:c>
      <x:c r="G501" t="n">
        <x:v>250</x:v>
      </x:c>
      <x:c r="H501" t="n">
        <x:v>100</x:v>
      </x:c>
      <x:c r="I501" t="str">
        <x:v>High-confidence fuzzy</x:v>
      </x:c>
      <x:c r="J501" t="n">
        <x:v>38</x:v>
      </x:c>
      <x:c r="K501" t="n">
        <x:v>38</x:v>
      </x:c>
      <x:c r="L501" t="n">
        <x:f>J501-K501</x:f>
        <x:v>0</x:v>
      </x:c>
      <x:c r="M501" s="20" t="n">
        <x:f>IFERROR(K501/J501,0)</x:f>
        <x:v>1</x:v>
      </x:c>
      <x:c r="N501" t="n">
        <x:v>38</x:v>
      </x:c>
      <x:c r="O501" t="n">
        <x:v>38</x:v>
      </x:c>
      <x:c r="P501" t="n">
        <x:f>N501-O501</x:f>
        <x:v>0</x:v>
      </x:c>
      <x:c r="Q501" t="n">
        <x:v>0</x:v>
      </x:c>
      <x:c r="R501" t="n">
        <x:v>0</x:v>
      </x:c>
      <x:c r="S501" t="n">
        <x:f>Q501-R501</x:f>
        <x:v>0</x:v>
      </x:c>
      <x:c r="T501" t="n">
        <x:v>38</x:v>
      </x:c>
      <x:c r="U501" t="n">
        <x:v>38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f>IF(AND(ISNUMBER(G501),I501&lt;&gt;"Excluded INI"),MAX(0,G501-J501),"")</x:f>
        <x:v>212</x:v>
      </x:c>
      <x:c r="AC501" t="n">
        <x:v>3022</x:v>
      </x:c>
      <x:c r="AD501" t="n">
        <x:v>3368</x:v>
      </x:c>
      <x:c r="AE501" t="n">
        <x:v>4700</x:v>
      </x:c>
      <x:c r="AF501" t="n">
        <x:v>4958</x:v>
      </x:c>
      <x:c r="AG501" t="n">
        <x:v>4908</x:v>
      </x:c>
      <x:c r="AH501" t="n">
        <x:v>4983</x:v>
      </x:c>
      <x:c r="AI501" t="n">
        <x:v>26227</x:v>
      </x:c>
      <x:c r="AJ501" t="n">
        <x:v>27126</x:v>
      </x:c>
      <x:c r="AK501" t="n">
        <x:v>51389</x:v>
      </x:c>
      <x:c r="AL501" t="n">
        <x:v>53054</x:v>
      </x:c>
      <x:c r="AM501" t="str">
        <x:v>Fully allotted in R1; R2 opportunity depends on upgrade/non-joining</x:v>
      </x:c>
    </x:row>
    <x:row r="502">
      <x:c r="A502" t="str">
        <x:v>West Bengal</x:v>
      </x:c>
      <x:c r="B502" t="str">
        <x:v>All India except Central University</x:v>
      </x:c>
      <x:c r="C502" t="str">
        <x:v>200605</x:v>
      </x:c>
      <x:c r="D502" t="str">
        <x:v>Jalpaiguri Government Medical College, Hospital Road, Jalpaiguri, West Bengal- 735101</x:v>
      </x:c>
      <x:c r="E502" t="str">
        <x:v>WB/019/G/1</x:v>
      </x:c>
      <x:c r="F502" t="str">
        <x:v>Government</x:v>
      </x:c>
      <x:c r="G502" t="n">
        <x:v>100</x:v>
      </x:c>
      <x:c r="H502" t="n">
        <x:v>100</x:v>
      </x:c>
      <x:c r="I502" t="str">
        <x:v>High-confidence fuzzy</x:v>
      </x:c>
      <x:c r="J502" t="n">
        <x:v>23</x:v>
      </x:c>
      <x:c r="K502" t="n">
        <x:v>23</x:v>
      </x:c>
      <x:c r="L502" t="n">
        <x:f>J502-K502</x:f>
        <x:v>0</x:v>
      </x:c>
      <x:c r="M502" s="20" t="n">
        <x:f>IFERROR(K502/J502,0)</x:f>
        <x:v>1</x:v>
      </x:c>
      <x:c r="N502" t="n">
        <x:v>23</x:v>
      </x:c>
      <x:c r="O502" t="n">
        <x:v>23</x:v>
      </x:c>
      <x:c r="P502" t="n">
        <x:f>N502-O502</x:f>
        <x:v>0</x:v>
      </x:c>
      <x:c r="Q502" t="n">
        <x:v>0</x:v>
      </x:c>
      <x:c r="R502" t="n">
        <x:v>0</x:v>
      </x:c>
      <x:c r="S502" t="n">
        <x:f>Q502-R502</x:f>
        <x:v>0</x:v>
      </x:c>
      <x:c r="T502" t="n">
        <x:v>23</x:v>
      </x:c>
      <x:c r="U502" t="n">
        <x:v>23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f>IF(AND(ISNUMBER(G502),I502&lt;&gt;"Excluded INI"),MAX(0,G502-J502),"")</x:f>
        <x:v>77</x:v>
      </x:c>
      <x:c r="AC502" t="n">
        <x:v>17218</x:v>
      </x:c>
      <x:c r="AD502" t="n">
        <x:v>17738</x:v>
      </x:c>
      <x:c r="AE502" t="n">
        <x:v>19111</x:v>
      </x:c>
      <x:c r="AF502" t="n">
        <x:v>19889</x:v>
      </x:c>
      <x:c r="AG502" t="n">
        <x:v>22119</x:v>
      </x:c>
      <x:c r="AH502" t="n">
        <x:v>22398</x:v>
      </x:c>
      <x:c r="AI502" t="n">
        <x:v>86562</x:v>
      </x:c>
      <x:c r="AJ502" t="n">
        <x:v>93739</x:v>
      </x:c>
      <x:c r="AK502" t="n">
        <x:v>113981</x:v>
      </x:c>
      <x:c r="AL502" t="n">
        <x:v>114905</x:v>
      </x:c>
      <x:c r="AM502" t="str">
        <x:v>Fully allotted in R1; R2 opportunity depends on upgrade/non-joining</x:v>
      </x:c>
    </x:row>
    <x:row r="503">
      <x:c r="A503" t="str">
        <x:v>West Bengal</x:v>
      </x:c>
      <x:c r="B503" t="str">
        <x:v>All India except Central University</x:v>
      </x:c>
      <x:c r="C503" t="str">
        <x:v>200641</x:v>
      </x:c>
      <x:c r="D503" t="str">
        <x:v>Jhargram Government Medical College &amp; Hospital, Jhargram, Jhargram Government Medical College and Hospital, Vidyasagarpally, Jhargram, West Bengal.</x:v>
      </x:c>
      <x:c r="E503" t="str">
        <x:v>WB/020/G/1</x:v>
      </x:c>
      <x:c r="F503" t="str">
        <x:v>Government</x:v>
      </x:c>
      <x:c r="G503" t="n">
        <x:v>150</x:v>
      </x:c>
      <x:c r="H503" t="n">
        <x:v>100</x:v>
      </x:c>
      <x:c r="I503" t="str">
        <x:v>High-confidence fuzzy</x:v>
      </x:c>
      <x:c r="J503" t="n">
        <x:v>23</x:v>
      </x:c>
      <x:c r="K503" t="n">
        <x:v>23</x:v>
      </x:c>
      <x:c r="L503" t="n">
        <x:f>J503-K503</x:f>
        <x:v>0</x:v>
      </x:c>
      <x:c r="M503" s="20" t="n">
        <x:f>IFERROR(K503/J503,0)</x:f>
        <x:v>1</x:v>
      </x:c>
      <x:c r="N503" t="n">
        <x:v>23</x:v>
      </x:c>
      <x:c r="O503" t="n">
        <x:v>23</x:v>
      </x:c>
      <x:c r="P503" t="n">
        <x:f>N503-O503</x:f>
        <x:v>0</x:v>
      </x:c>
      <x:c r="Q503" t="n">
        <x:v>0</x:v>
      </x:c>
      <x:c r="R503" t="n">
        <x:v>0</x:v>
      </x:c>
      <x:c r="S503" t="n">
        <x:f>Q503-R503</x:f>
        <x:v>0</x:v>
      </x:c>
      <x:c r="T503" t="n">
        <x:v>23</x:v>
      </x:c>
      <x:c r="U503" t="n">
        <x:v>23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f>IF(AND(ISNUMBER(G503),I503&lt;&gt;"Excluded INI"),MAX(0,G503-J503),"")</x:f>
        <x:v>127</x:v>
      </x:c>
      <x:c r="AC503" t="n">
        <x:v>18979</x:v>
      </x:c>
      <x:c r="AD503" t="n">
        <x:v>19762</x:v>
      </x:c>
      <x:c r="AE503" t="n">
        <x:v>20814</x:v>
      </x:c>
      <x:c r="AF503" t="n">
        <x:v>21069</x:v>
      </x:c>
      <x:c r="AG503" t="n">
        <x:v>22502</x:v>
      </x:c>
      <x:c r="AH503" t="n">
        <x:v>22530</x:v>
      </x:c>
      <x:c r="AI503" t="n">
        <x:v>100480</x:v>
      </x:c>
      <x:c r="AJ503" t="n">
        <x:v>101418</x:v>
      </x:c>
      <x:c r="AK503" t="n">
        <x:v>119021</x:v>
      </x:c>
      <x:c r="AL503" t="n">
        <x:v>119021</x:v>
      </x:c>
      <x:c r="AM503" t="str">
        <x:v>Fully allotted in R1; R2 opportunity depends on upgrade/non-joining</x:v>
      </x:c>
    </x:row>
    <x:row r="504">
      <x:c r="A504" t="str">
        <x:v>West Bengal</x:v>
      </x:c>
      <x:c r="B504" t="str">
        <x:v>All India except Central University</x:v>
      </x:c>
      <x:c r="C504" t="str">
        <x:v>200316</x:v>
      </x:c>
      <x:c r="D504" t="str">
        <x:v>MEDICAL COLLEGE, KOLKATA, 88, College Street, Kolkata-700073</x:v>
      </x:c>
      <x:c r="E504" t="str">
        <x:v>WB/012/G/1</x:v>
      </x:c>
      <x:c r="F504" t="str">
        <x:v>Government</x:v>
      </x:c>
      <x:c r="G504" t="n">
        <x:v>250</x:v>
      </x:c>
      <x:c r="H504" t="n">
        <x:v>100</x:v>
      </x:c>
      <x:c r="I504" t="str">
        <x:v>Manual/high-confidence alias</x:v>
      </x:c>
      <x:c r="J504" t="n">
        <x:v>37</x:v>
      </x:c>
      <x:c r="K504" t="n">
        <x:v>37</x:v>
      </x:c>
      <x:c r="L504" t="n">
        <x:f>J504-K504</x:f>
        <x:v>0</x:v>
      </x:c>
      <x:c r="M504" s="20" t="n">
        <x:f>IFERROR(K504/J504,0)</x:f>
        <x:v>1</x:v>
      </x:c>
      <x:c r="N504" t="n">
        <x:v>37</x:v>
      </x:c>
      <x:c r="O504" t="n">
        <x:v>37</x:v>
      </x:c>
      <x:c r="P504" t="n">
        <x:f>N504-O504</x:f>
        <x:v>0</x:v>
      </x:c>
      <x:c r="Q504" t="n">
        <x:v>0</x:v>
      </x:c>
      <x:c r="R504" t="n">
        <x:v>0</x:v>
      </x:c>
      <x:c r="S504" t="n">
        <x:f>Q504-R504</x:f>
        <x:v>0</x:v>
      </x:c>
      <x:c r="T504" t="n">
        <x:v>37</x:v>
      </x:c>
      <x:c r="U504" t="n">
        <x:v>37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f>IF(AND(ISNUMBER(G504),I504&lt;&gt;"Excluded INI"),MAX(0,G504-J504),"")</x:f>
        <x:v>213</x:v>
      </x:c>
      <x:c r="AC504" t="n">
        <x:v>2391</x:v>
      </x:c>
      <x:c r="AD504" t="n">
        <x:v>2795</x:v>
      </x:c>
      <x:c r="AE504" t="n">
        <x:v>4115</x:v>
      </x:c>
      <x:c r="AF504" t="n">
        <x:v>4737</x:v>
      </x:c>
      <x:c r="AG504" t="n">
        <x:v>5048</x:v>
      </x:c>
      <x:c r="AH504" t="n">
        <x:v>5315</x:v>
      </x:c>
      <x:c r="AI504" t="n">
        <x:v>22540</x:v>
      </x:c>
      <x:c r="AJ504" t="n">
        <x:v>26178</x:v>
      </x:c>
      <x:c r="AK504" t="n">
        <x:v>51069</x:v>
      </x:c>
      <x:c r="AL504" t="n">
        <x:v>51123</x:v>
      </x:c>
      <x:c r="AM504" t="str">
        <x:v>Fully allotted in R1; R2 opportunity depends on upgrade/non-joining</x:v>
      </x:c>
    </x:row>
    <x:row r="505">
      <x:c r="A505" t="str">
        <x:v>West Bengal</x:v>
      </x:c>
      <x:c r="B505" t="str">
        <x:v>All India except Central University</x:v>
      </x:c>
      <x:c r="C505" t="str">
        <x:v>200315</x:v>
      </x:c>
      <x:c r="D505" t="str">
        <x:v>Malda Medical College &amp; Hospital, Malda, MaldaMedicalCollege, PS,EnglishBazar PO Dist Malda</x:v>
      </x:c>
      <x:c r="E505" t="str">
        <x:v>WB/025/G/1</x:v>
      </x:c>
      <x:c r="F505" t="str">
        <x:v>Government</x:v>
      </x:c>
      <x:c r="G505" t="n">
        <x:v>150</x:v>
      </x:c>
      <x:c r="H505" t="n">
        <x:v>100</x:v>
      </x:c>
      <x:c r="I505" t="str">
        <x:v>High-confidence fuzzy</x:v>
      </x:c>
      <x:c r="J505" t="n">
        <x:v>23</x:v>
      </x:c>
      <x:c r="K505" t="n">
        <x:v>23</x:v>
      </x:c>
      <x:c r="L505" t="n">
        <x:f>J505-K505</x:f>
        <x:v>0</x:v>
      </x:c>
      <x:c r="M505" s="20" t="n">
        <x:f>IFERROR(K505/J505,0)</x:f>
        <x:v>1</x:v>
      </x:c>
      <x:c r="N505" t="n">
        <x:v>23</x:v>
      </x:c>
      <x:c r="O505" t="n">
        <x:v>23</x:v>
      </x:c>
      <x:c r="P505" t="n">
        <x:f>N505-O505</x:f>
        <x:v>0</x:v>
      </x:c>
      <x:c r="Q505" t="n">
        <x:v>0</x:v>
      </x:c>
      <x:c r="R505" t="n">
        <x:v>0</x:v>
      </x:c>
      <x:c r="S505" t="n">
        <x:f>Q505-R505</x:f>
        <x:v>0</x:v>
      </x:c>
      <x:c r="T505" t="n">
        <x:v>23</x:v>
      </x:c>
      <x:c r="U505" t="n">
        <x:v>23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f>IF(AND(ISNUMBER(G505),I505&lt;&gt;"Excluded INI"),MAX(0,G505-J505),"")</x:f>
        <x:v>127</x:v>
      </x:c>
      <x:c r="AC505" t="n">
        <x:v>14605</x:v>
      </x:c>
      <x:c r="AD505" t="n">
        <x:v>15118</x:v>
      </x:c>
      <x:c r="AE505" t="n">
        <x:v>17020</x:v>
      </x:c>
      <x:c r="AF505" t="n">
        <x:v>17745</x:v>
      </x:c>
      <x:c r="AG505" t="n">
        <x:v>16872</x:v>
      </x:c>
      <x:c r="AH505" t="n">
        <x:v>17948</x:v>
      </x:c>
      <x:c r="AI505" t="n">
        <x:v>88094</x:v>
      </x:c>
      <x:c r="AJ505" t="n">
        <x:v>90073</x:v>
      </x:c>
      <x:c r="AK505" t="n">
        <x:v>110828</x:v>
      </x:c>
      <x:c r="AL505" t="n">
        <x:v>116404</x:v>
      </x:c>
      <x:c r="AM505" t="str">
        <x:v>Fully allotted in R1; R2 opportunity depends on upgrade/non-joining</x:v>
      </x:c>
    </x:row>
    <x:row r="506">
      <x:c r="A506" t="str">
        <x:v>West Bengal</x:v>
      </x:c>
      <x:c r="B506" t="str">
        <x:v>All India except Central University</x:v>
      </x:c>
      <x:c r="C506" t="str">
        <x:v>200317</x:v>
      </x:c>
      <x:c r="D506" t="str">
        <x:v>Midnapore Medical College, Midnapore, 5, Vidyasagar Road Midnapore 721101 Paschim Medinipur</x:v>
      </x:c>
      <x:c r="E506" t="str">
        <x:v>WB/026/G/1</x:v>
      </x:c>
      <x:c r="F506" t="str">
        <x:v>Government</x:v>
      </x:c>
      <x:c r="G506" t="n">
        <x:v>200</x:v>
      </x:c>
      <x:c r="H506" t="n">
        <x:v>100</x:v>
      </x:c>
      <x:c r="I506" t="str">
        <x:v>High-confidence fuzzy</x:v>
      </x:c>
      <x:c r="J506" t="n">
        <x:v>30</x:v>
      </x:c>
      <x:c r="K506" t="n">
        <x:v>30</x:v>
      </x:c>
      <x:c r="L506" t="n">
        <x:f>J506-K506</x:f>
        <x:v>0</x:v>
      </x:c>
      <x:c r="M506" s="20" t="n">
        <x:f>IFERROR(K506/J506,0)</x:f>
        <x:v>1</x:v>
      </x:c>
      <x:c r="N506" t="n">
        <x:v>30</x:v>
      </x:c>
      <x:c r="O506" t="n">
        <x:v>30</x:v>
      </x:c>
      <x:c r="P506" t="n">
        <x:f>N506-O506</x:f>
        <x:v>0</x:v>
      </x:c>
      <x:c r="Q506" t="n">
        <x:v>0</x:v>
      </x:c>
      <x:c r="R506" t="n">
        <x:v>0</x:v>
      </x:c>
      <x:c r="S506" t="n">
        <x:f>Q506-R506</x:f>
        <x:v>0</x:v>
      </x:c>
      <x:c r="T506" t="n">
        <x:v>30</x:v>
      </x:c>
      <x:c r="U506" t="n">
        <x:v>30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f>IF(AND(ISNUMBER(G506),I506&lt;&gt;"Excluded INI"),MAX(0,G506-J506),"")</x:f>
        <x:v>170</x:v>
      </x:c>
      <x:c r="AC506" t="n">
        <x:v>13546</x:v>
      </x:c>
      <x:c r="AD506" t="n">
        <x:v>14600</x:v>
      </x:c>
      <x:c r="AE506" t="n">
        <x:v>15576</x:v>
      </x:c>
      <x:c r="AF506" t="n">
        <x:v>16386</x:v>
      </x:c>
      <x:c r="AG506" t="n">
        <x:v>16763</x:v>
      </x:c>
      <x:c r="AH506" t="n">
        <x:v>17062</x:v>
      </x:c>
      <x:c r="AI506" t="n">
        <x:v>81021</x:v>
      </x:c>
      <x:c r="AJ506" t="n">
        <x:v>83089</x:v>
      </x:c>
      <x:c r="AK506" t="n">
        <x:v>110410</x:v>
      </x:c>
      <x:c r="AL506" t="n">
        <x:v>113036</x:v>
      </x:c>
      <x:c r="AM506" t="str">
        <x:v>Fully allotted in R1; R2 opportunity depends on upgrade/non-joining</x:v>
      </x:c>
    </x:row>
    <x:row r="507">
      <x:c r="A507" t="str">
        <x:v>West Bengal</x:v>
      </x:c>
      <x:c r="B507" t="str">
        <x:v>All India except Central University</x:v>
      </x:c>
      <x:c r="C507" t="str">
        <x:v>200318</x:v>
      </x:c>
      <x:c r="D507" t="str">
        <x:v>Murshidabad Medical College &amp; Hospitals, Murshidabad, STATION ROAD, P.O. AND P.S. BERHAMPORE, DIST. MURSHIDABAD</x:v>
      </x:c>
      <x:c r="E507" t="str">
        <x:v>WB/027/G/1</x:v>
      </x:c>
      <x:c r="F507" t="str">
        <x:v>Government</x:v>
      </x:c>
      <x:c r="G507" t="n">
        <x:v>150</x:v>
      </x:c>
      <x:c r="H507" t="n">
        <x:v>100</x:v>
      </x:c>
      <x:c r="I507" t="str">
        <x:v>High-confidence fuzzy</x:v>
      </x:c>
      <x:c r="J507" t="n">
        <x:v>22</x:v>
      </x:c>
      <x:c r="K507" t="n">
        <x:v>20</x:v>
      </x:c>
      <x:c r="L507" t="n">
        <x:f>J507-K507</x:f>
        <x:v>2</x:v>
      </x:c>
      <x:c r="M507" s="20" t="n">
        <x:f>IFERROR(K507/J507,0)</x:f>
        <x:v>0.9090909090909091</x:v>
      </x:c>
      <x:c r="N507" t="n">
        <x:v>22</x:v>
      </x:c>
      <x:c r="O507" t="n">
        <x:v>20</x:v>
      </x:c>
      <x:c r="P507" t="n">
        <x:f>N507-O507</x:f>
        <x:v>2</x:v>
      </x:c>
      <x:c r="Q507" t="n">
        <x:v>0</x:v>
      </x:c>
      <x:c r="R507" t="n">
        <x:v>0</x:v>
      </x:c>
      <x:c r="S507" t="n">
        <x:f>Q507-R507</x:f>
        <x:v>0</x:v>
      </x:c>
      <x:c r="T507" t="n">
        <x:v>22</x:v>
      </x:c>
      <x:c r="U507" t="n">
        <x:v>20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f>IF(AND(ISNUMBER(G507),I507&lt;&gt;"Excluded INI"),MAX(0,G507-J507),"")</x:f>
        <x:v>128</x:v>
      </x:c>
      <x:c r="AC507" t="n">
        <x:v>15434</x:v>
      </x:c>
      <x:c r="AD507" t="n">
        <x:v>16677</x:v>
      </x:c>
      <x:c r="AE507" t="n">
        <x:v>18025</x:v>
      </x:c>
      <x:c r="AF507" t="n">
        <x:v>18336</x:v>
      </x:c>
      <x:c r="AG507" t="n">
        <x:v>17160</x:v>
      </x:c>
      <x:c r="AH507" t="n">
        <x:v>17160</x:v>
      </x:c>
      <x:c r="AI507" t="n">
        <x:v>77366</x:v>
      </x:c>
      <x:c r="AJ507" t="n">
        <x:v>85977</x:v>
      </x:c>
      <x:c r="AK507" t="n">
        <x:v>117048</x:v>
      </x:c>
      <x:c r="AL507" t="n">
        <x:v>117048</x:v>
      </x:c>
      <x:c r="AM507" t="str">
        <x:v>R1 regular-central gap visible; verify in official R2 matrix</x:v>
      </x:c>
    </x:row>
    <x:row r="508">
      <x:c r="A508" t="str">
        <x:v>West Bengal</x:v>
      </x:c>
      <x:c r="B508" t="str">
        <x:v>All India except Central University</x:v>
      </x:c>
      <x:c r="C508" t="str">
        <x:v>200319</x:v>
      </x:c>
      <x:c r="D508" t="str">
        <x:v>Nilratan Sircar Medical College, Kolkata, 138 AJC Bose Road, Kolkata - 700014</x:v>
      </x:c>
      <x:c r="E508" t="str">
        <x:v>WB/012/G/1</x:v>
      </x:c>
      <x:c r="F508" t="str">
        <x:v>Government</x:v>
      </x:c>
      <x:c r="G508" t="n">
        <x:v>250</x:v>
      </x:c>
      <x:c r="H508" t="n">
        <x:v>100</x:v>
      </x:c>
      <x:c r="I508" t="str">
        <x:v>Manual/high-confidence alias</x:v>
      </x:c>
      <x:c r="J508" t="n">
        <x:v>37</x:v>
      </x:c>
      <x:c r="K508" t="n">
        <x:v>37</x:v>
      </x:c>
      <x:c r="L508" t="n">
        <x:f>J508-K508</x:f>
        <x:v>0</x:v>
      </x:c>
      <x:c r="M508" s="20" t="n">
        <x:f>IFERROR(K508/J508,0)</x:f>
        <x:v>1</x:v>
      </x:c>
      <x:c r="N508" t="n">
        <x:v>37</x:v>
      </x:c>
      <x:c r="O508" t="n">
        <x:v>37</x:v>
      </x:c>
      <x:c r="P508" t="n">
        <x:f>N508-O508</x:f>
        <x:v>0</x:v>
      </x:c>
      <x:c r="Q508" t="n">
        <x:v>0</x:v>
      </x:c>
      <x:c r="R508" t="n">
        <x:v>0</x:v>
      </x:c>
      <x:c r="S508" t="n">
        <x:f>Q508-R508</x:f>
        <x:v>0</x:v>
      </x:c>
      <x:c r="T508" t="n">
        <x:v>37</x:v>
      </x:c>
      <x:c r="U508" t="n">
        <x:v>37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f>IF(AND(ISNUMBER(G508),I508&lt;&gt;"Excluded INI"),MAX(0,G508-J508),"")</x:f>
        <x:v>213</x:v>
      </x:c>
      <x:c r="AC508" t="n">
        <x:v>4412</x:v>
      </x:c>
      <x:c r="AD508" t="n">
        <x:v>4818</x:v>
      </x:c>
      <x:c r="AE508" t="n">
        <x:v>5709</x:v>
      </x:c>
      <x:c r="AF508" t="n">
        <x:v>6421</x:v>
      </x:c>
      <x:c r="AG508" t="n">
        <x:v>6618</x:v>
      </x:c>
      <x:c r="AH508" t="n">
        <x:v>7284</x:v>
      </x:c>
      <x:c r="AI508" t="n">
        <x:v>29074</x:v>
      </x:c>
      <x:c r="AJ508" t="n">
        <x:v>31644</x:v>
      </x:c>
      <x:c r="AK508" t="n">
        <x:v>79005</x:v>
      </x:c>
      <x:c r="AL508" t="n">
        <x:v>79051</x:v>
      </x:c>
      <x:c r="AM508" t="str">
        <x:v>Fully allotted in R1; R2 opportunity depends on upgrade/non-joining</x:v>
      </x:c>
    </x:row>
    <x:row r="509">
      <x:c r="A509" t="str">
        <x:v>West Bengal</x:v>
      </x:c>
      <x:c r="B509" t="str">
        <x:v>All India except Central University</x:v>
      </x:c>
      <x:c r="C509" t="str">
        <x:v>200321</x:v>
      </x:c>
      <x:c r="D509" t="str">
        <x:v>North Bengal Medical College, Darjeeling, Sushrutanagar, Darjeeling</x:v>
      </x:c>
      <x:c r="E509" t="str">
        <x:v>WB/029/G/1</x:v>
      </x:c>
      <x:c r="F509" t="str">
        <x:v>Government</x:v>
      </x:c>
      <x:c r="G509" t="n">
        <x:v>200</x:v>
      </x:c>
      <x:c r="H509" t="n">
        <x:v>100</x:v>
      </x:c>
      <x:c r="I509" t="str">
        <x:v>High-confidence fuzzy</x:v>
      </x:c>
      <x:c r="J509" t="n">
        <x:v>38</x:v>
      </x:c>
      <x:c r="K509" t="n">
        <x:v>38</x:v>
      </x:c>
      <x:c r="L509" t="n">
        <x:f>J509-K509</x:f>
        <x:v>0</x:v>
      </x:c>
      <x:c r="M509" s="20" t="n">
        <x:f>IFERROR(K509/J509,0)</x:f>
        <x:v>1</x:v>
      </x:c>
      <x:c r="N509" t="n">
        <x:v>38</x:v>
      </x:c>
      <x:c r="O509" t="n">
        <x:v>38</x:v>
      </x:c>
      <x:c r="P509" t="n">
        <x:f>N509-O509</x:f>
        <x:v>0</x:v>
      </x:c>
      <x:c r="Q509" t="n">
        <x:v>0</x:v>
      </x:c>
      <x:c r="R509" t="n">
        <x:v>0</x:v>
      </x:c>
      <x:c r="S509" t="n">
        <x:f>Q509-R509</x:f>
        <x:v>0</x:v>
      </x:c>
      <x:c r="T509" t="n">
        <x:v>38</x:v>
      </x:c>
      <x:c r="U509" t="n">
        <x:v>38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f>IF(AND(ISNUMBER(G509),I509&lt;&gt;"Excluded INI"),MAX(0,G509-J509),"")</x:f>
        <x:v>162</x:v>
      </x:c>
      <x:c r="AC509" t="n">
        <x:v>10657</x:v>
      </x:c>
      <x:c r="AD509" t="n">
        <x:v>11792</x:v>
      </x:c>
      <x:c r="AE509" t="n">
        <x:v>13484</x:v>
      </x:c>
      <x:c r="AF509" t="n">
        <x:v>13676</x:v>
      </x:c>
      <x:c r="AG509" t="n">
        <x:v>14497</x:v>
      </x:c>
      <x:c r="AH509" t="n">
        <x:v>15018</x:v>
      </x:c>
      <x:c r="AI509" t="n">
        <x:v>61094</x:v>
      </x:c>
      <x:c r="AJ509" t="n">
        <x:v>71947</x:v>
      </x:c>
      <x:c r="AK509" t="n">
        <x:v>74652</x:v>
      </x:c>
      <x:c r="AL509" t="n">
        <x:v>75967</x:v>
      </x:c>
      <x:c r="AM509" t="str">
        <x:v>Fully allotted in R1; R2 opportunity depends on upgrade/non-joining</x:v>
      </x:c>
    </x:row>
    <x:row r="510">
      <x:c r="A510" t="str">
        <x:v>West Bengal</x:v>
      </x:c>
      <x:c r="B510" t="str">
        <x:v>All India except Central University</x:v>
      </x:c>
      <x:c r="C510" t="str">
        <x:v>200618</x:v>
      </x:c>
      <x:c r="D510" t="str">
        <x:v>Prafulla Chandra Sen Government Medical College &amp; Hospital, Arambagh, Hooghly</x:v>
      </x:c>
      <x:c r="E510" t="str">
        <x:v>WB/031/G/1</x:v>
      </x:c>
      <x:c r="F510" t="str">
        <x:v>Government</x:v>
      </x:c>
      <x:c r="G510" t="n">
        <x:v>150</x:v>
      </x:c>
      <x:c r="H510" t="n">
        <x:v>100</x:v>
      </x:c>
      <x:c r="I510" t="str">
        <x:v>High-confidence fuzzy</x:v>
      </x:c>
      <x:c r="J510" t="n">
        <x:v>22</x:v>
      </x:c>
      <x:c r="K510" t="n">
        <x:v>22</x:v>
      </x:c>
      <x:c r="L510" t="n">
        <x:f>J510-K510</x:f>
        <x:v>0</x:v>
      </x:c>
      <x:c r="M510" s="20" t="n">
        <x:f>IFERROR(K510/J510,0)</x:f>
        <x:v>1</x:v>
      </x:c>
      <x:c r="N510" t="n">
        <x:v>22</x:v>
      </x:c>
      <x:c r="O510" t="n">
        <x:v>22</x:v>
      </x:c>
      <x:c r="P510" t="n">
        <x:f>N510-O510</x:f>
        <x:v>0</x:v>
      </x:c>
      <x:c r="Q510" t="n">
        <x:v>0</x:v>
      </x:c>
      <x:c r="R510" t="n">
        <x:v>0</x:v>
      </x:c>
      <x:c r="S510" t="n">
        <x:f>Q510-R510</x:f>
        <x:v>0</x:v>
      </x:c>
      <x:c r="T510" t="n">
        <x:v>22</x:v>
      </x:c>
      <x:c r="U510" t="n">
        <x:v>22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f>IF(AND(ISNUMBER(G510),I510&lt;&gt;"Excluded INI"),MAX(0,G510-J510),"")</x:f>
        <x:v>128</x:v>
      </x:c>
      <x:c r="AC510" t="n">
        <x:v>18183</x:v>
      </x:c>
      <x:c r="AD510" t="n">
        <x:v>18371</x:v>
      </x:c>
      <x:c r="AE510" t="n">
        <x:v>19784</x:v>
      </x:c>
      <x:c r="AF510" t="n">
        <x:v>20018</x:v>
      </x:c>
      <x:c r="AG510" t="n">
        <x:v>21194</x:v>
      </x:c>
      <x:c r="AH510" t="n">
        <x:v>21661</x:v>
      </x:c>
      <x:c r="AI510" t="n">
        <x:v>98240</x:v>
      </x:c>
      <x:c r="AJ510" t="n">
        <x:v>99365</x:v>
      </x:c>
      <x:c r="AK510" t="n">
        <x:v>124143</x:v>
      </x:c>
      <x:c r="AL510" t="n">
        <x:v>125420</x:v>
      </x:c>
      <x:c r="AM510" t="str">
        <x:v>Fully allotted in R1; R2 opportunity depends on upgrade/non-joining</x:v>
      </x:c>
    </x:row>
    <x:row r="511">
      <x:c r="A511" t="str">
        <x:v>West Bengal</x:v>
      </x:c>
      <x:c r="B511" t="str">
        <x:v>All India except Central University</x:v>
      </x:c>
      <x:c r="C511" t="str">
        <x:v>200531</x:v>
      </x:c>
      <x:c r="D511" t="str">
        <x:v>Purulia Government Medical College &amp; Hospital, Vill Hatuara PO Vivekanandanagar PS Purulia Muffasil Purulia 723147</x:v>
      </x:c>
      <x:c r="E511" t="str">
        <x:v>WB/032/G/1</x:v>
      </x:c>
      <x:c r="F511" t="str">
        <x:v>Government</x:v>
      </x:c>
      <x:c r="G511" t="n">
        <x:v>150</x:v>
      </x:c>
      <x:c r="H511" t="n">
        <x:v>100</x:v>
      </x:c>
      <x:c r="I511" t="str">
        <x:v>High-confidence fuzzy</x:v>
      </x:c>
      <x:c r="J511" t="n">
        <x:v>22</x:v>
      </x:c>
      <x:c r="K511" t="n">
        <x:v>22</x:v>
      </x:c>
      <x:c r="L511" t="n">
        <x:f>J511-K511</x:f>
        <x:v>0</x:v>
      </x:c>
      <x:c r="M511" s="20" t="n">
        <x:f>IFERROR(K511/J511,0)</x:f>
        <x:v>1</x:v>
      </x:c>
      <x:c r="N511" t="n">
        <x:v>22</x:v>
      </x:c>
      <x:c r="O511" t="n">
        <x:v>22</x:v>
      </x:c>
      <x:c r="P511" t="n">
        <x:f>N511-O511</x:f>
        <x:v>0</x:v>
      </x:c>
      <x:c r="Q511" t="n">
        <x:v>0</x:v>
      </x:c>
      <x:c r="R511" t="n">
        <x:v>0</x:v>
      </x:c>
      <x:c r="S511" t="n">
        <x:f>Q511-R511</x:f>
        <x:v>0</x:v>
      </x:c>
      <x:c r="T511" t="n">
        <x:v>22</x:v>
      </x:c>
      <x:c r="U511" t="n">
        <x:v>22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f>IF(AND(ISNUMBER(G511),I511&lt;&gt;"Excluded INI"),MAX(0,G511-J511),"")</x:f>
        <x:v>128</x:v>
      </x:c>
      <x:c r="AC511" t="n">
        <x:v>18036</x:v>
      </x:c>
      <x:c r="AD511" t="n">
        <x:v>18547</x:v>
      </x:c>
      <x:c r="AE511" t="n">
        <x:v>19638</x:v>
      </x:c>
      <x:c r="AF511" t="n">
        <x:v>20532</x:v>
      </x:c>
      <x:c r="AG511" t="n">
        <x:v>21854</x:v>
      </x:c>
      <x:c r="AH511" t="n">
        <x:v>22261</x:v>
      </x:c>
      <x:c r="AI511" t="n">
        <x:v>72963</x:v>
      </x:c>
      <x:c r="AJ511" t="n">
        <x:v>98054</x:v>
      </x:c>
      <x:c r="AK511" t="n">
        <x:v>121102</x:v>
      </x:c>
      <x:c r="AL511" t="n">
        <x:v>121185</x:v>
      </x:c>
      <x:c r="AM511" t="str">
        <x:v>Fully allotted in R1; R2 opportunity depends on upgrade/non-joining</x:v>
      </x:c>
    </x:row>
    <x:row r="512">
      <x:c r="A512" t="str">
        <x:v>West Bengal</x:v>
      </x:c>
      <x:c r="B512" t="str">
        <x:v>All India except Central University</x:v>
      </x:c>
      <x:c r="C512" t="str">
        <x:v>200322</x:v>
      </x:c>
      <x:c r="D512" t="str">
        <x:v>RG Kar Medical College, Kolkata, R G Kar Medical College 1 Khudiram bose sarani, Kolkata</x:v>
      </x:c>
      <x:c r="E512" t="str">
        <x:v>WB/012/G/1</x:v>
      </x:c>
      <x:c r="F512" t="str">
        <x:v>Government</x:v>
      </x:c>
      <x:c r="G512" t="n">
        <x:v>250</x:v>
      </x:c>
      <x:c r="H512" t="n">
        <x:v>100</x:v>
      </x:c>
      <x:c r="I512" t="str">
        <x:v>Manual/high-confidence alias</x:v>
      </x:c>
      <x:c r="J512" t="n">
        <x:v>38</x:v>
      </x:c>
      <x:c r="K512" t="n">
        <x:v>38</x:v>
      </x:c>
      <x:c r="L512" t="n">
        <x:f>J512-K512</x:f>
        <x:v>0</x:v>
      </x:c>
      <x:c r="M512" s="20" t="n">
        <x:f>IFERROR(K512/J512,0)</x:f>
        <x:v>1</x:v>
      </x:c>
      <x:c r="N512" t="n">
        <x:v>38</x:v>
      </x:c>
      <x:c r="O512" t="n">
        <x:v>38</x:v>
      </x:c>
      <x:c r="P512" t="n">
        <x:f>N512-O512</x:f>
        <x:v>0</x:v>
      </x:c>
      <x:c r="Q512" t="n">
        <x:v>0</x:v>
      </x:c>
      <x:c r="R512" t="n">
        <x:v>0</x:v>
      </x:c>
      <x:c r="S512" t="n">
        <x:f>Q512-R512</x:f>
        <x:v>0</x:v>
      </x:c>
      <x:c r="T512" t="n">
        <x:v>38</x:v>
      </x:c>
      <x:c r="U512" t="n">
        <x:v>38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f>IF(AND(ISNUMBER(G512),I512&lt;&gt;"Excluded INI"),MAX(0,G512-J512),"")</x:f>
        <x:v>212</x:v>
      </x:c>
      <x:c r="AC512" t="n">
        <x:v>6450</x:v>
      </x:c>
      <x:c r="AD512" t="n">
        <x:v>8078</x:v>
      </x:c>
      <x:c r="AE512" t="n">
        <x:v>8854</x:v>
      </x:c>
      <x:c r="AF512" t="n">
        <x:v>9787</x:v>
      </x:c>
      <x:c r="AG512" t="n">
        <x:v>9069</x:v>
      </x:c>
      <x:c r="AH512" t="n">
        <x:v>9271</x:v>
      </x:c>
      <x:c r="AI512" t="n">
        <x:v>36514</x:v>
      </x:c>
      <x:c r="AJ512" t="n">
        <x:v>38340</x:v>
      </x:c>
      <x:c r="AK512" t="n">
        <x:v>73647</x:v>
      </x:c>
      <x:c r="AL512" t="n">
        <x:v>77611</x:v>
      </x:c>
      <x:c r="AM512" t="str">
        <x:v>Fully allotted in R1; R2 opportunity depends on upgrade/non-joining</x:v>
      </x:c>
    </x:row>
    <x:row r="513">
      <x:c r="A513" t="str">
        <x:v>West Bengal</x:v>
      </x:c>
      <x:c r="B513" t="str">
        <x:v>All India except Central University</x:v>
      </x:c>
      <x:c r="C513" t="str">
        <x:v>200475</x:v>
      </x:c>
      <x:c r="D513" t="str">
        <x:v>Raiganj Government Medical College &amp; Hospital, Raiganj, ABDULGHATA CAMPUS, KARNAJORA, PO- KARNAJORA,PS- RAIGANJ, DISTRICT- UTTAR DINAJPUR,PIN-733130, STATE</x:v>
      </x:c>
      <x:c r="E513" t="str">
        <x:v>WB/033/G/1</x:v>
      </x:c>
      <x:c r="F513" t="str">
        <x:v>Government</x:v>
      </x:c>
      <x:c r="G513" t="n">
        <x:v>150</x:v>
      </x:c>
      <x:c r="H513" t="n">
        <x:v>100</x:v>
      </x:c>
      <x:c r="I513" t="str">
        <x:v>High-confidence fuzzy</x:v>
      </x:c>
      <x:c r="J513" t="n">
        <x:v>23</x:v>
      </x:c>
      <x:c r="K513" t="n">
        <x:v>23</x:v>
      </x:c>
      <x:c r="L513" t="n">
        <x:f>J513-K513</x:f>
        <x:v>0</x:v>
      </x:c>
      <x:c r="M513" s="20" t="n">
        <x:f>IFERROR(K513/J513,0)</x:f>
        <x:v>1</x:v>
      </x:c>
      <x:c r="N513" t="n">
        <x:v>23</x:v>
      </x:c>
      <x:c r="O513" t="n">
        <x:v>23</x:v>
      </x:c>
      <x:c r="P513" t="n">
        <x:f>N513-O513</x:f>
        <x:v>0</x:v>
      </x:c>
      <x:c r="Q513" t="n">
        <x:v>0</x:v>
      </x:c>
      <x:c r="R513" t="n">
        <x:v>0</x:v>
      </x:c>
      <x:c r="S513" t="n">
        <x:f>Q513-R513</x:f>
        <x:v>0</x:v>
      </x:c>
      <x:c r="T513" t="n">
        <x:v>23</x:v>
      </x:c>
      <x:c r="U513" t="n">
        <x:v>23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f>IF(AND(ISNUMBER(G513),I513&lt;&gt;"Excluded INI"),MAX(0,G513-J513),"")</x:f>
        <x:v>127</x:v>
      </x:c>
      <x:c r="AC513" t="n">
        <x:v>18131</x:v>
      </x:c>
      <x:c r="AD513" t="n">
        <x:v>18601</x:v>
      </x:c>
      <x:c r="AE513" t="n">
        <x:v>19315</x:v>
      </x:c>
      <x:c r="AF513" t="n">
        <x:v>19747</x:v>
      </x:c>
      <x:c r="AG513" t="n">
        <x:v>20815</x:v>
      </x:c>
      <x:c r="AH513" t="n">
        <x:v>20844</x:v>
      </x:c>
      <x:c r="AI513" t="n">
        <x:v>96558</x:v>
      </x:c>
      <x:c r="AJ513" t="n">
        <x:v>99514</x:v>
      </x:c>
      <x:c r="AK513" t="n">
        <x:v>108084</x:v>
      </x:c>
      <x:c r="AL513" t="n">
        <x:v>108084</x:v>
      </x:c>
      <x:c r="AM513" t="str">
        <x:v>Fully allotted in R1; R2 opportunity depends on upgrade/non-joining</x:v>
      </x:c>
    </x:row>
    <x:row r="514">
      <x:c r="A514" t="str">
        <x:v>West Bengal</x:v>
      </x:c>
      <x:c r="B514" t="str">
        <x:v>All India except Central University</x:v>
      </x:c>
      <x:c r="C514" t="str">
        <x:v>200551</x:v>
      </x:c>
      <x:c r="D514" t="str">
        <x:v>Rampurhat Government Medical College &amp; Hospital, Rampurhat, prinrampurhatgmch@gmail.com</x:v>
      </x:c>
      <x:c r="E514" t="str">
        <x:v>WB/034/G/1</x:v>
      </x:c>
      <x:c r="F514" t="str">
        <x:v>Government</x:v>
      </x:c>
      <x:c r="G514" t="n">
        <x:v>150</x:v>
      </x:c>
      <x:c r="H514" t="n">
        <x:v>100</x:v>
      </x:c>
      <x:c r="I514" t="str">
        <x:v>High-confidence fuzzy</x:v>
      </x:c>
      <x:c r="J514" t="n">
        <x:v>22</x:v>
      </x:c>
      <x:c r="K514" t="n">
        <x:v>22</x:v>
      </x:c>
      <x:c r="L514" t="n">
        <x:f>J514-K514</x:f>
        <x:v>0</x:v>
      </x:c>
      <x:c r="M514" s="20" t="n">
        <x:f>IFERROR(K514/J514,0)</x:f>
        <x:v>1</x:v>
      </x:c>
      <x:c r="N514" t="n">
        <x:v>22</x:v>
      </x:c>
      <x:c r="O514" t="n">
        <x:v>22</x:v>
      </x:c>
      <x:c r="P514" t="n">
        <x:f>N514-O514</x:f>
        <x:v>0</x:v>
      </x:c>
      <x:c r="Q514" t="n">
        <x:v>0</x:v>
      </x:c>
      <x:c r="R514" t="n">
        <x:v>0</x:v>
      </x:c>
      <x:c r="S514" t="n">
        <x:f>Q514-R514</x:f>
        <x:v>0</x:v>
      </x:c>
      <x:c r="T514" t="n">
        <x:v>22</x:v>
      </x:c>
      <x:c r="U514" t="n">
        <x:v>22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f>IF(AND(ISNUMBER(G514),I514&lt;&gt;"Excluded INI"),MAX(0,G514-J514),"")</x:f>
        <x:v>128</x:v>
      </x:c>
      <x:c r="AC514" t="n">
        <x:v>17775</x:v>
      </x:c>
      <x:c r="AD514" t="n">
        <x:v>18214</x:v>
      </x:c>
      <x:c r="AE514" t="n">
        <x:v>18784</x:v>
      </x:c>
      <x:c r="AF514" t="n">
        <x:v>19255</x:v>
      </x:c>
      <x:c r="AG514" t="n">
        <x:v>21019</x:v>
      </x:c>
      <x:c r="AH514" t="n">
        <x:v>21058</x:v>
      </x:c>
      <x:c r="AI514" t="n">
        <x:v>97268</x:v>
      </x:c>
      <x:c r="AJ514" t="n">
        <x:v>98248</x:v>
      </x:c>
      <x:c r="AK514" t="n">
        <x:v>117386</x:v>
      </x:c>
      <x:c r="AL514" t="n">
        <x:v>118892</x:v>
      </x:c>
      <x:c r="AM514" t="str">
        <x:v>Fully allotted in R1; R2 opportunity depends on upgrade/non-joining</x:v>
      </x:c>
    </x:row>
    <x:row r="515">
      <x:c r="A515" t="str">
        <x:v>West Bengal</x:v>
      </x:c>
      <x:c r="B515" t="str">
        <x:v>All India except Central University</x:v>
      </x:c>
      <x:c r="C515" t="str">
        <x:v>200620</x:v>
      </x:c>
      <x:c r="D515" t="str">
        <x:v>Sarat Chandra Chattopadhyay Government Medical College &amp; Hospital, , NH-16, Jadurberia, Uluberia, Howrah - 711316</x:v>
      </x:c>
      <x:c r="E515" t="str">
        <x:v>WB/038/G/1</x:v>
      </x:c>
      <x:c r="F515" t="str">
        <x:v>Government</x:v>
      </x:c>
      <x:c r="G515" t="n">
        <x:v>150</x:v>
      </x:c>
      <x:c r="H515" t="n">
        <x:v>100</x:v>
      </x:c>
      <x:c r="I515" t="str">
        <x:v>High-confidence fuzzy</x:v>
      </x:c>
      <x:c r="J515" t="n">
        <x:v>23</x:v>
      </x:c>
      <x:c r="K515" t="n">
        <x:v>23</x:v>
      </x:c>
      <x:c r="L515" t="n">
        <x:f>J515-K515</x:f>
        <x:v>0</x:v>
      </x:c>
      <x:c r="M515" s="20" t="n">
        <x:f>IFERROR(K515/J515,0)</x:f>
        <x:v>1</x:v>
      </x:c>
      <x:c r="N515" t="n">
        <x:v>23</x:v>
      </x:c>
      <x:c r="O515" t="n">
        <x:v>23</x:v>
      </x:c>
      <x:c r="P515" t="n">
        <x:f>N515-O515</x:f>
        <x:v>0</x:v>
      </x:c>
      <x:c r="Q515" t="n">
        <x:v>0</x:v>
      </x:c>
      <x:c r="R515" t="n">
        <x:v>0</x:v>
      </x:c>
      <x:c r="S515" t="n">
        <x:f>Q515-R515</x:f>
        <x:v>0</x:v>
      </x:c>
      <x:c r="T515" t="n">
        <x:v>23</x:v>
      </x:c>
      <x:c r="U515" t="n">
        <x:v>23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f>IF(AND(ISNUMBER(G515),I515&lt;&gt;"Excluded INI"),MAX(0,G515-J515),"")</x:f>
        <x:v>127</x:v>
      </x:c>
      <x:c r="AC515" t="n">
        <x:v>14224</x:v>
      </x:c>
      <x:c r="AD515" t="n">
        <x:v>16593</x:v>
      </x:c>
      <x:c r="AE515" t="n">
        <x:v>19150</x:v>
      </x:c>
      <x:c r="AF515" t="n">
        <x:v>19671</x:v>
      </x:c>
      <x:c r="AG515" t="n">
        <x:v>20974</x:v>
      </x:c>
      <x:c r="AH515" t="n">
        <x:v>21209</x:v>
      </x:c>
      <x:c r="AI515" t="n">
        <x:v>92027</x:v>
      </x:c>
      <x:c r="AJ515" t="n">
        <x:v>96125</x:v>
      </x:c>
      <x:c r="AK515" t="n">
        <x:v>119763</x:v>
      </x:c>
      <x:c r="AL515" t="n">
        <x:v>121454</x:v>
      </x:c>
      <x:c r="AM515" t="str">
        <x:v>Fully allotted in R1; R2 opportunity depends on upgrade/non-joining</x:v>
      </x:c>
    </x:row>
    <x:row r="516">
      <x:c r="A516" t="str">
        <x:v>West Bengal</x:v>
      </x:c>
      <x:c r="B516" t="str">
        <x:v>All India except Central University</x:v>
      </x:c>
      <x:c r="C516" t="str">
        <x:v>200604</x:v>
      </x:c>
      <x:c r="D516" t="str">
        <x:v>Tamralipto Government Medical College &amp; Hospital, 227 Haldia Tamluk Mecheda Road, Tamluk, Purba Medinipur</x:v>
      </x:c>
      <x:c r="E516" t="str">
        <x:v>WB/040/G/1</x:v>
      </x:c>
      <x:c r="F516" t="str">
        <x:v>Government</x:v>
      </x:c>
      <x:c r="G516" t="n">
        <x:v>150</x:v>
      </x:c>
      <x:c r="H516" t="n">
        <x:v>100</x:v>
      </x:c>
      <x:c r="I516" t="str">
        <x:v>High-confidence fuzzy</x:v>
      </x:c>
      <x:c r="J516" t="n">
        <x:v>23</x:v>
      </x:c>
      <x:c r="K516" t="n">
        <x:v>23</x:v>
      </x:c>
      <x:c r="L516" t="n">
        <x:f>J516-K516</x:f>
        <x:v>0</x:v>
      </x:c>
      <x:c r="M516" s="20" t="n">
        <x:f>IFERROR(K516/J516,0)</x:f>
        <x:v>1</x:v>
      </x:c>
      <x:c r="N516" t="n">
        <x:v>23</x:v>
      </x:c>
      <x:c r="O516" t="n">
        <x:v>23</x:v>
      </x:c>
      <x:c r="P516" t="n">
        <x:f>N516-O516</x:f>
        <x:v>0</x:v>
      </x:c>
      <x:c r="Q516" t="n">
        <x:v>0</x:v>
      </x:c>
      <x:c r="R516" t="n">
        <x:v>0</x:v>
      </x:c>
      <x:c r="S516" t="n">
        <x:f>Q516-R516</x:f>
        <x:v>0</x:v>
      </x:c>
      <x:c r="T516" t="n">
        <x:v>23</x:v>
      </x:c>
      <x:c r="U516" t="n">
        <x:v>23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f>IF(AND(ISNUMBER(G516),I516&lt;&gt;"Excluded INI"),MAX(0,G516-J516),"")</x:f>
        <x:v>127</x:v>
      </x:c>
      <x:c r="AC516" t="n">
        <x:v>19307</x:v>
      </x:c>
      <x:c r="AD516" t="n">
        <x:v>19716</x:v>
      </x:c>
      <x:c r="AE516" t="n">
        <x:v>20446</x:v>
      </x:c>
      <x:c r="AF516" t="n">
        <x:v>20876</x:v>
      </x:c>
      <x:c r="AG516" t="n">
        <x:v>22863</x:v>
      </x:c>
      <x:c r="AH516" t="n">
        <x:v>22888</x:v>
      </x:c>
      <x:c r="AI516" t="n">
        <x:v>100240</x:v>
      </x:c>
      <x:c r="AJ516" t="n">
        <x:v>100392</x:v>
      </x:c>
      <x:c r="AK516" t="n">
        <x:v>119397</x:v>
      </x:c>
      <x:c r="AL516" t="n">
        <x:v>119397</x:v>
      </x:c>
      <x:c r="AM516" t="str">
        <x:v>Fully allotted in R1; R2 opportunity depends on upgrade/non-joining</x:v>
      </x:c>
    </x:row>
  </x:sheetData>
  <x:conditionalFormatting sqref="L2:L51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{DCB36815-5194-6B61-7C63-417BFEF05C09}</x14:id>
        </x:ext>
      </x:extLst>
    </x:cfRule>
  </x:conditionalFormatting>
  <x:conditionalFormatting sqref="P2:P516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{7FCB4AA0-868A-BD6F-A716-BE3D0EF2AD88}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3460f14c0db4b8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CB36815-5194-6B61-7C63-417BFEF05C09}">
            <x14:dataBar gradient="1">
              <x14:cfvo type="min"/>
              <x14:cfvo type="max"/>
              <x14:fillColor rgb="FFA02B93"/>
            </x14:dataBar>
          </x14:cfRule>
          <xm:sqref>L2:L516</xm:sqref>
        </x14:conditionalFormatting>
        <x14:conditionalFormatting>
          <x14:cfRule type="dataBar" priority="2" id="{7FCB4AA0-868A-BD6F-A716-BE3D0EF2AD88}">
            <x14:dataBar gradient="1">
              <x14:cfvo type="min"/>
              <x14:cfvo type="max"/>
              <x14:fillColor rgb="FFA02B93"/>
            </x14:dataBar>
          </x14:cfRule>
          <xm:sqref>P2:P516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48" hidden="0" customWidth="1"/>
    <x:col min="5" max="5" width="22" hidden="0" customWidth="1"/>
    <x:col min="6" max="6" width="2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14" t="str">
        <x:v>State</x:v>
      </x:c>
      <x:c r="B1" s="23" t="str">
        <x:v>Institute Type</x:v>
      </x:c>
      <x:c r="C1" s="23" t="str">
        <x:v>MCC Code</x:v>
      </x:c>
      <x:c r="D1" s="23" t="str">
        <x:v>College</x:v>
      </x:c>
      <x:c r="E1" s="23" t="str">
        <x:v>Quota</x:v>
      </x:c>
      <x:c r="F1" s="23" t="str">
        <x:v>Seat Category</x:v>
      </x:c>
      <x:c r="G1" s="23" t="str">
        <x:v>R1 Seats Offered</x:v>
      </x:c>
      <x:c r="H1" s="23" t="str">
        <x:v>R1 Seats Allotted</x:v>
      </x:c>
      <x:c r="I1" s="23" t="str">
        <x:v>Net Difference</x:v>
      </x:c>
      <x:c r="J1" s="23" t="str">
        <x:v>Fill Rate</x:v>
      </x:c>
      <x:c r="K1" s="23" t="str">
        <x:v>Best AIR</x:v>
      </x:c>
      <x:c r="L1" s="23" t="str">
        <x:v>Q1 AIR</x:v>
      </x:c>
      <x:c r="M1" s="23" t="str">
        <x:v>Median AIR</x:v>
      </x:c>
      <x:c r="N1" s="23" t="str">
        <x:v>Q3 AIR</x:v>
      </x:c>
      <x:c r="O1" s="23" t="str">
        <x:v>Highest AIR</x:v>
      </x:c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</x:row>
    <x:row r="2">
      <x:c r="A2" t="str">
        <x:v>Tamil Nadu</x:v>
      </x:c>
      <x:c r="B2" t="str">
        <x:v>Deemed University</x:v>
      </x:c>
      <x:c r="C2" t="str">
        <x:v>200383</x:v>
      </x:c>
      <x:c r="D2" t="str">
        <x:v>ACS Medical College and Hospital, Chennai, Periyar EVR High Raod, Velappanchavadi, Chennai-77</x:v>
      </x:c>
      <x:c r="E2" t="str">
        <x:v>NRI</x:v>
      </x:c>
      <x:c r="F2" t="str">
        <x:v>Open</x:v>
      </x:c>
      <x:c r="G2" t="n">
        <x:v>38</x:v>
      </x:c>
      <x:c r="H2" t="n">
        <x:v>0</x:v>
      </x:c>
      <x:c r="I2" t="n">
        <x:f>G2-H2</x:f>
        <x:v>38</x:v>
      </x:c>
      <x:c r="J2" s="20" t="n">
        <x:f>IFERROR(H2/G2,0)</x:f>
        <x:v>0</x:v>
      </x:c>
      <x:c r="K2"/>
      <x:c r="L2"/>
      <x:c r="M2"/>
      <x:c r="N2"/>
      <x:c r="O2"/>
    </x:row>
    <x:row r="3">
      <x:c r="A3" t="str">
        <x:v>Tamil Nadu</x:v>
      </x:c>
      <x:c r="B3" t="str">
        <x:v>Deemed University</x:v>
      </x:c>
      <x:c r="C3" t="str">
        <x:v>200383</x:v>
      </x:c>
      <x:c r="D3" t="str">
        <x:v>ACS Medical College and Hospital, Chennai, Periyar EVR High Raod, Velappanchavadi, Chennai-77</x:v>
      </x:c>
      <x:c r="E3" t="str">
        <x:v>Self-Financed Merit</x:v>
      </x:c>
      <x:c r="F3" t="str">
        <x:v>Open</x:v>
      </x:c>
      <x:c r="G3" t="n">
        <x:v>212</x:v>
      </x:c>
      <x:c r="H3" t="n">
        <x:v>212</x:v>
      </x:c>
      <x:c r="I3" t="n">
        <x:f>G3-H3</x:f>
        <x:v>0</x:v>
      </x:c>
      <x:c r="J3" s="20" t="n">
        <x:f>IFERROR(H3/G3,0)</x:f>
        <x:v>1</x:v>
      </x:c>
      <x:c r="K3" t="n">
        <x:v>170558</x:v>
      </x:c>
      <x:c r="L3" t="n">
        <x:v>673998.75</x:v>
      </x:c>
      <x:c r="M3" t="n">
        <x:v>781850.5</x:v>
      </x:c>
      <x:c r="N3" t="n">
        <x:v>862989.5</x:v>
      </x:c>
      <x:c r="O3" t="n">
        <x:v>927573</x:v>
      </x:c>
    </x:row>
    <x:row r="4">
      <x:c r="A4" t="str">
        <x:v>Andhra Pradesh</x:v>
      </x:c>
      <x:c r="B4" t="str">
        <x:v>All India except Central University</x:v>
      </x:c>
      <x:c r="C4" t="str">
        <x:v>200446</x:v>
      </x:c>
      <x:c r="D4" t="str">
        <x:v>ACSR Government Medical College, OPP. TO AC SUBBA REDDY STADIUM DARGAMITTA NELLORE SPSR NELLORE DISTRICT, ANDHRA PRADESH</x:v>
      </x:c>
      <x:c r="E4" t="str">
        <x:v>All India</x:v>
      </x:c>
      <x:c r="F4" t="str">
        <x:v>EWS</x:v>
      </x:c>
      <x:c r="G4" t="n">
        <x:v>3</x:v>
      </x:c>
      <x:c r="H4" t="n">
        <x:v>3</x:v>
      </x:c>
      <x:c r="I4" t="n">
        <x:f>G4-H4</x:f>
        <x:v>0</x:v>
      </x:c>
      <x:c r="J4" s="20" t="n">
        <x:f>IFERROR(H4/G4,0)</x:f>
        <x:v>1</x:v>
      </x:c>
      <x:c r="K4" t="n">
        <x:v>18469</x:v>
      </x:c>
      <x:c r="L4" t="n">
        <x:v>19156.5</x:v>
      </x:c>
      <x:c r="M4" t="n">
        <x:v>19844</x:v>
      </x:c>
      <x:c r="N4" t="n">
        <x:v>19888</x:v>
      </x:c>
      <x:c r="O4" t="n">
        <x:v>19932</x:v>
      </x:c>
    </x:row>
    <x:row r="5">
      <x:c r="A5" t="str">
        <x:v>Andhra Pradesh</x:v>
      </x:c>
      <x:c r="B5" t="str">
        <x:v>All India except Central University</x:v>
      </x:c>
      <x:c r="C5" t="str">
        <x:v>200446</x:v>
      </x:c>
      <x:c r="D5" t="str">
        <x:v>ACSR Government Medical College, OPP. TO AC SUBBA REDDY STADIUM DARGAMITTA NELLORE SPSR NELLORE DISTRICT, ANDHRA PRADESH</x:v>
      </x:c>
      <x:c r="E5" t="str">
        <x:v>All India</x:v>
      </x:c>
      <x:c r="F5" t="str">
        <x:v>OBC</x:v>
      </x:c>
      <x:c r="G5" t="n">
        <x:v>7</x:v>
      </x:c>
      <x:c r="H5" t="n">
        <x:v>7</x:v>
      </x:c>
      <x:c r="I5" t="n">
        <x:f>G5-H5</x:f>
        <x:v>0</x:v>
      </x:c>
      <x:c r="J5" s="20" t="n">
        <x:f>IFERROR(H5/G5,0)</x:f>
        <x:v>1</x:v>
      </x:c>
      <x:c r="K5" t="n">
        <x:v>14607</x:v>
      </x:c>
      <x:c r="L5" t="n">
        <x:v>14886.5</x:v>
      </x:c>
      <x:c r="M5" t="n">
        <x:v>14908</x:v>
      </x:c>
      <x:c r="N5" t="n">
        <x:v>15189.5</x:v>
      </x:c>
      <x:c r="O5" t="n">
        <x:v>15293</x:v>
      </x:c>
    </x:row>
    <x:row r="6">
      <x:c r="A6" t="str">
        <x:v>Andhra Pradesh</x:v>
      </x:c>
      <x:c r="B6" t="str">
        <x:v>All India except Central University</x:v>
      </x:c>
      <x:c r="C6" t="str">
        <x:v>200446</x:v>
      </x:c>
      <x:c r="D6" t="str">
        <x:v>ACSR Government Medical College, OPP. TO AC SUBBA REDDY STADIUM DARGAMITTA NELLORE SPSR NELLORE DISTRICT, ANDHRA PRADESH</x:v>
      </x:c>
      <x:c r="E6" t="str">
        <x:v>All India</x:v>
      </x:c>
      <x:c r="F6" t="str">
        <x:v>OBC PwD</x:v>
      </x:c>
      <x:c r="G6" t="n">
        <x:v>1</x:v>
      </x:c>
      <x:c r="H6" t="n">
        <x:v>1</x:v>
      </x:c>
      <x:c r="I6" t="n">
        <x:f>G6-H6</x:f>
        <x:v>0</x:v>
      </x:c>
      <x:c r="J6" s="20" t="n">
        <x:f>IFERROR(H6/G6,0)</x:f>
        <x:v>1</x:v>
      </x:c>
      <x:c r="K6" t="n">
        <x:v>464487</x:v>
      </x:c>
      <x:c r="L6" t="n">
        <x:v>464487</x:v>
      </x:c>
      <x:c r="M6" t="n">
        <x:v>464487</x:v>
      </x:c>
      <x:c r="N6" t="n">
        <x:v>464487</x:v>
      </x:c>
      <x:c r="O6" t="n">
        <x:v>464487</x:v>
      </x:c>
    </x:row>
    <x:row r="7">
      <x:c r="A7" t="str">
        <x:v>Andhra Pradesh</x:v>
      </x:c>
      <x:c r="B7" t="str">
        <x:v>All India except Central University</x:v>
      </x:c>
      <x:c r="C7" t="str">
        <x:v>200446</x:v>
      </x:c>
      <x:c r="D7" t="str">
        <x:v>ACSR Government Medical College, OPP. TO AC SUBBA REDDY STADIUM DARGAMITTA NELLORE SPSR NELLORE DISTRICT, ANDHRA PRADESH</x:v>
      </x:c>
      <x:c r="E7" t="str">
        <x:v>All India</x:v>
      </x:c>
      <x:c r="F7" t="str">
        <x:v>Open</x:v>
      </x:c>
      <x:c r="G7" t="n">
        <x:v>11</x:v>
      </x:c>
      <x:c r="H7" t="n">
        <x:v>11</x:v>
      </x:c>
      <x:c r="I7" t="n">
        <x:f>G7-H7</x:f>
        <x:v>0</x:v>
      </x:c>
      <x:c r="J7" s="20" t="n">
        <x:f>IFERROR(H7/G7,0)</x:f>
        <x:v>1</x:v>
      </x:c>
      <x:c r="K7" t="n">
        <x:v>9746</x:v>
      </x:c>
      <x:c r="L7" t="n">
        <x:v>11569.5</x:v>
      </x:c>
      <x:c r="M7" t="n">
        <x:v>12609</x:v>
      </x:c>
      <x:c r="N7" t="n">
        <x:v>13391</x:v>
      </x:c>
      <x:c r="O7" t="n">
        <x:v>14322</x:v>
      </x:c>
    </x:row>
    <x:row r="8">
      <x:c r="A8" t="str">
        <x:v>Andhra Pradesh</x:v>
      </x:c>
      <x:c r="B8" t="str">
        <x:v>All India except Central University</x:v>
      </x:c>
      <x:c r="C8" t="str">
        <x:v>200446</x:v>
      </x:c>
      <x:c r="D8" t="str">
        <x:v>ACSR Government Medical College, OPP. TO AC SUBBA REDDY STADIUM DARGAMITTA NELLORE SPSR NELLORE DISTRICT, ANDHRA PRADESH</x:v>
      </x:c>
      <x:c r="E8" t="str">
        <x:v>All India</x:v>
      </x:c>
      <x:c r="F8" t="str">
        <x:v>Open PwD</x:v>
      </x:c>
      <x:c r="G8" t="n">
        <x:v>1</x:v>
      </x:c>
      <x:c r="H8" t="n">
        <x:v>1</x:v>
      </x:c>
      <x:c r="I8" t="n">
        <x:f>G8-H8</x:f>
        <x:v>0</x:v>
      </x:c>
      <x:c r="J8" s="20" t="n">
        <x:f>IFERROR(H8/G8,0)</x:f>
        <x:v>1</x:v>
      </x:c>
      <x:c r="K8" t="n">
        <x:v>402829</x:v>
      </x:c>
      <x:c r="L8" t="n">
        <x:v>402829</x:v>
      </x:c>
      <x:c r="M8" t="n">
        <x:v>402829</x:v>
      </x:c>
      <x:c r="N8" t="n">
        <x:v>402829</x:v>
      </x:c>
      <x:c r="O8" t="n">
        <x:v>402829</x:v>
      </x:c>
    </x:row>
    <x:row r="9">
      <x:c r="A9" t="str">
        <x:v>Andhra Pradesh</x:v>
      </x:c>
      <x:c r="B9" t="str">
        <x:v>All India except Central University</x:v>
      </x:c>
      <x:c r="C9" t="str">
        <x:v>200446</x:v>
      </x:c>
      <x:c r="D9" t="str">
        <x:v>ACSR Government Medical College, OPP. TO AC SUBBA REDDY STADIUM DARGAMITTA NELLORE SPSR NELLORE DISTRICT, ANDHRA PRADESH</x:v>
      </x:c>
      <x:c r="E9" t="str">
        <x:v>All India</x:v>
      </x:c>
      <x:c r="F9" t="str">
        <x:v>SC</x:v>
      </x:c>
      <x:c r="G9" t="n">
        <x:v>4</x:v>
      </x:c>
      <x:c r="H9" t="n">
        <x:v>4</x:v>
      </x:c>
      <x:c r="I9" t="n">
        <x:f>G9-H9</x:f>
        <x:v>0</x:v>
      </x:c>
      <x:c r="J9" s="20" t="n">
        <x:f>IFERROR(H9/G9,0)</x:f>
        <x:v>1</x:v>
      </x:c>
      <x:c r="K9" t="n">
        <x:v>52073</x:v>
      </x:c>
      <x:c r="L9" t="n">
        <x:v>55080.5</x:v>
      </x:c>
      <x:c r="M9" t="n">
        <x:v>57613.5</x:v>
      </x:c>
      <x:c r="N9" t="n">
        <x:v>59229</x:v>
      </x:c>
      <x:c r="O9" t="n">
        <x:v>59484</x:v>
      </x:c>
    </x:row>
    <x:row r="10">
      <x:c r="A10" t="str">
        <x:v>Andhra Pradesh</x:v>
      </x:c>
      <x:c r="B10" t="str">
        <x:v>All India except Central University</x:v>
      </x:c>
      <x:c r="C10" t="str">
        <x:v>200446</x:v>
      </x:c>
      <x:c r="D10" t="str">
        <x:v>ACSR Government Medical College, OPP. TO AC SUBBA REDDY STADIUM DARGAMITTA NELLORE SPSR NELLORE DISTRICT, ANDHRA PRADESH</x:v>
      </x:c>
      <x:c r="E10" t="str">
        <x:v>All India</x:v>
      </x:c>
      <x:c r="F10" t="str">
        <x:v>ST</x:v>
      </x:c>
      <x:c r="G10" t="n">
        <x:v>3</x:v>
      </x:c>
      <x:c r="H10" t="n">
        <x:v>3</x:v>
      </x:c>
      <x:c r="I10" t="n">
        <x:f>G10-H10</x:f>
        <x:v>0</x:v>
      </x:c>
      <x:c r="J10" s="20" t="n">
        <x:f>IFERROR(H10/G10,0)</x:f>
        <x:v>1</x:v>
      </x:c>
      <x:c r="K10" t="n">
        <x:v>101685</x:v>
      </x:c>
      <x:c r="L10" t="n">
        <x:v>103007</x:v>
      </x:c>
      <x:c r="M10" t="n">
        <x:v>104329</x:v>
      </x:c>
      <x:c r="N10" t="n">
        <x:v>104582</x:v>
      </x:c>
      <x:c r="O10" t="n">
        <x:v>104835</x:v>
      </x:c>
    </x:row>
    <x:row r="11">
      <x:c r="A11" t="str">
        <x:v>Punjab</x:v>
      </x:c>
      <x:c r="B11" t="str">
        <x:v>All India Institute Of Medical Science(AIIMS)</x:v>
      </x:c>
      <x:c r="C11" t="str">
        <x:v>200511</x:v>
      </x:c>
      <x:c r="D11" t="str">
        <x:v>AIIMS Bathinda , Jodhpur Romana near Giani Zail Singh College Mandi Dabwali Road Bathinda</x:v>
      </x:c>
      <x:c r="E11" t="str">
        <x:v>Open Seat Quota</x:v>
      </x:c>
      <x:c r="F11" t="str">
        <x:v>EWS</x:v>
      </x:c>
      <x:c r="G11" t="n">
        <x:v>12</x:v>
      </x:c>
      <x:c r="H11" t="n">
        <x:v>12</x:v>
      </x:c>
      <x:c r="I11" t="n">
        <x:f>G11-H11</x:f>
        <x:v>0</x:v>
      </x:c>
      <x:c r="J11" s="20" t="n">
        <x:f>IFERROR(H11/G11,0)</x:f>
        <x:v>1</x:v>
      </x:c>
      <x:c r="K11" t="n">
        <x:v>1963</x:v>
      </x:c>
      <x:c r="L11" t="n">
        <x:v>2217.25</x:v>
      </x:c>
      <x:c r="M11" t="n">
        <x:v>2545.5</x:v>
      </x:c>
      <x:c r="N11" t="n">
        <x:v>2723.25</x:v>
      </x:c>
      <x:c r="O11" t="n">
        <x:v>2910</x:v>
      </x:c>
    </x:row>
    <x:row r="12">
      <x:c r="A12" t="str">
        <x:v>Punjab</x:v>
      </x:c>
      <x:c r="B12" t="str">
        <x:v>All India Institute Of Medical Science(AIIMS)</x:v>
      </x:c>
      <x:c r="C12" t="str">
        <x:v>200511</x:v>
      </x:c>
      <x:c r="D12" t="str">
        <x:v>AIIMS Bathinda , Jodhpur Romana near Giani Zail Singh College Mandi Dabwali Road Bathinda</x:v>
      </x:c>
      <x:c r="E12" t="str">
        <x:v>Open Seat Quota</x:v>
      </x:c>
      <x:c r="F12" t="str">
        <x:v>EWS PwD</x:v>
      </x:c>
      <x:c r="G12" t="n">
        <x:v>1</x:v>
      </x:c>
      <x:c r="H12" t="n">
        <x:v>1</x:v>
      </x:c>
      <x:c r="I12" t="n">
        <x:f>G12-H12</x:f>
        <x:v>0</x:v>
      </x:c>
      <x:c r="J12" s="20" t="n">
        <x:f>IFERROR(H12/G12,0)</x:f>
        <x:v>1</x:v>
      </x:c>
      <x:c r="K12" t="n">
        <x:v>291111</x:v>
      </x:c>
      <x:c r="L12" t="n">
        <x:v>291111</x:v>
      </x:c>
      <x:c r="M12" t="n">
        <x:v>291111</x:v>
      </x:c>
      <x:c r="N12" t="n">
        <x:v>291111</x:v>
      </x:c>
      <x:c r="O12" t="n">
        <x:v>291111</x:v>
      </x:c>
    </x:row>
    <x:row r="13">
      <x:c r="A13" t="str">
        <x:v>Punjab</x:v>
      </x:c>
      <x:c r="B13" t="str">
        <x:v>All India Institute Of Medical Science(AIIMS)</x:v>
      </x:c>
      <x:c r="C13" t="str">
        <x:v>200511</x:v>
      </x:c>
      <x:c r="D13" t="str">
        <x:v>AIIMS Bathinda , Jodhpur Romana near Giani Zail Singh College Mandi Dabwali Road Bathinda</x:v>
      </x:c>
      <x:c r="E13" t="str">
        <x:v>Open Seat Quota</x:v>
      </x:c>
      <x:c r="F13" t="str">
        <x:v>OBC</x:v>
      </x:c>
      <x:c r="G13" t="n">
        <x:v>32</x:v>
      </x:c>
      <x:c r="H13" t="n">
        <x:v>32</x:v>
      </x:c>
      <x:c r="I13" t="n">
        <x:f>G13-H13</x:f>
        <x:v>0</x:v>
      </x:c>
      <x:c r="J13" s="20" t="n">
        <x:f>IFERROR(H13/G13,0)</x:f>
        <x:v>1</x:v>
      </x:c>
      <x:c r="K13" t="n">
        <x:v>1642</x:v>
      </x:c>
      <x:c r="L13" t="n">
        <x:v>1847.75</x:v>
      </x:c>
      <x:c r="M13" t="n">
        <x:v>2010</x:v>
      </x:c>
      <x:c r="N13" t="n">
        <x:v>2101</x:v>
      </x:c>
      <x:c r="O13" t="n">
        <x:v>2190</x:v>
      </x:c>
    </x:row>
    <x:row r="14">
      <x:c r="A14" t="str">
        <x:v>Punjab</x:v>
      </x:c>
      <x:c r="B14" t="str">
        <x:v>All India Institute Of Medical Science(AIIMS)</x:v>
      </x:c>
      <x:c r="C14" t="str">
        <x:v>200511</x:v>
      </x:c>
      <x:c r="D14" t="str">
        <x:v>AIIMS Bathinda , Jodhpur Romana near Giani Zail Singh College Mandi Dabwali Road Bathinda</x:v>
      </x:c>
      <x:c r="E14" t="str">
        <x:v>Open Seat Quota</x:v>
      </x:c>
      <x:c r="F14" t="str">
        <x:v>OBC PwD</x:v>
      </x:c>
      <x:c r="G14" t="n">
        <x:v>2</x:v>
      </x:c>
      <x:c r="H14" t="n">
        <x:v>2</x:v>
      </x:c>
      <x:c r="I14" t="n">
        <x:f>G14-H14</x:f>
        <x:v>0</x:v>
      </x:c>
      <x:c r="J14" s="20" t="n">
        <x:f>IFERROR(H14/G14,0)</x:f>
        <x:v>1</x:v>
      </x:c>
      <x:c r="K14" t="n">
        <x:v>221336</x:v>
      </x:c>
      <x:c r="L14" t="n">
        <x:v>222282.5</x:v>
      </x:c>
      <x:c r="M14" t="n">
        <x:v>223229</x:v>
      </x:c>
      <x:c r="N14" t="n">
        <x:v>224175.5</x:v>
      </x:c>
      <x:c r="O14" t="n">
        <x:v>225122</x:v>
      </x:c>
    </x:row>
    <x:row r="15">
      <x:c r="A15" t="str">
        <x:v>Punjab</x:v>
      </x:c>
      <x:c r="B15" t="str">
        <x:v>All India Institute Of Medical Science(AIIMS)</x:v>
      </x:c>
      <x:c r="C15" t="str">
        <x:v>200511</x:v>
      </x:c>
      <x:c r="D15" t="str">
        <x:v>AIIMS Bathinda , Jodhpur Romana near Giani Zail Singh College Mandi Dabwali Road Bathinda</x:v>
      </x:c>
      <x:c r="E15" t="str">
        <x:v>Open Seat Quota</x:v>
      </x:c>
      <x:c r="F15" t="str">
        <x:v>Open</x:v>
      </x:c>
      <x:c r="G15" t="n">
        <x:v>49</x:v>
      </x:c>
      <x:c r="H15" t="n">
        <x:v>49</x:v>
      </x:c>
      <x:c r="I15" t="n">
        <x:f>G15-H15</x:f>
        <x:v>0</x:v>
      </x:c>
      <x:c r="J15" s="20" t="n">
        <x:f>IFERROR(H15/G15,0)</x:f>
        <x:v>1</x:v>
      </x:c>
      <x:c r="K15" t="n">
        <x:v>404</x:v>
      </x:c>
      <x:c r="L15" t="n">
        <x:v>1081</x:v>
      </x:c>
      <x:c r="M15" t="n">
        <x:v>1305</x:v>
      </x:c>
      <x:c r="N15" t="n">
        <x:v>1533</x:v>
      </x:c>
      <x:c r="O15" t="n">
        <x:v>1630</x:v>
      </x:c>
    </x:row>
    <x:row r="16">
      <x:c r="A16" t="str">
        <x:v>Punjab</x:v>
      </x:c>
      <x:c r="B16" t="str">
        <x:v>All India Institute Of Medical Science(AIIMS)</x:v>
      </x:c>
      <x:c r="C16" t="str">
        <x:v>200511</x:v>
      </x:c>
      <x:c r="D16" t="str">
        <x:v>AIIMS Bathinda , Jodhpur Romana near Giani Zail Singh College Mandi Dabwali Road Bathinda</x:v>
      </x:c>
      <x:c r="E16" t="str">
        <x:v>Open Seat Quota</x:v>
      </x:c>
      <x:c r="F16" t="str">
        <x:v>Open PwD</x:v>
      </x:c>
      <x:c r="G16" t="n">
        <x:v>2</x:v>
      </x:c>
      <x:c r="H16" t="n">
        <x:v>2</x:v>
      </x:c>
      <x:c r="I16" t="n">
        <x:f>G16-H16</x:f>
        <x:v>0</x:v>
      </x:c>
      <x:c r="J16" s="20" t="n">
        <x:f>IFERROR(H16/G16,0)</x:f>
        <x:v>1</x:v>
      </x:c>
      <x:c r="K16" t="n">
        <x:v>124295</x:v>
      </x:c>
      <x:c r="L16" t="n">
        <x:v>146186.5</x:v>
      </x:c>
      <x:c r="M16" t="n">
        <x:v>168078</x:v>
      </x:c>
      <x:c r="N16" t="n">
        <x:v>189969.5</x:v>
      </x:c>
      <x:c r="O16" t="n">
        <x:v>211861</x:v>
      </x:c>
    </x:row>
    <x:row r="17">
      <x:c r="A17" t="str">
        <x:v>Punjab</x:v>
      </x:c>
      <x:c r="B17" t="str">
        <x:v>All India Institute Of Medical Science(AIIMS)</x:v>
      </x:c>
      <x:c r="C17" t="str">
        <x:v>200511</x:v>
      </x:c>
      <x:c r="D17" t="str">
        <x:v>AIIMS Bathinda , Jodhpur Romana near Giani Zail Singh College Mandi Dabwali Road Bathinda</x:v>
      </x:c>
      <x:c r="E17" t="str">
        <x:v>Open Seat Quota</x:v>
      </x:c>
      <x:c r="F17" t="str">
        <x:v>SC</x:v>
      </x:c>
      <x:c r="G17" t="n">
        <x:v>17</x:v>
      </x:c>
      <x:c r="H17" t="n">
        <x:v>17</x:v>
      </x:c>
      <x:c r="I17" t="n">
        <x:f>G17-H17</x:f>
        <x:v>0</x:v>
      </x:c>
      <x:c r="J17" s="20" t="n">
        <x:f>IFERROR(H17/G17,0)</x:f>
        <x:v>1</x:v>
      </x:c>
      <x:c r="K17" t="n">
        <x:v>8488</x:v>
      </x:c>
      <x:c r="L17" t="n">
        <x:v>11945</x:v>
      </x:c>
      <x:c r="M17" t="n">
        <x:v>17205</x:v>
      </x:c>
      <x:c r="N17" t="n">
        <x:v>18172</x:v>
      </x:c>
      <x:c r="O17" t="n">
        <x:v>18819</x:v>
      </x:c>
    </x:row>
    <x:row r="18">
      <x:c r="A18" t="str">
        <x:v>Punjab</x:v>
      </x:c>
      <x:c r="B18" t="str">
        <x:v>All India Institute Of Medical Science(AIIMS)</x:v>
      </x:c>
      <x:c r="C18" t="str">
        <x:v>200511</x:v>
      </x:c>
      <x:c r="D18" t="str">
        <x:v>AIIMS Bathinda , Jodhpur Romana near Giani Zail Singh College Mandi Dabwali Road Bathinda</x:v>
      </x:c>
      <x:c r="E18" t="str">
        <x:v>Open Seat Quota</x:v>
      </x:c>
      <x:c r="F18" t="str">
        <x:v>SC PwD</x:v>
      </x:c>
      <x:c r="G18" t="n">
        <x:v>1</x:v>
      </x:c>
      <x:c r="H18" t="n">
        <x:v>1</x:v>
      </x:c>
      <x:c r="I18" t="n">
        <x:f>G18-H18</x:f>
        <x:v>0</x:v>
      </x:c>
      <x:c r="J18" s="20" t="n">
        <x:f>IFERROR(H18/G18,0)</x:f>
        <x:v>1</x:v>
      </x:c>
      <x:c r="K18" t="n">
        <x:v>470951</x:v>
      </x:c>
      <x:c r="L18" t="n">
        <x:v>470951</x:v>
      </x:c>
      <x:c r="M18" t="n">
        <x:v>470951</x:v>
      </x:c>
      <x:c r="N18" t="n">
        <x:v>470951</x:v>
      </x:c>
      <x:c r="O18" t="n">
        <x:v>470951</x:v>
      </x:c>
    </x:row>
    <x:row r="19">
      <x:c r="A19" t="str">
        <x:v>Punjab</x:v>
      </x:c>
      <x:c r="B19" t="str">
        <x:v>All India Institute Of Medical Science(AIIMS)</x:v>
      </x:c>
      <x:c r="C19" t="str">
        <x:v>200511</x:v>
      </x:c>
      <x:c r="D19" t="str">
        <x:v>AIIMS Bathinda , Jodhpur Romana near Giani Zail Singh College Mandi Dabwali Road Bathinda</x:v>
      </x:c>
      <x:c r="E19" t="str">
        <x:v>Open Seat Quota</x:v>
      </x:c>
      <x:c r="F19" t="str">
        <x:v>ST</x:v>
      </x:c>
      <x:c r="G19" t="n">
        <x:v>8</x:v>
      </x:c>
      <x:c r="H19" t="n">
        <x:v>8</x:v>
      </x:c>
      <x:c r="I19" t="n">
        <x:f>G19-H19</x:f>
        <x:v>0</x:v>
      </x:c>
      <x:c r="J19" s="20" t="n">
        <x:f>IFERROR(H19/G19,0)</x:f>
        <x:v>1</x:v>
      </x:c>
      <x:c r="K19" t="n">
        <x:v>9977</x:v>
      </x:c>
      <x:c r="L19" t="n">
        <x:v>18952.25</x:v>
      </x:c>
      <x:c r="M19" t="n">
        <x:v>23136</x:v>
      </x:c>
      <x:c r="N19" t="n">
        <x:v>24678.75</x:v>
      </x:c>
      <x:c r="O19" t="n">
        <x:v>26664</x:v>
      </x:c>
    </x:row>
    <x:row r="20">
      <x:c r="A20" t="str">
        <x:v>Punjab</x:v>
      </x:c>
      <x:c r="B20" t="str">
        <x:v>All India Institute Of Medical Science(AIIMS)</x:v>
      </x:c>
      <x:c r="C20" t="str">
        <x:v>200511</x:v>
      </x:c>
      <x:c r="D20" t="str">
        <x:v>AIIMS Bathinda , Jodhpur Romana near Giani Zail Singh College Mandi Dabwali Road Bathinda</x:v>
      </x:c>
      <x:c r="E20" t="str">
        <x:v>Open Seat Quota</x:v>
      </x:c>
      <x:c r="F20" t="str">
        <x:v>ST PwD</x:v>
      </x:c>
      <x:c r="G20" t="n">
        <x:v>1</x:v>
      </x:c>
      <x:c r="H20" t="n">
        <x:v>1</x:v>
      </x:c>
      <x:c r="I20" t="n">
        <x:f>G20-H20</x:f>
        <x:v>0</x:v>
      </x:c>
      <x:c r="J20" s="20" t="n">
        <x:f>IFERROR(H20/G20,0)</x:f>
        <x:v>1</x:v>
      </x:c>
      <x:c r="K20" t="n">
        <x:v>380493</x:v>
      </x:c>
      <x:c r="L20" t="n">
        <x:v>380493</x:v>
      </x:c>
      <x:c r="M20" t="n">
        <x:v>380493</x:v>
      </x:c>
      <x:c r="N20" t="n">
        <x:v>380493</x:v>
      </x:c>
      <x:c r="O20" t="n">
        <x:v>380493</x:v>
      </x:c>
    </x:row>
    <x:row r="21">
      <x:c r="A21" t="str">
        <x:v>Himachal Pradesh</x:v>
      </x:c>
      <x:c r="B21" t="str">
        <x:v>All India Institute Of Medical Science(AIIMS)</x:v>
      </x:c>
      <x:c r="C21" t="str">
        <x:v>200530</x:v>
      </x:c>
      <x:c r="D21" t="str">
        <x:v>AIIMS Bilaspur Changar Palasiyan, Himachal Pradesh, All India Institute of Medical Sciences AIIMS Bilaspur Kothipura BILASPUR Himachal Pradesh 174001</x:v>
      </x:c>
      <x:c r="E21" t="str">
        <x:v>Open Seat Quota</x:v>
      </x:c>
      <x:c r="F21" t="str">
        <x:v>EWS</x:v>
      </x:c>
      <x:c r="G21" t="n">
        <x:v>12</x:v>
      </x:c>
      <x:c r="H21" t="n">
        <x:v>12</x:v>
      </x:c>
      <x:c r="I21" t="n">
        <x:f>G21-H21</x:f>
        <x:v>0</x:v>
      </x:c>
      <x:c r="J21" s="20" t="n">
        <x:f>IFERROR(H21/G21,0)</x:f>
        <x:v>1</x:v>
      </x:c>
      <x:c r="K21" t="n">
        <x:v>2484</x:v>
      </x:c>
      <x:c r="L21" t="n">
        <x:v>3021.5</x:v>
      </x:c>
      <x:c r="M21" t="n">
        <x:v>3166</x:v>
      </x:c>
      <x:c r="N21" t="n">
        <x:v>3198</x:v>
      </x:c>
      <x:c r="O21" t="n">
        <x:v>3287</x:v>
      </x:c>
    </x:row>
    <x:row r="22">
      <x:c r="A22" t="str">
        <x:v>Himachal Pradesh</x:v>
      </x:c>
      <x:c r="B22" t="str">
        <x:v>All India Institute Of Medical Science(AIIMS)</x:v>
      </x:c>
      <x:c r="C22" t="str">
        <x:v>200530</x:v>
      </x:c>
      <x:c r="D22" t="str">
        <x:v>AIIMS Bilaspur Changar Palasiyan, Himachal Pradesh, All India Institute of Medical Sciences AIIMS Bilaspur Kothipura BILASPUR Himachal Pradesh 174001</x:v>
      </x:c>
      <x:c r="E22" t="str">
        <x:v>Open Seat Quota</x:v>
      </x:c>
      <x:c r="F22" t="str">
        <x:v>EWS PwD</x:v>
      </x:c>
      <x:c r="G22" t="n">
        <x:v>1</x:v>
      </x:c>
      <x:c r="H22" t="n">
        <x:v>1</x:v>
      </x:c>
      <x:c r="I22" t="n">
        <x:f>G22-H22</x:f>
        <x:v>0</x:v>
      </x:c>
      <x:c r="J22" s="20" t="n">
        <x:f>IFERROR(H22/G22,0)</x:f>
        <x:v>1</x:v>
      </x:c>
      <x:c r="K22" t="n">
        <x:v>285858</x:v>
      </x:c>
      <x:c r="L22" t="n">
        <x:v>285858</x:v>
      </x:c>
      <x:c r="M22" t="n">
        <x:v>285858</x:v>
      </x:c>
      <x:c r="N22" t="n">
        <x:v>285858</x:v>
      </x:c>
      <x:c r="O22" t="n">
        <x:v>285858</x:v>
      </x:c>
    </x:row>
    <x:row r="23">
      <x:c r="A23" t="str">
        <x:v>Himachal Pradesh</x:v>
      </x:c>
      <x:c r="B23" t="str">
        <x:v>All India Institute Of Medical Science(AIIMS)</x:v>
      </x:c>
      <x:c r="C23" t="str">
        <x:v>200530</x:v>
      </x:c>
      <x:c r="D23" t="str">
        <x:v>AIIMS Bilaspur Changar Palasiyan, Himachal Pradesh, All India Institute of Medical Sciences AIIMS Bilaspur Kothipura BILASPUR Himachal Pradesh 174001</x:v>
      </x:c>
      <x:c r="E23" t="str">
        <x:v>Open Seat Quota</x:v>
      </x:c>
      <x:c r="F23" t="str">
        <x:v>OBC</x:v>
      </x:c>
      <x:c r="G23" t="n">
        <x:v>33</x:v>
      </x:c>
      <x:c r="H23" t="n">
        <x:v>33</x:v>
      </x:c>
      <x:c r="I23" t="n">
        <x:f>G23-H23</x:f>
        <x:v>0</x:v>
      </x:c>
      <x:c r="J23" s="20" t="n">
        <x:f>IFERROR(H23/G23,0)</x:f>
        <x:v>1</x:v>
      </x:c>
      <x:c r="K23" t="n">
        <x:v>2263</x:v>
      </x:c>
      <x:c r="L23" t="n">
        <x:v>2371</x:v>
      </x:c>
      <x:c r="M23" t="n">
        <x:v>2629</x:v>
      </x:c>
      <x:c r="N23" t="n">
        <x:v>2726</x:v>
      </x:c>
      <x:c r="O23" t="n">
        <x:v>2786</x:v>
      </x:c>
    </x:row>
    <x:row r="24">
      <x:c r="A24" t="str">
        <x:v>Himachal Pradesh</x:v>
      </x:c>
      <x:c r="B24" t="str">
        <x:v>All India Institute Of Medical Science(AIIMS)</x:v>
      </x:c>
      <x:c r="C24" t="str">
        <x:v>200530</x:v>
      </x:c>
      <x:c r="D24" t="str">
        <x:v>AIIMS Bilaspur Changar Palasiyan, Himachal Pradesh, All India Institute of Medical Sciences AIIMS Bilaspur Kothipura BILASPUR Himachal Pradesh 174001</x:v>
      </x:c>
      <x:c r="E24" t="str">
        <x:v>Open Seat Quota</x:v>
      </x:c>
      <x:c r="F24" t="str">
        <x:v>OBC PwD</x:v>
      </x:c>
      <x:c r="G24" t="n">
        <x:v>1</x:v>
      </x:c>
      <x:c r="H24" t="n">
        <x:v>1</x:v>
      </x:c>
      <x:c r="I24" t="n">
        <x:f>G24-H24</x:f>
        <x:v>0</x:v>
      </x:c>
      <x:c r="J24" s="20" t="n">
        <x:f>IFERROR(H24/G24,0)</x:f>
        <x:v>1</x:v>
      </x:c>
      <x:c r="K24" t="n">
        <x:v>284684</x:v>
      </x:c>
      <x:c r="L24" t="n">
        <x:v>284684</x:v>
      </x:c>
      <x:c r="M24" t="n">
        <x:v>284684</x:v>
      </x:c>
      <x:c r="N24" t="n">
        <x:v>284684</x:v>
      </x:c>
      <x:c r="O24" t="n">
        <x:v>284684</x:v>
      </x:c>
    </x:row>
    <x:row r="25">
      <x:c r="A25" t="str">
        <x:v>Himachal Pradesh</x:v>
      </x:c>
      <x:c r="B25" t="str">
        <x:v>All India Institute Of Medical Science(AIIMS)</x:v>
      </x:c>
      <x:c r="C25" t="str">
        <x:v>200530</x:v>
      </x:c>
      <x:c r="D25" t="str">
        <x:v>AIIMS Bilaspur Changar Palasiyan, Himachal Pradesh, All India Institute of Medical Sciences AIIMS Bilaspur Kothipura BILASPUR Himachal Pradesh 174001</x:v>
      </x:c>
      <x:c r="E25" t="str">
        <x:v>Open Seat Quota</x:v>
      </x:c>
      <x:c r="F25" t="str">
        <x:v>Open</x:v>
      </x:c>
      <x:c r="G25" t="n">
        <x:v>48</x:v>
      </x:c>
      <x:c r="H25" t="n">
        <x:v>48</x:v>
      </x:c>
      <x:c r="I25" t="n">
        <x:f>G25-H25</x:f>
        <x:v>0</x:v>
      </x:c>
      <x:c r="J25" s="20" t="n">
        <x:f>IFERROR(H25/G25,0)</x:f>
        <x:v>1</x:v>
      </x:c>
      <x:c r="K25" t="n">
        <x:v>892</x:v>
      </x:c>
      <x:c r="L25" t="n">
        <x:v>1656.5</x:v>
      </x:c>
      <x:c r="M25" t="n">
        <x:v>1890.5</x:v>
      </x:c>
      <x:c r="N25" t="n">
        <x:v>2128.5</x:v>
      </x:c>
      <x:c r="O25" t="n">
        <x:v>2260</x:v>
      </x:c>
    </x:row>
    <x:row r="26">
      <x:c r="A26" t="str">
        <x:v>Himachal Pradesh</x:v>
      </x:c>
      <x:c r="B26" t="str">
        <x:v>All India Institute Of Medical Science(AIIMS)</x:v>
      </x:c>
      <x:c r="C26" t="str">
        <x:v>200530</x:v>
      </x:c>
      <x:c r="D26" t="str">
        <x:v>AIIMS Bilaspur Changar Palasiyan, Himachal Pradesh, All India Institute of Medical Sciences AIIMS Bilaspur Kothipura BILASPUR Himachal Pradesh 174001</x:v>
      </x:c>
      <x:c r="E26" t="str">
        <x:v>Open Seat Quota</x:v>
      </x:c>
      <x:c r="F26" t="str">
        <x:v>Open PwD</x:v>
      </x:c>
      <x:c r="G26" t="n">
        <x:v>3</x:v>
      </x:c>
      <x:c r="H26" t="n">
        <x:v>3</x:v>
      </x:c>
      <x:c r="I26" t="n">
        <x:f>G26-H26</x:f>
        <x:v>0</x:v>
      </x:c>
      <x:c r="J26" s="20" t="n">
        <x:f>IFERROR(H26/G26,0)</x:f>
        <x:v>1</x:v>
      </x:c>
      <x:c r="K26" t="n">
        <x:v>200336</x:v>
      </x:c>
      <x:c r="L26" t="n">
        <x:v>201470.5</x:v>
      </x:c>
      <x:c r="M26" t="n">
        <x:v>202605</x:v>
      </x:c>
      <x:c r="N26" t="n">
        <x:v>204019.5</x:v>
      </x:c>
      <x:c r="O26" t="n">
        <x:v>205434</x:v>
      </x:c>
    </x:row>
    <x:row r="27">
      <x:c r="A27" t="str">
        <x:v>Himachal Pradesh</x:v>
      </x:c>
      <x:c r="B27" t="str">
        <x:v>All India Institute Of Medical Science(AIIMS)</x:v>
      </x:c>
      <x:c r="C27" t="str">
        <x:v>200530</x:v>
      </x:c>
      <x:c r="D27" t="str">
        <x:v>AIIMS Bilaspur Changar Palasiyan, Himachal Pradesh, All India Institute of Medical Sciences AIIMS Bilaspur Kothipura BILASPUR Himachal Pradesh 174001</x:v>
      </x:c>
      <x:c r="E27" t="str">
        <x:v>Open Seat Quota</x:v>
      </x:c>
      <x:c r="F27" t="str">
        <x:v>SC</x:v>
      </x:c>
      <x:c r="G27" t="n">
        <x:v>17</x:v>
      </x:c>
      <x:c r="H27" t="n">
        <x:v>17</x:v>
      </x:c>
      <x:c r="I27" t="n">
        <x:f>G27-H27</x:f>
        <x:v>0</x:v>
      </x:c>
      <x:c r="J27" s="20" t="n">
        <x:f>IFERROR(H27/G27,0)</x:f>
        <x:v>1</x:v>
      </x:c>
      <x:c r="K27" t="n">
        <x:v>9641</x:v>
      </x:c>
      <x:c r="L27" t="n">
        <x:v>14496</x:v>
      </x:c>
      <x:c r="M27" t="n">
        <x:v>17633</x:v>
      </x:c>
      <x:c r="N27" t="n">
        <x:v>19230</x:v>
      </x:c>
      <x:c r="O27" t="n">
        <x:v>20129</x:v>
      </x:c>
    </x:row>
    <x:row r="28">
      <x:c r="A28" t="str">
        <x:v>Himachal Pradesh</x:v>
      </x:c>
      <x:c r="B28" t="str">
        <x:v>All India Institute Of Medical Science(AIIMS)</x:v>
      </x:c>
      <x:c r="C28" t="str">
        <x:v>200530</x:v>
      </x:c>
      <x:c r="D28" t="str">
        <x:v>AIIMS Bilaspur Changar Palasiyan, Himachal Pradesh, All India Institute of Medical Sciences AIIMS Bilaspur Kothipura BILASPUR Himachal Pradesh 174001</x:v>
      </x:c>
      <x:c r="E28" t="str">
        <x:v>Open Seat Quota</x:v>
      </x:c>
      <x:c r="F28" t="str">
        <x:v>SC PwD</x:v>
      </x:c>
      <x:c r="G28" t="n">
        <x:v>1</x:v>
      </x:c>
      <x:c r="H28" t="n">
        <x:v>1</x:v>
      </x:c>
      <x:c r="I28" t="n">
        <x:f>G28-H28</x:f>
        <x:v>0</x:v>
      </x:c>
      <x:c r="J28" s="20" t="n">
        <x:f>IFERROR(H28/G28,0)</x:f>
        <x:v>1</x:v>
      </x:c>
      <x:c r="K28" t="n">
        <x:v>386020</x:v>
      </x:c>
      <x:c r="L28" t="n">
        <x:v>386020</x:v>
      </x:c>
      <x:c r="M28" t="n">
        <x:v>386020</x:v>
      </x:c>
      <x:c r="N28" t="n">
        <x:v>386020</x:v>
      </x:c>
      <x:c r="O28" t="n">
        <x:v>386020</x:v>
      </x:c>
    </x:row>
    <x:row r="29">
      <x:c r="A29" t="str">
        <x:v>Himachal Pradesh</x:v>
      </x:c>
      <x:c r="B29" t="str">
        <x:v>All India Institute Of Medical Science(AIIMS)</x:v>
      </x:c>
      <x:c r="C29" t="str">
        <x:v>200530</x:v>
      </x:c>
      <x:c r="D29" t="str">
        <x:v>AIIMS Bilaspur Changar Palasiyan, Himachal Pradesh, All India Institute of Medical Sciences AIIMS Bilaspur Kothipura BILASPUR Himachal Pradesh 174001</x:v>
      </x:c>
      <x:c r="E29" t="str">
        <x:v>Open Seat Quota</x:v>
      </x:c>
      <x:c r="F29" t="str">
        <x:v>ST</x:v>
      </x:c>
      <x:c r="G29" t="n">
        <x:v>9</x:v>
      </x:c>
      <x:c r="H29" t="n">
        <x:v>9</x:v>
      </x:c>
      <x:c r="I29" t="n">
        <x:f>G29-H29</x:f>
        <x:v>0</x:v>
      </x:c>
      <x:c r="J29" s="20" t="n">
        <x:f>IFERROR(H29/G29,0)</x:f>
        <x:v>1</x:v>
      </x:c>
      <x:c r="K29" t="n">
        <x:v>10596</x:v>
      </x:c>
      <x:c r="L29" t="n">
        <x:v>19099</x:v>
      </x:c>
      <x:c r="M29" t="n">
        <x:v>26756</x:v>
      </x:c>
      <x:c r="N29" t="n">
        <x:v>30175</x:v>
      </x:c>
      <x:c r="O29" t="n">
        <x:v>30805</x:v>
      </x:c>
    </x:row>
    <x:row r="30">
      <x:c r="A30" t="str">
        <x:v>Assam</x:v>
      </x:c>
      <x:c r="B30" t="str">
        <x:v>All India Institute Of Medical Science(AIIMS)</x:v>
      </x:c>
      <x:c r="C30" t="str">
        <x:v>200519</x:v>
      </x:c>
      <x:c r="D30" t="str">
        <x:v>AIIMS Guwahati, PO-CHANGSARI, DISTRICT-KAMRUP</x:v>
      </x:c>
      <x:c r="E30" t="str">
        <x:v>Open Seat Quota</x:v>
      </x:c>
      <x:c r="F30" t="str">
        <x:v>EWS</x:v>
      </x:c>
      <x:c r="G30" t="n">
        <x:v>9</x:v>
      </x:c>
      <x:c r="H30" t="n">
        <x:v>9</x:v>
      </x:c>
      <x:c r="I30" t="n">
        <x:f>G30-H30</x:f>
        <x:v>0</x:v>
      </x:c>
      <x:c r="J30" s="20" t="n">
        <x:f>IFERROR(H30/G30,0)</x:f>
        <x:v>1</x:v>
      </x:c>
      <x:c r="K30" t="n">
        <x:v>4403</x:v>
      </x:c>
      <x:c r="L30" t="n">
        <x:v>4607</x:v>
      </x:c>
      <x:c r="M30" t="n">
        <x:v>4678</x:v>
      </x:c>
      <x:c r="N30" t="n">
        <x:v>4710</x:v>
      </x:c>
      <x:c r="O30" t="n">
        <x:v>4802</x:v>
      </x:c>
    </x:row>
    <x:row r="31">
      <x:c r="A31" t="str">
        <x:v>Assam</x:v>
      </x:c>
      <x:c r="B31" t="str">
        <x:v>All India Institute Of Medical Science(AIIMS)</x:v>
      </x:c>
      <x:c r="C31" t="str">
        <x:v>200519</x:v>
      </x:c>
      <x:c r="D31" t="str">
        <x:v>AIIMS Guwahati, PO-CHANGSARI, DISTRICT-KAMRUP</x:v>
      </x:c>
      <x:c r="E31" t="str">
        <x:v>Open Seat Quota</x:v>
      </x:c>
      <x:c r="F31" t="str">
        <x:v>EWS PwD</x:v>
      </x:c>
      <x:c r="G31" t="n">
        <x:v>1</x:v>
      </x:c>
      <x:c r="H31" t="n">
        <x:v>1</x:v>
      </x:c>
      <x:c r="I31" t="n">
        <x:f>G31-H31</x:f>
        <x:v>0</x:v>
      </x:c>
      <x:c r="J31" s="20" t="n">
        <x:f>IFERROR(H31/G31,0)</x:f>
        <x:v>1</x:v>
      </x:c>
      <x:c r="K31" t="n">
        <x:v>285373</x:v>
      </x:c>
      <x:c r="L31" t="n">
        <x:v>285373</x:v>
      </x:c>
      <x:c r="M31" t="n">
        <x:v>285373</x:v>
      </x:c>
      <x:c r="N31" t="n">
        <x:v>285373</x:v>
      </x:c>
      <x:c r="O31" t="n">
        <x:v>285373</x:v>
      </x:c>
    </x:row>
    <x:row r="32">
      <x:c r="A32" t="str">
        <x:v>Assam</x:v>
      </x:c>
      <x:c r="B32" t="str">
        <x:v>All India Institute Of Medical Science(AIIMS)</x:v>
      </x:c>
      <x:c r="C32" t="str">
        <x:v>200519</x:v>
      </x:c>
      <x:c r="D32" t="str">
        <x:v>AIIMS Guwahati, PO-CHANGSARI, DISTRICT-KAMRUP</x:v>
      </x:c>
      <x:c r="E32" t="str">
        <x:v>Open Seat Quota</x:v>
      </x:c>
      <x:c r="F32" t="str">
        <x:v>OBC</x:v>
      </x:c>
      <x:c r="G32" t="n">
        <x:v>26</x:v>
      </x:c>
      <x:c r="H32" t="n">
        <x:v>26</x:v>
      </x:c>
      <x:c r="I32" t="n">
        <x:f>G32-H32</x:f>
        <x:v>0</x:v>
      </x:c>
      <x:c r="J32" s="20" t="n">
        <x:f>IFERROR(H32/G32,0)</x:f>
        <x:v>1</x:v>
      </x:c>
      <x:c r="K32" t="n">
        <x:v>3046</x:v>
      </x:c>
      <x:c r="L32" t="n">
        <x:v>3213.5</x:v>
      </x:c>
      <x:c r="M32" t="n">
        <x:v>3506.5</x:v>
      </x:c>
      <x:c r="N32" t="n">
        <x:v>3694.25</x:v>
      </x:c>
      <x:c r="O32" t="n">
        <x:v>3823</x:v>
      </x:c>
    </x:row>
    <x:row r="33">
      <x:c r="A33" t="str">
        <x:v>Assam</x:v>
      </x:c>
      <x:c r="B33" t="str">
        <x:v>All India Institute Of Medical Science(AIIMS)</x:v>
      </x:c>
      <x:c r="C33" t="str">
        <x:v>200519</x:v>
      </x:c>
      <x:c r="D33" t="str">
        <x:v>AIIMS Guwahati, PO-CHANGSARI, DISTRICT-KAMRUP</x:v>
      </x:c>
      <x:c r="E33" t="str">
        <x:v>Open Seat Quota</x:v>
      </x:c>
      <x:c r="F33" t="str">
        <x:v>OBC PwD</x:v>
      </x:c>
      <x:c r="G33" t="n">
        <x:v>1</x:v>
      </x:c>
      <x:c r="H33" t="n">
        <x:v>1</x:v>
      </x:c>
      <x:c r="I33" t="n">
        <x:f>G33-H33</x:f>
        <x:v>0</x:v>
      </x:c>
      <x:c r="J33" s="20" t="n">
        <x:f>IFERROR(H33/G33,0)</x:f>
        <x:v>1</x:v>
      </x:c>
      <x:c r="K33" t="n">
        <x:v>300462</x:v>
      </x:c>
      <x:c r="L33" t="n">
        <x:v>300462</x:v>
      </x:c>
      <x:c r="M33" t="n">
        <x:v>300462</x:v>
      </x:c>
      <x:c r="N33" t="n">
        <x:v>300462</x:v>
      </x:c>
      <x:c r="O33" t="n">
        <x:v>300462</x:v>
      </x:c>
    </x:row>
    <x:row r="34">
      <x:c r="A34" t="str">
        <x:v>Assam</x:v>
      </x:c>
      <x:c r="B34" t="str">
        <x:v>All India Institute Of Medical Science(AIIMS)</x:v>
      </x:c>
      <x:c r="C34" t="str">
        <x:v>200519</x:v>
      </x:c>
      <x:c r="D34" t="str">
        <x:v>AIIMS Guwahati, PO-CHANGSARI, DISTRICT-KAMRUP</x:v>
      </x:c>
      <x:c r="E34" t="str">
        <x:v>Open Seat Quota</x:v>
      </x:c>
      <x:c r="F34" t="str">
        <x:v>Open</x:v>
      </x:c>
      <x:c r="G34" t="n">
        <x:v>39</x:v>
      </x:c>
      <x:c r="H34" t="n">
        <x:v>39</x:v>
      </x:c>
      <x:c r="I34" t="n">
        <x:f>G34-H34</x:f>
        <x:v>0</x:v>
      </x:c>
      <x:c r="J34" s="20" t="n">
        <x:f>IFERROR(H34/G34,0)</x:f>
        <x:v>1</x:v>
      </x:c>
      <x:c r="K34" t="n">
        <x:v>1245</x:v>
      </x:c>
      <x:c r="L34" t="n">
        <x:v>2497.5</x:v>
      </x:c>
      <x:c r="M34" t="n">
        <x:v>2706</x:v>
      </x:c>
      <x:c r="N34" t="n">
        <x:v>2879.5</x:v>
      </x:c>
      <x:c r="O34" t="n">
        <x:v>2997</x:v>
      </x:c>
    </x:row>
    <x:row r="35">
      <x:c r="A35" t="str">
        <x:v>Assam</x:v>
      </x:c>
      <x:c r="B35" t="str">
        <x:v>All India Institute Of Medical Science(AIIMS)</x:v>
      </x:c>
      <x:c r="C35" t="str">
        <x:v>200519</x:v>
      </x:c>
      <x:c r="D35" t="str">
        <x:v>AIIMS Guwahati, PO-CHANGSARI, DISTRICT-KAMRUP</x:v>
      </x:c>
      <x:c r="E35" t="str">
        <x:v>Open Seat Quota</x:v>
      </x:c>
      <x:c r="F35" t="str">
        <x:v>Open PwD</x:v>
      </x:c>
      <x:c r="G35" t="n">
        <x:v>2</x:v>
      </x:c>
      <x:c r="H35" t="n">
        <x:v>2</x:v>
      </x:c>
      <x:c r="I35" t="n">
        <x:f>G35-H35</x:f>
        <x:v>0</x:v>
      </x:c>
      <x:c r="J35" s="20" t="n">
        <x:f>IFERROR(H35/G35,0)</x:f>
        <x:v>1</x:v>
      </x:c>
      <x:c r="K35" t="n">
        <x:v>147637</x:v>
      </x:c>
      <x:c r="L35" t="n">
        <x:v>158016.75</x:v>
      </x:c>
      <x:c r="M35" t="n">
        <x:v>168396.5</x:v>
      </x:c>
      <x:c r="N35" t="n">
        <x:v>178776.25</x:v>
      </x:c>
      <x:c r="O35" t="n">
        <x:v>189156</x:v>
      </x:c>
    </x:row>
    <x:row r="36">
      <x:c r="A36" t="str">
        <x:v>Assam</x:v>
      </x:c>
      <x:c r="B36" t="str">
        <x:v>All India Institute Of Medical Science(AIIMS)</x:v>
      </x:c>
      <x:c r="C36" t="str">
        <x:v>200519</x:v>
      </x:c>
      <x:c r="D36" t="str">
        <x:v>AIIMS Guwahati, PO-CHANGSARI, DISTRICT-KAMRUP</x:v>
      </x:c>
      <x:c r="E36" t="str">
        <x:v>Open Seat Quota</x:v>
      </x:c>
      <x:c r="F36" t="str">
        <x:v>SC</x:v>
      </x:c>
      <x:c r="G36" t="n">
        <x:v>14</x:v>
      </x:c>
      <x:c r="H36" t="n">
        <x:v>14</x:v>
      </x:c>
      <x:c r="I36" t="n">
        <x:f>G36-H36</x:f>
        <x:v>0</x:v>
      </x:c>
      <x:c r="J36" s="20" t="n">
        <x:f>IFERROR(H36/G36,0)</x:f>
        <x:v>1</x:v>
      </x:c>
      <x:c r="K36" t="n">
        <x:v>8048</x:v>
      </x:c>
      <x:c r="L36" t="n">
        <x:v>21413.5</x:v>
      </x:c>
      <x:c r="M36" t="n">
        <x:v>24030</x:v>
      </x:c>
      <x:c r="N36" t="n">
        <x:v>26825.5</x:v>
      </x:c>
      <x:c r="O36" t="n">
        <x:v>27539</x:v>
      </x:c>
    </x:row>
    <x:row r="37">
      <x:c r="A37" t="str">
        <x:v>Assam</x:v>
      </x:c>
      <x:c r="B37" t="str">
        <x:v>All India Institute Of Medical Science(AIIMS)</x:v>
      </x:c>
      <x:c r="C37" t="str">
        <x:v>200519</x:v>
      </x:c>
      <x:c r="D37" t="str">
        <x:v>AIIMS Guwahati, PO-CHANGSARI, DISTRICT-KAMRUP</x:v>
      </x:c>
      <x:c r="E37" t="str">
        <x:v>Open Seat Quota</x:v>
      </x:c>
      <x:c r="F37" t="str">
        <x:v>SC PwD</x:v>
      </x:c>
      <x:c r="G37" t="n">
        <x:v>1</x:v>
      </x:c>
      <x:c r="H37" t="n">
        <x:v>1</x:v>
      </x:c>
      <x:c r="I37" t="n">
        <x:f>G37-H37</x:f>
        <x:v>0</x:v>
      </x:c>
      <x:c r="J37" s="20" t="n">
        <x:f>IFERROR(H37/G37,0)</x:f>
        <x:v>1</x:v>
      </x:c>
      <x:c r="K37" t="n">
        <x:v>603010</x:v>
      </x:c>
      <x:c r="L37" t="n">
        <x:v>603010</x:v>
      </x:c>
      <x:c r="M37" t="n">
        <x:v>603010</x:v>
      </x:c>
      <x:c r="N37" t="n">
        <x:v>603010</x:v>
      </x:c>
      <x:c r="O37" t="n">
        <x:v>603010</x:v>
      </x:c>
    </x:row>
    <x:row r="38">
      <x:c r="A38" t="str">
        <x:v>Assam</x:v>
      </x:c>
      <x:c r="B38" t="str">
        <x:v>All India Institute Of Medical Science(AIIMS)</x:v>
      </x:c>
      <x:c r="C38" t="str">
        <x:v>200519</x:v>
      </x:c>
      <x:c r="D38" t="str">
        <x:v>AIIMS Guwahati, PO-CHANGSARI, DISTRICT-KAMRUP</x:v>
      </x:c>
      <x:c r="E38" t="str">
        <x:v>Open Seat Quota</x:v>
      </x:c>
      <x:c r="F38" t="str">
        <x:v>ST</x:v>
      </x:c>
      <x:c r="G38" t="n">
        <x:v>6</x:v>
      </x:c>
      <x:c r="H38" t="n">
        <x:v>6</x:v>
      </x:c>
      <x:c r="I38" t="n">
        <x:f>G38-H38</x:f>
        <x:v>0</x:v>
      </x:c>
      <x:c r="J38" s="20" t="n">
        <x:f>IFERROR(H38/G38,0)</x:f>
        <x:v>1</x:v>
      </x:c>
      <x:c r="K38" t="n">
        <x:v>25959</x:v>
      </x:c>
      <x:c r="L38" t="n">
        <x:v>29832.25</x:v>
      </x:c>
      <x:c r="M38" t="n">
        <x:v>31722.5</x:v>
      </x:c>
      <x:c r="N38" t="n">
        <x:v>34641</x:v>
      </x:c>
      <x:c r="O38" t="n">
        <x:v>37116</x:v>
      </x:c>
    </x:row>
    <x:row r="39">
      <x:c r="A39" t="str">
        <x:v>Assam</x:v>
      </x:c>
      <x:c r="B39" t="str">
        <x:v>All India Institute Of Medical Science(AIIMS)</x:v>
      </x:c>
      <x:c r="C39" t="str">
        <x:v>200519</x:v>
      </x:c>
      <x:c r="D39" t="str">
        <x:v>AIIMS Guwahati, PO-CHANGSARI, DISTRICT-KAMRUP</x:v>
      </x:c>
      <x:c r="E39" t="str">
        <x:v>Open Seat Quota</x:v>
      </x:c>
      <x:c r="F39" t="str">
        <x:v>ST PwD</x:v>
      </x:c>
      <x:c r="G39" t="n">
        <x:v>1</x:v>
      </x:c>
      <x:c r="H39" t="n">
        <x:v>1</x:v>
      </x:c>
      <x:c r="I39" t="n">
        <x:f>G39-H39</x:f>
        <x:v>0</x:v>
      </x:c>
      <x:c r="J39" s="20" t="n">
        <x:f>IFERROR(H39/G39,0)</x:f>
        <x:v>1</x:v>
      </x:c>
      <x:c r="K39" t="n">
        <x:v>478546</x:v>
      </x:c>
      <x:c r="L39" t="n">
        <x:v>478546</x:v>
      </x:c>
      <x:c r="M39" t="n">
        <x:v>478546</x:v>
      </x:c>
      <x:c r="N39" t="n">
        <x:v>478546</x:v>
      </x:c>
      <x:c r="O39" t="n">
        <x:v>478546</x:v>
      </x:c>
    </x:row>
    <x:row r="40">
      <x:c r="A40" t="str">
        <x:v>Jammu And Kashmir</x:v>
      </x:c>
      <x:c r="B40" t="str">
        <x:v>All India Institute Of Medical Science(AIIMS)</x:v>
      </x:c>
      <x:c r="C40" t="str">
        <x:v>200518</x:v>
      </x:c>
      <x:c r="D40" t="str">
        <x:v>AIIMS Jammu, AIIMS, Vijaypur, Jammu, Jammu and Kashmir</x:v>
      </x:c>
      <x:c r="E40" t="str">
        <x:v>Open Seat Quota</x:v>
      </x:c>
      <x:c r="F40" t="str">
        <x:v>EWS</x:v>
      </x:c>
      <x:c r="G40" t="n">
        <x:v>11</x:v>
      </x:c>
      <x:c r="H40" t="n">
        <x:v>11</x:v>
      </x:c>
      <x:c r="I40" t="n">
        <x:f>G40-H40</x:f>
        <x:v>0</x:v>
      </x:c>
      <x:c r="J40" s="20" t="n">
        <x:f>IFERROR(H40/G40,0)</x:f>
        <x:v>1</x:v>
      </x:c>
      <x:c r="K40" t="n">
        <x:v>3423</x:v>
      </x:c>
      <x:c r="L40" t="n">
        <x:v>4076</x:v>
      </x:c>
      <x:c r="M40" t="n">
        <x:v>4288</x:v>
      </x:c>
      <x:c r="N40" t="n">
        <x:v>4404.5</x:v>
      </x:c>
      <x:c r="O40" t="n">
        <x:v>4748</x:v>
      </x:c>
    </x:row>
    <x:row r="41">
      <x:c r="A41" t="str">
        <x:v>Jammu And Kashmir</x:v>
      </x:c>
      <x:c r="B41" t="str">
        <x:v>All India Institute Of Medical Science(AIIMS)</x:v>
      </x:c>
      <x:c r="C41" t="str">
        <x:v>200518</x:v>
      </x:c>
      <x:c r="D41" t="str">
        <x:v>AIIMS Jammu, AIIMS, Vijaypur, Jammu, Jammu and Kashmir</x:v>
      </x:c>
      <x:c r="E41" t="str">
        <x:v>Open Seat Quota</x:v>
      </x:c>
      <x:c r="F41" t="str">
        <x:v>EWS PwD</x:v>
      </x:c>
      <x:c r="G41" t="n">
        <x:v>1</x:v>
      </x:c>
      <x:c r="H41" t="n">
        <x:v>1</x:v>
      </x:c>
      <x:c r="I41" t="n">
        <x:f>G41-H41</x:f>
        <x:v>0</x:v>
      </x:c>
      <x:c r="J41" s="20" t="n">
        <x:f>IFERROR(H41/G41,0)</x:f>
        <x:v>1</x:v>
      </x:c>
      <x:c r="K41" t="n">
        <x:v>388651</x:v>
      </x:c>
      <x:c r="L41" t="n">
        <x:v>388651</x:v>
      </x:c>
      <x:c r="M41" t="n">
        <x:v>388651</x:v>
      </x:c>
      <x:c r="N41" t="n">
        <x:v>388651</x:v>
      </x:c>
      <x:c r="O41" t="n">
        <x:v>388651</x:v>
      </x:c>
    </x:row>
    <x:row r="42">
      <x:c r="A42" t="str">
        <x:v>Jammu And Kashmir</x:v>
      </x:c>
      <x:c r="B42" t="str">
        <x:v>All India Institute Of Medical Science(AIIMS)</x:v>
      </x:c>
      <x:c r="C42" t="str">
        <x:v>200518</x:v>
      </x:c>
      <x:c r="D42" t="str">
        <x:v>AIIMS Jammu, AIIMS, Vijaypur, Jammu, Jammu and Kashmir</x:v>
      </x:c>
      <x:c r="E42" t="str">
        <x:v>Open Seat Quota</x:v>
      </x:c>
      <x:c r="F42" t="str">
        <x:v>OBC</x:v>
      </x:c>
      <x:c r="G42" t="n">
        <x:v>32</x:v>
      </x:c>
      <x:c r="H42" t="n">
        <x:v>32</x:v>
      </x:c>
      <x:c r="I42" t="n">
        <x:f>G42-H42</x:f>
        <x:v>0</x:v>
      </x:c>
      <x:c r="J42" s="20" t="n">
        <x:f>IFERROR(H42/G42,0)</x:f>
        <x:v>1</x:v>
      </x:c>
      <x:c r="K42" t="n">
        <x:v>3361</x:v>
      </x:c>
      <x:c r="L42" t="n">
        <x:v>3462</x:v>
      </x:c>
      <x:c r="M42" t="n">
        <x:v>3560.5</x:v>
      </x:c>
      <x:c r="N42" t="n">
        <x:v>3693.5</x:v>
      </x:c>
      <x:c r="O42" t="n">
        <x:v>3834</x:v>
      </x:c>
    </x:row>
    <x:row r="43">
      <x:c r="A43" t="str">
        <x:v>Jammu And Kashmir</x:v>
      </x:c>
      <x:c r="B43" t="str">
        <x:v>All India Institute Of Medical Science(AIIMS)</x:v>
      </x:c>
      <x:c r="C43" t="str">
        <x:v>200518</x:v>
      </x:c>
      <x:c r="D43" t="str">
        <x:v>AIIMS Jammu, AIIMS, Vijaypur, Jammu, Jammu and Kashmir</x:v>
      </x:c>
      <x:c r="E43" t="str">
        <x:v>Open Seat Quota</x:v>
      </x:c>
      <x:c r="F43" t="str">
        <x:v>OBC PwD</x:v>
      </x:c>
      <x:c r="G43" t="n">
        <x:v>2</x:v>
      </x:c>
      <x:c r="H43" t="n">
        <x:v>2</x:v>
      </x:c>
      <x:c r="I43" t="n">
        <x:f>G43-H43</x:f>
        <x:v>0</x:v>
      </x:c>
      <x:c r="J43" s="20" t="n">
        <x:f>IFERROR(H43/G43,0)</x:f>
        <x:v>1</x:v>
      </x:c>
      <x:c r="K43" t="n">
        <x:v>288343</x:v>
      </x:c>
      <x:c r="L43" t="n">
        <x:v>292926.25</x:v>
      </x:c>
      <x:c r="M43" t="n">
        <x:v>297509.5</x:v>
      </x:c>
      <x:c r="N43" t="n">
        <x:v>302092.75</x:v>
      </x:c>
      <x:c r="O43" t="n">
        <x:v>306676</x:v>
      </x:c>
    </x:row>
    <x:row r="44">
      <x:c r="A44" t="str">
        <x:v>Jammu And Kashmir</x:v>
      </x:c>
      <x:c r="B44" t="str">
        <x:v>All India Institute Of Medical Science(AIIMS)</x:v>
      </x:c>
      <x:c r="C44" t="str">
        <x:v>200518</x:v>
      </x:c>
      <x:c r="D44" t="str">
        <x:v>AIIMS Jammu, AIIMS, Vijaypur, Jammu, Jammu and Kashmir</x:v>
      </x:c>
      <x:c r="E44" t="str">
        <x:v>Open Seat Quota</x:v>
      </x:c>
      <x:c r="F44" t="str">
        <x:v>Open</x:v>
      </x:c>
      <x:c r="G44" t="n">
        <x:v>49</x:v>
      </x:c>
      <x:c r="H44" t="n">
        <x:v>49</x:v>
      </x:c>
      <x:c r="I44" t="n">
        <x:f>G44-H44</x:f>
        <x:v>0</x:v>
      </x:c>
      <x:c r="J44" s="20" t="n">
        <x:f>IFERROR(H44/G44,0)</x:f>
        <x:v>1</x:v>
      </x:c>
      <x:c r="K44" t="n">
        <x:v>1463</x:v>
      </x:c>
      <x:c r="L44" t="n">
        <x:v>2630</x:v>
      </x:c>
      <x:c r="M44" t="n">
        <x:v>3054</x:v>
      </x:c>
      <x:c r="N44" t="n">
        <x:v>3191</x:v>
      </x:c>
      <x:c r="O44" t="n">
        <x:v>3327</x:v>
      </x:c>
    </x:row>
    <x:row r="45">
      <x:c r="A45" t="str">
        <x:v>Jammu And Kashmir</x:v>
      </x:c>
      <x:c r="B45" t="str">
        <x:v>All India Institute Of Medical Science(AIIMS)</x:v>
      </x:c>
      <x:c r="C45" t="str">
        <x:v>200518</x:v>
      </x:c>
      <x:c r="D45" t="str">
        <x:v>AIIMS Jammu, AIIMS, Vijaypur, Jammu, Jammu and Kashmir</x:v>
      </x:c>
      <x:c r="E45" t="str">
        <x:v>Open Seat Quota</x:v>
      </x:c>
      <x:c r="F45" t="str">
        <x:v>Open PwD</x:v>
      </x:c>
      <x:c r="G45" t="n">
        <x:v>1</x:v>
      </x:c>
      <x:c r="H45" t="n">
        <x:v>1</x:v>
      </x:c>
      <x:c r="I45" t="n">
        <x:f>G45-H45</x:f>
        <x:v>0</x:v>
      </x:c>
      <x:c r="J45" s="20" t="n">
        <x:f>IFERROR(H45/G45,0)</x:f>
        <x:v>1</x:v>
      </x:c>
      <x:c r="K45" t="n">
        <x:v>239506</x:v>
      </x:c>
      <x:c r="L45" t="n">
        <x:v>239506</x:v>
      </x:c>
      <x:c r="M45" t="n">
        <x:v>239506</x:v>
      </x:c>
      <x:c r="N45" t="n">
        <x:v>239506</x:v>
      </x:c>
      <x:c r="O45" t="n">
        <x:v>239506</x:v>
      </x:c>
    </x:row>
    <x:row r="46">
      <x:c r="A46" t="str">
        <x:v>Jammu And Kashmir</x:v>
      </x:c>
      <x:c r="B46" t="str">
        <x:v>All India Institute Of Medical Science(AIIMS)</x:v>
      </x:c>
      <x:c r="C46" t="str">
        <x:v>200518</x:v>
      </x:c>
      <x:c r="D46" t="str">
        <x:v>AIIMS Jammu, AIIMS, Vijaypur, Jammu, Jammu and Kashmir</x:v>
      </x:c>
      <x:c r="E46" t="str">
        <x:v>Open Seat Quota</x:v>
      </x:c>
      <x:c r="F46" t="str">
        <x:v>SC</x:v>
      </x:c>
      <x:c r="G46" t="n">
        <x:v>18</x:v>
      </x:c>
      <x:c r="H46" t="n">
        <x:v>18</x:v>
      </x:c>
      <x:c r="I46" t="n">
        <x:f>G46-H46</x:f>
        <x:v>0</x:v>
      </x:c>
      <x:c r="J46" s="20" t="n">
        <x:f>IFERROR(H46/G46,0)</x:f>
        <x:v>1</x:v>
      </x:c>
      <x:c r="K46" t="n">
        <x:v>15771</x:v>
      </x:c>
      <x:c r="L46" t="n">
        <x:v>22616.5</x:v>
      </x:c>
      <x:c r="M46" t="n">
        <x:v>25519</x:v>
      </x:c>
      <x:c r="N46" t="n">
        <x:v>26673.25</x:v>
      </x:c>
      <x:c r="O46" t="n">
        <x:v>27322</x:v>
      </x:c>
    </x:row>
    <x:row r="47">
      <x:c r="A47" t="str">
        <x:v>Jammu And Kashmir</x:v>
      </x:c>
      <x:c r="B47" t="str">
        <x:v>All India Institute Of Medical Science(AIIMS)</x:v>
      </x:c>
      <x:c r="C47" t="str">
        <x:v>200518</x:v>
      </x:c>
      <x:c r="D47" t="str">
        <x:v>AIIMS Jammu, AIIMS, Vijaypur, Jammu, Jammu and Kashmir</x:v>
      </x:c>
      <x:c r="E47" t="str">
        <x:v>Open Seat Quota</x:v>
      </x:c>
      <x:c r="F47" t="str">
        <x:v>SC PwD</x:v>
      </x:c>
      <x:c r="G47" t="n">
        <x:v>1</x:v>
      </x:c>
      <x:c r="H47" t="n">
        <x:v>1</x:v>
      </x:c>
      <x:c r="I47" t="n">
        <x:f>G47-H47</x:f>
        <x:v>0</x:v>
      </x:c>
      <x:c r="J47" s="20" t="n">
        <x:f>IFERROR(H47/G47,0)</x:f>
        <x:v>1</x:v>
      </x:c>
      <x:c r="K47" t="n">
        <x:v>653328</x:v>
      </x:c>
      <x:c r="L47" t="n">
        <x:v>653328</x:v>
      </x:c>
      <x:c r="M47" t="n">
        <x:v>653328</x:v>
      </x:c>
      <x:c r="N47" t="n">
        <x:v>653328</x:v>
      </x:c>
      <x:c r="O47" t="n">
        <x:v>653328</x:v>
      </x:c>
    </x:row>
    <x:row r="48">
      <x:c r="A48" t="str">
        <x:v>Jammu And Kashmir</x:v>
      </x:c>
      <x:c r="B48" t="str">
        <x:v>All India Institute Of Medical Science(AIIMS)</x:v>
      </x:c>
      <x:c r="C48" t="str">
        <x:v>200518</x:v>
      </x:c>
      <x:c r="D48" t="str">
        <x:v>AIIMS Jammu, AIIMS, Vijaypur, Jammu, Jammu and Kashmir</x:v>
      </x:c>
      <x:c r="E48" t="str">
        <x:v>Open Seat Quota</x:v>
      </x:c>
      <x:c r="F48" t="str">
        <x:v>ST</x:v>
      </x:c>
      <x:c r="G48" t="n">
        <x:v>9</x:v>
      </x:c>
      <x:c r="H48" t="n">
        <x:v>9</x:v>
      </x:c>
      <x:c r="I48" t="n">
        <x:f>G48-H48</x:f>
        <x:v>0</x:v>
      </x:c>
      <x:c r="J48" s="20" t="n">
        <x:f>IFERROR(H48/G48,0)</x:f>
        <x:v>1</x:v>
      </x:c>
      <x:c r="K48" t="n">
        <x:v>8631</x:v>
      </x:c>
      <x:c r="L48" t="n">
        <x:v>15824</x:v>
      </x:c>
      <x:c r="M48" t="n">
        <x:v>26371</x:v>
      </x:c>
      <x:c r="N48" t="n">
        <x:v>33468</x:v>
      </x:c>
      <x:c r="O48" t="n">
        <x:v>34696</x:v>
      </x:c>
    </x:row>
    <x:row r="49">
      <x:c r="A49" t="str">
        <x:v>Jammu And Kashmir</x:v>
      </x:c>
      <x:c r="B49" t="str">
        <x:v>All India Institute Of Medical Science(AIIMS)</x:v>
      </x:c>
      <x:c r="C49" t="str">
        <x:v>200518</x:v>
      </x:c>
      <x:c r="D49" t="str">
        <x:v>AIIMS Jammu, AIIMS, Vijaypur, Jammu, Jammu and Kashmir</x:v>
      </x:c>
      <x:c r="E49" t="str">
        <x:v>Open Seat Quota</x:v>
      </x:c>
      <x:c r="F49" t="str">
        <x:v>ST PwD</x:v>
      </x:c>
      <x:c r="G49" t="n">
        <x:v>1</x:v>
      </x:c>
      <x:c r="H49" t="n">
        <x:v>1</x:v>
      </x:c>
      <x:c r="I49" t="n">
        <x:f>G49-H49</x:f>
        <x:v>0</x:v>
      </x:c>
      <x:c r="J49" s="20" t="n">
        <x:f>IFERROR(H49/G49,0)</x:f>
        <x:v>1</x:v>
      </x:c>
      <x:c r="K49" t="n">
        <x:v>490090</x:v>
      </x:c>
      <x:c r="L49" t="n">
        <x:v>490090</x:v>
      </x:c>
      <x:c r="M49" t="n">
        <x:v>490090</x:v>
      </x:c>
      <x:c r="N49" t="n">
        <x:v>490090</x:v>
      </x:c>
      <x:c r="O49" t="n">
        <x:v>490090</x:v>
      </x:c>
    </x:row>
    <x:row r="50">
      <x:c r="A50" t="str">
        <x:v>Andhra Pradesh</x:v>
      </x:c>
      <x:c r="B50" t="str">
        <x:v>All India Institute Of Medical Science(AIIMS)</x:v>
      </x:c>
      <x:c r="C50" t="str">
        <x:v>200510</x:v>
      </x:c>
      <x:c r="D50" t="str">
        <x:v>AIIMS Mangalagiri , ALL INDIA INSTITUTE OF MEDICAL SCIENCES NEAR TADEPALLI MANGALAGIRI GUNTUR (Dt) ANDHRA PRADESH</x:v>
      </x:c>
      <x:c r="E50" t="str">
        <x:v>Open Seat Quota</x:v>
      </x:c>
      <x:c r="F50" t="str">
        <x:v>EWS</x:v>
      </x:c>
      <x:c r="G50" t="n">
        <x:v>12</x:v>
      </x:c>
      <x:c r="H50" t="n">
        <x:v>12</x:v>
      </x:c>
      <x:c r="I50" t="n">
        <x:f>G50-H50</x:f>
        <x:v>0</x:v>
      </x:c>
      <x:c r="J50" s="20" t="n">
        <x:f>IFERROR(H50/G50,0)</x:f>
        <x:v>1</x:v>
      </x:c>
      <x:c r="K50" t="n">
        <x:v>1765</x:v>
      </x:c>
      <x:c r="L50" t="n">
        <x:v>2018</x:v>
      </x:c>
      <x:c r="M50" t="n">
        <x:v>2388</x:v>
      </x:c>
      <x:c r="N50" t="n">
        <x:v>2777.25</x:v>
      </x:c>
      <x:c r="O50" t="n">
        <x:v>3021</x:v>
      </x:c>
    </x:row>
    <x:row r="51">
      <x:c r="A51" t="str">
        <x:v>Andhra Pradesh</x:v>
      </x:c>
      <x:c r="B51" t="str">
        <x:v>All India Institute Of Medical Science(AIIMS)</x:v>
      </x:c>
      <x:c r="C51" t="str">
        <x:v>200510</x:v>
      </x:c>
      <x:c r="D51" t="str">
        <x:v>AIIMS Mangalagiri , ALL INDIA INSTITUTE OF MEDICAL SCIENCES NEAR TADEPALLI MANGALAGIRI GUNTUR (Dt) ANDHRA PRADESH</x:v>
      </x:c>
      <x:c r="E51" t="str">
        <x:v>Open Seat Quota</x:v>
      </x:c>
      <x:c r="F51" t="str">
        <x:v>OBC</x:v>
      </x:c>
      <x:c r="G51" t="n">
        <x:v>32</x:v>
      </x:c>
      <x:c r="H51" t="n">
        <x:v>32</x:v>
      </x:c>
      <x:c r="I51" t="n">
        <x:f>G51-H51</x:f>
        <x:v>0</x:v>
      </x:c>
      <x:c r="J51" s="20" t="n">
        <x:f>IFERROR(H51/G51,0)</x:f>
        <x:v>1</x:v>
      </x:c>
      <x:c r="K51" t="n">
        <x:v>1353</x:v>
      </x:c>
      <x:c r="L51" t="n">
        <x:v>1699.5</x:v>
      </x:c>
      <x:c r="M51" t="n">
        <x:v>1844</x:v>
      </x:c>
      <x:c r="N51" t="n">
        <x:v>1945.5</x:v>
      </x:c>
      <x:c r="O51" t="n">
        <x:v>2079</x:v>
      </x:c>
    </x:row>
    <x:row r="52">
      <x:c r="A52" t="str">
        <x:v>Andhra Pradesh</x:v>
      </x:c>
      <x:c r="B52" t="str">
        <x:v>All India Institute Of Medical Science(AIIMS)</x:v>
      </x:c>
      <x:c r="C52" t="str">
        <x:v>200510</x:v>
      </x:c>
      <x:c r="D52" t="str">
        <x:v>AIIMS Mangalagiri , ALL INDIA INSTITUTE OF MEDICAL SCIENCES NEAR TADEPALLI MANGALAGIRI GUNTUR (Dt) ANDHRA PRADESH</x:v>
      </x:c>
      <x:c r="E52" t="str">
        <x:v>Open Seat Quota</x:v>
      </x:c>
      <x:c r="F52" t="str">
        <x:v>OBC PwD</x:v>
      </x:c>
      <x:c r="G52" t="n">
        <x:v>2</x:v>
      </x:c>
      <x:c r="H52" t="n">
        <x:v>2</x:v>
      </x:c>
      <x:c r="I52" t="n">
        <x:f>G52-H52</x:f>
        <x:v>0</x:v>
      </x:c>
      <x:c r="J52" s="20" t="n">
        <x:f>IFERROR(H52/G52,0)</x:f>
        <x:v>1</x:v>
      </x:c>
      <x:c r="K52" t="n">
        <x:v>116794</x:v>
      </x:c>
      <x:c r="L52" t="n">
        <x:v>117847</x:v>
      </x:c>
      <x:c r="M52" t="n">
        <x:v>118900</x:v>
      </x:c>
      <x:c r="N52" t="n">
        <x:v>119953</x:v>
      </x:c>
      <x:c r="O52" t="n">
        <x:v>121006</x:v>
      </x:c>
    </x:row>
    <x:row r="53">
      <x:c r="A53" t="str">
        <x:v>Andhra Pradesh</x:v>
      </x:c>
      <x:c r="B53" t="str">
        <x:v>All India Institute Of Medical Science(AIIMS)</x:v>
      </x:c>
      <x:c r="C53" t="str">
        <x:v>200510</x:v>
      </x:c>
      <x:c r="D53" t="str">
        <x:v>AIIMS Mangalagiri , ALL INDIA INSTITUTE OF MEDICAL SCIENCES NEAR TADEPALLI MANGALAGIRI GUNTUR (Dt) ANDHRA PRADESH</x:v>
      </x:c>
      <x:c r="E53" t="str">
        <x:v>Open Seat Quota</x:v>
      </x:c>
      <x:c r="F53" t="str">
        <x:v>Open</x:v>
      </x:c>
      <x:c r="G53" t="n">
        <x:v>48</x:v>
      </x:c>
      <x:c r="H53" t="n">
        <x:v>48</x:v>
      </x:c>
      <x:c r="I53" t="n">
        <x:f>G53-H53</x:f>
        <x:v>0</x:v>
      </x:c>
      <x:c r="J53" s="20" t="n">
        <x:f>IFERROR(H53/G53,0)</x:f>
        <x:v>1</x:v>
      </x:c>
      <x:c r="K53" t="n">
        <x:v>342</x:v>
      </x:c>
      <x:c r="L53" t="n">
        <x:v>754.5</x:v>
      </x:c>
      <x:c r="M53" t="n">
        <x:v>1010</x:v>
      </x:c>
      <x:c r="N53" t="n">
        <x:v>1153.25</x:v>
      </x:c>
      <x:c r="O53" t="n">
        <x:v>1314</x:v>
      </x:c>
    </x:row>
    <x:row r="54">
      <x:c r="A54" t="str">
        <x:v>Andhra Pradesh</x:v>
      </x:c>
      <x:c r="B54" t="str">
        <x:v>All India Institute Of Medical Science(AIIMS)</x:v>
      </x:c>
      <x:c r="C54" t="str">
        <x:v>200510</x:v>
      </x:c>
      <x:c r="D54" t="str">
        <x:v>AIIMS Mangalagiri , ALL INDIA INSTITUTE OF MEDICAL SCIENCES NEAR TADEPALLI MANGALAGIRI GUNTUR (Dt) ANDHRA PRADESH</x:v>
      </x:c>
      <x:c r="E54" t="str">
        <x:v>Open Seat Quota</x:v>
      </x:c>
      <x:c r="F54" t="str">
        <x:v>Open PwD</x:v>
      </x:c>
      <x:c r="G54" t="n">
        <x:v>3</x:v>
      </x:c>
      <x:c r="H54" t="n">
        <x:v>3</x:v>
      </x:c>
      <x:c r="I54" t="n">
        <x:f>G54-H54</x:f>
        <x:v>0</x:v>
      </x:c>
      <x:c r="J54" s="20" t="n">
        <x:f>IFERROR(H54/G54,0)</x:f>
        <x:v>1</x:v>
      </x:c>
      <x:c r="K54" t="n">
        <x:v>59529</x:v>
      </x:c>
      <x:c r="L54" t="n">
        <x:v>76694.5</x:v>
      </x:c>
      <x:c r="M54" t="n">
        <x:v>93860</x:v>
      </x:c>
      <x:c r="N54" t="n">
        <x:v>93984.5</x:v>
      </x:c>
      <x:c r="O54" t="n">
        <x:v>94109</x:v>
      </x:c>
    </x:row>
    <x:row r="55">
      <x:c r="A55" t="str">
        <x:v>Andhra Pradesh</x:v>
      </x:c>
      <x:c r="B55" t="str">
        <x:v>All India Institute Of Medical Science(AIIMS)</x:v>
      </x:c>
      <x:c r="C55" t="str">
        <x:v>200510</x:v>
      </x:c>
      <x:c r="D55" t="str">
        <x:v>AIIMS Mangalagiri , ALL INDIA INSTITUTE OF MEDICAL SCIENCES NEAR TADEPALLI MANGALAGIRI GUNTUR (Dt) ANDHRA PRADESH</x:v>
      </x:c>
      <x:c r="E55" t="str">
        <x:v>Open Seat Quota</x:v>
      </x:c>
      <x:c r="F55" t="str">
        <x:v>SC</x:v>
      </x:c>
      <x:c r="G55" t="n">
        <x:v>18</x:v>
      </x:c>
      <x:c r="H55" t="n">
        <x:v>18</x:v>
      </x:c>
      <x:c r="I55" t="n">
        <x:f>G55-H55</x:f>
        <x:v>0</x:v>
      </x:c>
      <x:c r="J55" s="20" t="n">
        <x:f>IFERROR(H55/G55,0)</x:f>
        <x:v>1</x:v>
      </x:c>
      <x:c r="K55" t="n">
        <x:v>4057</x:v>
      </x:c>
      <x:c r="L55" t="n">
        <x:v>7505</x:v>
      </x:c>
      <x:c r="M55" t="n">
        <x:v>9486.5</x:v>
      </x:c>
      <x:c r="N55" t="n">
        <x:v>14059.25</x:v>
      </x:c>
      <x:c r="O55" t="n">
        <x:v>16901</x:v>
      </x:c>
    </x:row>
    <x:row r="56">
      <x:c r="A56" t="str">
        <x:v>Andhra Pradesh</x:v>
      </x:c>
      <x:c r="B56" t="str">
        <x:v>All India Institute Of Medical Science(AIIMS)</x:v>
      </x:c>
      <x:c r="C56" t="str">
        <x:v>200510</x:v>
      </x:c>
      <x:c r="D56" t="str">
        <x:v>AIIMS Mangalagiri , ALL INDIA INSTITUTE OF MEDICAL SCIENCES NEAR TADEPALLI MANGALAGIRI GUNTUR (Dt) ANDHRA PRADESH</x:v>
      </x:c>
      <x:c r="E56" t="str">
        <x:v>Open Seat Quota</x:v>
      </x:c>
      <x:c r="F56" t="str">
        <x:v>SC PwD</x:v>
      </x:c>
      <x:c r="G56" t="n">
        <x:v>1</x:v>
      </x:c>
      <x:c r="H56" t="n">
        <x:v>1</x:v>
      </x:c>
      <x:c r="I56" t="n">
        <x:f>G56-H56</x:f>
        <x:v>0</x:v>
      </x:c>
      <x:c r="J56" s="20" t="n">
        <x:f>IFERROR(H56/G56,0)</x:f>
        <x:v>1</x:v>
      </x:c>
      <x:c r="K56" t="n">
        <x:v>327534</x:v>
      </x:c>
      <x:c r="L56" t="n">
        <x:v>327534</x:v>
      </x:c>
      <x:c r="M56" t="n">
        <x:v>327534</x:v>
      </x:c>
      <x:c r="N56" t="n">
        <x:v>327534</x:v>
      </x:c>
      <x:c r="O56" t="n">
        <x:v>327534</x:v>
      </x:c>
    </x:row>
    <x:row r="57">
      <x:c r="A57" t="str">
        <x:v>Andhra Pradesh</x:v>
      </x:c>
      <x:c r="B57" t="str">
        <x:v>All India Institute Of Medical Science(AIIMS)</x:v>
      </x:c>
      <x:c r="C57" t="str">
        <x:v>200510</x:v>
      </x:c>
      <x:c r="D57" t="str">
        <x:v>AIIMS Mangalagiri , ALL INDIA INSTITUTE OF MEDICAL SCIENCES NEAR TADEPALLI MANGALAGIRI GUNTUR (Dt) ANDHRA PRADESH</x:v>
      </x:c>
      <x:c r="E57" t="str">
        <x:v>Open Seat Quota</x:v>
      </x:c>
      <x:c r="F57" t="str">
        <x:v>ST</x:v>
      </x:c>
      <x:c r="G57" t="n">
        <x:v>9</x:v>
      </x:c>
      <x:c r="H57" t="n">
        <x:v>9</x:v>
      </x:c>
      <x:c r="I57" t="n">
        <x:f>G57-H57</x:f>
        <x:v>0</x:v>
      </x:c>
      <x:c r="J57" s="20" t="n">
        <x:f>IFERROR(H57/G57,0)</x:f>
        <x:v>1</x:v>
      </x:c>
      <x:c r="K57" t="n">
        <x:v>13644</x:v>
      </x:c>
      <x:c r="L57" t="n">
        <x:v>17466</x:v>
      </x:c>
      <x:c r="M57" t="n">
        <x:v>20333</x:v>
      </x:c>
      <x:c r="N57" t="n">
        <x:v>21210</x:v>
      </x:c>
      <x:c r="O57" t="n">
        <x:v>21776</x:v>
      </x:c>
    </x:row>
    <x:row r="58">
      <x:c r="A58" t="str">
        <x:v>Gujarat</x:v>
      </x:c>
      <x:c r="B58" t="str">
        <x:v>All India Institute Of Medical Science(AIIMS)</x:v>
      </x:c>
      <x:c r="C58" t="str">
        <x:v>200520</x:v>
      </x:c>
      <x:c r="D58" t="str">
        <x:v>AIIMS Rajkot, Admission cell, Academic section, First floor, Academic block, Permanent Campus, AIIMS Rajkot, Khand</x:v>
      </x:c>
      <x:c r="E58" t="str">
        <x:v>Open Seat Quota</x:v>
      </x:c>
      <x:c r="F58" t="str">
        <x:v>EWS</x:v>
      </x:c>
      <x:c r="G58" t="n">
        <x:v>7</x:v>
      </x:c>
      <x:c r="H58" t="n">
        <x:v>7</x:v>
      </x:c>
      <x:c r="I58" t="n">
        <x:f>G58-H58</x:f>
        <x:v>0</x:v>
      </x:c>
      <x:c r="J58" s="20" t="n">
        <x:f>IFERROR(H58/G58,0)</x:f>
        <x:v>1</x:v>
      </x:c>
      <x:c r="K58" t="n">
        <x:v>2279</x:v>
      </x:c>
      <x:c r="L58" t="n">
        <x:v>2321.5</x:v>
      </x:c>
      <x:c r="M58" t="n">
        <x:v>2370</x:v>
      </x:c>
      <x:c r="N58" t="n">
        <x:v>2692.5</x:v>
      </x:c>
      <x:c r="O58" t="n">
        <x:v>2889</x:v>
      </x:c>
    </x:row>
    <x:row r="59">
      <x:c r="A59" t="str">
        <x:v>Gujarat</x:v>
      </x:c>
      <x:c r="B59" t="str">
        <x:v>All India Institute Of Medical Science(AIIMS)</x:v>
      </x:c>
      <x:c r="C59" t="str">
        <x:v>200520</x:v>
      </x:c>
      <x:c r="D59" t="str">
        <x:v>AIIMS Rajkot, Admission cell, Academic section, First floor, Academic block, Permanent Campus, AIIMS Rajkot, Khand</x:v>
      </x:c>
      <x:c r="E59" t="str">
        <x:v>Open Seat Quota</x:v>
      </x:c>
      <x:c r="F59" t="str">
        <x:v>OBC</x:v>
      </x:c>
      <x:c r="G59" t="n">
        <x:v>20</x:v>
      </x:c>
      <x:c r="H59" t="n">
        <x:v>20</x:v>
      </x:c>
      <x:c r="I59" t="n">
        <x:f>G59-H59</x:f>
        <x:v>0</x:v>
      </x:c>
      <x:c r="J59" s="20" t="n">
        <x:f>IFERROR(H59/G59,0)</x:f>
        <x:v>1</x:v>
      </x:c>
      <x:c r="K59" t="n">
        <x:v>2072</x:v>
      </x:c>
      <x:c r="L59" t="n">
        <x:v>2364</x:v>
      </x:c>
      <x:c r="M59" t="n">
        <x:v>2661</x:v>
      </x:c>
      <x:c r="N59" t="n">
        <x:v>2795.5</x:v>
      </x:c>
      <x:c r="O59" t="n">
        <x:v>2892</x:v>
      </x:c>
    </x:row>
    <x:row r="60">
      <x:c r="A60" t="str">
        <x:v>Gujarat</x:v>
      </x:c>
      <x:c r="B60" t="str">
        <x:v>All India Institute Of Medical Science(AIIMS)</x:v>
      </x:c>
      <x:c r="C60" t="str">
        <x:v>200520</x:v>
      </x:c>
      <x:c r="D60" t="str">
        <x:v>AIIMS Rajkot, Admission cell, Academic section, First floor, Academic block, Permanent Campus, AIIMS Rajkot, Khand</x:v>
      </x:c>
      <x:c r="E60" t="str">
        <x:v>Open Seat Quota</x:v>
      </x:c>
      <x:c r="F60" t="str">
        <x:v>OBC PwD</x:v>
      </x:c>
      <x:c r="G60" t="n">
        <x:v>1</x:v>
      </x:c>
      <x:c r="H60" t="n">
        <x:v>1</x:v>
      </x:c>
      <x:c r="I60" t="n">
        <x:f>G60-H60</x:f>
        <x:v>0</x:v>
      </x:c>
      <x:c r="J60" s="20" t="n">
        <x:f>IFERROR(H60/G60,0)</x:f>
        <x:v>1</x:v>
      </x:c>
      <x:c r="K60" t="n">
        <x:v>269496</x:v>
      </x:c>
      <x:c r="L60" t="n">
        <x:v>269496</x:v>
      </x:c>
      <x:c r="M60" t="n">
        <x:v>269496</x:v>
      </x:c>
      <x:c r="N60" t="n">
        <x:v>269496</x:v>
      </x:c>
      <x:c r="O60" t="n">
        <x:v>269496</x:v>
      </x:c>
    </x:row>
    <x:row r="61">
      <x:c r="A61" t="str">
        <x:v>Gujarat</x:v>
      </x:c>
      <x:c r="B61" t="str">
        <x:v>All India Institute Of Medical Science(AIIMS)</x:v>
      </x:c>
      <x:c r="C61" t="str">
        <x:v>200520</x:v>
      </x:c>
      <x:c r="D61" t="str">
        <x:v>AIIMS Rajkot, Admission cell, Academic section, First floor, Academic block, Permanent Campus, AIIMS Rajkot, Khand</x:v>
      </x:c>
      <x:c r="E61" t="str">
        <x:v>Open Seat Quota</x:v>
      </x:c>
      <x:c r="F61" t="str">
        <x:v>Open</x:v>
      </x:c>
      <x:c r="G61" t="n">
        <x:v>29</x:v>
      </x:c>
      <x:c r="H61" t="n">
        <x:v>29</x:v>
      </x:c>
      <x:c r="I61" t="n">
        <x:f>G61-H61</x:f>
        <x:v>0</x:v>
      </x:c>
      <x:c r="J61" s="20" t="n">
        <x:f>IFERROR(H61/G61,0)</x:f>
        <x:v>1</x:v>
      </x:c>
      <x:c r="K61" t="n">
        <x:v>371</x:v>
      </x:c>
      <x:c r="L61" t="n">
        <x:v>1412</x:v>
      </x:c>
      <x:c r="M61" t="n">
        <x:v>1662</x:v>
      </x:c>
      <x:c r="N61" t="n">
        <x:v>1871</x:v>
      </x:c>
      <x:c r="O61" t="n">
        <x:v>2039</x:v>
      </x:c>
    </x:row>
    <x:row r="62">
      <x:c r="A62" t="str">
        <x:v>Gujarat</x:v>
      </x:c>
      <x:c r="B62" t="str">
        <x:v>All India Institute Of Medical Science(AIIMS)</x:v>
      </x:c>
      <x:c r="C62" t="str">
        <x:v>200520</x:v>
      </x:c>
      <x:c r="D62" t="str">
        <x:v>AIIMS Rajkot, Admission cell, Academic section, First floor, Academic block, Permanent Campus, AIIMS Rajkot, Khand</x:v>
      </x:c>
      <x:c r="E62" t="str">
        <x:v>Open Seat Quota</x:v>
      </x:c>
      <x:c r="F62" t="str">
        <x:v>Open PwD</x:v>
      </x:c>
      <x:c r="G62" t="n">
        <x:v>2</x:v>
      </x:c>
      <x:c r="H62" t="n">
        <x:v>2</x:v>
      </x:c>
      <x:c r="I62" t="n">
        <x:f>G62-H62</x:f>
        <x:v>0</x:v>
      </x:c>
      <x:c r="J62" s="20" t="n">
        <x:f>IFERROR(H62/G62,0)</x:f>
        <x:v>1</x:v>
      </x:c>
      <x:c r="K62" t="n">
        <x:v>161837</x:v>
      </x:c>
      <x:c r="L62" t="n">
        <x:v>178321</x:v>
      </x:c>
      <x:c r="M62" t="n">
        <x:v>194805</x:v>
      </x:c>
      <x:c r="N62" t="n">
        <x:v>211289</x:v>
      </x:c>
      <x:c r="O62" t="n">
        <x:v>227773</x:v>
      </x:c>
    </x:row>
    <x:row r="63">
      <x:c r="A63" t="str">
        <x:v>Gujarat</x:v>
      </x:c>
      <x:c r="B63" t="str">
        <x:v>All India Institute Of Medical Science(AIIMS)</x:v>
      </x:c>
      <x:c r="C63" t="str">
        <x:v>200520</x:v>
      </x:c>
      <x:c r="D63" t="str">
        <x:v>AIIMS Rajkot, Admission cell, Academic section, First floor, Academic block, Permanent Campus, AIIMS Rajkot, Khand</x:v>
      </x:c>
      <x:c r="E63" t="str">
        <x:v>Open Seat Quota</x:v>
      </x:c>
      <x:c r="F63" t="str">
        <x:v>SC</x:v>
      </x:c>
      <x:c r="G63" t="n">
        <x:v>11</x:v>
      </x:c>
      <x:c r="H63" t="n">
        <x:v>11</x:v>
      </x:c>
      <x:c r="I63" t="n">
        <x:f>G63-H63</x:f>
        <x:v>0</x:v>
      </x:c>
      <x:c r="J63" s="20" t="n">
        <x:f>IFERROR(H63/G63,0)</x:f>
        <x:v>1</x:v>
      </x:c>
      <x:c r="K63" t="n">
        <x:v>12186</x:v>
      </x:c>
      <x:c r="L63" t="n">
        <x:v>14402</x:v>
      </x:c>
      <x:c r="M63" t="n">
        <x:v>16116</x:v>
      </x:c>
      <x:c r="N63" t="n">
        <x:v>18205</x:v>
      </x:c>
      <x:c r="O63" t="n">
        <x:v>20222</x:v>
      </x:c>
    </x:row>
    <x:row r="64">
      <x:c r="A64" t="str">
        <x:v>Gujarat</x:v>
      </x:c>
      <x:c r="B64" t="str">
        <x:v>All India Institute Of Medical Science(AIIMS)</x:v>
      </x:c>
      <x:c r="C64" t="str">
        <x:v>200520</x:v>
      </x:c>
      <x:c r="D64" t="str">
        <x:v>AIIMS Rajkot, Admission cell, Academic section, First floor, Academic block, Permanent Campus, AIIMS Rajkot, Khand</x:v>
      </x:c>
      <x:c r="E64" t="str">
        <x:v>Open Seat Quota</x:v>
      </x:c>
      <x:c r="F64" t="str">
        <x:v>ST</x:v>
      </x:c>
      <x:c r="G64" t="n">
        <x:v>5</x:v>
      </x:c>
      <x:c r="H64" t="n">
        <x:v>5</x:v>
      </x:c>
      <x:c r="I64" t="n">
        <x:f>G64-H64</x:f>
        <x:v>0</x:v>
      </x:c>
      <x:c r="J64" s="20" t="n">
        <x:f>IFERROR(H64/G64,0)</x:f>
        <x:v>1</x:v>
      </x:c>
      <x:c r="K64" t="n">
        <x:v>24802</x:v>
      </x:c>
      <x:c r="L64" t="n">
        <x:v>29102</x:v>
      </x:c>
      <x:c r="M64" t="n">
        <x:v>29480</x:v>
      </x:c>
      <x:c r="N64" t="n">
        <x:v>29703</x:v>
      </x:c>
      <x:c r="O64" t="n">
        <x:v>31646</x:v>
      </x:c>
    </x:row>
    <x:row r="65">
      <x:c r="A65" t="str">
        <x:v>Odisha</x:v>
      </x:c>
      <x:c r="B65" t="str">
        <x:v>All India Institute Of Medical Science(AIIMS)</x:v>
      </x:c>
      <x:c r="C65" t="str">
        <x:v>200504</x:v>
      </x:c>
      <x:c r="D65" t="str">
        <x:v>AIIMS, Bhubaneswar, AT - Sijua, POST - DUMUDUMA, BHUBANESWAR-751019</x:v>
      </x:c>
      <x:c r="E65" t="str">
        <x:v>Open Seat Quota</x:v>
      </x:c>
      <x:c r="F65" t="str">
        <x:v>EWS</x:v>
      </x:c>
      <x:c r="G65" t="n">
        <x:v>12</x:v>
      </x:c>
      <x:c r="H65" t="n">
        <x:v>12</x:v>
      </x:c>
      <x:c r="I65" t="n">
        <x:f>G65-H65</x:f>
        <x:v>0</x:v>
      </x:c>
      <x:c r="J65" s="20" t="n">
        <x:f>IFERROR(H65/G65,0)</x:f>
        <x:v>1</x:v>
      </x:c>
      <x:c r="K65" t="n">
        <x:v>943</x:v>
      </x:c>
      <x:c r="L65" t="n">
        <x:v>1189</x:v>
      </x:c>
      <x:c r="M65" t="n">
        <x:v>1390.5</x:v>
      </x:c>
      <x:c r="N65" t="n">
        <x:v>1522.5</x:v>
      </x:c>
      <x:c r="O65" t="n">
        <x:v>1660</x:v>
      </x:c>
    </x:row>
    <x:row r="66">
      <x:c r="A66" t="str">
        <x:v>Odisha</x:v>
      </x:c>
      <x:c r="B66" t="str">
        <x:v>All India Institute Of Medical Science(AIIMS)</x:v>
      </x:c>
      <x:c r="C66" t="str">
        <x:v>200504</x:v>
      </x:c>
      <x:c r="D66" t="str">
        <x:v>AIIMS, Bhubaneswar, AT - Sijua, POST - DUMUDUMA, BHUBANESWAR-751019</x:v>
      </x:c>
      <x:c r="E66" t="str">
        <x:v>Open Seat Quota</x:v>
      </x:c>
      <x:c r="F66" t="str">
        <x:v>OBC</x:v>
      </x:c>
      <x:c r="G66" t="n">
        <x:v>32</x:v>
      </x:c>
      <x:c r="H66" t="n">
        <x:v>32</x:v>
      </x:c>
      <x:c r="I66" t="n">
        <x:f>G66-H66</x:f>
        <x:v>0</x:v>
      </x:c>
      <x:c r="J66" s="20" t="n">
        <x:f>IFERROR(H66/G66,0)</x:f>
        <x:v>1</x:v>
      </x:c>
      <x:c r="K66" t="n">
        <x:v>796</x:v>
      </x:c>
      <x:c r="L66" t="n">
        <x:v>966.5</x:v>
      </x:c>
      <x:c r="M66" t="n">
        <x:v>1111.5</x:v>
      </x:c>
      <x:c r="N66" t="n">
        <x:v>1171.25</x:v>
      </x:c>
      <x:c r="O66" t="n">
        <x:v>1233</x:v>
      </x:c>
    </x:row>
    <x:row r="67">
      <x:c r="A67" t="str">
        <x:v>Odisha</x:v>
      </x:c>
      <x:c r="B67" t="str">
        <x:v>All India Institute Of Medical Science(AIIMS)</x:v>
      </x:c>
      <x:c r="C67" t="str">
        <x:v>200504</x:v>
      </x:c>
      <x:c r="D67" t="str">
        <x:v>AIIMS, Bhubaneswar, AT - Sijua, POST - DUMUDUMA, BHUBANESWAR-751019</x:v>
      </x:c>
      <x:c r="E67" t="str">
        <x:v>Open Seat Quota</x:v>
      </x:c>
      <x:c r="F67" t="str">
        <x:v>OBC PwD</x:v>
      </x:c>
      <x:c r="G67" t="n">
        <x:v>2</x:v>
      </x:c>
      <x:c r="H67" t="n">
        <x:v>2</x:v>
      </x:c>
      <x:c r="I67" t="n">
        <x:f>G67-H67</x:f>
        <x:v>0</x:v>
      </x:c>
      <x:c r="J67" s="20" t="n">
        <x:f>IFERROR(H67/G67,0)</x:f>
        <x:v>1</x:v>
      </x:c>
      <x:c r="K67" t="n">
        <x:v>143115</x:v>
      </x:c>
      <x:c r="L67" t="n">
        <x:v>159107</x:v>
      </x:c>
      <x:c r="M67" t="n">
        <x:v>175099</x:v>
      </x:c>
      <x:c r="N67" t="n">
        <x:v>191091</x:v>
      </x:c>
      <x:c r="O67" t="n">
        <x:v>207083</x:v>
      </x:c>
    </x:row>
    <x:row r="68">
      <x:c r="A68" t="str">
        <x:v>Odisha</x:v>
      </x:c>
      <x:c r="B68" t="str">
        <x:v>All India Institute Of Medical Science(AIIMS)</x:v>
      </x:c>
      <x:c r="C68" t="str">
        <x:v>200504</x:v>
      </x:c>
      <x:c r="D68" t="str">
        <x:v>AIIMS, Bhubaneswar, AT - Sijua, POST - DUMUDUMA, BHUBANESWAR-751019</x:v>
      </x:c>
      <x:c r="E68" t="str">
        <x:v>Open Seat Quota</x:v>
      </x:c>
      <x:c r="F68" t="str">
        <x:v>Open</x:v>
      </x:c>
      <x:c r="G68" t="n">
        <x:v>49</x:v>
      </x:c>
      <x:c r="H68" t="n">
        <x:v>49</x:v>
      </x:c>
      <x:c r="I68" t="n">
        <x:f>G68-H68</x:f>
        <x:v>0</x:v>
      </x:c>
      <x:c r="J68" s="20" t="n">
        <x:f>IFERROR(H68/G68,0)</x:f>
        <x:v>1</x:v>
      </x:c>
      <x:c r="K68" t="n">
        <x:v>80</x:v>
      </x:c>
      <x:c r="L68" t="n">
        <x:v>327</x:v>
      </x:c>
      <x:c r="M68" t="n">
        <x:v>462</x:v>
      </x:c>
      <x:c r="N68" t="n">
        <x:v>613</x:v>
      </x:c>
      <x:c r="O68" t="n">
        <x:v>664</x:v>
      </x:c>
    </x:row>
    <x:row r="69">
      <x:c r="A69" t="str">
        <x:v>Odisha</x:v>
      </x:c>
      <x:c r="B69" t="str">
        <x:v>All India Institute Of Medical Science(AIIMS)</x:v>
      </x:c>
      <x:c r="C69" t="str">
        <x:v>200504</x:v>
      </x:c>
      <x:c r="D69" t="str">
        <x:v>AIIMS, Bhubaneswar, AT - Sijua, POST - DUMUDUMA, BHUBANESWAR-751019</x:v>
      </x:c>
      <x:c r="E69" t="str">
        <x:v>Open Seat Quota</x:v>
      </x:c>
      <x:c r="F69" t="str">
        <x:v>Open PwD</x:v>
      </x:c>
      <x:c r="G69" t="n">
        <x:v>2</x:v>
      </x:c>
      <x:c r="H69" t="n">
        <x:v>2</x:v>
      </x:c>
      <x:c r="I69" t="n">
        <x:f>G69-H69</x:f>
        <x:v>0</x:v>
      </x:c>
      <x:c r="J69" s="20" t="n">
        <x:f>IFERROR(H69/G69,0)</x:f>
        <x:v>1</x:v>
      </x:c>
      <x:c r="K69" t="n">
        <x:v>12977</x:v>
      </x:c>
      <x:c r="L69" t="n">
        <x:v>19008</x:v>
      </x:c>
      <x:c r="M69" t="n">
        <x:v>25039</x:v>
      </x:c>
      <x:c r="N69" t="n">
        <x:v>31070</x:v>
      </x:c>
      <x:c r="O69" t="n">
        <x:v>37101</x:v>
      </x:c>
    </x:row>
    <x:row r="70">
      <x:c r="A70" t="str">
        <x:v>Odisha</x:v>
      </x:c>
      <x:c r="B70" t="str">
        <x:v>All India Institute Of Medical Science(AIIMS)</x:v>
      </x:c>
      <x:c r="C70" t="str">
        <x:v>200504</x:v>
      </x:c>
      <x:c r="D70" t="str">
        <x:v>AIIMS, Bhubaneswar, AT - Sijua, POST - DUMUDUMA, BHUBANESWAR-751019</x:v>
      </x:c>
      <x:c r="E70" t="str">
        <x:v>Open Seat Quota</x:v>
      </x:c>
      <x:c r="F70" t="str">
        <x:v>SC</x:v>
      </x:c>
      <x:c r="G70" t="n">
        <x:v>19</x:v>
      </x:c>
      <x:c r="H70" t="n">
        <x:v>19</x:v>
      </x:c>
      <x:c r="I70" t="n">
        <x:f>G70-H70</x:f>
        <x:v>0</x:v>
      </x:c>
      <x:c r="J70" s="20" t="n">
        <x:f>IFERROR(H70/G70,0)</x:f>
        <x:v>1</x:v>
      </x:c>
      <x:c r="K70" t="n">
        <x:v>954</x:v>
      </x:c>
      <x:c r="L70" t="n">
        <x:v>2677.5</x:v>
      </x:c>
      <x:c r="M70" t="n">
        <x:v>3767</x:v>
      </x:c>
      <x:c r="N70" t="n">
        <x:v>4540.5</x:v>
      </x:c>
      <x:c r="O70" t="n">
        <x:v>5396</x:v>
      </x:c>
    </x:row>
    <x:row r="71">
      <x:c r="A71" t="str">
        <x:v>Odisha</x:v>
      </x:c>
      <x:c r="B71" t="str">
        <x:v>All India Institute Of Medical Science(AIIMS)</x:v>
      </x:c>
      <x:c r="C71" t="str">
        <x:v>200504</x:v>
      </x:c>
      <x:c r="D71" t="str">
        <x:v>AIIMS, Bhubaneswar, AT - Sijua, POST - DUMUDUMA, BHUBANESWAR-751019</x:v>
      </x:c>
      <x:c r="E71" t="str">
        <x:v>Open Seat Quota</x:v>
      </x:c>
      <x:c r="F71" t="str">
        <x:v>ST</x:v>
      </x:c>
      <x:c r="G71" t="n">
        <x:v>9</x:v>
      </x:c>
      <x:c r="H71" t="n">
        <x:v>9</x:v>
      </x:c>
      <x:c r="I71" t="n">
        <x:f>G71-H71</x:f>
        <x:v>0</x:v>
      </x:c>
      <x:c r="J71" s="20" t="n">
        <x:f>IFERROR(H71/G71,0)</x:f>
        <x:v>1</x:v>
      </x:c>
      <x:c r="K71" t="n">
        <x:v>1504</x:v>
      </x:c>
      <x:c r="L71" t="n">
        <x:v>5142</x:v>
      </x:c>
      <x:c r="M71" t="n">
        <x:v>9221</x:v>
      </x:c>
      <x:c r="N71" t="n">
        <x:v>10219</x:v>
      </x:c>
      <x:c r="O71" t="n">
        <x:v>10926</x:v>
      </x:c>
    </x:row>
    <x:row r="72">
      <x:c r="A72" t="str">
        <x:v>Telangana</x:v>
      </x:c>
      <x:c r="B72" t="str">
        <x:v>All India Institute Of Medical Science(AIIMS)</x:v>
      </x:c>
      <x:c r="C72" t="str">
        <x:v>200517</x:v>
      </x:c>
      <x:c r="D72" t="str">
        <x:v>AIIMS, Bibi Nagar, Hyderabad, AIIMS Bibinagar (Hyderabad Metropolitan Region) Telangana 508126</x:v>
      </x:c>
      <x:c r="E72" t="str">
        <x:v>Open Seat Quota</x:v>
      </x:c>
      <x:c r="F72" t="str">
        <x:v>EWS</x:v>
      </x:c>
      <x:c r="G72" t="n">
        <x:v>10</x:v>
      </x:c>
      <x:c r="H72" t="n">
        <x:v>10</x:v>
      </x:c>
      <x:c r="I72" t="n">
        <x:f>G72-H72</x:f>
        <x:v>0</x:v>
      </x:c>
      <x:c r="J72" s="20" t="n">
        <x:f>IFERROR(H72/G72,0)</x:f>
        <x:v>1</x:v>
      </x:c>
      <x:c r="K72" t="n">
        <x:v>2487</x:v>
      </x:c>
      <x:c r="L72" t="n">
        <x:v>2787.75</x:v>
      </x:c>
      <x:c r="M72" t="n">
        <x:v>3040.5</x:v>
      </x:c>
      <x:c r="N72" t="n">
        <x:v>3068.25</x:v>
      </x:c>
      <x:c r="O72" t="n">
        <x:v>3180</x:v>
      </x:c>
    </x:row>
    <x:row r="73">
      <x:c r="A73" t="str">
        <x:v>Telangana</x:v>
      </x:c>
      <x:c r="B73" t="str">
        <x:v>All India Institute Of Medical Science(AIIMS)</x:v>
      </x:c>
      <x:c r="C73" t="str">
        <x:v>200517</x:v>
      </x:c>
      <x:c r="D73" t="str">
        <x:v>AIIMS, Bibi Nagar, Hyderabad, AIIMS Bibinagar (Hyderabad Metropolitan Region) Telangana 508126</x:v>
      </x:c>
      <x:c r="E73" t="str">
        <x:v>Open Seat Quota</x:v>
      </x:c>
      <x:c r="F73" t="str">
        <x:v>OBC</x:v>
      </x:c>
      <x:c r="G73" t="n">
        <x:v>25</x:v>
      </x:c>
      <x:c r="H73" t="n">
        <x:v>25</x:v>
      </x:c>
      <x:c r="I73" t="n">
        <x:f>G73-H73</x:f>
        <x:v>0</x:v>
      </x:c>
      <x:c r="J73" s="20" t="n">
        <x:f>IFERROR(H73/G73,0)</x:f>
        <x:v>1</x:v>
      </x:c>
      <x:c r="K73" t="n">
        <x:v>1712</x:v>
      </x:c>
      <x:c r="L73" t="n">
        <x:v>1968</x:v>
      </x:c>
      <x:c r="M73" t="n">
        <x:v>2295</x:v>
      </x:c>
      <x:c r="N73" t="n">
        <x:v>2471</x:v>
      </x:c>
      <x:c r="O73" t="n">
        <x:v>2592</x:v>
      </x:c>
    </x:row>
    <x:row r="74">
      <x:c r="A74" t="str">
        <x:v>Telangana</x:v>
      </x:c>
      <x:c r="B74" t="str">
        <x:v>All India Institute Of Medical Science(AIIMS)</x:v>
      </x:c>
      <x:c r="C74" t="str">
        <x:v>200517</x:v>
      </x:c>
      <x:c r="D74" t="str">
        <x:v>AIIMS, Bibi Nagar, Hyderabad, AIIMS Bibinagar (Hyderabad Metropolitan Region) Telangana 508126</x:v>
      </x:c>
      <x:c r="E74" t="str">
        <x:v>Open Seat Quota</x:v>
      </x:c>
      <x:c r="F74" t="str">
        <x:v>OBC PwD</x:v>
      </x:c>
      <x:c r="G74" t="n">
        <x:v>2</x:v>
      </x:c>
      <x:c r="H74" t="n">
        <x:v>2</x:v>
      </x:c>
      <x:c r="I74" t="n">
        <x:f>G74-H74</x:f>
        <x:v>0</x:v>
      </x:c>
      <x:c r="J74" s="20" t="n">
        <x:f>IFERROR(H74/G74,0)</x:f>
        <x:v>1</x:v>
      </x:c>
      <x:c r="K74" t="n">
        <x:v>179361</x:v>
      </x:c>
      <x:c r="L74" t="n">
        <x:v>185005</x:v>
      </x:c>
      <x:c r="M74" t="n">
        <x:v>190649</x:v>
      </x:c>
      <x:c r="N74" t="n">
        <x:v>196293</x:v>
      </x:c>
      <x:c r="O74" t="n">
        <x:v>201937</x:v>
      </x:c>
    </x:row>
    <x:row r="75">
      <x:c r="A75" t="str">
        <x:v>Telangana</x:v>
      </x:c>
      <x:c r="B75" t="str">
        <x:v>All India Institute Of Medical Science(AIIMS)</x:v>
      </x:c>
      <x:c r="C75" t="str">
        <x:v>200517</x:v>
      </x:c>
      <x:c r="D75" t="str">
        <x:v>AIIMS, Bibi Nagar, Hyderabad, AIIMS Bibinagar (Hyderabad Metropolitan Region) Telangana 508126</x:v>
      </x:c>
      <x:c r="E75" t="str">
        <x:v>Open Seat Quota</x:v>
      </x:c>
      <x:c r="F75" t="str">
        <x:v>Open</x:v>
      </x:c>
      <x:c r="G75" t="n">
        <x:v>39</x:v>
      </x:c>
      <x:c r="H75" t="n">
        <x:v>39</x:v>
      </x:c>
      <x:c r="I75" t="n">
        <x:f>G75-H75</x:f>
        <x:v>0</x:v>
      </x:c>
      <x:c r="J75" s="20" t="n">
        <x:f>IFERROR(H75/G75,0)</x:f>
        <x:v>1</x:v>
      </x:c>
      <x:c r="K75" t="n">
        <x:v>668</x:v>
      </x:c>
      <x:c r="L75" t="n">
        <x:v>1340.5</x:v>
      </x:c>
      <x:c r="M75" t="n">
        <x:v>1454</x:v>
      </x:c>
      <x:c r="N75" t="n">
        <x:v>1622</x:v>
      </x:c>
      <x:c r="O75" t="n">
        <x:v>1705</x:v>
      </x:c>
    </x:row>
    <x:row r="76">
      <x:c r="A76" t="str">
        <x:v>Telangana</x:v>
      </x:c>
      <x:c r="B76" t="str">
        <x:v>All India Institute Of Medical Science(AIIMS)</x:v>
      </x:c>
      <x:c r="C76" t="str">
        <x:v>200517</x:v>
      </x:c>
      <x:c r="D76" t="str">
        <x:v>AIIMS, Bibi Nagar, Hyderabad, AIIMS Bibinagar (Hyderabad Metropolitan Region) Telangana 508126</x:v>
      </x:c>
      <x:c r="E76" t="str">
        <x:v>Open Seat Quota</x:v>
      </x:c>
      <x:c r="F76" t="str">
        <x:v>Open PwD</x:v>
      </x:c>
      <x:c r="G76" t="n">
        <x:v>2</x:v>
      </x:c>
      <x:c r="H76" t="n">
        <x:v>2</x:v>
      </x:c>
      <x:c r="I76" t="n">
        <x:f>G76-H76</x:f>
        <x:v>0</x:v>
      </x:c>
      <x:c r="J76" s="20" t="n">
        <x:f>IFERROR(H76/G76,0)</x:f>
        <x:v>1</x:v>
      </x:c>
      <x:c r="K76" t="n">
        <x:v>84695</x:v>
      </x:c>
      <x:c r="L76" t="n">
        <x:v>85533.25</x:v>
      </x:c>
      <x:c r="M76" t="n">
        <x:v>86371.5</x:v>
      </x:c>
      <x:c r="N76" t="n">
        <x:v>87209.75</x:v>
      </x:c>
      <x:c r="O76" t="n">
        <x:v>88048</x:v>
      </x:c>
    </x:row>
    <x:row r="77">
      <x:c r="A77" t="str">
        <x:v>Telangana</x:v>
      </x:c>
      <x:c r="B77" t="str">
        <x:v>All India Institute Of Medical Science(AIIMS)</x:v>
      </x:c>
      <x:c r="C77" t="str">
        <x:v>200517</x:v>
      </x:c>
      <x:c r="D77" t="str">
        <x:v>AIIMS, Bibi Nagar, Hyderabad, AIIMS Bibinagar (Hyderabad Metropolitan Region) Telangana 508126</x:v>
      </x:c>
      <x:c r="E77" t="str">
        <x:v>Open Seat Quota</x:v>
      </x:c>
      <x:c r="F77" t="str">
        <x:v>SC</x:v>
      </x:c>
      <x:c r="G77" t="n">
        <x:v>14</x:v>
      </x:c>
      <x:c r="H77" t="n">
        <x:v>14</x:v>
      </x:c>
      <x:c r="I77" t="n">
        <x:f>G77-H77</x:f>
        <x:v>0</x:v>
      </x:c>
      <x:c r="J77" s="20" t="n">
        <x:f>IFERROR(H77/G77,0)</x:f>
        <x:v>1</x:v>
      </x:c>
      <x:c r="K77" t="n">
        <x:v>4258</x:v>
      </x:c>
      <x:c r="L77" t="n">
        <x:v>12527.75</x:v>
      </x:c>
      <x:c r="M77" t="n">
        <x:v>14903</x:v>
      </x:c>
      <x:c r="N77" t="n">
        <x:v>16783.25</x:v>
      </x:c>
      <x:c r="O77" t="n">
        <x:v>17543</x:v>
      </x:c>
    </x:row>
    <x:row r="78">
      <x:c r="A78" t="str">
        <x:v>Telangana</x:v>
      </x:c>
      <x:c r="B78" t="str">
        <x:v>All India Institute Of Medical Science(AIIMS)</x:v>
      </x:c>
      <x:c r="C78" t="str">
        <x:v>200517</x:v>
      </x:c>
      <x:c r="D78" t="str">
        <x:v>AIIMS, Bibi Nagar, Hyderabad, AIIMS Bibinagar (Hyderabad Metropolitan Region) Telangana 508126</x:v>
      </x:c>
      <x:c r="E78" t="str">
        <x:v>Open Seat Quota</x:v>
      </x:c>
      <x:c r="F78" t="str">
        <x:v>SC PwD</x:v>
      </x:c>
      <x:c r="G78" t="n">
        <x:v>1</x:v>
      </x:c>
      <x:c r="H78" t="n">
        <x:v>1</x:v>
      </x:c>
      <x:c r="I78" t="n">
        <x:f>G78-H78</x:f>
        <x:v>0</x:v>
      </x:c>
      <x:c r="J78" s="20" t="n">
        <x:f>IFERROR(H78/G78,0)</x:f>
        <x:v>1</x:v>
      </x:c>
      <x:c r="K78" t="n">
        <x:v>365084</x:v>
      </x:c>
      <x:c r="L78" t="n">
        <x:v>365084</x:v>
      </x:c>
      <x:c r="M78" t="n">
        <x:v>365084</x:v>
      </x:c>
      <x:c r="N78" t="n">
        <x:v>365084</x:v>
      </x:c>
      <x:c r="O78" t="n">
        <x:v>365084</x:v>
      </x:c>
    </x:row>
    <x:row r="79">
      <x:c r="A79" t="str">
        <x:v>Telangana</x:v>
      </x:c>
      <x:c r="B79" t="str">
        <x:v>All India Institute Of Medical Science(AIIMS)</x:v>
      </x:c>
      <x:c r="C79" t="str">
        <x:v>200517</x:v>
      </x:c>
      <x:c r="D79" t="str">
        <x:v>AIIMS, Bibi Nagar, Hyderabad, AIIMS Bibinagar (Hyderabad Metropolitan Region) Telangana 508126</x:v>
      </x:c>
      <x:c r="E79" t="str">
        <x:v>Open Seat Quota</x:v>
      </x:c>
      <x:c r="F79" t="str">
        <x:v>ST</x:v>
      </x:c>
      <x:c r="G79" t="n">
        <x:v>6</x:v>
      </x:c>
      <x:c r="H79" t="n">
        <x:v>6</x:v>
      </x:c>
      <x:c r="I79" t="n">
        <x:f>G79-H79</x:f>
        <x:v>0</x:v>
      </x:c>
      <x:c r="J79" s="20" t="n">
        <x:f>IFERROR(H79/G79,0)</x:f>
        <x:v>1</x:v>
      </x:c>
      <x:c r="K79" t="n">
        <x:v>4788</x:v>
      </x:c>
      <x:c r="L79" t="n">
        <x:v>20659</x:v>
      </x:c>
      <x:c r="M79" t="n">
        <x:v>23076.5</x:v>
      </x:c>
      <x:c r="N79" t="n">
        <x:v>24256.5</x:v>
      </x:c>
      <x:c r="O79" t="n">
        <x:v>28792</x:v>
      </x:c>
    </x:row>
    <x:row r="80">
      <x:c r="A80" t="str">
        <x:v>Telangana</x:v>
      </x:c>
      <x:c r="B80" t="str">
        <x:v>All India Institute Of Medical Science(AIIMS)</x:v>
      </x:c>
      <x:c r="C80" t="str">
        <x:v>200517</x:v>
      </x:c>
      <x:c r="D80" t="str">
        <x:v>AIIMS, Bibi Nagar, Hyderabad, AIIMS Bibinagar (Hyderabad Metropolitan Region) Telangana 508126</x:v>
      </x:c>
      <x:c r="E80" t="str">
        <x:v>Open Seat Quota</x:v>
      </x:c>
      <x:c r="F80" t="str">
        <x:v>ST PwD</x:v>
      </x:c>
      <x:c r="G80" t="n">
        <x:v>1</x:v>
      </x:c>
      <x:c r="H80" t="n">
        <x:v>1</x:v>
      </x:c>
      <x:c r="I80" t="n">
        <x:f>G80-H80</x:f>
        <x:v>0</x:v>
      </x:c>
      <x:c r="J80" s="20" t="n">
        <x:f>IFERROR(H80/G80,0)</x:f>
        <x:v>1</x:v>
      </x:c>
      <x:c r="K80" t="n">
        <x:v>261779</x:v>
      </x:c>
      <x:c r="L80" t="n">
        <x:v>261779</x:v>
      </x:c>
      <x:c r="M80" t="n">
        <x:v>261779</x:v>
      </x:c>
      <x:c r="N80" t="n">
        <x:v>261779</x:v>
      </x:c>
      <x:c r="O80" t="n">
        <x:v>261779</x:v>
      </x:c>
    </x:row>
    <x:row r="81">
      <x:c r="A81" t="str">
        <x:v>Jharkhand</x:v>
      </x:c>
      <x:c r="B81" t="str">
        <x:v>All India Institute Of Medical Science(AIIMS)</x:v>
      </x:c>
      <x:c r="C81" t="str">
        <x:v>200512</x:v>
      </x:c>
      <x:c r="D81" t="str">
        <x:v>AIIMS, Deogarh , AIIMS Deoghar Devipur, Jharkhand India, PIN - 814152</x:v>
      </x:c>
      <x:c r="E81" t="str">
        <x:v>Open Seat Quota</x:v>
      </x:c>
      <x:c r="F81" t="str">
        <x:v>EWS</x:v>
      </x:c>
      <x:c r="G81" t="n">
        <x:v>13</x:v>
      </x:c>
      <x:c r="H81" t="n">
        <x:v>13</x:v>
      </x:c>
      <x:c r="I81" t="n">
        <x:f>G81-H81</x:f>
        <x:v>0</x:v>
      </x:c>
      <x:c r="J81" s="20" t="n">
        <x:f>IFERROR(H81/G81,0)</x:f>
        <x:v>1</x:v>
      </x:c>
      <x:c r="K81" t="n">
        <x:v>3605</x:v>
      </x:c>
      <x:c r="L81" t="n">
        <x:v>3983</x:v>
      </x:c>
      <x:c r="M81" t="n">
        <x:v>4176</x:v>
      </x:c>
      <x:c r="N81" t="n">
        <x:v>4370</x:v>
      </x:c>
      <x:c r="O81" t="n">
        <x:v>4569</x:v>
      </x:c>
    </x:row>
    <x:row r="82">
      <x:c r="A82" t="str">
        <x:v>Jharkhand</x:v>
      </x:c>
      <x:c r="B82" t="str">
        <x:v>All India Institute Of Medical Science(AIIMS)</x:v>
      </x:c>
      <x:c r="C82" t="str">
        <x:v>200512</x:v>
      </x:c>
      <x:c r="D82" t="str">
        <x:v>AIIMS, Deogarh , AIIMS Deoghar Devipur, Jharkhand India, PIN - 814152</x:v>
      </x:c>
      <x:c r="E82" t="str">
        <x:v>Open Seat Quota</x:v>
      </x:c>
      <x:c r="F82" t="str">
        <x:v>OBC</x:v>
      </x:c>
      <x:c r="G82" t="n">
        <x:v>31</x:v>
      </x:c>
      <x:c r="H82" t="n">
        <x:v>31</x:v>
      </x:c>
      <x:c r="I82" t="n">
        <x:f>G82-H82</x:f>
        <x:v>0</x:v>
      </x:c>
      <x:c r="J82" s="20" t="n">
        <x:f>IFERROR(H82/G82,0)</x:f>
        <x:v>1</x:v>
      </x:c>
      <x:c r="K82" t="n">
        <x:v>3171</x:v>
      </x:c>
      <x:c r="L82" t="n">
        <x:v>3318</x:v>
      </x:c>
      <x:c r="M82" t="n">
        <x:v>3485</x:v>
      </x:c>
      <x:c r="N82" t="n">
        <x:v>3702.5</x:v>
      </x:c>
      <x:c r="O82" t="n">
        <x:v>3771</x:v>
      </x:c>
    </x:row>
    <x:row r="83">
      <x:c r="A83" t="str">
        <x:v>Jharkhand</x:v>
      </x:c>
      <x:c r="B83" t="str">
        <x:v>All India Institute Of Medical Science(AIIMS)</x:v>
      </x:c>
      <x:c r="C83" t="str">
        <x:v>200512</x:v>
      </x:c>
      <x:c r="D83" t="str">
        <x:v>AIIMS, Deogarh , AIIMS Deoghar Devipur, Jharkhand India, PIN - 814152</x:v>
      </x:c>
      <x:c r="E83" t="str">
        <x:v>Open Seat Quota</x:v>
      </x:c>
      <x:c r="F83" t="str">
        <x:v>OBC PwD</x:v>
      </x:c>
      <x:c r="G83" t="n">
        <x:v>2</x:v>
      </x:c>
      <x:c r="H83" t="n">
        <x:v>2</x:v>
      </x:c>
      <x:c r="I83" t="n">
        <x:f>G83-H83</x:f>
        <x:v>0</x:v>
      </x:c>
      <x:c r="J83" s="20" t="n">
        <x:f>IFERROR(H83/G83,0)</x:f>
        <x:v>1</x:v>
      </x:c>
      <x:c r="K83" t="n">
        <x:v>281181</x:v>
      </x:c>
      <x:c r="L83" t="n">
        <x:v>284723</x:v>
      </x:c>
      <x:c r="M83" t="n">
        <x:v>288265</x:v>
      </x:c>
      <x:c r="N83" t="n">
        <x:v>291807</x:v>
      </x:c>
      <x:c r="O83" t="n">
        <x:v>295349</x:v>
      </x:c>
    </x:row>
    <x:row r="84">
      <x:c r="A84" t="str">
        <x:v>Jharkhand</x:v>
      </x:c>
      <x:c r="B84" t="str">
        <x:v>All India Institute Of Medical Science(AIIMS)</x:v>
      </x:c>
      <x:c r="C84" t="str">
        <x:v>200512</x:v>
      </x:c>
      <x:c r="D84" t="str">
        <x:v>AIIMS, Deogarh , AIIMS Deoghar Devipur, Jharkhand India, PIN - 814152</x:v>
      </x:c>
      <x:c r="E84" t="str">
        <x:v>Open Seat Quota</x:v>
      </x:c>
      <x:c r="F84" t="str">
        <x:v>Open</x:v>
      </x:c>
      <x:c r="G84" t="n">
        <x:v>48</x:v>
      </x:c>
      <x:c r="H84" t="n">
        <x:v>48</x:v>
      </x:c>
      <x:c r="I84" t="n">
        <x:f>G84-H84</x:f>
        <x:v>0</x:v>
      </x:c>
      <x:c r="J84" s="20" t="n">
        <x:f>IFERROR(H84/G84,0)</x:f>
        <x:v>1</x:v>
      </x:c>
      <x:c r="K84" t="n">
        <x:v>901</x:v>
      </x:c>
      <x:c r="L84" t="n">
        <x:v>2625</x:v>
      </x:c>
      <x:c r="M84" t="n">
        <x:v>2843.5</x:v>
      </x:c>
      <x:c r="N84" t="n">
        <x:v>2991.5</x:v>
      </x:c>
      <x:c r="O84" t="n">
        <x:v>3090</x:v>
      </x:c>
    </x:row>
    <x:row r="85">
      <x:c r="A85" t="str">
        <x:v>Jharkhand</x:v>
      </x:c>
      <x:c r="B85" t="str">
        <x:v>All India Institute Of Medical Science(AIIMS)</x:v>
      </x:c>
      <x:c r="C85" t="str">
        <x:v>200512</x:v>
      </x:c>
      <x:c r="D85" t="str">
        <x:v>AIIMS, Deogarh , AIIMS Deoghar Devipur, Jharkhand India, PIN - 814152</x:v>
      </x:c>
      <x:c r="E85" t="str">
        <x:v>Open Seat Quota</x:v>
      </x:c>
      <x:c r="F85" t="str">
        <x:v>Open PwD</x:v>
      </x:c>
      <x:c r="G85" t="n">
        <x:v>3</x:v>
      </x:c>
      <x:c r="H85" t="n">
        <x:v>3</x:v>
      </x:c>
      <x:c r="I85" t="n">
        <x:f>G85-H85</x:f>
        <x:v>0</x:v>
      </x:c>
      <x:c r="J85" s="20" t="n">
        <x:f>IFERROR(H85/G85,0)</x:f>
        <x:v>1</x:v>
      </x:c>
      <x:c r="K85" t="n">
        <x:v>225935</x:v>
      </x:c>
      <x:c r="L85" t="n">
        <x:v>232656.5</x:v>
      </x:c>
      <x:c r="M85" t="n">
        <x:v>239378</x:v>
      </x:c>
      <x:c r="N85" t="n">
        <x:v>247796.5</x:v>
      </x:c>
      <x:c r="O85" t="n">
        <x:v>256215</x:v>
      </x:c>
    </x:row>
    <x:row r="86">
      <x:c r="A86" t="str">
        <x:v>Jharkhand</x:v>
      </x:c>
      <x:c r="B86" t="str">
        <x:v>All India Institute Of Medical Science(AIIMS)</x:v>
      </x:c>
      <x:c r="C86" t="str">
        <x:v>200512</x:v>
      </x:c>
      <x:c r="D86" t="str">
        <x:v>AIIMS, Deogarh , AIIMS Deoghar Devipur, Jharkhand India, PIN - 814152</x:v>
      </x:c>
      <x:c r="E86" t="str">
        <x:v>Open Seat Quota</x:v>
      </x:c>
      <x:c r="F86" t="str">
        <x:v>SC</x:v>
      </x:c>
      <x:c r="G86" t="n">
        <x:v>18</x:v>
      </x:c>
      <x:c r="H86" t="n">
        <x:v>18</x:v>
      </x:c>
      <x:c r="I86" t="n">
        <x:f>G86-H86</x:f>
        <x:v>0</x:v>
      </x:c>
      <x:c r="J86" s="20" t="n">
        <x:f>IFERROR(H86/G86,0)</x:f>
        <x:v>1</x:v>
      </x:c>
      <x:c r="K86" t="n">
        <x:v>18915</x:v>
      </x:c>
      <x:c r="L86" t="n">
        <x:v>22695.5</x:v>
      </x:c>
      <x:c r="M86" t="n">
        <x:v>24034</x:v>
      </x:c>
      <x:c r="N86" t="n">
        <x:v>24787</x:v>
      </x:c>
      <x:c r="O86" t="n">
        <x:v>25371</x:v>
      </x:c>
    </x:row>
    <x:row r="87">
      <x:c r="A87" t="str">
        <x:v>Jharkhand</x:v>
      </x:c>
      <x:c r="B87" t="str">
        <x:v>All India Institute Of Medical Science(AIIMS)</x:v>
      </x:c>
      <x:c r="C87" t="str">
        <x:v>200512</x:v>
      </x:c>
      <x:c r="D87" t="str">
        <x:v>AIIMS, Deogarh , AIIMS Deoghar Devipur, Jharkhand India, PIN - 814152</x:v>
      </x:c>
      <x:c r="E87" t="str">
        <x:v>Open Seat Quota</x:v>
      </x:c>
      <x:c r="F87" t="str">
        <x:v>SC PwD</x:v>
      </x:c>
      <x:c r="G87" t="n">
        <x:v>1</x:v>
      </x:c>
      <x:c r="H87" t="n">
        <x:v>1</x:v>
      </x:c>
      <x:c r="I87" t="n">
        <x:f>G87-H87</x:f>
        <x:v>0</x:v>
      </x:c>
      <x:c r="J87" s="20" t="n">
        <x:f>IFERROR(H87/G87,0)</x:f>
        <x:v>1</x:v>
      </x:c>
      <x:c r="K87" t="n">
        <x:v>485836</x:v>
      </x:c>
      <x:c r="L87" t="n">
        <x:v>485836</x:v>
      </x:c>
      <x:c r="M87" t="n">
        <x:v>485836</x:v>
      </x:c>
      <x:c r="N87" t="n">
        <x:v>485836</x:v>
      </x:c>
      <x:c r="O87" t="n">
        <x:v>485836</x:v>
      </x:c>
    </x:row>
    <x:row r="88">
      <x:c r="A88" t="str">
        <x:v>Jharkhand</x:v>
      </x:c>
      <x:c r="B88" t="str">
        <x:v>All India Institute Of Medical Science(AIIMS)</x:v>
      </x:c>
      <x:c r="C88" t="str">
        <x:v>200512</x:v>
      </x:c>
      <x:c r="D88" t="str">
        <x:v>AIIMS, Deogarh , AIIMS Deoghar Devipur, Jharkhand India, PIN - 814152</x:v>
      </x:c>
      <x:c r="E88" t="str">
        <x:v>Open Seat Quota</x:v>
      </x:c>
      <x:c r="F88" t="str">
        <x:v>ST</x:v>
      </x:c>
      <x:c r="G88" t="n">
        <x:v>9</x:v>
      </x:c>
      <x:c r="H88" t="n">
        <x:v>9</x:v>
      </x:c>
      <x:c r="I88" t="n">
        <x:f>G88-H88</x:f>
        <x:v>0</x:v>
      </x:c>
      <x:c r="J88" s="20" t="n">
        <x:f>IFERROR(H88/G88,0)</x:f>
        <x:v>1</x:v>
      </x:c>
      <x:c r="K88" t="n">
        <x:v>37277</x:v>
      </x:c>
      <x:c r="L88" t="n">
        <x:v>38480</x:v>
      </x:c>
      <x:c r="M88" t="n">
        <x:v>39511</x:v>
      </x:c>
      <x:c r="N88" t="n">
        <x:v>39773</x:v>
      </x:c>
      <x:c r="O88" t="n">
        <x:v>40599</x:v>
      </x:c>
    </x:row>
    <x:row r="89">
      <x:c r="A89" t="str">
        <x:v>Uttar Pradesh</x:v>
      </x:c>
      <x:c r="B89" t="str">
        <x:v>All India Institute Of Medical Science(AIIMS)</x:v>
      </x:c>
      <x:c r="C89" t="str">
        <x:v>200513</x:v>
      </x:c>
      <x:c r="D89" t="str">
        <x:v>AIIMS, Gorakhpur , AIIMS Gorakhpur, Medical College Building, Kunraghat, Gorakhpur</x:v>
      </x:c>
      <x:c r="E89" t="str">
        <x:v>Open Seat Quota</x:v>
      </x:c>
      <x:c r="F89" t="str">
        <x:v>EWS</x:v>
      </x:c>
      <x:c r="G89" t="n">
        <x:v>11</x:v>
      </x:c>
      <x:c r="H89" t="n">
        <x:v>11</x:v>
      </x:c>
      <x:c r="I89" t="n">
        <x:f>G89-H89</x:f>
        <x:v>0</x:v>
      </x:c>
      <x:c r="J89" s="20" t="n">
        <x:f>IFERROR(H89/G89,0)</x:f>
        <x:v>1</x:v>
      </x:c>
      <x:c r="K89" t="n">
        <x:v>2458</x:v>
      </x:c>
      <x:c r="L89" t="n">
        <x:v>2825.5</x:v>
      </x:c>
      <x:c r="M89" t="n">
        <x:v>2914</x:v>
      </x:c>
      <x:c r="N89" t="n">
        <x:v>2977</x:v>
      </x:c>
      <x:c r="O89" t="n">
        <x:v>3085</x:v>
      </x:c>
    </x:row>
    <x:row r="90">
      <x:c r="A90" t="str">
        <x:v>Uttar Pradesh</x:v>
      </x:c>
      <x:c r="B90" t="str">
        <x:v>All India Institute Of Medical Science(AIIMS)</x:v>
      </x:c>
      <x:c r="C90" t="str">
        <x:v>200513</x:v>
      </x:c>
      <x:c r="D90" t="str">
        <x:v>AIIMS, Gorakhpur , AIIMS Gorakhpur, Medical College Building, Kunraghat, Gorakhpur</x:v>
      </x:c>
      <x:c r="E90" t="str">
        <x:v>Open Seat Quota</x:v>
      </x:c>
      <x:c r="F90" t="str">
        <x:v>EWS PwD</x:v>
      </x:c>
      <x:c r="G90" t="n">
        <x:v>1</x:v>
      </x:c>
      <x:c r="H90" t="n">
        <x:v>1</x:v>
      </x:c>
      <x:c r="I90" t="n">
        <x:f>G90-H90</x:f>
        <x:v>0</x:v>
      </x:c>
      <x:c r="J90" s="20" t="n">
        <x:f>IFERROR(H90/G90,0)</x:f>
        <x:v>1</x:v>
      </x:c>
      <x:c r="K90" t="n">
        <x:v>189449</x:v>
      </x:c>
      <x:c r="L90" t="n">
        <x:v>189449</x:v>
      </x:c>
      <x:c r="M90" t="n">
        <x:v>189449</x:v>
      </x:c>
      <x:c r="N90" t="n">
        <x:v>189449</x:v>
      </x:c>
      <x:c r="O90" t="n">
        <x:v>189449</x:v>
      </x:c>
    </x:row>
    <x:row r="91">
      <x:c r="A91" t="str">
        <x:v>Uttar Pradesh</x:v>
      </x:c>
      <x:c r="B91" t="str">
        <x:v>All India Institute Of Medical Science(AIIMS)</x:v>
      </x:c>
      <x:c r="C91" t="str">
        <x:v>200513</x:v>
      </x:c>
      <x:c r="D91" t="str">
        <x:v>AIIMS, Gorakhpur , AIIMS Gorakhpur, Medical College Building, Kunraghat, Gorakhpur</x:v>
      </x:c>
      <x:c r="E91" t="str">
        <x:v>Open Seat Quota</x:v>
      </x:c>
      <x:c r="F91" t="str">
        <x:v>OBC</x:v>
      </x:c>
      <x:c r="G91" t="n">
        <x:v>32</x:v>
      </x:c>
      <x:c r="H91" t="n">
        <x:v>32</x:v>
      </x:c>
      <x:c r="I91" t="n">
        <x:f>G91-H91</x:f>
        <x:v>0</x:v>
      </x:c>
      <x:c r="J91" s="20" t="n">
        <x:f>IFERROR(H91/G91,0)</x:f>
        <x:v>1</x:v>
      </x:c>
      <x:c r="K91" t="n">
        <x:v>2149</x:v>
      </x:c>
      <x:c r="L91" t="n">
        <x:v>2221.75</x:v>
      </x:c>
      <x:c r="M91" t="n">
        <x:v>2345.5</x:v>
      </x:c>
      <x:c r="N91" t="n">
        <x:v>2399.75</x:v>
      </x:c>
      <x:c r="O91" t="n">
        <x:v>2443</x:v>
      </x:c>
    </x:row>
    <x:row r="92">
      <x:c r="A92" t="str">
        <x:v>Uttar Pradesh</x:v>
      </x:c>
      <x:c r="B92" t="str">
        <x:v>All India Institute Of Medical Science(AIIMS)</x:v>
      </x:c>
      <x:c r="C92" t="str">
        <x:v>200513</x:v>
      </x:c>
      <x:c r="D92" t="str">
        <x:v>AIIMS, Gorakhpur , AIIMS Gorakhpur, Medical College Building, Kunraghat, Gorakhpur</x:v>
      </x:c>
      <x:c r="E92" t="str">
        <x:v>Open Seat Quota</x:v>
      </x:c>
      <x:c r="F92" t="str">
        <x:v>OBC PwD</x:v>
      </x:c>
      <x:c r="G92" t="n">
        <x:v>1</x:v>
      </x:c>
      <x:c r="H92" t="n">
        <x:v>1</x:v>
      </x:c>
      <x:c r="I92" t="n">
        <x:f>G92-H92</x:f>
        <x:v>0</x:v>
      </x:c>
      <x:c r="J92" s="20" t="n">
        <x:f>IFERROR(H92/G92,0)</x:f>
        <x:v>1</x:v>
      </x:c>
      <x:c r="K92" t="n">
        <x:v>133375</x:v>
      </x:c>
      <x:c r="L92" t="n">
        <x:v>133375</x:v>
      </x:c>
      <x:c r="M92" t="n">
        <x:v>133375</x:v>
      </x:c>
      <x:c r="N92" t="n">
        <x:v>133375</x:v>
      </x:c>
      <x:c r="O92" t="n">
        <x:v>133375</x:v>
      </x:c>
    </x:row>
    <x:row r="93">
      <x:c r="A93" t="str">
        <x:v>Uttar Pradesh</x:v>
      </x:c>
      <x:c r="B93" t="str">
        <x:v>All India Institute Of Medical Science(AIIMS)</x:v>
      </x:c>
      <x:c r="C93" t="str">
        <x:v>200513</x:v>
      </x:c>
      <x:c r="D93" t="str">
        <x:v>AIIMS, Gorakhpur , AIIMS Gorakhpur, Medical College Building, Kunraghat, Gorakhpur</x:v>
      </x:c>
      <x:c r="E93" t="str">
        <x:v>Open Seat Quota</x:v>
      </x:c>
      <x:c r="F93" t="str">
        <x:v>Open</x:v>
      </x:c>
      <x:c r="G93" t="n">
        <x:v>48</x:v>
      </x:c>
      <x:c r="H93" t="n">
        <x:v>48</x:v>
      </x:c>
      <x:c r="I93" t="n">
        <x:f>G93-H93</x:f>
        <x:v>0</x:v>
      </x:c>
      <x:c r="J93" s="20" t="n">
        <x:f>IFERROR(H93/G93,0)</x:f>
        <x:v>1</x:v>
      </x:c>
      <x:c r="K93" t="n">
        <x:v>903</x:v>
      </x:c>
      <x:c r="L93" t="n">
        <x:v>1646</x:v>
      </x:c>
      <x:c r="M93" t="n">
        <x:v>1811</x:v>
      </x:c>
      <x:c r="N93" t="n">
        <x:v>1989.25</x:v>
      </x:c>
      <x:c r="O93" t="n">
        <x:v>2114</x:v>
      </x:c>
    </x:row>
    <x:row r="94">
      <x:c r="A94" t="str">
        <x:v>Uttar Pradesh</x:v>
      </x:c>
      <x:c r="B94" t="str">
        <x:v>All India Institute Of Medical Science(AIIMS)</x:v>
      </x:c>
      <x:c r="C94" t="str">
        <x:v>200513</x:v>
      </x:c>
      <x:c r="D94" t="str">
        <x:v>AIIMS, Gorakhpur , AIIMS Gorakhpur, Medical College Building, Kunraghat, Gorakhpur</x:v>
      </x:c>
      <x:c r="E94" t="str">
        <x:v>Open Seat Quota</x:v>
      </x:c>
      <x:c r="F94" t="str">
        <x:v>Open PwD</x:v>
      </x:c>
      <x:c r="G94" t="n">
        <x:v>3</x:v>
      </x:c>
      <x:c r="H94" t="n">
        <x:v>3</x:v>
      </x:c>
      <x:c r="I94" t="n">
        <x:f>G94-H94</x:f>
        <x:v>0</x:v>
      </x:c>
      <x:c r="J94" s="20" t="n">
        <x:f>IFERROR(H94/G94,0)</x:f>
        <x:v>1</x:v>
      </x:c>
      <x:c r="K94" t="n">
        <x:v>67177</x:v>
      </x:c>
      <x:c r="L94" t="n">
        <x:v>84730</x:v>
      </x:c>
      <x:c r="M94" t="n">
        <x:v>102283</x:v>
      </x:c>
      <x:c r="N94" t="n">
        <x:v>106241</x:v>
      </x:c>
      <x:c r="O94" t="n">
        <x:v>110199</x:v>
      </x:c>
    </x:row>
    <x:row r="95">
      <x:c r="A95" t="str">
        <x:v>Uttar Pradesh</x:v>
      </x:c>
      <x:c r="B95" t="str">
        <x:v>All India Institute Of Medical Science(AIIMS)</x:v>
      </x:c>
      <x:c r="C95" t="str">
        <x:v>200513</x:v>
      </x:c>
      <x:c r="D95" t="str">
        <x:v>AIIMS, Gorakhpur , AIIMS Gorakhpur, Medical College Building, Kunraghat, Gorakhpur</x:v>
      </x:c>
      <x:c r="E95" t="str">
        <x:v>Open Seat Quota</x:v>
      </x:c>
      <x:c r="F95" t="str">
        <x:v>SC</x:v>
      </x:c>
      <x:c r="G95" t="n">
        <x:v>18</x:v>
      </x:c>
      <x:c r="H95" t="n">
        <x:v>18</x:v>
      </x:c>
      <x:c r="I95" t="n">
        <x:f>G95-H95</x:f>
        <x:v>0</x:v>
      </x:c>
      <x:c r="J95" s="20" t="n">
        <x:f>IFERROR(H95/G95,0)</x:f>
        <x:v>1</x:v>
      </x:c>
      <x:c r="K95" t="n">
        <x:v>5040</x:v>
      </x:c>
      <x:c r="L95" t="n">
        <x:v>14006.75</x:v>
      </x:c>
      <x:c r="M95" t="n">
        <x:v>16729</x:v>
      </x:c>
      <x:c r="N95" t="n">
        <x:v>18083</x:v>
      </x:c>
      <x:c r="O95" t="n">
        <x:v>19159</x:v>
      </x:c>
    </x:row>
    <x:row r="96">
      <x:c r="A96" t="str">
        <x:v>Uttar Pradesh</x:v>
      </x:c>
      <x:c r="B96" t="str">
        <x:v>All India Institute Of Medical Science(AIIMS)</x:v>
      </x:c>
      <x:c r="C96" t="str">
        <x:v>200513</x:v>
      </x:c>
      <x:c r="D96" t="str">
        <x:v>AIIMS, Gorakhpur , AIIMS Gorakhpur, Medical College Building, Kunraghat, Gorakhpur</x:v>
      </x:c>
      <x:c r="E96" t="str">
        <x:v>Open Seat Quota</x:v>
      </x:c>
      <x:c r="F96" t="str">
        <x:v>SC PwD</x:v>
      </x:c>
      <x:c r="G96" t="n">
        <x:v>1</x:v>
      </x:c>
      <x:c r="H96" t="n">
        <x:v>1</x:v>
      </x:c>
      <x:c r="I96" t="n">
        <x:f>G96-H96</x:f>
        <x:v>0</x:v>
      </x:c>
      <x:c r="J96" s="20" t="n">
        <x:f>IFERROR(H96/G96,0)</x:f>
        <x:v>1</x:v>
      </x:c>
      <x:c r="K96" t="n">
        <x:v>488861</x:v>
      </x:c>
      <x:c r="L96" t="n">
        <x:v>488861</x:v>
      </x:c>
      <x:c r="M96" t="n">
        <x:v>488861</x:v>
      </x:c>
      <x:c r="N96" t="n">
        <x:v>488861</x:v>
      </x:c>
      <x:c r="O96" t="n">
        <x:v>488861</x:v>
      </x:c>
    </x:row>
    <x:row r="97">
      <x:c r="A97" t="str">
        <x:v>Uttar Pradesh</x:v>
      </x:c>
      <x:c r="B97" t="str">
        <x:v>All India Institute Of Medical Science(AIIMS)</x:v>
      </x:c>
      <x:c r="C97" t="str">
        <x:v>200513</x:v>
      </x:c>
      <x:c r="D97" t="str">
        <x:v>AIIMS, Gorakhpur , AIIMS Gorakhpur, Medical College Building, Kunraghat, Gorakhpur</x:v>
      </x:c>
      <x:c r="E97" t="str">
        <x:v>Open Seat Quota</x:v>
      </x:c>
      <x:c r="F97" t="str">
        <x:v>ST</x:v>
      </x:c>
      <x:c r="G97" t="n">
        <x:v>10</x:v>
      </x:c>
      <x:c r="H97" t="n">
        <x:v>10</x:v>
      </x:c>
      <x:c r="I97" t="n">
        <x:f>G97-H97</x:f>
        <x:v>0</x:v>
      </x:c>
      <x:c r="J97" s="20" t="n">
        <x:f>IFERROR(H97/G97,0)</x:f>
        <x:v>1</x:v>
      </x:c>
      <x:c r="K97" t="n">
        <x:v>20571</x:v>
      </x:c>
      <x:c r="L97" t="n">
        <x:v>31511.75</x:v>
      </x:c>
      <x:c r="M97" t="n">
        <x:v>32333.5</x:v>
      </x:c>
      <x:c r="N97" t="n">
        <x:v>33344</x:v>
      </x:c>
      <x:c r="O97" t="n">
        <x:v>33950</x:v>
      </x:c>
    </x:row>
    <x:row r="98">
      <x:c r="A98" t="str">
        <x:v>Rajasthan</x:v>
      </x:c>
      <x:c r="B98" t="str">
        <x:v>All India Institute Of Medical Science(AIIMS)</x:v>
      </x:c>
      <x:c r="C98" t="str">
        <x:v>200505</x:v>
      </x:c>
      <x:c r="D98" t="str">
        <x:v>AIIMS, Jodhpur, BASNI PHASE - II, JODHPUR-342005</x:v>
      </x:c>
      <x:c r="E98" t="str">
        <x:v>Open Seat Quota</x:v>
      </x:c>
      <x:c r="F98" t="str">
        <x:v>EWS</x:v>
      </x:c>
      <x:c r="G98" t="n">
        <x:v>15</x:v>
      </x:c>
      <x:c r="H98" t="n">
        <x:v>15</x:v>
      </x:c>
      <x:c r="I98" t="n">
        <x:f>G98-H98</x:f>
        <x:v>0</x:v>
      </x:c>
      <x:c r="J98" s="20" t="n">
        <x:f>IFERROR(H98/G98,0)</x:f>
        <x:v>1</x:v>
      </x:c>
      <x:c r="K98" t="n">
        <x:v>347</x:v>
      </x:c>
      <x:c r="L98" t="n">
        <x:v>561</x:v>
      </x:c>
      <x:c r="M98" t="n">
        <x:v>677</x:v>
      </x:c>
      <x:c r="N98" t="n">
        <x:v>763.5</x:v>
      </x:c>
      <x:c r="O98" t="n">
        <x:v>879</x:v>
      </x:c>
    </x:row>
    <x:row r="99">
      <x:c r="A99" t="str">
        <x:v>Rajasthan</x:v>
      </x:c>
      <x:c r="B99" t="str">
        <x:v>All India Institute Of Medical Science(AIIMS)</x:v>
      </x:c>
      <x:c r="C99" t="str">
        <x:v>200505</x:v>
      </x:c>
      <x:c r="D99" t="str">
        <x:v>AIIMS, Jodhpur, BASNI PHASE - II, JODHPUR-342005</x:v>
      </x:c>
      <x:c r="E99" t="str">
        <x:v>Open Seat Quota</x:v>
      </x:c>
      <x:c r="F99" t="str">
        <x:v>OBC</x:v>
      </x:c>
      <x:c r="G99" t="n">
        <x:v>38</x:v>
      </x:c>
      <x:c r="H99" t="n">
        <x:v>38</x:v>
      </x:c>
      <x:c r="I99" t="n">
        <x:f>G99-H99</x:f>
        <x:v>0</x:v>
      </x:c>
      <x:c r="J99" s="20" t="n">
        <x:f>IFERROR(H99/G99,0)</x:f>
        <x:v>1</x:v>
      </x:c>
      <x:c r="K99" t="n">
        <x:v>348</x:v>
      </x:c>
      <x:c r="L99" t="n">
        <x:v>449.25</x:v>
      </x:c>
      <x:c r="M99" t="n">
        <x:v>543</x:v>
      </x:c>
      <x:c r="N99" t="n">
        <x:v>628.25</x:v>
      </x:c>
      <x:c r="O99" t="n">
        <x:v>714</x:v>
      </x:c>
    </x:row>
    <x:row r="100">
      <x:c r="A100" t="str">
        <x:v>Rajasthan</x:v>
      </x:c>
      <x:c r="B100" t="str">
        <x:v>All India Institute Of Medical Science(AIIMS)</x:v>
      </x:c>
      <x:c r="C100" t="str">
        <x:v>200505</x:v>
      </x:c>
      <x:c r="D100" t="str">
        <x:v>AIIMS, Jodhpur, BASNI PHASE - II, JODHPUR-342005</x:v>
      </x:c>
      <x:c r="E100" t="str">
        <x:v>Open Seat Quota</x:v>
      </x:c>
      <x:c r="F100" t="str">
        <x:v>OBC PwD</x:v>
      </x:c>
      <x:c r="G100" t="n">
        <x:v>2</x:v>
      </x:c>
      <x:c r="H100" t="n">
        <x:v>2</x:v>
      </x:c>
      <x:c r="I100" t="n">
        <x:f>G100-H100</x:f>
        <x:v>0</x:v>
      </x:c>
      <x:c r="J100" s="20" t="n">
        <x:f>IFERROR(H100/G100,0)</x:f>
        <x:v>1</x:v>
      </x:c>
      <x:c r="K100" t="n">
        <x:v>110029</x:v>
      </x:c>
      <x:c r="L100" t="n">
        <x:v>118633.25</x:v>
      </x:c>
      <x:c r="M100" t="n">
        <x:v>127237.5</x:v>
      </x:c>
      <x:c r="N100" t="n">
        <x:v>135841.75</x:v>
      </x:c>
      <x:c r="O100" t="n">
        <x:v>144446</x:v>
      </x:c>
    </x:row>
    <x:row r="101">
      <x:c r="A101" t="str">
        <x:v>Rajasthan</x:v>
      </x:c>
      <x:c r="B101" t="str">
        <x:v>All India Institute Of Medical Science(AIIMS)</x:v>
      </x:c>
      <x:c r="C101" t="str">
        <x:v>200505</x:v>
      </x:c>
      <x:c r="D101" t="str">
        <x:v>AIIMS, Jodhpur, BASNI PHASE - II, JODHPUR-342005</x:v>
      </x:c>
      <x:c r="E101" t="str">
        <x:v>Open Seat Quota</x:v>
      </x:c>
      <x:c r="F101" t="str">
        <x:v>Open</x:v>
      </x:c>
      <x:c r="G101" t="n">
        <x:v>58</x:v>
      </x:c>
      <x:c r="H101" t="n">
        <x:v>58</x:v>
      </x:c>
      <x:c r="I101" t="n">
        <x:f>G101-H101</x:f>
        <x:v>0</x:v>
      </x:c>
      <x:c r="J101" s="20" t="n">
        <x:f>IFERROR(H101/G101,0)</x:f>
        <x:v>1</x:v>
      </x:c>
      <x:c r="K101" t="n">
        <x:v>53</x:v>
      </x:c>
      <x:c r="L101" t="n">
        <x:v>202.5</x:v>
      </x:c>
      <x:c r="M101" t="n">
        <x:v>248</x:v>
      </x:c>
      <x:c r="N101" t="n">
        <x:v>304.5</x:v>
      </x:c>
      <x:c r="O101" t="n">
        <x:v>344</x:v>
      </x:c>
    </x:row>
    <x:row r="102">
      <x:c r="A102" t="str">
        <x:v>Rajasthan</x:v>
      </x:c>
      <x:c r="B102" t="str">
        <x:v>All India Institute Of Medical Science(AIIMS)</x:v>
      </x:c>
      <x:c r="C102" t="str">
        <x:v>200505</x:v>
      </x:c>
      <x:c r="D102" t="str">
        <x:v>AIIMS, Jodhpur, BASNI PHASE - II, JODHPUR-342005</x:v>
      </x:c>
      <x:c r="E102" t="str">
        <x:v>Open Seat Quota</x:v>
      </x:c>
      <x:c r="F102" t="str">
        <x:v>Open PwD</x:v>
      </x:c>
      <x:c r="G102" t="n">
        <x:v>3</x:v>
      </x:c>
      <x:c r="H102" t="n">
        <x:v>3</x:v>
      </x:c>
      <x:c r="I102" t="n">
        <x:f>G102-H102</x:f>
        <x:v>0</x:v>
      </x:c>
      <x:c r="J102" s="20" t="n">
        <x:f>IFERROR(H102/G102,0)</x:f>
        <x:v>1</x:v>
      </x:c>
      <x:c r="K102" t="n">
        <x:v>9483</x:v>
      </x:c>
      <x:c r="L102" t="n">
        <x:v>11724</x:v>
      </x:c>
      <x:c r="M102" t="n">
        <x:v>13965</x:v>
      </x:c>
      <x:c r="N102" t="n">
        <x:v>31603</x:v>
      </x:c>
      <x:c r="O102" t="n">
        <x:v>49241</x:v>
      </x:c>
    </x:row>
    <x:row r="103">
      <x:c r="A103" t="str">
        <x:v>Rajasthan</x:v>
      </x:c>
      <x:c r="B103" t="str">
        <x:v>All India Institute Of Medical Science(AIIMS)</x:v>
      </x:c>
      <x:c r="C103" t="str">
        <x:v>200505</x:v>
      </x:c>
      <x:c r="D103" t="str">
        <x:v>AIIMS, Jodhpur, BASNI PHASE - II, JODHPUR-342005</x:v>
      </x:c>
      <x:c r="E103" t="str">
        <x:v>Open Seat Quota</x:v>
      </x:c>
      <x:c r="F103" t="str">
        <x:v>SC</x:v>
      </x:c>
      <x:c r="G103" t="n">
        <x:v>22</x:v>
      </x:c>
      <x:c r="H103" t="n">
        <x:v>22</x:v>
      </x:c>
      <x:c r="I103" t="n">
        <x:f>G103-H103</x:f>
        <x:v>0</x:v>
      </x:c>
      <x:c r="J103" s="20" t="n">
        <x:f>IFERROR(H103/G103,0)</x:f>
        <x:v>1</x:v>
      </x:c>
      <x:c r="K103" t="n">
        <x:v>918</x:v>
      </x:c>
      <x:c r="L103" t="n">
        <x:v>1821.5</x:v>
      </x:c>
      <x:c r="M103" t="n">
        <x:v>2471</x:v>
      </x:c>
      <x:c r="N103" t="n">
        <x:v>2805.5</x:v>
      </x:c>
      <x:c r="O103" t="n">
        <x:v>3941</x:v>
      </x:c>
    </x:row>
    <x:row r="104">
      <x:c r="A104" t="str">
        <x:v>Rajasthan</x:v>
      </x:c>
      <x:c r="B104" t="str">
        <x:v>All India Institute Of Medical Science(AIIMS)</x:v>
      </x:c>
      <x:c r="C104" t="str">
        <x:v>200505</x:v>
      </x:c>
      <x:c r="D104" t="str">
        <x:v>AIIMS, Jodhpur, BASNI PHASE - II, JODHPUR-342005</x:v>
      </x:c>
      <x:c r="E104" t="str">
        <x:v>Open Seat Quota</x:v>
      </x:c>
      <x:c r="F104" t="str">
        <x:v>SC PwD</x:v>
      </x:c>
      <x:c r="G104" t="n">
        <x:v>1</x:v>
      </x:c>
      <x:c r="H104" t="n">
        <x:v>1</x:v>
      </x:c>
      <x:c r="I104" t="n">
        <x:f>G104-H104</x:f>
        <x:v>0</x:v>
      </x:c>
      <x:c r="J104" s="20" t="n">
        <x:f>IFERROR(H104/G104,0)</x:f>
        <x:v>1</x:v>
      </x:c>
      <x:c r="K104" t="n">
        <x:v>246013</x:v>
      </x:c>
      <x:c r="L104" t="n">
        <x:v>246013</x:v>
      </x:c>
      <x:c r="M104" t="n">
        <x:v>246013</x:v>
      </x:c>
      <x:c r="N104" t="n">
        <x:v>246013</x:v>
      </x:c>
      <x:c r="O104" t="n">
        <x:v>246013</x:v>
      </x:c>
    </x:row>
    <x:row r="105">
      <x:c r="A105" t="str">
        <x:v>Rajasthan</x:v>
      </x:c>
      <x:c r="B105" t="str">
        <x:v>All India Institute Of Medical Science(AIIMS)</x:v>
      </x:c>
      <x:c r="C105" t="str">
        <x:v>200505</x:v>
      </x:c>
      <x:c r="D105" t="str">
        <x:v>AIIMS, Jodhpur, BASNI PHASE - II, JODHPUR-342005</x:v>
      </x:c>
      <x:c r="E105" t="str">
        <x:v>Open Seat Quota</x:v>
      </x:c>
      <x:c r="F105" t="str">
        <x:v>ST</x:v>
      </x:c>
      <x:c r="G105" t="n">
        <x:v>11</x:v>
      </x:c>
      <x:c r="H105" t="n">
        <x:v>11</x:v>
      </x:c>
      <x:c r="I105" t="n">
        <x:f>G105-H105</x:f>
        <x:v>0</x:v>
      </x:c>
      <x:c r="J105" s="20" t="n">
        <x:f>IFERROR(H105/G105,0)</x:f>
        <x:v>1</x:v>
      </x:c>
      <x:c r="K105" t="n">
        <x:v>1133</x:v>
      </x:c>
      <x:c r="L105" t="n">
        <x:v>1499</x:v>
      </x:c>
      <x:c r="M105" t="n">
        <x:v>2322</x:v>
      </x:c>
      <x:c r="N105" t="n">
        <x:v>3728</x:v>
      </x:c>
      <x:c r="O105" t="n">
        <x:v>4457</x:v>
      </x:c>
    </x:row>
    <x:row r="106">
      <x:c r="A106" t="str">
        <x:v>West Bengal</x:v>
      </x:c>
      <x:c r="B106" t="str">
        <x:v>All India Institute Of Medical Science(AIIMS)</x:v>
      </x:c>
      <x:c r="C106" t="str">
        <x:v>200514</x:v>
      </x:c>
      <x:c r="D106" t="str">
        <x:v>AIIMS, Kalyani, NH-34 Connector, Basantapur, Saguna, Kalyani, 741245, West Bengal, India</x:v>
      </x:c>
      <x:c r="E106" t="str">
        <x:v>Open Seat Quota</x:v>
      </x:c>
      <x:c r="F106" t="str">
        <x:v>EWS</x:v>
      </x:c>
      <x:c r="G106" t="n">
        <x:v>13</x:v>
      </x:c>
      <x:c r="H106" t="n">
        <x:v>13</x:v>
      </x:c>
      <x:c r="I106" t="n">
        <x:f>G106-H106</x:f>
        <x:v>0</x:v>
      </x:c>
      <x:c r="J106" s="20" t="n">
        <x:f>IFERROR(H106/G106,0)</x:f>
        <x:v>1</x:v>
      </x:c>
      <x:c r="K106" t="n">
        <x:v>2852</x:v>
      </x:c>
      <x:c r="L106" t="n">
        <x:v>3452</x:v>
      </x:c>
      <x:c r="M106" t="n">
        <x:v>3681</x:v>
      </x:c>
      <x:c r="N106" t="n">
        <x:v>3815</x:v>
      </x:c>
      <x:c r="O106" t="n">
        <x:v>3955</x:v>
      </x:c>
    </x:row>
    <x:row r="107">
      <x:c r="A107" t="str">
        <x:v>West Bengal</x:v>
      </x:c>
      <x:c r="B107" t="str">
        <x:v>All India Institute Of Medical Science(AIIMS)</x:v>
      </x:c>
      <x:c r="C107" t="str">
        <x:v>200514</x:v>
      </x:c>
      <x:c r="D107" t="str">
        <x:v>AIIMS, Kalyani, NH-34 Connector, Basantapur, Saguna, Kalyani, 741245, West Bengal, India</x:v>
      </x:c>
      <x:c r="E107" t="str">
        <x:v>Open Seat Quota</x:v>
      </x:c>
      <x:c r="F107" t="str">
        <x:v>OBC</x:v>
      </x:c>
      <x:c r="G107" t="n">
        <x:v>32</x:v>
      </x:c>
      <x:c r="H107" t="n">
        <x:v>32</x:v>
      </x:c>
      <x:c r="I107" t="n">
        <x:f>G107-H107</x:f>
        <x:v>0</x:v>
      </x:c>
      <x:c r="J107" s="20" t="n">
        <x:f>IFERROR(H107/G107,0)</x:f>
        <x:v>1</x:v>
      </x:c>
      <x:c r="K107" t="n">
        <x:v>2282</x:v>
      </x:c>
      <x:c r="L107" t="n">
        <x:v>2398.25</x:v>
      </x:c>
      <x:c r="M107" t="n">
        <x:v>2748</x:v>
      </x:c>
      <x:c r="N107" t="n">
        <x:v>2882.5</x:v>
      </x:c>
      <x:c r="O107" t="n">
        <x:v>3049</x:v>
      </x:c>
    </x:row>
    <x:row r="108">
      <x:c r="A108" t="str">
        <x:v>West Bengal</x:v>
      </x:c>
      <x:c r="B108" t="str">
        <x:v>All India Institute Of Medical Science(AIIMS)</x:v>
      </x:c>
      <x:c r="C108" t="str">
        <x:v>200514</x:v>
      </x:c>
      <x:c r="D108" t="str">
        <x:v>AIIMS, Kalyani, NH-34 Connector, Basantapur, Saguna, Kalyani, 741245, West Bengal, India</x:v>
      </x:c>
      <x:c r="E108" t="str">
        <x:v>Open Seat Quota</x:v>
      </x:c>
      <x:c r="F108" t="str">
        <x:v>OBC PwD</x:v>
      </x:c>
      <x:c r="G108" t="n">
        <x:v>2</x:v>
      </x:c>
      <x:c r="H108" t="n">
        <x:v>2</x:v>
      </x:c>
      <x:c r="I108" t="n">
        <x:f>G108-H108</x:f>
        <x:v>0</x:v>
      </x:c>
      <x:c r="J108" s="20" t="n">
        <x:f>IFERROR(H108/G108,0)</x:f>
        <x:v>1</x:v>
      </x:c>
      <x:c r="K108" t="n">
        <x:v>271859</x:v>
      </x:c>
      <x:c r="L108" t="n">
        <x:v>277012.5</x:v>
      </x:c>
      <x:c r="M108" t="n">
        <x:v>282166</x:v>
      </x:c>
      <x:c r="N108" t="n">
        <x:v>287319.5</x:v>
      </x:c>
      <x:c r="O108" t="n">
        <x:v>292473</x:v>
      </x:c>
    </x:row>
    <x:row r="109">
      <x:c r="A109" t="str">
        <x:v>West Bengal</x:v>
      </x:c>
      <x:c r="B109" t="str">
        <x:v>All India Institute Of Medical Science(AIIMS)</x:v>
      </x:c>
      <x:c r="C109" t="str">
        <x:v>200514</x:v>
      </x:c>
      <x:c r="D109" t="str">
        <x:v>AIIMS, Kalyani, NH-34 Connector, Basantapur, Saguna, Kalyani, 741245, West Bengal, India</x:v>
      </x:c>
      <x:c r="E109" t="str">
        <x:v>Open Seat Quota</x:v>
      </x:c>
      <x:c r="F109" t="str">
        <x:v>Open</x:v>
      </x:c>
      <x:c r="G109" t="n">
        <x:v>48</x:v>
      </x:c>
      <x:c r="H109" t="n">
        <x:v>48</x:v>
      </x:c>
      <x:c r="I109" t="n">
        <x:f>G109-H109</x:f>
        <x:v>0</x:v>
      </x:c>
      <x:c r="J109" s="20" t="n">
        <x:f>IFERROR(H109/G109,0)</x:f>
        <x:v>1</x:v>
      </x:c>
      <x:c r="K109" t="n">
        <x:v>762</x:v>
      </x:c>
      <x:c r="L109" t="n">
        <x:v>1548.5</x:v>
      </x:c>
      <x:c r="M109" t="n">
        <x:v>1773</x:v>
      </x:c>
      <x:c r="N109" t="n">
        <x:v>1942.5</x:v>
      </x:c>
      <x:c r="O109" t="n">
        <x:v>2188</x:v>
      </x:c>
    </x:row>
    <x:row r="110">
      <x:c r="A110" t="str">
        <x:v>West Bengal</x:v>
      </x:c>
      <x:c r="B110" t="str">
        <x:v>All India Institute Of Medical Science(AIIMS)</x:v>
      </x:c>
      <x:c r="C110" t="str">
        <x:v>200514</x:v>
      </x:c>
      <x:c r="D110" t="str">
        <x:v>AIIMS, Kalyani, NH-34 Connector, Basantapur, Saguna, Kalyani, 741245, West Bengal, India</x:v>
      </x:c>
      <x:c r="E110" t="str">
        <x:v>Open Seat Quota</x:v>
      </x:c>
      <x:c r="F110" t="str">
        <x:v>Open PwD</x:v>
      </x:c>
      <x:c r="G110" t="n">
        <x:v>3</x:v>
      </x:c>
      <x:c r="H110" t="n">
        <x:v>3</x:v>
      </x:c>
      <x:c r="I110" t="n">
        <x:f>G110-H110</x:f>
        <x:v>0</x:v>
      </x:c>
      <x:c r="J110" s="20" t="n">
        <x:f>IFERROR(H110/G110,0)</x:f>
        <x:v>1</x:v>
      </x:c>
      <x:c r="K110" t="n">
        <x:v>107995</x:v>
      </x:c>
      <x:c r="L110" t="n">
        <x:v>131149</x:v>
      </x:c>
      <x:c r="M110" t="n">
        <x:v>154303</x:v>
      </x:c>
      <x:c r="N110" t="n">
        <x:v>180847.5</x:v>
      </x:c>
      <x:c r="O110" t="n">
        <x:v>207392</x:v>
      </x:c>
    </x:row>
    <x:row r="111">
      <x:c r="A111" t="str">
        <x:v>West Bengal</x:v>
      </x:c>
      <x:c r="B111" t="str">
        <x:v>All India Institute Of Medical Science(AIIMS)</x:v>
      </x:c>
      <x:c r="C111" t="str">
        <x:v>200514</x:v>
      </x:c>
      <x:c r="D111" t="str">
        <x:v>AIIMS, Kalyani, NH-34 Connector, Basantapur, Saguna, Kalyani, 741245, West Bengal, India</x:v>
      </x:c>
      <x:c r="E111" t="str">
        <x:v>Open Seat Quota</x:v>
      </x:c>
      <x:c r="F111" t="str">
        <x:v>SC</x:v>
      </x:c>
      <x:c r="G111" t="n">
        <x:v>18</x:v>
      </x:c>
      <x:c r="H111" t="n">
        <x:v>18</x:v>
      </x:c>
      <x:c r="I111" t="n">
        <x:f>G111-H111</x:f>
        <x:v>0</x:v>
      </x:c>
      <x:c r="J111" s="20" t="n">
        <x:f>IFERROR(H111/G111,0)</x:f>
        <x:v>1</x:v>
      </x:c>
      <x:c r="K111" t="n">
        <x:v>11376</x:v>
      </x:c>
      <x:c r="L111" t="n">
        <x:v>14110</x:v>
      </x:c>
      <x:c r="M111" t="n">
        <x:v>15324.5</x:v>
      </x:c>
      <x:c r="N111" t="n">
        <x:v>17717</x:v>
      </x:c>
      <x:c r="O111" t="n">
        <x:v>18440</x:v>
      </x:c>
    </x:row>
    <x:row r="112">
      <x:c r="A112" t="str">
        <x:v>West Bengal</x:v>
      </x:c>
      <x:c r="B112" t="str">
        <x:v>All India Institute Of Medical Science(AIIMS)</x:v>
      </x:c>
      <x:c r="C112" t="str">
        <x:v>200514</x:v>
      </x:c>
      <x:c r="D112" t="str">
        <x:v>AIIMS, Kalyani, NH-34 Connector, Basantapur, Saguna, Kalyani, 741245, West Bengal, India</x:v>
      </x:c>
      <x:c r="E112" t="str">
        <x:v>Open Seat Quota</x:v>
      </x:c>
      <x:c r="F112" t="str">
        <x:v>ST</x:v>
      </x:c>
      <x:c r="G112" t="n">
        <x:v>9</x:v>
      </x:c>
      <x:c r="H112" t="n">
        <x:v>9</x:v>
      </x:c>
      <x:c r="I112" t="n">
        <x:f>G112-H112</x:f>
        <x:v>0</x:v>
      </x:c>
      <x:c r="J112" s="20" t="n">
        <x:f>IFERROR(H112/G112,0)</x:f>
        <x:v>1</x:v>
      </x:c>
      <x:c r="K112" t="n">
        <x:v>17584</x:v>
      </x:c>
      <x:c r="L112" t="n">
        <x:v>28168</x:v>
      </x:c>
      <x:c r="M112" t="n">
        <x:v>33008</x:v>
      </x:c>
      <x:c r="N112" t="n">
        <x:v>33561</x:v>
      </x:c>
      <x:c r="O112" t="n">
        <x:v>37522</x:v>
      </x:c>
    </x:row>
    <x:row r="113">
      <x:c r="A113" t="str">
        <x:v>Tamil Nadu</x:v>
      </x:c>
      <x:c r="B113" t="str">
        <x:v>All India Institute Of Medical Science(AIIMS)</x:v>
      </x:c>
      <x:c r="C113" t="str">
        <x:v>200580</x:v>
      </x:c>
      <x:c r="D113" t="str">
        <x:v>AIIMS, Madurai, AIIMS MADURAI</x:v>
      </x:c>
      <x:c r="E113" t="str">
        <x:v>Open Seat Quota</x:v>
      </x:c>
      <x:c r="F113" t="str">
        <x:v>EWS</x:v>
      </x:c>
      <x:c r="G113" t="n">
        <x:v>4</x:v>
      </x:c>
      <x:c r="H113" t="n">
        <x:v>4</x:v>
      </x:c>
      <x:c r="I113" t="n">
        <x:f>G113-H113</x:f>
        <x:v>0</x:v>
      </x:c>
      <x:c r="J113" s="20" t="n">
        <x:f>IFERROR(H113/G113,0)</x:f>
        <x:v>1</x:v>
      </x:c>
      <x:c r="K113" t="n">
        <x:v>4839</x:v>
      </x:c>
      <x:c r="L113" t="n">
        <x:v>4933.5</x:v>
      </x:c>
      <x:c r="M113" t="n">
        <x:v>5096</x:v>
      </x:c>
      <x:c r="N113" t="n">
        <x:v>5274.25</x:v>
      </x:c>
      <x:c r="O113" t="n">
        <x:v>5416</x:v>
      </x:c>
    </x:row>
    <x:row r="114">
      <x:c r="A114" t="str">
        <x:v>Tamil Nadu</x:v>
      </x:c>
      <x:c r="B114" t="str">
        <x:v>All India Institute Of Medical Science(AIIMS)</x:v>
      </x:c>
      <x:c r="C114" t="str">
        <x:v>200580</x:v>
      </x:c>
      <x:c r="D114" t="str">
        <x:v>AIIMS, Madurai, AIIMS MADURAI</x:v>
      </x:c>
      <x:c r="E114" t="str">
        <x:v>Open Seat Quota</x:v>
      </x:c>
      <x:c r="F114" t="str">
        <x:v>EWS PwD</x:v>
      </x:c>
      <x:c r="G114" t="n">
        <x:v>1</x:v>
      </x:c>
      <x:c r="H114" t="n">
        <x:v>1</x:v>
      </x:c>
      <x:c r="I114" t="n">
        <x:f>G114-H114</x:f>
        <x:v>0</x:v>
      </x:c>
      <x:c r="J114" s="20" t="n">
        <x:f>IFERROR(H114/G114,0)</x:f>
        <x:v>1</x:v>
      </x:c>
      <x:c r="K114" t="n">
        <x:v>414032</x:v>
      </x:c>
      <x:c r="L114" t="n">
        <x:v>414032</x:v>
      </x:c>
      <x:c r="M114" t="n">
        <x:v>414032</x:v>
      </x:c>
      <x:c r="N114" t="n">
        <x:v>414032</x:v>
      </x:c>
      <x:c r="O114" t="n">
        <x:v>414032</x:v>
      </x:c>
    </x:row>
    <x:row r="115">
      <x:c r="A115" t="str">
        <x:v>Tamil Nadu</x:v>
      </x:c>
      <x:c r="B115" t="str">
        <x:v>All India Institute Of Medical Science(AIIMS)</x:v>
      </x:c>
      <x:c r="C115" t="str">
        <x:v>200580</x:v>
      </x:c>
      <x:c r="D115" t="str">
        <x:v>AIIMS, Madurai, AIIMS MADURAI</x:v>
      </x:c>
      <x:c r="E115" t="str">
        <x:v>Open Seat Quota</x:v>
      </x:c>
      <x:c r="F115" t="str">
        <x:v>OBC</x:v>
      </x:c>
      <x:c r="G115" t="n">
        <x:v>14</x:v>
      </x:c>
      <x:c r="H115" t="n">
        <x:v>14</x:v>
      </x:c>
      <x:c r="I115" t="n">
        <x:f>G115-H115</x:f>
        <x:v>0</x:v>
      </x:c>
      <x:c r="J115" s="20" t="n">
        <x:f>IFERROR(H115/G115,0)</x:f>
        <x:v>1</x:v>
      </x:c>
      <x:c r="K115" t="n">
        <x:v>3441</x:v>
      </x:c>
      <x:c r="L115" t="n">
        <x:v>4034.25</x:v>
      </x:c>
      <x:c r="M115" t="n">
        <x:v>4123</x:v>
      </x:c>
      <x:c r="N115" t="n">
        <x:v>4233.5</x:v>
      </x:c>
      <x:c r="O115" t="n">
        <x:v>4281</x:v>
      </x:c>
    </x:row>
    <x:row r="116">
      <x:c r="A116" t="str">
        <x:v>Tamil Nadu</x:v>
      </x:c>
      <x:c r="B116" t="str">
        <x:v>All India Institute Of Medical Science(AIIMS)</x:v>
      </x:c>
      <x:c r="C116" t="str">
        <x:v>200580</x:v>
      </x:c>
      <x:c r="D116" t="str">
        <x:v>AIIMS, Madurai, AIIMS MADURAI</x:v>
      </x:c>
      <x:c r="E116" t="str">
        <x:v>Open Seat Quota</x:v>
      </x:c>
      <x:c r="F116" t="str">
        <x:v>Open</x:v>
      </x:c>
      <x:c r="G116" t="n">
        <x:v>19</x:v>
      </x:c>
      <x:c r="H116" t="n">
        <x:v>19</x:v>
      </x:c>
      <x:c r="I116" t="n">
        <x:f>G116-H116</x:f>
        <x:v>0</x:v>
      </x:c>
      <x:c r="J116" s="20" t="n">
        <x:f>IFERROR(H116/G116,0)</x:f>
        <x:v>1</x:v>
      </x:c>
      <x:c r="K116" t="n">
        <x:v>819</x:v>
      </x:c>
      <x:c r="L116" t="n">
        <x:v>1980</x:v>
      </x:c>
      <x:c r="M116" t="n">
        <x:v>2773</x:v>
      </x:c>
      <x:c r="N116" t="n">
        <x:v>3179.5</x:v>
      </x:c>
      <x:c r="O116" t="n">
        <x:v>3421</x:v>
      </x:c>
    </x:row>
    <x:row r="117">
      <x:c r="A117" t="str">
        <x:v>Tamil Nadu</x:v>
      </x:c>
      <x:c r="B117" t="str">
        <x:v>All India Institute Of Medical Science(AIIMS)</x:v>
      </x:c>
      <x:c r="C117" t="str">
        <x:v>200580</x:v>
      </x:c>
      <x:c r="D117" t="str">
        <x:v>AIIMS, Madurai, AIIMS MADURAI</x:v>
      </x:c>
      <x:c r="E117" t="str">
        <x:v>Open Seat Quota</x:v>
      </x:c>
      <x:c r="F117" t="str">
        <x:v>Open PwD</x:v>
      </x:c>
      <x:c r="G117" t="n">
        <x:v>1</x:v>
      </x:c>
      <x:c r="H117" t="n">
        <x:v>1</x:v>
      </x:c>
      <x:c r="I117" t="n">
        <x:f>G117-H117</x:f>
        <x:v>0</x:v>
      </x:c>
      <x:c r="J117" s="20" t="n">
        <x:f>IFERROR(H117/G117,0)</x:f>
        <x:v>1</x:v>
      </x:c>
      <x:c r="K117" t="n">
        <x:v>167218</x:v>
      </x:c>
      <x:c r="L117" t="n">
        <x:v>167218</x:v>
      </x:c>
      <x:c r="M117" t="n">
        <x:v>167218</x:v>
      </x:c>
      <x:c r="N117" t="n">
        <x:v>167218</x:v>
      </x:c>
      <x:c r="O117" t="n">
        <x:v>167218</x:v>
      </x:c>
    </x:row>
    <x:row r="118">
      <x:c r="A118" t="str">
        <x:v>Tamil Nadu</x:v>
      </x:c>
      <x:c r="B118" t="str">
        <x:v>All India Institute Of Medical Science(AIIMS)</x:v>
      </x:c>
      <x:c r="C118" t="str">
        <x:v>200580</x:v>
      </x:c>
      <x:c r="D118" t="str">
        <x:v>AIIMS, Madurai, AIIMS MADURAI</x:v>
      </x:c>
      <x:c r="E118" t="str">
        <x:v>Open Seat Quota</x:v>
      </x:c>
      <x:c r="F118" t="str">
        <x:v>SC</x:v>
      </x:c>
      <x:c r="G118" t="n">
        <x:v>7</x:v>
      </x:c>
      <x:c r="H118" t="n">
        <x:v>7</x:v>
      </x:c>
      <x:c r="I118" t="n">
        <x:f>G118-H118</x:f>
        <x:v>0</x:v>
      </x:c>
      <x:c r="J118" s="20" t="n">
        <x:f>IFERROR(H118/G118,0)</x:f>
        <x:v>1</x:v>
      </x:c>
      <x:c r="K118" t="n">
        <x:v>18648</x:v>
      </x:c>
      <x:c r="L118" t="n">
        <x:v>24744.5</x:v>
      </x:c>
      <x:c r="M118" t="n">
        <x:v>25237</x:v>
      </x:c>
      <x:c r="N118" t="n">
        <x:v>26464</x:v>
      </x:c>
      <x:c r="O118" t="n">
        <x:v>27253</x:v>
      </x:c>
    </x:row>
    <x:row r="119">
      <x:c r="A119" t="str">
        <x:v>Tamil Nadu</x:v>
      </x:c>
      <x:c r="B119" t="str">
        <x:v>All India Institute Of Medical Science(AIIMS)</x:v>
      </x:c>
      <x:c r="C119" t="str">
        <x:v>200580</x:v>
      </x:c>
      <x:c r="D119" t="str">
        <x:v>AIIMS, Madurai, AIIMS MADURAI</x:v>
      </x:c>
      <x:c r="E119" t="str">
        <x:v>Open Seat Quota</x:v>
      </x:c>
      <x:c r="F119" t="str">
        <x:v>ST</x:v>
      </x:c>
      <x:c r="G119" t="n">
        <x:v>4</x:v>
      </x:c>
      <x:c r="H119" t="n">
        <x:v>4</x:v>
      </x:c>
      <x:c r="I119" t="n">
        <x:f>G119-H119</x:f>
        <x:v>0</x:v>
      </x:c>
      <x:c r="J119" s="20" t="n">
        <x:f>IFERROR(H119/G119,0)</x:f>
        <x:v>1</x:v>
      </x:c>
      <x:c r="K119" t="n">
        <x:v>42177</x:v>
      </x:c>
      <x:c r="L119" t="n">
        <x:v>43228.5</x:v>
      </x:c>
      <x:c r="M119" t="n">
        <x:v>43983</x:v>
      </x:c>
      <x:c r="N119" t="n">
        <x:v>44525.25</x:v>
      </x:c>
      <x:c r="O119" t="n">
        <x:v>44940</x:v>
      </x:c>
    </x:row>
    <x:row r="120">
      <x:c r="A120" t="str">
        <x:v>Maharashtra</x:v>
      </x:c>
      <x:c r="B120" t="str">
        <x:v>All India Institute Of Medical Science(AIIMS)</x:v>
      </x:c>
      <x:c r="C120" t="str">
        <x:v>200509</x:v>
      </x:c>
      <x:c r="D120" t="str">
        <x:v>AIIMS, Nagpur, PLOT NO 2 SECTOR 20 MIHAN NAGPUR</x:v>
      </x:c>
      <x:c r="E120" t="str">
        <x:v>Open Seat Quota</x:v>
      </x:c>
      <x:c r="F120" t="str">
        <x:v>EWS</x:v>
      </x:c>
      <x:c r="G120" t="n">
        <x:v>12</x:v>
      </x:c>
      <x:c r="H120" t="n">
        <x:v>12</x:v>
      </x:c>
      <x:c r="I120" t="n">
        <x:f>G120-H120</x:f>
        <x:v>0</x:v>
      </x:c>
      <x:c r="J120" s="20" t="n">
        <x:f>IFERROR(H120/G120,0)</x:f>
        <x:v>1</x:v>
      </x:c>
      <x:c r="K120" t="n">
        <x:v>1187</x:v>
      </x:c>
      <x:c r="L120" t="n">
        <x:v>1381.25</x:v>
      </x:c>
      <x:c r="M120" t="n">
        <x:v>1488</x:v>
      </x:c>
      <x:c r="N120" t="n">
        <x:v>1734</x:v>
      </x:c>
      <x:c r="O120" t="n">
        <x:v>1839</x:v>
      </x:c>
    </x:row>
    <x:row r="121">
      <x:c r="A121" t="str">
        <x:v>Maharashtra</x:v>
      </x:c>
      <x:c r="B121" t="str">
        <x:v>All India Institute Of Medical Science(AIIMS)</x:v>
      </x:c>
      <x:c r="C121" t="str">
        <x:v>200509</x:v>
      </x:c>
      <x:c r="D121" t="str">
        <x:v>AIIMS, Nagpur, PLOT NO 2 SECTOR 20 MIHAN NAGPUR</x:v>
      </x:c>
      <x:c r="E121" t="str">
        <x:v>Open Seat Quota</x:v>
      </x:c>
      <x:c r="F121" t="str">
        <x:v>EWS PwD</x:v>
      </x:c>
      <x:c r="G121" t="n">
        <x:v>1</x:v>
      </x:c>
      <x:c r="H121" t="n">
        <x:v>1</x:v>
      </x:c>
      <x:c r="I121" t="n">
        <x:f>G121-H121</x:f>
        <x:v>0</x:v>
      </x:c>
      <x:c r="J121" s="20" t="n">
        <x:f>IFERROR(H121/G121,0)</x:f>
        <x:v>1</x:v>
      </x:c>
      <x:c r="K121" t="n">
        <x:v>175335</x:v>
      </x:c>
      <x:c r="L121" t="n">
        <x:v>175335</x:v>
      </x:c>
      <x:c r="M121" t="n">
        <x:v>175335</x:v>
      </x:c>
      <x:c r="N121" t="n">
        <x:v>175335</x:v>
      </x:c>
      <x:c r="O121" t="n">
        <x:v>175335</x:v>
      </x:c>
    </x:row>
    <x:row r="122">
      <x:c r="A122" t="str">
        <x:v>Maharashtra</x:v>
      </x:c>
      <x:c r="B122" t="str">
        <x:v>All India Institute Of Medical Science(AIIMS)</x:v>
      </x:c>
      <x:c r="C122" t="str">
        <x:v>200509</x:v>
      </x:c>
      <x:c r="D122" t="str">
        <x:v>AIIMS, Nagpur, PLOT NO 2 SECTOR 20 MIHAN NAGPUR</x:v>
      </x:c>
      <x:c r="E122" t="str">
        <x:v>Open Seat Quota</x:v>
      </x:c>
      <x:c r="F122" t="str">
        <x:v>OBC</x:v>
      </x:c>
      <x:c r="G122" t="n">
        <x:v>32</x:v>
      </x:c>
      <x:c r="H122" t="n">
        <x:v>32</x:v>
      </x:c>
      <x:c r="I122" t="n">
        <x:f>G122-H122</x:f>
        <x:v>0</x:v>
      </x:c>
      <x:c r="J122" s="20" t="n">
        <x:f>IFERROR(H122/G122,0)</x:f>
        <x:v>1</x:v>
      </x:c>
      <x:c r="K122" t="n">
        <x:v>810</x:v>
      </x:c>
      <x:c r="L122" t="n">
        <x:v>1130.5</x:v>
      </x:c>
      <x:c r="M122" t="n">
        <x:v>1211</x:v>
      </x:c>
      <x:c r="N122" t="n">
        <x:v>1300.75</x:v>
      </x:c>
      <x:c r="O122" t="n">
        <x:v>1350</x:v>
      </x:c>
    </x:row>
    <x:row r="123">
      <x:c r="A123" t="str">
        <x:v>Maharashtra</x:v>
      </x:c>
      <x:c r="B123" t="str">
        <x:v>All India Institute Of Medical Science(AIIMS)</x:v>
      </x:c>
      <x:c r="C123" t="str">
        <x:v>200509</x:v>
      </x:c>
      <x:c r="D123" t="str">
        <x:v>AIIMS, Nagpur, PLOT NO 2 SECTOR 20 MIHAN NAGPUR</x:v>
      </x:c>
      <x:c r="E123" t="str">
        <x:v>Open Seat Quota</x:v>
      </x:c>
      <x:c r="F123" t="str">
        <x:v>OBC PwD</x:v>
      </x:c>
      <x:c r="G123" t="n">
        <x:v>2</x:v>
      </x:c>
      <x:c r="H123" t="n">
        <x:v>2</x:v>
      </x:c>
      <x:c r="I123" t="n">
        <x:f>G123-H123</x:f>
        <x:v>0</x:v>
      </x:c>
      <x:c r="J123" s="20" t="n">
        <x:f>IFERROR(H123/G123,0)</x:f>
        <x:v>1</x:v>
      </x:c>
      <x:c r="K123" t="n">
        <x:v>133138</x:v>
      </x:c>
      <x:c r="L123" t="n">
        <x:v>144464.5</x:v>
      </x:c>
      <x:c r="M123" t="n">
        <x:v>155791</x:v>
      </x:c>
      <x:c r="N123" t="n">
        <x:v>167117.5</x:v>
      </x:c>
      <x:c r="O123" t="n">
        <x:v>178444</x:v>
      </x:c>
    </x:row>
    <x:row r="124">
      <x:c r="A124" t="str">
        <x:v>Maharashtra</x:v>
      </x:c>
      <x:c r="B124" t="str">
        <x:v>All India Institute Of Medical Science(AIIMS)</x:v>
      </x:c>
      <x:c r="C124" t="str">
        <x:v>200509</x:v>
      </x:c>
      <x:c r="D124" t="str">
        <x:v>AIIMS, Nagpur, PLOT NO 2 SECTOR 20 MIHAN NAGPUR</x:v>
      </x:c>
      <x:c r="E124" t="str">
        <x:v>Open Seat Quota</x:v>
      </x:c>
      <x:c r="F124" t="str">
        <x:v>Open</x:v>
      </x:c>
      <x:c r="G124" t="n">
        <x:v>47</x:v>
      </x:c>
      <x:c r="H124" t="n">
        <x:v>47</x:v>
      </x:c>
      <x:c r="I124" t="n">
        <x:f>G124-H124</x:f>
        <x:v>0</x:v>
      </x:c>
      <x:c r="J124" s="20" t="n">
        <x:f>IFERROR(H124/G124,0)</x:f>
        <x:v>1</x:v>
      </x:c>
      <x:c r="K124" t="n">
        <x:v>67</x:v>
      </x:c>
      <x:c r="L124" t="n">
        <x:v>537.5</x:v>
      </x:c>
      <x:c r="M124" t="n">
        <x:v>674</x:v>
      </x:c>
      <x:c r="N124" t="n">
        <x:v>724.5</x:v>
      </x:c>
      <x:c r="O124" t="n">
        <x:v>792</x:v>
      </x:c>
    </x:row>
    <x:row r="125">
      <x:c r="A125" t="str">
        <x:v>Maharashtra</x:v>
      </x:c>
      <x:c r="B125" t="str">
        <x:v>All India Institute Of Medical Science(AIIMS)</x:v>
      </x:c>
      <x:c r="C125" t="str">
        <x:v>200509</x:v>
      </x:c>
      <x:c r="D125" t="str">
        <x:v>AIIMS, Nagpur, PLOT NO 2 SECTOR 20 MIHAN NAGPUR</x:v>
      </x:c>
      <x:c r="E125" t="str">
        <x:v>Open Seat Quota</x:v>
      </x:c>
      <x:c r="F125" t="str">
        <x:v>Open PwD</x:v>
      </x:c>
      <x:c r="G125" t="n">
        <x:v>3</x:v>
      </x:c>
      <x:c r="H125" t="n">
        <x:v>3</x:v>
      </x:c>
      <x:c r="I125" t="n">
        <x:f>G125-H125</x:f>
        <x:v>0</x:v>
      </x:c>
      <x:c r="J125" s="20" t="n">
        <x:f>IFERROR(H125/G125,0)</x:f>
        <x:v>1</x:v>
      </x:c>
      <x:c r="K125" t="n">
        <x:v>23871</x:v>
      </x:c>
      <x:c r="L125" t="n">
        <x:v>24809</x:v>
      </x:c>
      <x:c r="M125" t="n">
        <x:v>25747</x:v>
      </x:c>
      <x:c r="N125" t="n">
        <x:v>54656.5</x:v>
      </x:c>
      <x:c r="O125" t="n">
        <x:v>83566</x:v>
      </x:c>
    </x:row>
    <x:row r="126">
      <x:c r="A126" t="str">
        <x:v>Maharashtra</x:v>
      </x:c>
      <x:c r="B126" t="str">
        <x:v>All India Institute Of Medical Science(AIIMS)</x:v>
      </x:c>
      <x:c r="C126" t="str">
        <x:v>200509</x:v>
      </x:c>
      <x:c r="D126" t="str">
        <x:v>AIIMS, Nagpur, PLOT NO 2 SECTOR 20 MIHAN NAGPUR</x:v>
      </x:c>
      <x:c r="E126" t="str">
        <x:v>Open Seat Quota</x:v>
      </x:c>
      <x:c r="F126" t="str">
        <x:v>SC</x:v>
      </x:c>
      <x:c r="G126" t="n">
        <x:v>17</x:v>
      </x:c>
      <x:c r="H126" t="n">
        <x:v>17</x:v>
      </x:c>
      <x:c r="I126" t="n">
        <x:f>G126-H126</x:f>
        <x:v>0</x:v>
      </x:c>
      <x:c r="J126" s="20" t="n">
        <x:f>IFERROR(H126/G126,0)</x:f>
        <x:v>1</x:v>
      </x:c>
      <x:c r="K126" t="n">
        <x:v>1710</x:v>
      </x:c>
      <x:c r="L126" t="n">
        <x:v>4618</x:v>
      </x:c>
      <x:c r="M126" t="n">
        <x:v>6560</x:v>
      </x:c>
      <x:c r="N126" t="n">
        <x:v>7833</x:v>
      </x:c>
      <x:c r="O126" t="n">
        <x:v>8360</x:v>
      </x:c>
    </x:row>
    <x:row r="127">
      <x:c r="A127" t="str">
        <x:v>Maharashtra</x:v>
      </x:c>
      <x:c r="B127" t="str">
        <x:v>All India Institute Of Medical Science(AIIMS)</x:v>
      </x:c>
      <x:c r="C127" t="str">
        <x:v>200509</x:v>
      </x:c>
      <x:c r="D127" t="str">
        <x:v>AIIMS, Nagpur, PLOT NO 2 SECTOR 20 MIHAN NAGPUR</x:v>
      </x:c>
      <x:c r="E127" t="str">
        <x:v>Open Seat Quota</x:v>
      </x:c>
      <x:c r="F127" t="str">
        <x:v>SC PwD</x:v>
      </x:c>
      <x:c r="G127" t="n">
        <x:v>1</x:v>
      </x:c>
      <x:c r="H127" t="n">
        <x:v>1</x:v>
      </x:c>
      <x:c r="I127" t="n">
        <x:f>G127-H127</x:f>
        <x:v>0</x:v>
      </x:c>
      <x:c r="J127" s="20" t="n">
        <x:f>IFERROR(H127/G127,0)</x:f>
        <x:v>1</x:v>
      </x:c>
      <x:c r="K127" t="n">
        <x:v>287572</x:v>
      </x:c>
      <x:c r="L127" t="n">
        <x:v>287572</x:v>
      </x:c>
      <x:c r="M127" t="n">
        <x:v>287572</x:v>
      </x:c>
      <x:c r="N127" t="n">
        <x:v>287572</x:v>
      </x:c>
      <x:c r="O127" t="n">
        <x:v>287572</x:v>
      </x:c>
    </x:row>
    <x:row r="128">
      <x:c r="A128" t="str">
        <x:v>Maharashtra</x:v>
      </x:c>
      <x:c r="B128" t="str">
        <x:v>All India Institute Of Medical Science(AIIMS)</x:v>
      </x:c>
      <x:c r="C128" t="str">
        <x:v>200509</x:v>
      </x:c>
      <x:c r="D128" t="str">
        <x:v>AIIMS, Nagpur, PLOT NO 2 SECTOR 20 MIHAN NAGPUR</x:v>
      </x:c>
      <x:c r="E128" t="str">
        <x:v>Open Seat Quota</x:v>
      </x:c>
      <x:c r="F128" t="str">
        <x:v>ST</x:v>
      </x:c>
      <x:c r="G128" t="n">
        <x:v>10</x:v>
      </x:c>
      <x:c r="H128" t="n">
        <x:v>10</x:v>
      </x:c>
      <x:c r="I128" t="n">
        <x:f>G128-H128</x:f>
        <x:v>0</x:v>
      </x:c>
      <x:c r="J128" s="20" t="n">
        <x:f>IFERROR(H128/G128,0)</x:f>
        <x:v>1</x:v>
      </x:c>
      <x:c r="K128" t="n">
        <x:v>4160</x:v>
      </x:c>
      <x:c r="L128" t="n">
        <x:v>9780</x:v>
      </x:c>
      <x:c r="M128" t="n">
        <x:v>11049.5</x:v>
      </x:c>
      <x:c r="N128" t="n">
        <x:v>12192.25</x:v>
      </x:c>
      <x:c r="O128" t="n">
        <x:v>13431</x:v>
      </x:c>
    </x:row>
    <x:row r="129">
      <x:c r="A129" t="str">
        <x:v>Delhi</x:v>
      </x:c>
      <x:c r="B129" t="str">
        <x:v>All India Institute Of Medical Science(AIIMS)</x:v>
      </x:c>
      <x:c r="C129" t="str">
        <x:v>200502</x:v>
      </x:c>
      <x:c r="D129" t="str">
        <x:v>AIIMS, New Delhi, ANSARI NAGAR EAST, AUROBINDO MARG, NEW DELHI 110029</x:v>
      </x:c>
      <x:c r="E129" t="str">
        <x:v>Foreign Country Quota</x:v>
      </x:c>
      <x:c r="F129" t="str">
        <x:v>Open</x:v>
      </x:c>
      <x:c r="G129" t="n">
        <x:v>7</x:v>
      </x:c>
      <x:c r="H129" t="n">
        <x:v>7</x:v>
      </x:c>
      <x:c r="I129" t="n">
        <x:f>G129-H129</x:f>
        <x:v>0</x:v>
      </x:c>
      <x:c r="J129" s="20" t="n">
        <x:f>IFERROR(H129/G129,0)</x:f>
        <x:v>1</x:v>
      </x:c>
      <x:c r="K129" t="n">
        <x:v>6216</x:v>
      </x:c>
      <x:c r="L129" t="n">
        <x:v>6864.5</x:v>
      </x:c>
      <x:c r="M129" t="n">
        <x:v>8738</x:v>
      </x:c>
      <x:c r="N129" t="n">
        <x:v>9552.5</x:v>
      </x:c>
      <x:c r="O129" t="n">
        <x:v>13969</x:v>
      </x:c>
    </x:row>
    <x:row r="130">
      <x:c r="A130" t="str">
        <x:v>Delhi</x:v>
      </x:c>
      <x:c r="B130" t="str">
        <x:v>All India Institute Of Medical Science(AIIMS)</x:v>
      </x:c>
      <x:c r="C130" t="str">
        <x:v>200502</x:v>
      </x:c>
      <x:c r="D130" t="str">
        <x:v>AIIMS, New Delhi, ANSARI NAGAR EAST, AUROBINDO MARG, NEW DELHI 110029</x:v>
      </x:c>
      <x:c r="E130" t="str">
        <x:v>Open Seat Quota</x:v>
      </x:c>
      <x:c r="F130" t="str">
        <x:v>EWS</x:v>
      </x:c>
      <x:c r="G130" t="n">
        <x:v>12</x:v>
      </x:c>
      <x:c r="H130" t="n">
        <x:v>12</x:v>
      </x:c>
      <x:c r="I130" t="n">
        <x:f>G130-H130</x:f>
        <x:v>0</x:v>
      </x:c>
      <x:c r="J130" s="20" t="n">
        <x:f>IFERROR(H130/G130,0)</x:f>
        <x:v>1</x:v>
      </x:c>
      <x:c r="K130" t="n">
        <x:v>76</x:v>
      </x:c>
      <x:c r="L130" t="n">
        <x:v>137.75</x:v>
      </x:c>
      <x:c r="M130" t="n">
        <x:v>208.5</x:v>
      </x:c>
      <x:c r="N130" t="n">
        <x:v>221.75</x:v>
      </x:c>
      <x:c r="O130" t="n">
        <x:v>292</x:v>
      </x:c>
    </x:row>
    <x:row r="131">
      <x:c r="A131" t="str">
        <x:v>Delhi</x:v>
      </x:c>
      <x:c r="B131" t="str">
        <x:v>All India Institute Of Medical Science(AIIMS)</x:v>
      </x:c>
      <x:c r="C131" t="str">
        <x:v>200502</x:v>
      </x:c>
      <x:c r="D131" t="str">
        <x:v>AIIMS, New Delhi, ANSARI NAGAR EAST, AUROBINDO MARG, NEW DELHI 110029</x:v>
      </x:c>
      <x:c r="E131" t="str">
        <x:v>Open Seat Quota</x:v>
      </x:c>
      <x:c r="F131" t="str">
        <x:v>EWS PwD</x:v>
      </x:c>
      <x:c r="G131" t="n">
        <x:v>1</x:v>
      </x:c>
      <x:c r="H131" t="n">
        <x:v>1</x:v>
      </x:c>
      <x:c r="I131" t="n">
        <x:f>G131-H131</x:f>
        <x:v>0</x:v>
      </x:c>
      <x:c r="J131" s="20" t="n">
        <x:f>IFERROR(H131/G131,0)</x:f>
        <x:v>1</x:v>
      </x:c>
      <x:c r="K131" t="n">
        <x:v>12463</x:v>
      </x:c>
      <x:c r="L131" t="n">
        <x:v>12463</x:v>
      </x:c>
      <x:c r="M131" t="n">
        <x:v>12463</x:v>
      </x:c>
      <x:c r="N131" t="n">
        <x:v>12463</x:v>
      </x:c>
      <x:c r="O131" t="n">
        <x:v>12463</x:v>
      </x:c>
    </x:row>
    <x:row r="132">
      <x:c r="A132" t="str">
        <x:v>Delhi</x:v>
      </x:c>
      <x:c r="B132" t="str">
        <x:v>All India Institute Of Medical Science(AIIMS)</x:v>
      </x:c>
      <x:c r="C132" t="str">
        <x:v>200502</x:v>
      </x:c>
      <x:c r="D132" t="str">
        <x:v>AIIMS, New Delhi, ANSARI NAGAR EAST, AUROBINDO MARG, NEW DELHI 110029</x:v>
      </x:c>
      <x:c r="E132" t="str">
        <x:v>Open Seat Quota</x:v>
      </x:c>
      <x:c r="F132" t="str">
        <x:v>OBC</x:v>
      </x:c>
      <x:c r="G132" t="n">
        <x:v>31</x:v>
      </x:c>
      <x:c r="H132" t="n">
        <x:v>31</x:v>
      </x:c>
      <x:c r="I132" t="n">
        <x:f>G132-H132</x:f>
        <x:v>0</x:v>
      </x:c>
      <x:c r="J132" s="20" t="n">
        <x:f>IFERROR(H132/G132,0)</x:f>
        <x:v>1</x:v>
      </x:c>
      <x:c r="K132" t="n">
        <x:v>54</x:v>
      </x:c>
      <x:c r="L132" t="n">
        <x:v>97.5</x:v>
      </x:c>
      <x:c r="M132" t="n">
        <x:v>134</x:v>
      </x:c>
      <x:c r="N132" t="n">
        <x:v>151</x:v>
      </x:c>
      <x:c r="O132" t="n">
        <x:v>192</x:v>
      </x:c>
    </x:row>
    <x:row r="133">
      <x:c r="A133" t="str">
        <x:v>Delhi</x:v>
      </x:c>
      <x:c r="B133" t="str">
        <x:v>All India Institute Of Medical Science(AIIMS)</x:v>
      </x:c>
      <x:c r="C133" t="str">
        <x:v>200502</x:v>
      </x:c>
      <x:c r="D133" t="str">
        <x:v>AIIMS, New Delhi, ANSARI NAGAR EAST, AUROBINDO MARG, NEW DELHI 110029</x:v>
      </x:c>
      <x:c r="E133" t="str">
        <x:v>Open Seat Quota</x:v>
      </x:c>
      <x:c r="F133" t="str">
        <x:v>OBC PwD</x:v>
      </x:c>
      <x:c r="G133" t="n">
        <x:v>2</x:v>
      </x:c>
      <x:c r="H133" t="n">
        <x:v>2</x:v>
      </x:c>
      <x:c r="I133" t="n">
        <x:f>G133-H133</x:f>
        <x:v>0</x:v>
      </x:c>
      <x:c r="J133" s="20" t="n">
        <x:f>IFERROR(H133/G133,0)</x:f>
        <x:v>1</x:v>
      </x:c>
      <x:c r="K133" t="n">
        <x:v>14641</x:v>
      </x:c>
      <x:c r="L133" t="n">
        <x:v>15984.5</x:v>
      </x:c>
      <x:c r="M133" t="n">
        <x:v>17328</x:v>
      </x:c>
      <x:c r="N133" t="n">
        <x:v>18671.5</x:v>
      </x:c>
      <x:c r="O133" t="n">
        <x:v>20015</x:v>
      </x:c>
    </x:row>
    <x:row r="134">
      <x:c r="A134" t="str">
        <x:v>Delhi</x:v>
      </x:c>
      <x:c r="B134" t="str">
        <x:v>All India Institute Of Medical Science(AIIMS)</x:v>
      </x:c>
      <x:c r="C134" t="str">
        <x:v>200502</x:v>
      </x:c>
      <x:c r="D134" t="str">
        <x:v>AIIMS, New Delhi, ANSARI NAGAR EAST, AUROBINDO MARG, NEW DELHI 110029</x:v>
      </x:c>
      <x:c r="E134" t="str">
        <x:v>Open Seat Quota</x:v>
      </x:c>
      <x:c r="F134" t="str">
        <x:v>Open</x:v>
      </x:c>
      <x:c r="G134" t="n">
        <x:v>48</x:v>
      </x:c>
      <x:c r="H134" t="n">
        <x:v>48</x:v>
      </x:c>
      <x:c r="I134" t="n">
        <x:f>G134-H134</x:f>
        <x:v>0</x:v>
      </x:c>
      <x:c r="J134" s="20" t="n">
        <x:f>IFERROR(H134/G134,0)</x:f>
        <x:v>1</x:v>
      </x:c>
      <x:c r="K134" t="n">
        <x:v>1</x:v>
      </x:c>
      <x:c r="L134" t="n">
        <x:v>13.75</x:v>
      </x:c>
      <x:c r="M134" t="n">
        <x:v>25.5</x:v>
      </x:c>
      <x:c r="N134" t="n">
        <x:v>39.25</x:v>
      </x:c>
      <x:c r="O134" t="n">
        <x:v>52</x:v>
      </x:c>
    </x:row>
    <x:row r="135">
      <x:c r="A135" t="str">
        <x:v>Delhi</x:v>
      </x:c>
      <x:c r="B135" t="str">
        <x:v>All India Institute Of Medical Science(AIIMS)</x:v>
      </x:c>
      <x:c r="C135" t="str">
        <x:v>200502</x:v>
      </x:c>
      <x:c r="D135" t="str">
        <x:v>AIIMS, New Delhi, ANSARI NAGAR EAST, AUROBINDO MARG, NEW DELHI 110029</x:v>
      </x:c>
      <x:c r="E135" t="str">
        <x:v>Open Seat Quota</x:v>
      </x:c>
      <x:c r="F135" t="str">
        <x:v>Open PwD</x:v>
      </x:c>
      <x:c r="G135" t="n">
        <x:v>2</x:v>
      </x:c>
      <x:c r="H135" t="n">
        <x:v>2</x:v>
      </x:c>
      <x:c r="I135" t="n">
        <x:f>G135-H135</x:f>
        <x:v>0</x:v>
      </x:c>
      <x:c r="J135" s="20" t="n">
        <x:f>IFERROR(H135/G135,0)</x:f>
        <x:v>1</x:v>
      </x:c>
      <x:c r="K135" t="n">
        <x:v>4162</x:v>
      </x:c>
      <x:c r="L135" t="n">
        <x:v>4588</x:v>
      </x:c>
      <x:c r="M135" t="n">
        <x:v>5014</x:v>
      </x:c>
      <x:c r="N135" t="n">
        <x:v>5440</x:v>
      </x:c>
      <x:c r="O135" t="n">
        <x:v>5866</x:v>
      </x:c>
    </x:row>
    <x:row r="136">
      <x:c r="A136" t="str">
        <x:v>Delhi</x:v>
      </x:c>
      <x:c r="B136" t="str">
        <x:v>All India Institute Of Medical Science(AIIMS)</x:v>
      </x:c>
      <x:c r="C136" t="str">
        <x:v>200502</x:v>
      </x:c>
      <x:c r="D136" t="str">
        <x:v>AIIMS, New Delhi, ANSARI NAGAR EAST, AUROBINDO MARG, NEW DELHI 110029</x:v>
      </x:c>
      <x:c r="E136" t="str">
        <x:v>Open Seat Quota</x:v>
      </x:c>
      <x:c r="F136" t="str">
        <x:v>SC</x:v>
      </x:c>
      <x:c r="G136" t="n">
        <x:v>18</x:v>
      </x:c>
      <x:c r="H136" t="n">
        <x:v>18</x:v>
      </x:c>
      <x:c r="I136" t="n">
        <x:f>G136-H136</x:f>
        <x:v>0</x:v>
      </x:c>
      <x:c r="J136" s="20" t="n">
        <x:f>IFERROR(H136/G136,0)</x:f>
        <x:v>1</x:v>
      </x:c>
      <x:c r="K136" t="n">
        <x:v>55</x:v>
      </x:c>
      <x:c r="L136" t="n">
        <x:v>226.25</x:v>
      </x:c>
      <x:c r="M136" t="n">
        <x:v>595</x:v>
      </x:c>
      <x:c r="N136" t="n">
        <x:v>689.25</x:v>
      </x:c>
      <x:c r="O136" t="n">
        <x:v>793</x:v>
      </x:c>
    </x:row>
    <x:row r="137">
      <x:c r="A137" t="str">
        <x:v>Delhi</x:v>
      </x:c>
      <x:c r="B137" t="str">
        <x:v>All India Institute Of Medical Science(AIIMS)</x:v>
      </x:c>
      <x:c r="C137" t="str">
        <x:v>200502</x:v>
      </x:c>
      <x:c r="D137" t="str">
        <x:v>AIIMS, New Delhi, ANSARI NAGAR EAST, AUROBINDO MARG, NEW DELHI 110029</x:v>
      </x:c>
      <x:c r="E137" t="str">
        <x:v>Open Seat Quota</x:v>
      </x:c>
      <x:c r="F137" t="str">
        <x:v>SC PwD</x:v>
      </x:c>
      <x:c r="G137" t="n">
        <x:v>1</x:v>
      </x:c>
      <x:c r="H137" t="n">
        <x:v>1</x:v>
      </x:c>
      <x:c r="I137" t="n">
        <x:f>G137-H137</x:f>
        <x:v>0</x:v>
      </x:c>
      <x:c r="J137" s="20" t="n">
        <x:f>IFERROR(H137/G137,0)</x:f>
        <x:v>1</x:v>
      </x:c>
      <x:c r="K137" t="n">
        <x:v>147940</x:v>
      </x:c>
      <x:c r="L137" t="n">
        <x:v>147940</x:v>
      </x:c>
      <x:c r="M137" t="n">
        <x:v>147940</x:v>
      </x:c>
      <x:c r="N137" t="n">
        <x:v>147940</x:v>
      </x:c>
      <x:c r="O137" t="n">
        <x:v>147940</x:v>
      </x:c>
    </x:row>
    <x:row r="138">
      <x:c r="A138" t="str">
        <x:v>Delhi</x:v>
      </x:c>
      <x:c r="B138" t="str">
        <x:v>All India Institute Of Medical Science(AIIMS)</x:v>
      </x:c>
      <x:c r="C138" t="str">
        <x:v>200502</x:v>
      </x:c>
      <x:c r="D138" t="str">
        <x:v>AIIMS, New Delhi, ANSARI NAGAR EAST, AUROBINDO MARG, NEW DELHI 110029</x:v>
      </x:c>
      <x:c r="E138" t="str">
        <x:v>Open Seat Quota</x:v>
      </x:c>
      <x:c r="F138" t="str">
        <x:v>ST</x:v>
      </x:c>
      <x:c r="G138" t="n">
        <x:v>10</x:v>
      </x:c>
      <x:c r="H138" t="n">
        <x:v>10</x:v>
      </x:c>
      <x:c r="I138" t="n">
        <x:f>G138-H138</x:f>
        <x:v>0</x:v>
      </x:c>
      <x:c r="J138" s="20" t="n">
        <x:f>IFERROR(H138/G138,0)</x:f>
        <x:v>1</x:v>
      </x:c>
      <x:c r="K138" t="n">
        <x:v>260</x:v>
      </x:c>
      <x:c r="L138" t="n">
        <x:v>620</x:v>
      </x:c>
      <x:c r="M138" t="n">
        <x:v>850</x:v>
      </x:c>
      <x:c r="N138" t="n">
        <x:v>916.75</x:v>
      </x:c>
      <x:c r="O138" t="n">
        <x:v>987</x:v>
      </x:c>
    </x:row>
    <x:row r="139">
      <x:c r="A139" t="str">
        <x:v>Bihar</x:v>
      </x:c>
      <x:c r="B139" t="str">
        <x:v>All India Institute Of Medical Science(AIIMS)</x:v>
      </x:c>
      <x:c r="C139" t="str">
        <x:v>200508</x:v>
      </x:c>
      <x:c r="D139" t="str">
        <x:v>AIIMS, Patna, Phulwarisharif, Patna, Bihar-801507</x:v>
      </x:c>
      <x:c r="E139" t="str">
        <x:v>Open Seat Quota</x:v>
      </x:c>
      <x:c r="F139" t="str">
        <x:v>EWS</x:v>
      </x:c>
      <x:c r="G139" t="n">
        <x:v>12</x:v>
      </x:c>
      <x:c r="H139" t="n">
        <x:v>12</x:v>
      </x:c>
      <x:c r="I139" t="n">
        <x:f>G139-H139</x:f>
        <x:v>0</x:v>
      </x:c>
      <x:c r="J139" s="20" t="n">
        <x:f>IFERROR(H139/G139,0)</x:f>
        <x:v>1</x:v>
      </x:c>
      <x:c r="K139" t="n">
        <x:v>2023</x:v>
      </x:c>
      <x:c r="L139" t="n">
        <x:v>2067</x:v>
      </x:c>
      <x:c r="M139" t="n">
        <x:v>2251</x:v>
      </x:c>
      <x:c r="N139" t="n">
        <x:v>2503.25</x:v>
      </x:c>
      <x:c r="O139" t="n">
        <x:v>2675</x:v>
      </x:c>
    </x:row>
    <x:row r="140">
      <x:c r="A140" t="str">
        <x:v>Bihar</x:v>
      </x:c>
      <x:c r="B140" t="str">
        <x:v>All India Institute Of Medical Science(AIIMS)</x:v>
      </x:c>
      <x:c r="C140" t="str">
        <x:v>200508</x:v>
      </x:c>
      <x:c r="D140" t="str">
        <x:v>AIIMS, Patna, Phulwarisharif, Patna, Bihar-801507</x:v>
      </x:c>
      <x:c r="E140" t="str">
        <x:v>Open Seat Quota</x:v>
      </x:c>
      <x:c r="F140" t="str">
        <x:v>EWS PwD</x:v>
      </x:c>
      <x:c r="G140" t="n">
        <x:v>1</x:v>
      </x:c>
      <x:c r="H140" t="n">
        <x:v>1</x:v>
      </x:c>
      <x:c r="I140" t="n">
        <x:f>G140-H140</x:f>
        <x:v>0</x:v>
      </x:c>
      <x:c r="J140" s="20" t="n">
        <x:f>IFERROR(H140/G140,0)</x:f>
        <x:v>1</x:v>
      </x:c>
      <x:c r="K140" t="n">
        <x:v>243658</x:v>
      </x:c>
      <x:c r="L140" t="n">
        <x:v>243658</x:v>
      </x:c>
      <x:c r="M140" t="n">
        <x:v>243658</x:v>
      </x:c>
      <x:c r="N140" t="n">
        <x:v>243658</x:v>
      </x:c>
      <x:c r="O140" t="n">
        <x:v>243658</x:v>
      </x:c>
    </x:row>
    <x:row r="141">
      <x:c r="A141" t="str">
        <x:v>Bihar</x:v>
      </x:c>
      <x:c r="B141" t="str">
        <x:v>All India Institute Of Medical Science(AIIMS)</x:v>
      </x:c>
      <x:c r="C141" t="str">
        <x:v>200508</x:v>
      </x:c>
      <x:c r="D141" t="str">
        <x:v>AIIMS, Patna, Phulwarisharif, Patna, Bihar-801507</x:v>
      </x:c>
      <x:c r="E141" t="str">
        <x:v>Open Seat Quota</x:v>
      </x:c>
      <x:c r="F141" t="str">
        <x:v>OBC</x:v>
      </x:c>
      <x:c r="G141" t="n">
        <x:v>32</x:v>
      </x:c>
      <x:c r="H141" t="n">
        <x:v>32</x:v>
      </x:c>
      <x:c r="I141" t="n">
        <x:f>G141-H141</x:f>
        <x:v>0</x:v>
      </x:c>
      <x:c r="J141" s="20" t="n">
        <x:f>IFERROR(H141/G141,0)</x:f>
        <x:v>1</x:v>
      </x:c>
      <x:c r="K141" t="n">
        <x:v>1597</x:v>
      </x:c>
      <x:c r="L141" t="n">
        <x:v>1761.75</x:v>
      </x:c>
      <x:c r="M141" t="n">
        <x:v>1883.5</x:v>
      </x:c>
      <x:c r="N141" t="n">
        <x:v>1943</x:v>
      </x:c>
      <x:c r="O141" t="n">
        <x:v>2054</x:v>
      </x:c>
    </x:row>
    <x:row r="142">
      <x:c r="A142" t="str">
        <x:v>Bihar</x:v>
      </x:c>
      <x:c r="B142" t="str">
        <x:v>All India Institute Of Medical Science(AIIMS)</x:v>
      </x:c>
      <x:c r="C142" t="str">
        <x:v>200508</x:v>
      </x:c>
      <x:c r="D142" t="str">
        <x:v>AIIMS, Patna, Phulwarisharif, Patna, Bihar-801507</x:v>
      </x:c>
      <x:c r="E142" t="str">
        <x:v>Open Seat Quota</x:v>
      </x:c>
      <x:c r="F142" t="str">
        <x:v>OBC PwD</x:v>
      </x:c>
      <x:c r="G142" t="n">
        <x:v>2</x:v>
      </x:c>
      <x:c r="H142" t="n">
        <x:v>2</x:v>
      </x:c>
      <x:c r="I142" t="n">
        <x:f>G142-H142</x:f>
        <x:v>0</x:v>
      </x:c>
      <x:c r="J142" s="20" t="n">
        <x:f>IFERROR(H142/G142,0)</x:f>
        <x:v>1</x:v>
      </x:c>
      <x:c r="K142" t="n">
        <x:v>212830</x:v>
      </x:c>
      <x:c r="L142" t="n">
        <x:v>214472.25</x:v>
      </x:c>
      <x:c r="M142" t="n">
        <x:v>216114.5</x:v>
      </x:c>
      <x:c r="N142" t="n">
        <x:v>217756.75</x:v>
      </x:c>
      <x:c r="O142" t="n">
        <x:v>219399</x:v>
      </x:c>
    </x:row>
    <x:row r="143">
      <x:c r="A143" t="str">
        <x:v>Bihar</x:v>
      </x:c>
      <x:c r="B143" t="str">
        <x:v>All India Institute Of Medical Science(AIIMS)</x:v>
      </x:c>
      <x:c r="C143" t="str">
        <x:v>200508</x:v>
      </x:c>
      <x:c r="D143" t="str">
        <x:v>AIIMS, Patna, Phulwarisharif, Patna, Bihar-801507</x:v>
      </x:c>
      <x:c r="E143" t="str">
        <x:v>Open Seat Quota</x:v>
      </x:c>
      <x:c r="F143" t="str">
        <x:v>Open</x:v>
      </x:c>
      <x:c r="G143" t="n">
        <x:v>48</x:v>
      </x:c>
      <x:c r="H143" t="n">
        <x:v>48</x:v>
      </x:c>
      <x:c r="I143" t="n">
        <x:f>G143-H143</x:f>
        <x:v>0</x:v>
      </x:c>
      <x:c r="J143" s="20" t="n">
        <x:f>IFERROR(H143/G143,0)</x:f>
        <x:v>1</x:v>
      </x:c>
      <x:c r="K143" t="n">
        <x:v>850</x:v>
      </x:c>
      <x:c r="L143" t="n">
        <x:v>1215.75</x:v>
      </x:c>
      <x:c r="M143" t="n">
        <x:v>1398</x:v>
      </x:c>
      <x:c r="N143" t="n">
        <x:v>1495.25</x:v>
      </x:c>
      <x:c r="O143" t="n">
        <x:v>1593</x:v>
      </x:c>
    </x:row>
    <x:row r="144">
      <x:c r="A144" t="str">
        <x:v>Bihar</x:v>
      </x:c>
      <x:c r="B144" t="str">
        <x:v>All India Institute Of Medical Science(AIIMS)</x:v>
      </x:c>
      <x:c r="C144" t="str">
        <x:v>200508</x:v>
      </x:c>
      <x:c r="D144" t="str">
        <x:v>AIIMS, Patna, Phulwarisharif, Patna, Bihar-801507</x:v>
      </x:c>
      <x:c r="E144" t="str">
        <x:v>Open Seat Quota</x:v>
      </x:c>
      <x:c r="F144" t="str">
        <x:v>Open PwD</x:v>
      </x:c>
      <x:c r="G144" t="n">
        <x:v>2</x:v>
      </x:c>
      <x:c r="H144" t="n">
        <x:v>2</x:v>
      </x:c>
      <x:c r="I144" t="n">
        <x:f>G144-H144</x:f>
        <x:v>0</x:v>
      </x:c>
      <x:c r="J144" s="20" t="n">
        <x:f>IFERROR(H144/G144,0)</x:f>
        <x:v>1</x:v>
      </x:c>
      <x:c r="K144" t="n">
        <x:v>87734</x:v>
      </x:c>
      <x:c r="L144" t="n">
        <x:v>118445.75</x:v>
      </x:c>
      <x:c r="M144" t="n">
        <x:v>149157.5</x:v>
      </x:c>
      <x:c r="N144" t="n">
        <x:v>179869.25</x:v>
      </x:c>
      <x:c r="O144" t="n">
        <x:v>210581</x:v>
      </x:c>
    </x:row>
    <x:row r="145">
      <x:c r="A145" t="str">
        <x:v>Bihar</x:v>
      </x:c>
      <x:c r="B145" t="str">
        <x:v>All India Institute Of Medical Science(AIIMS)</x:v>
      </x:c>
      <x:c r="C145" t="str">
        <x:v>200508</x:v>
      </x:c>
      <x:c r="D145" t="str">
        <x:v>AIIMS, Patna, Phulwarisharif, Patna, Bihar-801507</x:v>
      </x:c>
      <x:c r="E145" t="str">
        <x:v>Open Seat Quota</x:v>
      </x:c>
      <x:c r="F145" t="str">
        <x:v>SC</x:v>
      </x:c>
      <x:c r="G145" t="n">
        <x:v>17</x:v>
      </x:c>
      <x:c r="H145" t="n">
        <x:v>17</x:v>
      </x:c>
      <x:c r="I145" t="n">
        <x:f>G145-H145</x:f>
        <x:v>0</x:v>
      </x:c>
      <x:c r="J145" s="20" t="n">
        <x:f>IFERROR(H145/G145,0)</x:f>
        <x:v>1</x:v>
      </x:c>
      <x:c r="K145" t="n">
        <x:v>8218</x:v>
      </x:c>
      <x:c r="L145" t="n">
        <x:v>11459</x:v>
      </x:c>
      <x:c r="M145" t="n">
        <x:v>13877</x:v>
      </x:c>
      <x:c r="N145" t="n">
        <x:v>15775</x:v>
      </x:c>
      <x:c r="O145" t="n">
        <x:v>16709</x:v>
      </x:c>
    </x:row>
    <x:row r="146">
      <x:c r="A146" t="str">
        <x:v>Bihar</x:v>
      </x:c>
      <x:c r="B146" t="str">
        <x:v>All India Institute Of Medical Science(AIIMS)</x:v>
      </x:c>
      <x:c r="C146" t="str">
        <x:v>200508</x:v>
      </x:c>
      <x:c r="D146" t="str">
        <x:v>AIIMS, Patna, Phulwarisharif, Patna, Bihar-801507</x:v>
      </x:c>
      <x:c r="E146" t="str">
        <x:v>Open Seat Quota</x:v>
      </x:c>
      <x:c r="F146" t="str">
        <x:v>SC PwD</x:v>
      </x:c>
      <x:c r="G146" t="n">
        <x:v>1</x:v>
      </x:c>
      <x:c r="H146" t="n">
        <x:v>1</x:v>
      </x:c>
      <x:c r="I146" t="n">
        <x:f>G146-H146</x:f>
        <x:v>0</x:v>
      </x:c>
      <x:c r="J146" s="20" t="n">
        <x:f>IFERROR(H146/G146,0)</x:f>
        <x:v>1</x:v>
      </x:c>
      <x:c r="K146" t="n">
        <x:v>404611</x:v>
      </x:c>
      <x:c r="L146" t="n">
        <x:v>404611</x:v>
      </x:c>
      <x:c r="M146" t="n">
        <x:v>404611</x:v>
      </x:c>
      <x:c r="N146" t="n">
        <x:v>404611</x:v>
      </x:c>
      <x:c r="O146" t="n">
        <x:v>404611</x:v>
      </x:c>
    </x:row>
    <x:row r="147">
      <x:c r="A147" t="str">
        <x:v>Bihar</x:v>
      </x:c>
      <x:c r="B147" t="str">
        <x:v>All India Institute Of Medical Science(AIIMS)</x:v>
      </x:c>
      <x:c r="C147" t="str">
        <x:v>200508</x:v>
      </x:c>
      <x:c r="D147" t="str">
        <x:v>AIIMS, Patna, Phulwarisharif, Patna, Bihar-801507</x:v>
      </x:c>
      <x:c r="E147" t="str">
        <x:v>Open Seat Quota</x:v>
      </x:c>
      <x:c r="F147" t="str">
        <x:v>ST</x:v>
      </x:c>
      <x:c r="G147" t="n">
        <x:v>10</x:v>
      </x:c>
      <x:c r="H147" t="n">
        <x:v>10</x:v>
      </x:c>
      <x:c r="I147" t="n">
        <x:f>G147-H147</x:f>
        <x:v>0</x:v>
      </x:c>
      <x:c r="J147" s="20" t="n">
        <x:f>IFERROR(H147/G147,0)</x:f>
        <x:v>1</x:v>
      </x:c>
      <x:c r="K147" t="n">
        <x:v>13853</x:v>
      </x:c>
      <x:c r="L147" t="n">
        <x:v>17859.25</x:v>
      </x:c>
      <x:c r="M147" t="n">
        <x:v>22099</x:v>
      </x:c>
      <x:c r="N147" t="n">
        <x:v>23706.5</x:v>
      </x:c>
      <x:c r="O147" t="n">
        <x:v>24984</x:v>
      </x:c>
    </x:row>
    <x:row r="148">
      <x:c r="A148" t="str">
        <x:v>Uttar Pradesh</x:v>
      </x:c>
      <x:c r="B148" t="str">
        <x:v>All India Institute Of Medical Science(AIIMS)</x:v>
      </x:c>
      <x:c r="C148" t="str">
        <x:v>200516</x:v>
      </x:c>
      <x:c r="D148" t="str">
        <x:v>AIIMS, Rai Bareli , All India Institute of Medical Sciences Raebareli</x:v>
      </x:c>
      <x:c r="E148" t="str">
        <x:v>Open Seat Quota</x:v>
      </x:c>
      <x:c r="F148" t="str">
        <x:v>EWS</x:v>
      </x:c>
      <x:c r="G148" t="n">
        <x:v>13</x:v>
      </x:c>
      <x:c r="H148" t="n">
        <x:v>13</x:v>
      </x:c>
      <x:c r="I148" t="n">
        <x:f>G148-H148</x:f>
        <x:v>0</x:v>
      </x:c>
      <x:c r="J148" s="20" t="n">
        <x:f>IFERROR(H148/G148,0)</x:f>
        <x:v>1</x:v>
      </x:c>
      <x:c r="K148" t="n">
        <x:v>2762</x:v>
      </x:c>
      <x:c r="L148" t="n">
        <x:v>3172</x:v>
      </x:c>
      <x:c r="M148" t="n">
        <x:v>3384</x:v>
      </x:c>
      <x:c r="N148" t="n">
        <x:v>3454</x:v>
      </x:c>
      <x:c r="O148" t="n">
        <x:v>3586</x:v>
      </x:c>
    </x:row>
    <x:row r="149">
      <x:c r="A149" t="str">
        <x:v>Uttar Pradesh</x:v>
      </x:c>
      <x:c r="B149" t="str">
        <x:v>All India Institute Of Medical Science(AIIMS)</x:v>
      </x:c>
      <x:c r="C149" t="str">
        <x:v>200516</x:v>
      </x:c>
      <x:c r="D149" t="str">
        <x:v>AIIMS, Rai Bareli , All India Institute of Medical Sciences Raebareli</x:v>
      </x:c>
      <x:c r="E149" t="str">
        <x:v>Open Seat Quota</x:v>
      </x:c>
      <x:c r="F149" t="str">
        <x:v>OBC</x:v>
      </x:c>
      <x:c r="G149" t="n">
        <x:v>32</x:v>
      </x:c>
      <x:c r="H149" t="n">
        <x:v>32</x:v>
      </x:c>
      <x:c r="I149" t="n">
        <x:f>G149-H149</x:f>
        <x:v>0</x:v>
      </x:c>
      <x:c r="J149" s="20" t="n">
        <x:f>IFERROR(H149/G149,0)</x:f>
        <x:v>1</x:v>
      </x:c>
      <x:c r="K149" t="n">
        <x:v>2719</x:v>
      </x:c>
      <x:c r="L149" t="n">
        <x:v>2865</x:v>
      </x:c>
      <x:c r="M149" t="n">
        <x:v>2951</x:v>
      </x:c>
      <x:c r="N149" t="n">
        <x:v>3063.25</x:v>
      </x:c>
      <x:c r="O149" t="n">
        <x:v>3160</x:v>
      </x:c>
    </x:row>
    <x:row r="150">
      <x:c r="A150" t="str">
        <x:v>Uttar Pradesh</x:v>
      </x:c>
      <x:c r="B150" t="str">
        <x:v>All India Institute Of Medical Science(AIIMS)</x:v>
      </x:c>
      <x:c r="C150" t="str">
        <x:v>200516</x:v>
      </x:c>
      <x:c r="D150" t="str">
        <x:v>AIIMS, Rai Bareli , All India Institute of Medical Sciences Raebareli</x:v>
      </x:c>
      <x:c r="E150" t="str">
        <x:v>Open Seat Quota</x:v>
      </x:c>
      <x:c r="F150" t="str">
        <x:v>OBC PwD</x:v>
      </x:c>
      <x:c r="G150" t="n">
        <x:v>2</x:v>
      </x:c>
      <x:c r="H150" t="n">
        <x:v>2</x:v>
      </x:c>
      <x:c r="I150" t="n">
        <x:f>G150-H150</x:f>
        <x:v>0</x:v>
      </x:c>
      <x:c r="J150" s="20" t="n">
        <x:f>IFERROR(H150/G150,0)</x:f>
        <x:v>1</x:v>
      </x:c>
      <x:c r="K150" t="n">
        <x:v>242996</x:v>
      </x:c>
      <x:c r="L150" t="n">
        <x:v>243667.5</x:v>
      </x:c>
      <x:c r="M150" t="n">
        <x:v>244339</x:v>
      </x:c>
      <x:c r="N150" t="n">
        <x:v>245010.5</x:v>
      </x:c>
      <x:c r="O150" t="n">
        <x:v>245682</x:v>
      </x:c>
    </x:row>
    <x:row r="151">
      <x:c r="A151" t="str">
        <x:v>Uttar Pradesh</x:v>
      </x:c>
      <x:c r="B151" t="str">
        <x:v>All India Institute Of Medical Science(AIIMS)</x:v>
      </x:c>
      <x:c r="C151" t="str">
        <x:v>200516</x:v>
      </x:c>
      <x:c r="D151" t="str">
        <x:v>AIIMS, Rai Bareli , All India Institute of Medical Sciences Raebareli</x:v>
      </x:c>
      <x:c r="E151" t="str">
        <x:v>Open Seat Quota</x:v>
      </x:c>
      <x:c r="F151" t="str">
        <x:v>Open</x:v>
      </x:c>
      <x:c r="G151" t="n">
        <x:v>47</x:v>
      </x:c>
      <x:c r="H151" t="n">
        <x:v>47</x:v>
      </x:c>
      <x:c r="I151" t="n">
        <x:f>G151-H151</x:f>
        <x:v>0</x:v>
      </x:c>
      <x:c r="J151" s="20" t="n">
        <x:f>IFERROR(H151/G151,0)</x:f>
        <x:v>1</x:v>
      </x:c>
      <x:c r="K151" t="n">
        <x:v>1427</x:v>
      </x:c>
      <x:c r="L151" t="n">
        <x:v>2285.5</x:v>
      </x:c>
      <x:c r="M151" t="n">
        <x:v>2449</x:v>
      </x:c>
      <x:c r="N151" t="n">
        <x:v>2536.5</x:v>
      </x:c>
      <x:c r="O151" t="n">
        <x:v>2634</x:v>
      </x:c>
    </x:row>
    <x:row r="152">
      <x:c r="A152" t="str">
        <x:v>Uttar Pradesh</x:v>
      </x:c>
      <x:c r="B152" t="str">
        <x:v>All India Institute Of Medical Science(AIIMS)</x:v>
      </x:c>
      <x:c r="C152" t="str">
        <x:v>200516</x:v>
      </x:c>
      <x:c r="D152" t="str">
        <x:v>AIIMS, Rai Bareli , All India Institute of Medical Sciences Raebareli</x:v>
      </x:c>
      <x:c r="E152" t="str">
        <x:v>Open Seat Quota</x:v>
      </x:c>
      <x:c r="F152" t="str">
        <x:v>Open PwD</x:v>
      </x:c>
      <x:c r="G152" t="n">
        <x:v>3</x:v>
      </x:c>
      <x:c r="H152" t="n">
        <x:v>3</x:v>
      </x:c>
      <x:c r="I152" t="n">
        <x:f>G152-H152</x:f>
        <x:v>0</x:v>
      </x:c>
      <x:c r="J152" s="20" t="n">
        <x:f>IFERROR(H152/G152,0)</x:f>
        <x:v>1</x:v>
      </x:c>
      <x:c r="K152" t="n">
        <x:v>44381</x:v>
      </x:c>
      <x:c r="L152" t="n">
        <x:v>132574</x:v>
      </x:c>
      <x:c r="M152" t="n">
        <x:v>220767</x:v>
      </x:c>
      <x:c r="N152" t="n">
        <x:v>225390.5</x:v>
      </x:c>
      <x:c r="O152" t="n">
        <x:v>230014</x:v>
      </x:c>
    </x:row>
    <x:row r="153">
      <x:c r="A153" t="str">
        <x:v>Uttar Pradesh</x:v>
      </x:c>
      <x:c r="B153" t="str">
        <x:v>All India Institute Of Medical Science(AIIMS)</x:v>
      </x:c>
      <x:c r="C153" t="str">
        <x:v>200516</x:v>
      </x:c>
      <x:c r="D153" t="str">
        <x:v>AIIMS, Rai Bareli , All India Institute of Medical Sciences Raebareli</x:v>
      </x:c>
      <x:c r="E153" t="str">
        <x:v>Open Seat Quota</x:v>
      </x:c>
      <x:c r="F153" t="str">
        <x:v>SC</x:v>
      </x:c>
      <x:c r="G153" t="n">
        <x:v>18</x:v>
      </x:c>
      <x:c r="H153" t="n">
        <x:v>18</x:v>
      </x:c>
      <x:c r="I153" t="n">
        <x:f>G153-H153</x:f>
        <x:v>0</x:v>
      </x:c>
      <x:c r="J153" s="20" t="n">
        <x:f>IFERROR(H153/G153,0)</x:f>
        <x:v>1</x:v>
      </x:c>
      <x:c r="K153" t="n">
        <x:v>19349</x:v>
      </x:c>
      <x:c r="L153" t="n">
        <x:v>20410.5</x:v>
      </x:c>
      <x:c r="M153" t="n">
        <x:v>20783.5</x:v>
      </x:c>
      <x:c r="N153" t="n">
        <x:v>21887.5</x:v>
      </x:c>
      <x:c r="O153" t="n">
        <x:v>22455</x:v>
      </x:c>
    </x:row>
    <x:row r="154">
      <x:c r="A154" t="str">
        <x:v>Uttar Pradesh</x:v>
      </x:c>
      <x:c r="B154" t="str">
        <x:v>All India Institute Of Medical Science(AIIMS)</x:v>
      </x:c>
      <x:c r="C154" t="str">
        <x:v>200516</x:v>
      </x:c>
      <x:c r="D154" t="str">
        <x:v>AIIMS, Rai Bareli , All India Institute of Medical Sciences Raebareli</x:v>
      </x:c>
      <x:c r="E154" t="str">
        <x:v>Open Seat Quota</x:v>
      </x:c>
      <x:c r="F154" t="str">
        <x:v>SC PwD</x:v>
      </x:c>
      <x:c r="G154" t="n">
        <x:v>1</x:v>
      </x:c>
      <x:c r="H154" t="n">
        <x:v>1</x:v>
      </x:c>
      <x:c r="I154" t="n">
        <x:f>G154-H154</x:f>
        <x:v>0</x:v>
      </x:c>
      <x:c r="J154" s="20" t="n">
        <x:f>IFERROR(H154/G154,0)</x:f>
        <x:v>1</x:v>
      </x:c>
      <x:c r="K154" t="n">
        <x:v>528896</x:v>
      </x:c>
      <x:c r="L154" t="n">
        <x:v>528896</x:v>
      </x:c>
      <x:c r="M154" t="n">
        <x:v>528896</x:v>
      </x:c>
      <x:c r="N154" t="n">
        <x:v>528896</x:v>
      </x:c>
      <x:c r="O154" t="n">
        <x:v>528896</x:v>
      </x:c>
    </x:row>
    <x:row r="155">
      <x:c r="A155" t="str">
        <x:v>Uttar Pradesh</x:v>
      </x:c>
      <x:c r="B155" t="str">
        <x:v>All India Institute Of Medical Science(AIIMS)</x:v>
      </x:c>
      <x:c r="C155" t="str">
        <x:v>200516</x:v>
      </x:c>
      <x:c r="D155" t="str">
        <x:v>AIIMS, Rai Bareli , All India Institute of Medical Sciences Raebareli</x:v>
      </x:c>
      <x:c r="E155" t="str">
        <x:v>Open Seat Quota</x:v>
      </x:c>
      <x:c r="F155" t="str">
        <x:v>ST</x:v>
      </x:c>
      <x:c r="G155" t="n">
        <x:v>8</x:v>
      </x:c>
      <x:c r="H155" t="n">
        <x:v>8</x:v>
      </x:c>
      <x:c r="I155" t="n">
        <x:f>G155-H155</x:f>
        <x:v>0</x:v>
      </x:c>
      <x:c r="J155" s="20" t="n">
        <x:f>IFERROR(H155/G155,0)</x:f>
        <x:v>1</x:v>
      </x:c>
      <x:c r="K155" t="n">
        <x:v>30796</x:v>
      </x:c>
      <x:c r="L155" t="n">
        <x:v>34692.5</x:v>
      </x:c>
      <x:c r="M155" t="n">
        <x:v>34982</x:v>
      </x:c>
      <x:c r="N155" t="n">
        <x:v>35615.25</x:v>
      </x:c>
      <x:c r="O155" t="n">
        <x:v>35875</x:v>
      </x:c>
    </x:row>
    <x:row r="156">
      <x:c r="A156" t="str">
        <x:v>Uttar Pradesh</x:v>
      </x:c>
      <x:c r="B156" t="str">
        <x:v>All India Institute Of Medical Science(AIIMS)</x:v>
      </x:c>
      <x:c r="C156" t="str">
        <x:v>200516</x:v>
      </x:c>
      <x:c r="D156" t="str">
        <x:v>AIIMS, Rai Bareli , All India Institute of Medical Sciences Raebareli</x:v>
      </x:c>
      <x:c r="E156" t="str">
        <x:v>Open Seat Quota</x:v>
      </x:c>
      <x:c r="F156" t="str">
        <x:v>ST PwD</x:v>
      </x:c>
      <x:c r="G156" t="n">
        <x:v>1</x:v>
      </x:c>
      <x:c r="H156" t="n">
        <x:v>1</x:v>
      </x:c>
      <x:c r="I156" t="n">
        <x:f>G156-H156</x:f>
        <x:v>0</x:v>
      </x:c>
      <x:c r="J156" s="20" t="n">
        <x:f>IFERROR(H156/G156,0)</x:f>
        <x:v>1</x:v>
      </x:c>
      <x:c r="K156" t="n">
        <x:v>485894</x:v>
      </x:c>
      <x:c r="L156" t="n">
        <x:v>485894</x:v>
      </x:c>
      <x:c r="M156" t="n">
        <x:v>485894</x:v>
      </x:c>
      <x:c r="N156" t="n">
        <x:v>485894</x:v>
      </x:c>
      <x:c r="O156" t="n">
        <x:v>485894</x:v>
      </x:c>
    </x:row>
    <x:row r="157">
      <x:c r="A157" t="str">
        <x:v>Chhattisgarh</x:v>
      </x:c>
      <x:c r="B157" t="str">
        <x:v>All India Institute Of Medical Science(AIIMS)</x:v>
      </x:c>
      <x:c r="C157" t="str">
        <x:v>200506</x:v>
      </x:c>
      <x:c r="D157" t="str">
        <x:v>AIIMS, Raipur, Tatibandh, G E Road, Raipur Chhattisgarh, Pin - 492099</x:v>
      </x:c>
      <x:c r="E157" t="str">
        <x:v>Open Seat Quota</x:v>
      </x:c>
      <x:c r="F157" t="str">
        <x:v>EWS</x:v>
      </x:c>
      <x:c r="G157" t="n">
        <x:v>12</x:v>
      </x:c>
      <x:c r="H157" t="n">
        <x:v>12</x:v>
      </x:c>
      <x:c r="I157" t="n">
        <x:f>G157-H157</x:f>
        <x:v>0</x:v>
      </x:c>
      <x:c r="J157" s="20" t="n">
        <x:f>IFERROR(H157/G157,0)</x:f>
        <x:v>1</x:v>
      </x:c>
      <x:c r="K157" t="n">
        <x:v>1964</x:v>
      </x:c>
      <x:c r="L157" t="n">
        <x:v>2067.75</x:v>
      </x:c>
      <x:c r="M157" t="n">
        <x:v>2154</x:v>
      </x:c>
      <x:c r="N157" t="n">
        <x:v>2198</x:v>
      </x:c>
      <x:c r="O157" t="n">
        <x:v>2323</x:v>
      </x:c>
    </x:row>
    <x:row r="158">
      <x:c r="A158" t="str">
        <x:v>Chhattisgarh</x:v>
      </x:c>
      <x:c r="B158" t="str">
        <x:v>All India Institute Of Medical Science(AIIMS)</x:v>
      </x:c>
      <x:c r="C158" t="str">
        <x:v>200506</x:v>
      </x:c>
      <x:c r="D158" t="str">
        <x:v>AIIMS, Raipur, Tatibandh, G E Road, Raipur Chhattisgarh, Pin - 492099</x:v>
      </x:c>
      <x:c r="E158" t="str">
        <x:v>Open Seat Quota</x:v>
      </x:c>
      <x:c r="F158" t="str">
        <x:v>OBC</x:v>
      </x:c>
      <x:c r="G158" t="n">
        <x:v>33</x:v>
      </x:c>
      <x:c r="H158" t="n">
        <x:v>33</x:v>
      </x:c>
      <x:c r="I158" t="n">
        <x:f>G158-H158</x:f>
        <x:v>0</x:v>
      </x:c>
      <x:c r="J158" s="20" t="n">
        <x:f>IFERROR(H158/G158,0)</x:f>
        <x:v>1</x:v>
      </x:c>
      <x:c r="K158" t="n">
        <x:v>1185</x:v>
      </x:c>
      <x:c r="L158" t="n">
        <x:v>1397</x:v>
      </x:c>
      <x:c r="M158" t="n">
        <x:v>1465</x:v>
      </x:c>
      <x:c r="N158" t="n">
        <x:v>1582</x:v>
      </x:c>
      <x:c r="O158" t="n">
        <x:v>1683</x:v>
      </x:c>
    </x:row>
    <x:row r="159">
      <x:c r="A159" t="str">
        <x:v>Chhattisgarh</x:v>
      </x:c>
      <x:c r="B159" t="str">
        <x:v>All India Institute Of Medical Science(AIIMS)</x:v>
      </x:c>
      <x:c r="C159" t="str">
        <x:v>200506</x:v>
      </x:c>
      <x:c r="D159" t="str">
        <x:v>AIIMS, Raipur, Tatibandh, G E Road, Raipur Chhattisgarh, Pin - 492099</x:v>
      </x:c>
      <x:c r="E159" t="str">
        <x:v>Open Seat Quota</x:v>
      </x:c>
      <x:c r="F159" t="str">
        <x:v>OBC PwD</x:v>
      </x:c>
      <x:c r="G159" t="n">
        <x:v>1</x:v>
      </x:c>
      <x:c r="H159" t="n">
        <x:v>1</x:v>
      </x:c>
      <x:c r="I159" t="n">
        <x:f>G159-H159</x:f>
        <x:v>0</x:v>
      </x:c>
      <x:c r="J159" s="20" t="n">
        <x:f>IFERROR(H159/G159,0)</x:f>
        <x:v>1</x:v>
      </x:c>
      <x:c r="K159" t="n">
        <x:v>195831</x:v>
      </x:c>
      <x:c r="L159" t="n">
        <x:v>195831</x:v>
      </x:c>
      <x:c r="M159" t="n">
        <x:v>195831</x:v>
      </x:c>
      <x:c r="N159" t="n">
        <x:v>195831</x:v>
      </x:c>
      <x:c r="O159" t="n">
        <x:v>195831</x:v>
      </x:c>
    </x:row>
    <x:row r="160">
      <x:c r="A160" t="str">
        <x:v>Chhattisgarh</x:v>
      </x:c>
      <x:c r="B160" t="str">
        <x:v>All India Institute Of Medical Science(AIIMS)</x:v>
      </x:c>
      <x:c r="C160" t="str">
        <x:v>200506</x:v>
      </x:c>
      <x:c r="D160" t="str">
        <x:v>AIIMS, Raipur, Tatibandh, G E Road, Raipur Chhattisgarh, Pin - 492099</x:v>
      </x:c>
      <x:c r="E160" t="str">
        <x:v>Open Seat Quota</x:v>
      </x:c>
      <x:c r="F160" t="str">
        <x:v>Open</x:v>
      </x:c>
      <x:c r="G160" t="n">
        <x:v>48</x:v>
      </x:c>
      <x:c r="H160" t="n">
        <x:v>48</x:v>
      </x:c>
      <x:c r="I160" t="n">
        <x:f>G160-H160</x:f>
        <x:v>0</x:v>
      </x:c>
      <x:c r="J160" s="20" t="n">
        <x:f>IFERROR(H160/G160,0)</x:f>
        <x:v>1</x:v>
      </x:c>
      <x:c r="K160" t="n">
        <x:v>323</x:v>
      </x:c>
      <x:c r="L160" t="n">
        <x:v>787.75</x:v>
      </x:c>
      <x:c r="M160" t="n">
        <x:v>877.5</x:v>
      </x:c>
      <x:c r="N160" t="n">
        <x:v>944.25</x:v>
      </x:c>
      <x:c r="O160" t="n">
        <x:v>1008</x:v>
      </x:c>
    </x:row>
    <x:row r="161">
      <x:c r="A161" t="str">
        <x:v>Chhattisgarh</x:v>
      </x:c>
      <x:c r="B161" t="str">
        <x:v>All India Institute Of Medical Science(AIIMS)</x:v>
      </x:c>
      <x:c r="C161" t="str">
        <x:v>200506</x:v>
      </x:c>
      <x:c r="D161" t="str">
        <x:v>AIIMS, Raipur, Tatibandh, G E Road, Raipur Chhattisgarh, Pin - 492099</x:v>
      </x:c>
      <x:c r="E161" t="str">
        <x:v>Open Seat Quota</x:v>
      </x:c>
      <x:c r="F161" t="str">
        <x:v>Open PwD</x:v>
      </x:c>
      <x:c r="G161" t="n">
        <x:v>3</x:v>
      </x:c>
      <x:c r="H161" t="n">
        <x:v>3</x:v>
      </x:c>
      <x:c r="I161" t="n">
        <x:f>G161-H161</x:f>
        <x:v>0</x:v>
      </x:c>
      <x:c r="J161" s="20" t="n">
        <x:f>IFERROR(H161/G161,0)</x:f>
        <x:v>1</x:v>
      </x:c>
      <x:c r="K161" t="n">
        <x:v>146863</x:v>
      </x:c>
      <x:c r="L161" t="n">
        <x:v>158081</x:v>
      </x:c>
      <x:c r="M161" t="n">
        <x:v>169299</x:v>
      </x:c>
      <x:c r="N161" t="n">
        <x:v>179195.5</x:v>
      </x:c>
      <x:c r="O161" t="n">
        <x:v>189092</x:v>
      </x:c>
    </x:row>
    <x:row r="162">
      <x:c r="A162" t="str">
        <x:v>Chhattisgarh</x:v>
      </x:c>
      <x:c r="B162" t="str">
        <x:v>All India Institute Of Medical Science(AIIMS)</x:v>
      </x:c>
      <x:c r="C162" t="str">
        <x:v>200506</x:v>
      </x:c>
      <x:c r="D162" t="str">
        <x:v>AIIMS, Raipur, Tatibandh, G E Road, Raipur Chhattisgarh, Pin - 492099</x:v>
      </x:c>
      <x:c r="E162" t="str">
        <x:v>Open Seat Quota</x:v>
      </x:c>
      <x:c r="F162" t="str">
        <x:v>SC</x:v>
      </x:c>
      <x:c r="G162" t="n">
        <x:v>18</x:v>
      </x:c>
      <x:c r="H162" t="n">
        <x:v>18</x:v>
      </x:c>
      <x:c r="I162" t="n">
        <x:f>G162-H162</x:f>
        <x:v>0</x:v>
      </x:c>
      <x:c r="J162" s="20" t="n">
        <x:f>IFERROR(H162/G162,0)</x:f>
        <x:v>1</x:v>
      </x:c>
      <x:c r="K162" t="n">
        <x:v>8512</x:v>
      </x:c>
      <x:c r="L162" t="n">
        <x:v>9166.25</x:v>
      </x:c>
      <x:c r="M162" t="n">
        <x:v>10612</x:v>
      </x:c>
      <x:c r="N162" t="n">
        <x:v>12041.75</x:v>
      </x:c>
      <x:c r="O162" t="n">
        <x:v>12796</x:v>
      </x:c>
    </x:row>
    <x:row r="163">
      <x:c r="A163" t="str">
        <x:v>Chhattisgarh</x:v>
      </x:c>
      <x:c r="B163" t="str">
        <x:v>All India Institute Of Medical Science(AIIMS)</x:v>
      </x:c>
      <x:c r="C163" t="str">
        <x:v>200506</x:v>
      </x:c>
      <x:c r="D163" t="str">
        <x:v>AIIMS, Raipur, Tatibandh, G E Road, Raipur Chhattisgarh, Pin - 492099</x:v>
      </x:c>
      <x:c r="E163" t="str">
        <x:v>Open Seat Quota</x:v>
      </x:c>
      <x:c r="F163" t="str">
        <x:v>SC PwD</x:v>
      </x:c>
      <x:c r="G163" t="n">
        <x:v>1</x:v>
      </x:c>
      <x:c r="H163" t="n">
        <x:v>1</x:v>
      </x:c>
      <x:c r="I163" t="n">
        <x:f>G163-H163</x:f>
        <x:v>0</x:v>
      </x:c>
      <x:c r="J163" s="20" t="n">
        <x:f>IFERROR(H163/G163,0)</x:f>
        <x:v>1</x:v>
      </x:c>
      <x:c r="K163" t="n">
        <x:v>319126</x:v>
      </x:c>
      <x:c r="L163" t="n">
        <x:v>319126</x:v>
      </x:c>
      <x:c r="M163" t="n">
        <x:v>319126</x:v>
      </x:c>
      <x:c r="N163" t="n">
        <x:v>319126</x:v>
      </x:c>
      <x:c r="O163" t="n">
        <x:v>319126</x:v>
      </x:c>
    </x:row>
    <x:row r="164">
      <x:c r="A164" t="str">
        <x:v>Chhattisgarh</x:v>
      </x:c>
      <x:c r="B164" t="str">
        <x:v>All India Institute Of Medical Science(AIIMS)</x:v>
      </x:c>
      <x:c r="C164" t="str">
        <x:v>200506</x:v>
      </x:c>
      <x:c r="D164" t="str">
        <x:v>AIIMS, Raipur, Tatibandh, G E Road, Raipur Chhattisgarh, Pin - 492099</x:v>
      </x:c>
      <x:c r="E164" t="str">
        <x:v>Open Seat Quota</x:v>
      </x:c>
      <x:c r="F164" t="str">
        <x:v>ST</x:v>
      </x:c>
      <x:c r="G164" t="n">
        <x:v>8</x:v>
      </x:c>
      <x:c r="H164" t="n">
        <x:v>8</x:v>
      </x:c>
      <x:c r="I164" t="n">
        <x:f>G164-H164</x:f>
        <x:v>0</x:v>
      </x:c>
      <x:c r="J164" s="20" t="n">
        <x:f>IFERROR(H164/G164,0)</x:f>
        <x:v>1</x:v>
      </x:c>
      <x:c r="K164" t="n">
        <x:v>13538</x:v>
      </x:c>
      <x:c r="L164" t="n">
        <x:v>13962</x:v>
      </x:c>
      <x:c r="M164" t="n">
        <x:v>15301</x:v>
      </x:c>
      <x:c r="N164" t="n">
        <x:v>16576.5</x:v>
      </x:c>
      <x:c r="O164" t="n">
        <x:v>16950</x:v>
      </x:c>
    </x:row>
    <x:row r="165">
      <x:c r="A165" t="str">
        <x:v>Chhattisgarh</x:v>
      </x:c>
      <x:c r="B165" t="str">
        <x:v>All India Institute Of Medical Science(AIIMS)</x:v>
      </x:c>
      <x:c r="C165" t="str">
        <x:v>200506</x:v>
      </x:c>
      <x:c r="D165" t="str">
        <x:v>AIIMS, Raipur, Tatibandh, G E Road, Raipur Chhattisgarh, Pin - 492099</x:v>
      </x:c>
      <x:c r="E165" t="str">
        <x:v>Open Seat Quota</x:v>
      </x:c>
      <x:c r="F165" t="str">
        <x:v>ST PwD</x:v>
      </x:c>
      <x:c r="G165" t="n">
        <x:v>1</x:v>
      </x:c>
      <x:c r="H165" t="n">
        <x:v>1</x:v>
      </x:c>
      <x:c r="I165" t="n">
        <x:f>G165-H165</x:f>
        <x:v>0</x:v>
      </x:c>
      <x:c r="J165" s="20" t="n">
        <x:f>IFERROR(H165/G165,0)</x:f>
        <x:v>1</x:v>
      </x:c>
      <x:c r="K165" t="n">
        <x:v>471470</x:v>
      </x:c>
      <x:c r="L165" t="n">
        <x:v>471470</x:v>
      </x:c>
      <x:c r="M165" t="n">
        <x:v>471470</x:v>
      </x:c>
      <x:c r="N165" t="n">
        <x:v>471470</x:v>
      </x:c>
      <x:c r="O165" t="n">
        <x:v>471470</x:v>
      </x:c>
    </x:row>
    <x:row r="166">
      <x:c r="A166" t="str">
        <x:v>Uttarakhand</x:v>
      </x:c>
      <x:c r="B166" t="str">
        <x:v>All India Institute Of Medical Science(AIIMS)</x:v>
      </x:c>
      <x:c r="C166" t="str">
        <x:v>200507</x:v>
      </x:c>
      <x:c r="D166" t="str">
        <x:v>AIIMS, Rishikesh , ALL INDIA INSTITUTE OF MEDICAL SCIENCES, RISHIKESH Uttarakhand - 249203</x:v>
      </x:c>
      <x:c r="E166" t="str">
        <x:v>Open Seat Quota</x:v>
      </x:c>
      <x:c r="F166" t="str">
        <x:v>EWS</x:v>
      </x:c>
      <x:c r="G166" t="n">
        <x:v>11</x:v>
      </x:c>
      <x:c r="H166" t="n">
        <x:v>11</x:v>
      </x:c>
      <x:c r="I166" t="n">
        <x:f>G166-H166</x:f>
        <x:v>0</x:v>
      </x:c>
      <x:c r="J166" s="20" t="n">
        <x:f>IFERROR(H166/G166,0)</x:f>
        <x:v>1</x:v>
      </x:c>
      <x:c r="K166" t="n">
        <x:v>548</x:v>
      </x:c>
      <x:c r="L166" t="n">
        <x:v>817.5</x:v>
      </x:c>
      <x:c r="M166" t="n">
        <x:v>962</x:v>
      </x:c>
      <x:c r="N166" t="n">
        <x:v>1044.5</x:v>
      </x:c>
      <x:c r="O166" t="n">
        <x:v>1089</x:v>
      </x:c>
    </x:row>
    <x:row r="167">
      <x:c r="A167" t="str">
        <x:v>Uttarakhand</x:v>
      </x:c>
      <x:c r="B167" t="str">
        <x:v>All India Institute Of Medical Science(AIIMS)</x:v>
      </x:c>
      <x:c r="C167" t="str">
        <x:v>200507</x:v>
      </x:c>
      <x:c r="D167" t="str">
        <x:v>AIIMS, Rishikesh , ALL INDIA INSTITUTE OF MEDICAL SCIENCES, RISHIKESH Uttarakhand - 249203</x:v>
      </x:c>
      <x:c r="E167" t="str">
        <x:v>Open Seat Quota</x:v>
      </x:c>
      <x:c r="F167" t="str">
        <x:v>EWS PwD</x:v>
      </x:c>
      <x:c r="G167" t="n">
        <x:v>1</x:v>
      </x:c>
      <x:c r="H167" t="n">
        <x:v>1</x:v>
      </x:c>
      <x:c r="I167" t="n">
        <x:f>G167-H167</x:f>
        <x:v>0</x:v>
      </x:c>
      <x:c r="J167" s="20" t="n">
        <x:f>IFERROR(H167/G167,0)</x:f>
        <x:v>1</x:v>
      </x:c>
      <x:c r="K167" t="n">
        <x:v>90556</x:v>
      </x:c>
      <x:c r="L167" t="n">
        <x:v>90556</x:v>
      </x:c>
      <x:c r="M167" t="n">
        <x:v>90556</x:v>
      </x:c>
      <x:c r="N167" t="n">
        <x:v>90556</x:v>
      </x:c>
      <x:c r="O167" t="n">
        <x:v>90556</x:v>
      </x:c>
    </x:row>
    <x:row r="168">
      <x:c r="A168" t="str">
        <x:v>Uttarakhand</x:v>
      </x:c>
      <x:c r="B168" t="str">
        <x:v>All India Institute Of Medical Science(AIIMS)</x:v>
      </x:c>
      <x:c r="C168" t="str">
        <x:v>200507</x:v>
      </x:c>
      <x:c r="D168" t="str">
        <x:v>AIIMS, Rishikesh , ALL INDIA INSTITUTE OF MEDICAL SCIENCES, RISHIKESH Uttarakhand - 249203</x:v>
      </x:c>
      <x:c r="E168" t="str">
        <x:v>Open Seat Quota</x:v>
      </x:c>
      <x:c r="F168" t="str">
        <x:v>OBC</x:v>
      </x:c>
      <x:c r="G168" t="n">
        <x:v>33</x:v>
      </x:c>
      <x:c r="H168" t="n">
        <x:v>33</x:v>
      </x:c>
      <x:c r="I168" t="n">
        <x:f>G168-H168</x:f>
        <x:v>0</x:v>
      </x:c>
      <x:c r="J168" s="20" t="n">
        <x:f>IFERROR(H168/G168,0)</x:f>
        <x:v>1</x:v>
      </x:c>
      <x:c r="K168" t="n">
        <x:v>590</x:v>
      </x:c>
      <x:c r="L168" t="n">
        <x:v>780</x:v>
      </x:c>
      <x:c r="M168" t="n">
        <x:v>807</x:v>
      </x:c>
      <x:c r="N168" t="n">
        <x:v>884</x:v>
      </x:c>
      <x:c r="O168" t="n">
        <x:v>979</x:v>
      </x:c>
    </x:row>
    <x:row r="169">
      <x:c r="A169" t="str">
        <x:v>Uttarakhand</x:v>
      </x:c>
      <x:c r="B169" t="str">
        <x:v>All India Institute Of Medical Science(AIIMS)</x:v>
      </x:c>
      <x:c r="C169" t="str">
        <x:v>200507</x:v>
      </x:c>
      <x:c r="D169" t="str">
        <x:v>AIIMS, Rishikesh , ALL INDIA INSTITUTE OF MEDICAL SCIENCES, RISHIKESH Uttarakhand - 249203</x:v>
      </x:c>
      <x:c r="E169" t="str">
        <x:v>Open Seat Quota</x:v>
      </x:c>
      <x:c r="F169" t="str">
        <x:v>OBC PwD</x:v>
      </x:c>
      <x:c r="G169" t="n">
        <x:v>1</x:v>
      </x:c>
      <x:c r="H169" t="n">
        <x:v>1</x:v>
      </x:c>
      <x:c r="I169" t="n">
        <x:f>G169-H169</x:f>
        <x:v>0</x:v>
      </x:c>
      <x:c r="J169" s="20" t="n">
        <x:f>IFERROR(H169/G169,0)</x:f>
        <x:v>1</x:v>
      </x:c>
      <x:c r="K169" t="n">
        <x:v>84424</x:v>
      </x:c>
      <x:c r="L169" t="n">
        <x:v>84424</x:v>
      </x:c>
      <x:c r="M169" t="n">
        <x:v>84424</x:v>
      </x:c>
      <x:c r="N169" t="n">
        <x:v>84424</x:v>
      </x:c>
      <x:c r="O169" t="n">
        <x:v>84424</x:v>
      </x:c>
    </x:row>
    <x:row r="170">
      <x:c r="A170" t="str">
        <x:v>Uttarakhand</x:v>
      </x:c>
      <x:c r="B170" t="str">
        <x:v>All India Institute Of Medical Science(AIIMS)</x:v>
      </x:c>
      <x:c r="C170" t="str">
        <x:v>200507</x:v>
      </x:c>
      <x:c r="D170" t="str">
        <x:v>AIIMS, Rishikesh , ALL INDIA INSTITUTE OF MEDICAL SCIENCES, RISHIKESH Uttarakhand - 249203</x:v>
      </x:c>
      <x:c r="E170" t="str">
        <x:v>Open Seat Quota</x:v>
      </x:c>
      <x:c r="F170" t="str">
        <x:v>Open</x:v>
      </x:c>
      <x:c r="G170" t="n">
        <x:v>49</x:v>
      </x:c>
      <x:c r="H170" t="n">
        <x:v>49</x:v>
      </x:c>
      <x:c r="I170" t="n">
        <x:f>G170-H170</x:f>
        <x:v>0</x:v>
      </x:c>
      <x:c r="J170" s="20" t="n">
        <x:f>IFERROR(H170/G170,0)</x:f>
        <x:v>1</x:v>
      </x:c>
      <x:c r="K170" t="n">
        <x:v>63</x:v>
      </x:c>
      <x:c r="L170" t="n">
        <x:v>331</x:v>
      </x:c>
      <x:c r="M170" t="n">
        <x:v>401</x:v>
      </x:c>
      <x:c r="N170" t="n">
        <x:v>471</x:v>
      </x:c>
      <x:c r="O170" t="n">
        <x:v>537</x:v>
      </x:c>
    </x:row>
    <x:row r="171">
      <x:c r="A171" t="str">
        <x:v>Uttarakhand</x:v>
      </x:c>
      <x:c r="B171" t="str">
        <x:v>All India Institute Of Medical Science(AIIMS)</x:v>
      </x:c>
      <x:c r="C171" t="str">
        <x:v>200507</x:v>
      </x:c>
      <x:c r="D171" t="str">
        <x:v>AIIMS, Rishikesh , ALL INDIA INSTITUTE OF MEDICAL SCIENCES, RISHIKESH Uttarakhand - 249203</x:v>
      </x:c>
      <x:c r="E171" t="str">
        <x:v>Open Seat Quota</x:v>
      </x:c>
      <x:c r="F171" t="str">
        <x:v>Open PwD</x:v>
      </x:c>
      <x:c r="G171" t="n">
        <x:v>2</x:v>
      </x:c>
      <x:c r="H171" t="n">
        <x:v>2</x:v>
      </x:c>
      <x:c r="I171" t="n">
        <x:f>G171-H171</x:f>
        <x:v>0</x:v>
      </x:c>
      <x:c r="J171" s="20" t="n">
        <x:f>IFERROR(H171/G171,0)</x:f>
        <x:v>1</x:v>
      </x:c>
      <x:c r="K171" t="n">
        <x:v>41858</x:v>
      </x:c>
      <x:c r="L171" t="n">
        <x:v>46413.25</x:v>
      </x:c>
      <x:c r="M171" t="n">
        <x:v>50968.5</x:v>
      </x:c>
      <x:c r="N171" t="n">
        <x:v>55523.75</x:v>
      </x:c>
      <x:c r="O171" t="n">
        <x:v>60079</x:v>
      </x:c>
    </x:row>
    <x:row r="172">
      <x:c r="A172" t="str">
        <x:v>Uttarakhand</x:v>
      </x:c>
      <x:c r="B172" t="str">
        <x:v>All India Institute Of Medical Science(AIIMS)</x:v>
      </x:c>
      <x:c r="C172" t="str">
        <x:v>200507</x:v>
      </x:c>
      <x:c r="D172" t="str">
        <x:v>AIIMS, Rishikesh , ALL INDIA INSTITUTE OF MEDICAL SCIENCES, RISHIKESH Uttarakhand - 249203</x:v>
      </x:c>
      <x:c r="E172" t="str">
        <x:v>Open Seat Quota</x:v>
      </x:c>
      <x:c r="F172" t="str">
        <x:v>SC</x:v>
      </x:c>
      <x:c r="G172" t="n">
        <x:v>18</x:v>
      </x:c>
      <x:c r="H172" t="n">
        <x:v>18</x:v>
      </x:c>
      <x:c r="I172" t="n">
        <x:f>G172-H172</x:f>
        <x:v>0</x:v>
      </x:c>
      <x:c r="J172" s="20" t="n">
        <x:f>IFERROR(H172/G172,0)</x:f>
        <x:v>1</x:v>
      </x:c>
      <x:c r="K172" t="n">
        <x:v>1748</x:v>
      </x:c>
      <x:c r="L172" t="n">
        <x:v>3842.5</x:v>
      </x:c>
      <x:c r="M172" t="n">
        <x:v>4609.5</x:v>
      </x:c>
      <x:c r="N172" t="n">
        <x:v>5940.75</x:v>
      </x:c>
      <x:c r="O172" t="n">
        <x:v>6429</x:v>
      </x:c>
    </x:row>
    <x:row r="173">
      <x:c r="A173" t="str">
        <x:v>Uttarakhand</x:v>
      </x:c>
      <x:c r="B173" t="str">
        <x:v>All India Institute Of Medical Science(AIIMS)</x:v>
      </x:c>
      <x:c r="C173" t="str">
        <x:v>200507</x:v>
      </x:c>
      <x:c r="D173" t="str">
        <x:v>AIIMS, Rishikesh , ALL INDIA INSTITUTE OF MEDICAL SCIENCES, RISHIKESH Uttarakhand - 249203</x:v>
      </x:c>
      <x:c r="E173" t="str">
        <x:v>Open Seat Quota</x:v>
      </x:c>
      <x:c r="F173" t="str">
        <x:v>SC PwD</x:v>
      </x:c>
      <x:c r="G173" t="n">
        <x:v>1</x:v>
      </x:c>
      <x:c r="H173" t="n">
        <x:v>1</x:v>
      </x:c>
      <x:c r="I173" t="n">
        <x:f>G173-H173</x:f>
        <x:v>0</x:v>
      </x:c>
      <x:c r="J173" s="20" t="n">
        <x:f>IFERROR(H173/G173,0)</x:f>
        <x:v>1</x:v>
      </x:c>
      <x:c r="K173" t="n">
        <x:v>282199</x:v>
      </x:c>
      <x:c r="L173" t="n">
        <x:v>282199</x:v>
      </x:c>
      <x:c r="M173" t="n">
        <x:v>282199</x:v>
      </x:c>
      <x:c r="N173" t="n">
        <x:v>282199</x:v>
      </x:c>
      <x:c r="O173" t="n">
        <x:v>282199</x:v>
      </x:c>
    </x:row>
    <x:row r="174">
      <x:c r="A174" t="str">
        <x:v>Uttarakhand</x:v>
      </x:c>
      <x:c r="B174" t="str">
        <x:v>All India Institute Of Medical Science(AIIMS)</x:v>
      </x:c>
      <x:c r="C174" t="str">
        <x:v>200507</x:v>
      </x:c>
      <x:c r="D174" t="str">
        <x:v>AIIMS, Rishikesh , ALL INDIA INSTITUTE OF MEDICAL SCIENCES, RISHIKESH Uttarakhand - 249203</x:v>
      </x:c>
      <x:c r="E174" t="str">
        <x:v>Open Seat Quota</x:v>
      </x:c>
      <x:c r="F174" t="str">
        <x:v>ST</x:v>
      </x:c>
      <x:c r="G174" t="n">
        <x:v>8</x:v>
      </x:c>
      <x:c r="H174" t="n">
        <x:v>8</x:v>
      </x:c>
      <x:c r="I174" t="n">
        <x:f>G174-H174</x:f>
        <x:v>0</x:v>
      </x:c>
      <x:c r="J174" s="20" t="n">
        <x:f>IFERROR(H174/G174,0)</x:f>
        <x:v>1</x:v>
      </x:c>
      <x:c r="K174" t="n">
        <x:v>5403</x:v>
      </x:c>
      <x:c r="L174" t="n">
        <x:v>7291.5</x:v>
      </x:c>
      <x:c r="M174" t="n">
        <x:v>7676</x:v>
      </x:c>
      <x:c r="N174" t="n">
        <x:v>8174.5</x:v>
      </x:c>
      <x:c r="O174" t="n">
        <x:v>8532</x:v>
      </x:c>
    </x:row>
    <x:row r="175">
      <x:c r="A175" t="str">
        <x:v>Uttarakhand</x:v>
      </x:c>
      <x:c r="B175" t="str">
        <x:v>All India Institute Of Medical Science(AIIMS)</x:v>
      </x:c>
      <x:c r="C175" t="str">
        <x:v>200507</x:v>
      </x:c>
      <x:c r="D175" t="str">
        <x:v>AIIMS, Rishikesh , ALL INDIA INSTITUTE OF MEDICAL SCIENCES, RISHIKESH Uttarakhand - 249203</x:v>
      </x:c>
      <x:c r="E175" t="str">
        <x:v>Open Seat Quota</x:v>
      </x:c>
      <x:c r="F175" t="str">
        <x:v>ST PwD</x:v>
      </x:c>
      <x:c r="G175" t="n">
        <x:v>1</x:v>
      </x:c>
      <x:c r="H175" t="n">
        <x:v>1</x:v>
      </x:c>
      <x:c r="I175" t="n">
        <x:f>G175-H175</x:f>
        <x:v>0</x:v>
      </x:c>
      <x:c r="J175" s="20" t="n">
        <x:f>IFERROR(H175/G175,0)</x:f>
        <x:v>1</x:v>
      </x:c>
      <x:c r="K175" t="n">
        <x:v>290785</x:v>
      </x:c>
      <x:c r="L175" t="n">
        <x:v>290785</x:v>
      </x:c>
      <x:c r="M175" t="n">
        <x:v>290785</x:v>
      </x:c>
      <x:c r="N175" t="n">
        <x:v>290785</x:v>
      </x:c>
      <x:c r="O175" t="n">
        <x:v>290785</x:v>
      </x:c>
    </x:row>
    <x:row r="176">
      <x:c r="A176" t="str">
        <x:v>Madhya Pradesh</x:v>
      </x:c>
      <x:c r="B176" t="str">
        <x:v>All India Institute Of Medical Science(AIIMS)</x:v>
      </x:c>
      <x:c r="C176" t="str">
        <x:v>200503</x:v>
      </x:c>
      <x:c r="D176" t="str">
        <x:v>AIIMS-Bhopal,, SAKET NAGAR BHOPAL</x:v>
      </x:c>
      <x:c r="E176" t="str">
        <x:v>Open Seat Quota</x:v>
      </x:c>
      <x:c r="F176" t="str">
        <x:v>EWS</x:v>
      </x:c>
      <x:c r="G176" t="n">
        <x:v>11</x:v>
      </x:c>
      <x:c r="H176" t="n">
        <x:v>11</x:v>
      </x:c>
      <x:c r="I176" t="n">
        <x:f>G176-H176</x:f>
        <x:v>0</x:v>
      </x:c>
      <x:c r="J176" s="20" t="n">
        <x:f>IFERROR(H176/G176,0)</x:f>
        <x:v>1</x:v>
      </x:c>
      <x:c r="K176" t="n">
        <x:v>572</x:v>
      </x:c>
      <x:c r="L176" t="n">
        <x:v>1064.5</x:v>
      </x:c>
      <x:c r="M176" t="n">
        <x:v>1116</x:v>
      </x:c>
      <x:c r="N176" t="n">
        <x:v>1146.5</x:v>
      </x:c>
      <x:c r="O176" t="n">
        <x:v>1220</x:v>
      </x:c>
    </x:row>
    <x:row r="177">
      <x:c r="A177" t="str">
        <x:v>Madhya Pradesh</x:v>
      </x:c>
      <x:c r="B177" t="str">
        <x:v>All India Institute Of Medical Science(AIIMS)</x:v>
      </x:c>
      <x:c r="C177" t="str">
        <x:v>200503</x:v>
      </x:c>
      <x:c r="D177" t="str">
        <x:v>AIIMS-Bhopal,, SAKET NAGAR BHOPAL</x:v>
      </x:c>
      <x:c r="E177" t="str">
        <x:v>Open Seat Quota</x:v>
      </x:c>
      <x:c r="F177" t="str">
        <x:v>EWS PwD</x:v>
      </x:c>
      <x:c r="G177" t="n">
        <x:v>1</x:v>
      </x:c>
      <x:c r="H177" t="n">
        <x:v>1</x:v>
      </x:c>
      <x:c r="I177" t="n">
        <x:f>G177-H177</x:f>
        <x:v>0</x:v>
      </x:c>
      <x:c r="J177" s="20" t="n">
        <x:f>IFERROR(H177/G177,0)</x:f>
        <x:v>1</x:v>
      </x:c>
      <x:c r="K177" t="n">
        <x:v>143304</x:v>
      </x:c>
      <x:c r="L177" t="n">
        <x:v>143304</x:v>
      </x:c>
      <x:c r="M177" t="n">
        <x:v>143304</x:v>
      </x:c>
      <x:c r="N177" t="n">
        <x:v>143304</x:v>
      </x:c>
      <x:c r="O177" t="n">
        <x:v>143304</x:v>
      </x:c>
    </x:row>
    <x:row r="178">
      <x:c r="A178" t="str">
        <x:v>Madhya Pradesh</x:v>
      </x:c>
      <x:c r="B178" t="str">
        <x:v>All India Institute Of Medical Science(AIIMS)</x:v>
      </x:c>
      <x:c r="C178" t="str">
        <x:v>200503</x:v>
      </x:c>
      <x:c r="D178" t="str">
        <x:v>AIIMS-Bhopal,, SAKET NAGAR BHOPAL</x:v>
      </x:c>
      <x:c r="E178" t="str">
        <x:v>Open Seat Quota</x:v>
      </x:c>
      <x:c r="F178" t="str">
        <x:v>OBC</x:v>
      </x:c>
      <x:c r="G178" t="n">
        <x:v>33</x:v>
      </x:c>
      <x:c r="H178" t="n">
        <x:v>33</x:v>
      </x:c>
      <x:c r="I178" t="n">
        <x:f>G178-H178</x:f>
        <x:v>0</x:v>
      </x:c>
      <x:c r="J178" s="20" t="n">
        <x:f>IFERROR(H178/G178,0)</x:f>
        <x:v>1</x:v>
      </x:c>
      <x:c r="K178" t="n">
        <x:v>615</x:v>
      </x:c>
      <x:c r="L178" t="n">
        <x:v>769</x:v>
      </x:c>
      <x:c r="M178" t="n">
        <x:v>913</x:v>
      </x:c>
      <x:c r="N178" t="n">
        <x:v>1014</x:v>
      </x:c>
      <x:c r="O178" t="n">
        <x:v>1084</x:v>
      </x:c>
    </x:row>
    <x:row r="179">
      <x:c r="A179" t="str">
        <x:v>Madhya Pradesh</x:v>
      </x:c>
      <x:c r="B179" t="str">
        <x:v>All India Institute Of Medical Science(AIIMS)</x:v>
      </x:c>
      <x:c r="C179" t="str">
        <x:v>200503</x:v>
      </x:c>
      <x:c r="D179" t="str">
        <x:v>AIIMS-Bhopal,, SAKET NAGAR BHOPAL</x:v>
      </x:c>
      <x:c r="E179" t="str">
        <x:v>Open Seat Quota</x:v>
      </x:c>
      <x:c r="F179" t="str">
        <x:v>OBC PwD</x:v>
      </x:c>
      <x:c r="G179" t="n">
        <x:v>1</x:v>
      </x:c>
      <x:c r="H179" t="n">
        <x:v>1</x:v>
      </x:c>
      <x:c r="I179" t="n">
        <x:f>G179-H179</x:f>
        <x:v>0</x:v>
      </x:c>
      <x:c r="J179" s="20" t="n">
        <x:f>IFERROR(H179/G179,0)</x:f>
        <x:v>1</x:v>
      </x:c>
      <x:c r="K179" t="n">
        <x:v>151227</x:v>
      </x:c>
      <x:c r="L179" t="n">
        <x:v>151227</x:v>
      </x:c>
      <x:c r="M179" t="n">
        <x:v>151227</x:v>
      </x:c>
      <x:c r="N179" t="n">
        <x:v>151227</x:v>
      </x:c>
      <x:c r="O179" t="n">
        <x:v>151227</x:v>
      </x:c>
    </x:row>
    <x:row r="180">
      <x:c r="A180" t="str">
        <x:v>Madhya Pradesh</x:v>
      </x:c>
      <x:c r="B180" t="str">
        <x:v>All India Institute Of Medical Science(AIIMS)</x:v>
      </x:c>
      <x:c r="C180" t="str">
        <x:v>200503</x:v>
      </x:c>
      <x:c r="D180" t="str">
        <x:v>AIIMS-Bhopal,, SAKET NAGAR BHOPAL</x:v>
      </x:c>
      <x:c r="E180" t="str">
        <x:v>Open Seat Quota</x:v>
      </x:c>
      <x:c r="F180" t="str">
        <x:v>Open</x:v>
      </x:c>
      <x:c r="G180" t="n">
        <x:v>49</x:v>
      </x:c>
      <x:c r="H180" t="n">
        <x:v>49</x:v>
      </x:c>
      <x:c r="I180" t="n">
        <x:f>G180-H180</x:f>
        <x:v>0</x:v>
      </x:c>
      <x:c r="J180" s="20" t="n">
        <x:f>IFERROR(H180/G180,0)</x:f>
        <x:v>1</x:v>
      </x:c>
      <x:c r="K180" t="n">
        <x:v>90</x:v>
      </x:c>
      <x:c r="L180" t="n">
        <x:v>359</x:v>
      </x:c>
      <x:c r="M180" t="n">
        <x:v>451</x:v>
      </x:c>
      <x:c r="N180" t="n">
        <x:v>526</x:v>
      </x:c>
      <x:c r="O180" t="n">
        <x:v>571</x:v>
      </x:c>
    </x:row>
    <x:row r="181">
      <x:c r="A181" t="str">
        <x:v>Madhya Pradesh</x:v>
      </x:c>
      <x:c r="B181" t="str">
        <x:v>All India Institute Of Medical Science(AIIMS)</x:v>
      </x:c>
      <x:c r="C181" t="str">
        <x:v>200503</x:v>
      </x:c>
      <x:c r="D181" t="str">
        <x:v>AIIMS-Bhopal,, SAKET NAGAR BHOPAL</x:v>
      </x:c>
      <x:c r="E181" t="str">
        <x:v>Open Seat Quota</x:v>
      </x:c>
      <x:c r="F181" t="str">
        <x:v>Open PwD</x:v>
      </x:c>
      <x:c r="G181" t="n">
        <x:v>2</x:v>
      </x:c>
      <x:c r="H181" t="n">
        <x:v>2</x:v>
      </x:c>
      <x:c r="I181" t="n">
        <x:f>G181-H181</x:f>
        <x:v>0</x:v>
      </x:c>
      <x:c r="J181" s="20" t="n">
        <x:f>IFERROR(H181/G181,0)</x:f>
        <x:v>1</x:v>
      </x:c>
      <x:c r="K181" t="n">
        <x:v>90002</x:v>
      </x:c>
      <x:c r="L181" t="n">
        <x:v>93499.5</x:v>
      </x:c>
      <x:c r="M181" t="n">
        <x:v>96997</x:v>
      </x:c>
      <x:c r="N181" t="n">
        <x:v>100494.5</x:v>
      </x:c>
      <x:c r="O181" t="n">
        <x:v>103992</x:v>
      </x:c>
    </x:row>
    <x:row r="182">
      <x:c r="A182" t="str">
        <x:v>Madhya Pradesh</x:v>
      </x:c>
      <x:c r="B182" t="str">
        <x:v>All India Institute Of Medical Science(AIIMS)</x:v>
      </x:c>
      <x:c r="C182" t="str">
        <x:v>200503</x:v>
      </x:c>
      <x:c r="D182" t="str">
        <x:v>AIIMS-Bhopal,, SAKET NAGAR BHOPAL</x:v>
      </x:c>
      <x:c r="E182" t="str">
        <x:v>Open Seat Quota</x:v>
      </x:c>
      <x:c r="F182" t="str">
        <x:v>SC</x:v>
      </x:c>
      <x:c r="G182" t="n">
        <x:v>18</x:v>
      </x:c>
      <x:c r="H182" t="n">
        <x:v>18</x:v>
      </x:c>
      <x:c r="I182" t="n">
        <x:f>G182-H182</x:f>
        <x:v>0</x:v>
      </x:c>
      <x:c r="J182" s="20" t="n">
        <x:f>IFERROR(H182/G182,0)</x:f>
        <x:v>1</x:v>
      </x:c>
      <x:c r="K182" t="n">
        <x:v>1052</x:v>
      </x:c>
      <x:c r="L182" t="n">
        <x:v>4039</x:v>
      </x:c>
      <x:c r="M182" t="n">
        <x:v>6576</x:v>
      </x:c>
      <x:c r="N182" t="n">
        <x:v>7487.75</x:v>
      </x:c>
      <x:c r="O182" t="n">
        <x:v>7782</x:v>
      </x:c>
    </x:row>
    <x:row r="183">
      <x:c r="A183" t="str">
        <x:v>Madhya Pradesh</x:v>
      </x:c>
      <x:c r="B183" t="str">
        <x:v>All India Institute Of Medical Science(AIIMS)</x:v>
      </x:c>
      <x:c r="C183" t="str">
        <x:v>200503</x:v>
      </x:c>
      <x:c r="D183" t="str">
        <x:v>AIIMS-Bhopal,, SAKET NAGAR BHOPAL</x:v>
      </x:c>
      <x:c r="E183" t="str">
        <x:v>Open Seat Quota</x:v>
      </x:c>
      <x:c r="F183" t="str">
        <x:v>SC PwD</x:v>
      </x:c>
      <x:c r="G183" t="n">
        <x:v>1</x:v>
      </x:c>
      <x:c r="H183" t="n">
        <x:v>1</x:v>
      </x:c>
      <x:c r="I183" t="n">
        <x:f>G183-H183</x:f>
        <x:v>0</x:v>
      </x:c>
      <x:c r="J183" s="20" t="n">
        <x:f>IFERROR(H183/G183,0)</x:f>
        <x:v>1</x:v>
      </x:c>
      <x:c r="K183" t="n">
        <x:v>156322</x:v>
      </x:c>
      <x:c r="L183" t="n">
        <x:v>156322</x:v>
      </x:c>
      <x:c r="M183" t="n">
        <x:v>156322</x:v>
      </x:c>
      <x:c r="N183" t="n">
        <x:v>156322</x:v>
      </x:c>
      <x:c r="O183" t="n">
        <x:v>156322</x:v>
      </x:c>
    </x:row>
    <x:row r="184">
      <x:c r="A184" t="str">
        <x:v>Madhya Pradesh</x:v>
      </x:c>
      <x:c r="B184" t="str">
        <x:v>All India Institute Of Medical Science(AIIMS)</x:v>
      </x:c>
      <x:c r="C184" t="str">
        <x:v>200503</x:v>
      </x:c>
      <x:c r="D184" t="str">
        <x:v>AIIMS-Bhopal,, SAKET NAGAR BHOPAL</x:v>
      </x:c>
      <x:c r="E184" t="str">
        <x:v>Open Seat Quota</x:v>
      </x:c>
      <x:c r="F184" t="str">
        <x:v>ST</x:v>
      </x:c>
      <x:c r="G184" t="n">
        <x:v>8</x:v>
      </x:c>
      <x:c r="H184" t="n">
        <x:v>8</x:v>
      </x:c>
      <x:c r="I184" t="n">
        <x:f>G184-H184</x:f>
        <x:v>0</x:v>
      </x:c>
      <x:c r="J184" s="20" t="n">
        <x:f>IFERROR(H184/G184,0)</x:f>
        <x:v>1</x:v>
      </x:c>
      <x:c r="K184" t="n">
        <x:v>1255</x:v>
      </x:c>
      <x:c r="L184" t="n">
        <x:v>4507.5</x:v>
      </x:c>
      <x:c r="M184" t="n">
        <x:v>5338</x:v>
      </x:c>
      <x:c r="N184" t="n">
        <x:v>6843.25</x:v>
      </x:c>
      <x:c r="O184" t="n">
        <x:v>8673</x:v>
      </x:c>
    </x:row>
    <x:row r="185">
      <x:c r="A185" t="str">
        <x:v>Madhya Pradesh</x:v>
      </x:c>
      <x:c r="B185" t="str">
        <x:v>All India Institute Of Medical Science(AIIMS)</x:v>
      </x:c>
      <x:c r="C185" t="str">
        <x:v>200503</x:v>
      </x:c>
      <x:c r="D185" t="str">
        <x:v>AIIMS-Bhopal,, SAKET NAGAR BHOPAL</x:v>
      </x:c>
      <x:c r="E185" t="str">
        <x:v>Open Seat Quota</x:v>
      </x:c>
      <x:c r="F185" t="str">
        <x:v>ST PwD</x:v>
      </x:c>
      <x:c r="G185" t="n">
        <x:v>1</x:v>
      </x:c>
      <x:c r="H185" t="n">
        <x:v>1</x:v>
      </x:c>
      <x:c r="I185" t="n">
        <x:f>G185-H185</x:f>
        <x:v>0</x:v>
      </x:c>
      <x:c r="J185" s="20" t="n">
        <x:f>IFERROR(H185/G185,0)</x:f>
        <x:v>1</x:v>
      </x:c>
      <x:c r="K185" t="n">
        <x:v>457225</x:v>
      </x:c>
      <x:c r="L185" t="n">
        <x:v>457225</x:v>
      </x:c>
      <x:c r="M185" t="n">
        <x:v>457225</x:v>
      </x:c>
      <x:c r="N185" t="n">
        <x:v>457225</x:v>
      </x:c>
      <x:c r="O185" t="n">
        <x:v>457225</x:v>
      </x:c>
    </x:row>
    <x:row r="186">
      <x:c r="A186" t="str">
        <x:v>Puducherry</x:v>
      </x:c>
      <x:c r="B186" t="str">
        <x:v>Deemed University</x:v>
      </x:c>
      <x:c r="C186" t="str">
        <x:v>200377</x:v>
      </x:c>
      <x:c r="D186" t="str">
        <x:v>Aarupadai Veedu Medical College, Pondicherry, PONDY - CUDDALORE MAIN ROAD, KIRUMAMPAKKAM, PUDUCHERRY</x:v>
      </x:c>
      <x:c r="E186" t="str">
        <x:v>Self-Financed Merit</x:v>
      </x:c>
      <x:c r="F186" t="str">
        <x:v>Open</x:v>
      </x:c>
      <x:c r="G186" t="n">
        <x:v>150</x:v>
      </x:c>
      <x:c r="H186" t="n">
        <x:v>150</x:v>
      </x:c>
      <x:c r="I186" t="n">
        <x:f>G186-H186</x:f>
        <x:v>0</x:v>
      </x:c>
      <x:c r="J186" s="20" t="n">
        <x:f>IFERROR(H186/G186,0)</x:f>
        <x:v>1</x:v>
      </x:c>
      <x:c r="K186" t="n">
        <x:v>265028</x:v>
      </x:c>
      <x:c r="L186" t="n">
        <x:v>637199.75</x:v>
      </x:c>
      <x:c r="M186" t="n">
        <x:v>751311.5</x:v>
      </x:c>
      <x:c r="N186" t="n">
        <x:v>838576.75</x:v>
      </x:c>
      <x:c r="O186" t="n">
        <x:v>918859</x:v>
      </x:c>
    </x:row>
    <x:row r="187">
      <x:c r="A187" t="str">
        <x:v>Tripura</x:v>
      </x:c>
      <x:c r="B187" t="str">
        <x:v>All India except Central University</x:v>
      </x:c>
      <x:c r="C187" t="str">
        <x:v>200285</x:v>
      </x:c>
      <x:c r="D187" t="str">
        <x:v>Agartala Government Medical College,Agartala, Kunjaban, Agartala, Tripura West</x:v>
      </x:c>
      <x:c r="E187" t="str">
        <x:v>All India</x:v>
      </x:c>
      <x:c r="F187" t="str">
        <x:v>EWS</x:v>
      </x:c>
      <x:c r="G187" t="n">
        <x:v>3</x:v>
      </x:c>
      <x:c r="H187" t="n">
        <x:v>3</x:v>
      </x:c>
      <x:c r="I187" t="n">
        <x:f>G187-H187</x:f>
        <x:v>0</x:v>
      </x:c>
      <x:c r="J187" s="20" t="n">
        <x:f>IFERROR(H187/G187,0)</x:f>
        <x:v>1</x:v>
      </x:c>
      <x:c r="K187" t="n">
        <x:v>22912</x:v>
      </x:c>
      <x:c r="L187" t="n">
        <x:v>23450.5</x:v>
      </x:c>
      <x:c r="M187" t="n">
        <x:v>23989</x:v>
      </x:c>
      <x:c r="N187" t="n">
        <x:v>24171</x:v>
      </x:c>
      <x:c r="O187" t="n">
        <x:v>24353</x:v>
      </x:c>
    </x:row>
    <x:row r="188">
      <x:c r="A188" t="str">
        <x:v>Tripura</x:v>
      </x:c>
      <x:c r="B188" t="str">
        <x:v>All India except Central University</x:v>
      </x:c>
      <x:c r="C188" t="str">
        <x:v>200285</x:v>
      </x:c>
      <x:c r="D188" t="str">
        <x:v>Agartala Government Medical College,Agartala, Kunjaban, Agartala, Tripura West</x:v>
      </x:c>
      <x:c r="E188" t="str">
        <x:v>All India</x:v>
      </x:c>
      <x:c r="F188" t="str">
        <x:v>OBC</x:v>
      </x:c>
      <x:c r="G188" t="n">
        <x:v>8</x:v>
      </x:c>
      <x:c r="H188" t="n">
        <x:v>8</x:v>
      </x:c>
      <x:c r="I188" t="n">
        <x:f>G188-H188</x:f>
        <x:v>0</x:v>
      </x:c>
      <x:c r="J188" s="20" t="n">
        <x:f>IFERROR(H188/G188,0)</x:f>
        <x:v>1</x:v>
      </x:c>
      <x:c r="K188" t="n">
        <x:v>18488</x:v>
      </x:c>
      <x:c r="L188" t="n">
        <x:v>20154</x:v>
      </x:c>
      <x:c r="M188" t="n">
        <x:v>20979.5</x:v>
      </x:c>
      <x:c r="N188" t="n">
        <x:v>21613</x:v>
      </x:c>
      <x:c r="O188" t="n">
        <x:v>21719</x:v>
      </x:c>
    </x:row>
    <x:row r="189">
      <x:c r="A189" t="str">
        <x:v>Tripura</x:v>
      </x:c>
      <x:c r="B189" t="str">
        <x:v>All India except Central University</x:v>
      </x:c>
      <x:c r="C189" t="str">
        <x:v>200285</x:v>
      </x:c>
      <x:c r="D189" t="str">
        <x:v>Agartala Government Medical College,Agartala, Kunjaban, Agartala, Tripura West</x:v>
      </x:c>
      <x:c r="E189" t="str">
        <x:v>All India</x:v>
      </x:c>
      <x:c r="F189" t="str">
        <x:v>Open</x:v>
      </x:c>
      <x:c r="G189" t="n">
        <x:v>11</x:v>
      </x:c>
      <x:c r="H189" t="n">
        <x:v>11</x:v>
      </x:c>
      <x:c r="I189" t="n">
        <x:f>G189-H189</x:f>
        <x:v>0</x:v>
      </x:c>
      <x:c r="J189" s="20" t="n">
        <x:f>IFERROR(H189/G189,0)</x:f>
        <x:v>1</x:v>
      </x:c>
      <x:c r="K189" t="n">
        <x:v>7373</x:v>
      </x:c>
      <x:c r="L189" t="n">
        <x:v>14359</x:v>
      </x:c>
      <x:c r="M189" t="n">
        <x:v>15885</x:v>
      </x:c>
      <x:c r="N189" t="n">
        <x:v>17275.5</x:v>
      </x:c>
      <x:c r="O189" t="n">
        <x:v>17895</x:v>
      </x:c>
    </x:row>
    <x:row r="190">
      <x:c r="A190" t="str">
        <x:v>Tripura</x:v>
      </x:c>
      <x:c r="B190" t="str">
        <x:v>All India except Central University</x:v>
      </x:c>
      <x:c r="C190" t="str">
        <x:v>200285</x:v>
      </x:c>
      <x:c r="D190" t="str">
        <x:v>Agartala Government Medical College,Agartala, Kunjaban, Agartala, Tripura West</x:v>
      </x:c>
      <x:c r="E190" t="str">
        <x:v>All India</x:v>
      </x:c>
      <x:c r="F190" t="str">
        <x:v>Open PwD</x:v>
      </x:c>
      <x:c r="G190" t="n">
        <x:v>1</x:v>
      </x:c>
      <x:c r="H190" t="n">
        <x:v>1</x:v>
      </x:c>
      <x:c r="I190" t="n">
        <x:f>G190-H190</x:f>
        <x:v>0</x:v>
      </x:c>
      <x:c r="J190" s="20" t="n">
        <x:f>IFERROR(H190/G190,0)</x:f>
        <x:v>1</x:v>
      </x:c>
      <x:c r="K190" t="n">
        <x:v>572793</x:v>
      </x:c>
      <x:c r="L190" t="n">
        <x:v>572793</x:v>
      </x:c>
      <x:c r="M190" t="n">
        <x:v>572793</x:v>
      </x:c>
      <x:c r="N190" t="n">
        <x:v>572793</x:v>
      </x:c>
      <x:c r="O190" t="n">
        <x:v>572793</x:v>
      </x:c>
    </x:row>
    <x:row r="191">
      <x:c r="A191" t="str">
        <x:v>Tripura</x:v>
      </x:c>
      <x:c r="B191" t="str">
        <x:v>All India except Central University</x:v>
      </x:c>
      <x:c r="C191" t="str">
        <x:v>200285</x:v>
      </x:c>
      <x:c r="D191" t="str">
        <x:v>Agartala Government Medical College,Agartala, Kunjaban, Agartala, Tripura West</x:v>
      </x:c>
      <x:c r="E191" t="str">
        <x:v>All India</x:v>
      </x:c>
      <x:c r="F191" t="str">
        <x:v>SC</x:v>
      </x:c>
      <x:c r="G191" t="n">
        <x:v>4</x:v>
      </x:c>
      <x:c r="H191" t="n">
        <x:v>4</x:v>
      </x:c>
      <x:c r="I191" t="n">
        <x:f>G191-H191</x:f>
        <x:v>0</x:v>
      </x:c>
      <x:c r="J191" s="20" t="n">
        <x:f>IFERROR(H191/G191,0)</x:f>
        <x:v>1</x:v>
      </x:c>
      <x:c r="K191" t="n">
        <x:v>56777</x:v>
      </x:c>
      <x:c r="L191" t="n">
        <x:v>65931.5</x:v>
      </x:c>
      <x:c r="M191" t="n">
        <x:v>74494.5</x:v>
      </x:c>
      <x:c r="N191" t="n">
        <x:v>81700.5</x:v>
      </x:c>
      <x:c r="O191" t="n">
        <x:v>86784</x:v>
      </x:c>
    </x:row>
    <x:row r="192">
      <x:c r="A192" t="str">
        <x:v>Tripura</x:v>
      </x:c>
      <x:c r="B192" t="str">
        <x:v>All India except Central University</x:v>
      </x:c>
      <x:c r="C192" t="str">
        <x:v>200285</x:v>
      </x:c>
      <x:c r="D192" t="str">
        <x:v>Agartala Government Medical College,Agartala, Kunjaban, Agartala, Tripura West</x:v>
      </x:c>
      <x:c r="E192" t="str">
        <x:v>All India</x:v>
      </x:c>
      <x:c r="F192" t="str">
        <x:v>SC PwD</x:v>
      </x:c>
      <x:c r="G192" t="n">
        <x:v>1</x:v>
      </x:c>
      <x:c r="H192" t="n">
        <x:v>0</x:v>
      </x:c>
      <x:c r="I192" t="n">
        <x:f>G192-H192</x:f>
        <x:v>1</x:v>
      </x:c>
      <x:c r="J192" s="20" t="n">
        <x:f>IFERROR(H192/G192,0)</x:f>
        <x:v>0</x:v>
      </x:c>
      <x:c r="K192"/>
      <x:c r="L192"/>
      <x:c r="M192"/>
      <x:c r="N192"/>
      <x:c r="O192"/>
    </x:row>
    <x:row r="193">
      <x:c r="A193" t="str">
        <x:v>Tripura</x:v>
      </x:c>
      <x:c r="B193" t="str">
        <x:v>All India except Central University</x:v>
      </x:c>
      <x:c r="C193" t="str">
        <x:v>200285</x:v>
      </x:c>
      <x:c r="D193" t="str">
        <x:v>Agartala Government Medical College,Agartala, Kunjaban, Agartala, Tripura West</x:v>
      </x:c>
      <x:c r="E193" t="str">
        <x:v>All India</x:v>
      </x:c>
      <x:c r="F193" t="str">
        <x:v>ST</x:v>
      </x:c>
      <x:c r="G193" t="n">
        <x:v>1</x:v>
      </x:c>
      <x:c r="H193" t="n">
        <x:v>1</x:v>
      </x:c>
      <x:c r="I193" t="n">
        <x:f>G193-H193</x:f>
        <x:v>0</x:v>
      </x:c>
      <x:c r="J193" s="20" t="n">
        <x:f>IFERROR(H193/G193,0)</x:f>
        <x:v>1</x:v>
      </x:c>
      <x:c r="K193" t="n">
        <x:v>42507</x:v>
      </x:c>
      <x:c r="L193" t="n">
        <x:v>42507</x:v>
      </x:c>
      <x:c r="M193" t="n">
        <x:v>42507</x:v>
      </x:c>
      <x:c r="N193" t="n">
        <x:v>42507</x:v>
      </x:c>
      <x:c r="O193" t="n">
        <x:v>42507</x:v>
      </x:c>
    </x:row>
    <x:row r="194">
      <x:c r="A194" t="str">
        <x:v>Tripura</x:v>
      </x:c>
      <x:c r="B194" t="str">
        <x:v>All India except Central University</x:v>
      </x:c>
      <x:c r="C194" t="str">
        <x:v>200285</x:v>
      </x:c>
      <x:c r="D194" t="str">
        <x:v>Agartala Government Medical College,Agartala, Kunjaban, Agartala, Tripura West</x:v>
      </x:c>
      <x:c r="E194" t="str">
        <x:v>All India</x:v>
      </x:c>
      <x:c r="F194" t="str">
        <x:v>ST PwD</x:v>
      </x:c>
      <x:c r="G194" t="n">
        <x:v>1</x:v>
      </x:c>
      <x:c r="H194" t="n">
        <x:v>0</x:v>
      </x:c>
      <x:c r="I194" t="n">
        <x:f>G194-H194</x:f>
        <x:v>1</x:v>
      </x:c>
      <x:c r="J194" s="20" t="n">
        <x:f>IFERROR(H194/G194,0)</x:f>
        <x:v>0</x:v>
      </x:c>
      <x:c r="K194"/>
      <x:c r="L194"/>
      <x:c r="M194"/>
      <x:c r="N194"/>
      <x:c r="O194"/>
    </x:row>
    <x:row r="195">
      <x:c r="A195" t="str">
        <x:v>Haryana</x:v>
      </x:c>
      <x:c r="B195" t="str">
        <x:v>All India Institute Of Medical Science(AIIMS)</x:v>
      </x:c>
      <x:c r="C195" t="str">
        <x:v>904759</x:v>
      </x:c>
      <x:c r="D195" t="str">
        <x:v>All India Institute of Medical Sciences, Rewari, Director Office, AIIMS Rewari (Majra M. Bhalkhi) , Haryana , 123102 , India</x:v>
      </x:c>
      <x:c r="E195" t="str">
        <x:v>Open Seat Quota</x:v>
      </x:c>
      <x:c r="F195" t="str">
        <x:v>EWS</x:v>
      </x:c>
      <x:c r="G195" t="n">
        <x:v>5</x:v>
      </x:c>
      <x:c r="H195" t="n">
        <x:v>5</x:v>
      </x:c>
      <x:c r="I195" t="n">
        <x:f>G195-H195</x:f>
        <x:v>0</x:v>
      </x:c>
      <x:c r="J195" s="20" t="n">
        <x:f>IFERROR(H195/G195,0)</x:f>
        <x:v>1</x:v>
      </x:c>
      <x:c r="K195" t="n">
        <x:v>4785</x:v>
      </x:c>
      <x:c r="L195" t="n">
        <x:v>5034</x:v>
      </x:c>
      <x:c r="M195" t="n">
        <x:v>5145</x:v>
      </x:c>
      <x:c r="N195" t="n">
        <x:v>5190</x:v>
      </x:c>
      <x:c r="O195" t="n">
        <x:v>5492</x:v>
      </x:c>
    </x:row>
    <x:row r="196">
      <x:c r="A196" t="str">
        <x:v>Haryana</x:v>
      </x:c>
      <x:c r="B196" t="str">
        <x:v>All India Institute Of Medical Science(AIIMS)</x:v>
      </x:c>
      <x:c r="C196" t="str">
        <x:v>904759</x:v>
      </x:c>
      <x:c r="D196" t="str">
        <x:v>All India Institute of Medical Sciences, Rewari, Director Office, AIIMS Rewari (Majra M. Bhalkhi) , Haryana , 123102 , India</x:v>
      </x:c>
      <x:c r="E196" t="str">
        <x:v>Open Seat Quota</x:v>
      </x:c>
      <x:c r="F196" t="str">
        <x:v>OBC</x:v>
      </x:c>
      <x:c r="G196" t="n">
        <x:v>12</x:v>
      </x:c>
      <x:c r="H196" t="n">
        <x:v>12</x:v>
      </x:c>
      <x:c r="I196" t="n">
        <x:f>G196-H196</x:f>
        <x:v>0</x:v>
      </x:c>
      <x:c r="J196" s="20" t="n">
        <x:f>IFERROR(H196/G196,0)</x:f>
        <x:v>1</x:v>
      </x:c>
      <x:c r="K196" t="n">
        <x:v>3956</x:v>
      </x:c>
      <x:c r="L196" t="n">
        <x:v>4060.25</x:v>
      </x:c>
      <x:c r="M196" t="n">
        <x:v>4147.5</x:v>
      </x:c>
      <x:c r="N196" t="n">
        <x:v>4252.25</x:v>
      </x:c>
      <x:c r="O196" t="n">
        <x:v>4382</x:v>
      </x:c>
    </x:row>
    <x:row r="197">
      <x:c r="A197" t="str">
        <x:v>Haryana</x:v>
      </x:c>
      <x:c r="B197" t="str">
        <x:v>All India Institute Of Medical Science(AIIMS)</x:v>
      </x:c>
      <x:c r="C197" t="str">
        <x:v>904759</x:v>
      </x:c>
      <x:c r="D197" t="str">
        <x:v>All India Institute of Medical Sciences, Rewari, Director Office, AIIMS Rewari (Majra M. Bhalkhi) , Haryana , 123102 , India</x:v>
      </x:c>
      <x:c r="E197" t="str">
        <x:v>Open Seat Quota</x:v>
      </x:c>
      <x:c r="F197" t="str">
        <x:v>OBC PwD</x:v>
      </x:c>
      <x:c r="G197" t="n">
        <x:v>1</x:v>
      </x:c>
      <x:c r="H197" t="n">
        <x:v>1</x:v>
      </x:c>
      <x:c r="I197" t="n">
        <x:f>G197-H197</x:f>
        <x:v>0</x:v>
      </x:c>
      <x:c r="J197" s="20" t="n">
        <x:f>IFERROR(H197/G197,0)</x:f>
        <x:v>1</x:v>
      </x:c>
      <x:c r="K197" t="n">
        <x:v>323780</x:v>
      </x:c>
      <x:c r="L197" t="n">
        <x:v>323780</x:v>
      </x:c>
      <x:c r="M197" t="n">
        <x:v>323780</x:v>
      </x:c>
      <x:c r="N197" t="n">
        <x:v>323780</x:v>
      </x:c>
      <x:c r="O197" t="n">
        <x:v>323780</x:v>
      </x:c>
    </x:row>
    <x:row r="198">
      <x:c r="A198" t="str">
        <x:v>Haryana</x:v>
      </x:c>
      <x:c r="B198" t="str">
        <x:v>All India Institute Of Medical Science(AIIMS)</x:v>
      </x:c>
      <x:c r="C198" t="str">
        <x:v>904759</x:v>
      </x:c>
      <x:c r="D198" t="str">
        <x:v>All India Institute of Medical Sciences, Rewari, Director Office, AIIMS Rewari (Majra M. Bhalkhi) , Haryana , 123102 , India</x:v>
      </x:c>
      <x:c r="E198" t="str">
        <x:v>Open Seat Quota</x:v>
      </x:c>
      <x:c r="F198" t="str">
        <x:v>Open</x:v>
      </x:c>
      <x:c r="G198" t="n">
        <x:v>19</x:v>
      </x:c>
      <x:c r="H198" t="n">
        <x:v>19</x:v>
      </x:c>
      <x:c r="I198" t="n">
        <x:f>G198-H198</x:f>
        <x:v>0</x:v>
      </x:c>
      <x:c r="J198" s="20" t="n">
        <x:f>IFERROR(H198/G198,0)</x:f>
        <x:v>1</x:v>
      </x:c>
      <x:c r="K198" t="n">
        <x:v>1414</x:v>
      </x:c>
      <x:c r="L198" t="n">
        <x:v>3226.5</x:v>
      </x:c>
      <x:c r="M198" t="n">
        <x:v>3478</x:v>
      </x:c>
      <x:c r="N198" t="n">
        <x:v>3702</x:v>
      </x:c>
      <x:c r="O198" t="n">
        <x:v>3948</x:v>
      </x:c>
    </x:row>
    <x:row r="199">
      <x:c r="A199" t="str">
        <x:v>Haryana</x:v>
      </x:c>
      <x:c r="B199" t="str">
        <x:v>All India Institute Of Medical Science(AIIMS)</x:v>
      </x:c>
      <x:c r="C199" t="str">
        <x:v>904759</x:v>
      </x:c>
      <x:c r="D199" t="str">
        <x:v>All India Institute of Medical Sciences, Rewari, Director Office, AIIMS Rewari (Majra M. Bhalkhi) , Haryana , 123102 , India</x:v>
      </x:c>
      <x:c r="E199" t="str">
        <x:v>Open Seat Quota</x:v>
      </x:c>
      <x:c r="F199" t="str">
        <x:v>Open PwD</x:v>
      </x:c>
      <x:c r="G199" t="n">
        <x:v>1</x:v>
      </x:c>
      <x:c r="H199" t="n">
        <x:v>1</x:v>
      </x:c>
      <x:c r="I199" t="n">
        <x:f>G199-H199</x:f>
        <x:v>0</x:v>
      </x:c>
      <x:c r="J199" s="20" t="n">
        <x:f>IFERROR(H199/G199,0)</x:f>
        <x:v>1</x:v>
      </x:c>
      <x:c r="K199" t="n">
        <x:v>166314</x:v>
      </x:c>
      <x:c r="L199" t="n">
        <x:v>166314</x:v>
      </x:c>
      <x:c r="M199" t="n">
        <x:v>166314</x:v>
      </x:c>
      <x:c r="N199" t="n">
        <x:v>166314</x:v>
      </x:c>
      <x:c r="O199" t="n">
        <x:v>166314</x:v>
      </x:c>
    </x:row>
    <x:row r="200">
      <x:c r="A200" t="str">
        <x:v>Haryana</x:v>
      </x:c>
      <x:c r="B200" t="str">
        <x:v>All India Institute Of Medical Science(AIIMS)</x:v>
      </x:c>
      <x:c r="C200" t="str">
        <x:v>904759</x:v>
      </x:c>
      <x:c r="D200" t="str">
        <x:v>All India Institute of Medical Sciences, Rewari, Director Office, AIIMS Rewari (Majra M. Bhalkhi) , Haryana , 123102 , India</x:v>
      </x:c>
      <x:c r="E200" t="str">
        <x:v>Open Seat Quota</x:v>
      </x:c>
      <x:c r="F200" t="str">
        <x:v>SC</x:v>
      </x:c>
      <x:c r="G200" t="n">
        <x:v>7</x:v>
      </x:c>
      <x:c r="H200" t="n">
        <x:v>7</x:v>
      </x:c>
      <x:c r="I200" t="n">
        <x:f>G200-H200</x:f>
        <x:v>0</x:v>
      </x:c>
      <x:c r="J200" s="20" t="n">
        <x:f>IFERROR(H200/G200,0)</x:f>
        <x:v>1</x:v>
      </x:c>
      <x:c r="K200" t="n">
        <x:v>14633</x:v>
      </x:c>
      <x:c r="L200" t="n">
        <x:v>21473.5</x:v>
      </x:c>
      <x:c r="M200" t="n">
        <x:v>27272</x:v>
      </x:c>
      <x:c r="N200" t="n">
        <x:v>28056.5</x:v>
      </x:c>
      <x:c r="O200" t="n">
        <x:v>28615</x:v>
      </x:c>
    </x:row>
    <x:row r="201">
      <x:c r="A201" t="str">
        <x:v>Haryana</x:v>
      </x:c>
      <x:c r="B201" t="str">
        <x:v>All India Institute Of Medical Science(AIIMS)</x:v>
      </x:c>
      <x:c r="C201" t="str">
        <x:v>904759</x:v>
      </x:c>
      <x:c r="D201" t="str">
        <x:v>All India Institute of Medical Sciences, Rewari, Director Office, AIIMS Rewari (Majra M. Bhalkhi) , Haryana , 123102 , India</x:v>
      </x:c>
      <x:c r="E201" t="str">
        <x:v>Open Seat Quota</x:v>
      </x:c>
      <x:c r="F201" t="str">
        <x:v>SC PwD</x:v>
      </x:c>
      <x:c r="G201" t="n">
        <x:v>1</x:v>
      </x:c>
      <x:c r="H201" t="n">
        <x:v>1</x:v>
      </x:c>
      <x:c r="I201" t="n">
        <x:f>G201-H201</x:f>
        <x:v>0</x:v>
      </x:c>
      <x:c r="J201" s="20" t="n">
        <x:f>IFERROR(H201/G201,0)</x:f>
        <x:v>1</x:v>
      </x:c>
      <x:c r="K201" t="n">
        <x:v>622164</x:v>
      </x:c>
      <x:c r="L201" t="n">
        <x:v>622164</x:v>
      </x:c>
      <x:c r="M201" t="n">
        <x:v>622164</x:v>
      </x:c>
      <x:c r="N201" t="n">
        <x:v>622164</x:v>
      </x:c>
      <x:c r="O201" t="n">
        <x:v>622164</x:v>
      </x:c>
    </x:row>
    <x:row r="202">
      <x:c r="A202" t="str">
        <x:v>Haryana</x:v>
      </x:c>
      <x:c r="B202" t="str">
        <x:v>All India Institute Of Medical Science(AIIMS)</x:v>
      </x:c>
      <x:c r="C202" t="str">
        <x:v>904759</x:v>
      </x:c>
      <x:c r="D202" t="str">
        <x:v>All India Institute of Medical Sciences, Rewari, Director Office, AIIMS Rewari (Majra M. Bhalkhi) , Haryana , 123102 , India</x:v>
      </x:c>
      <x:c r="E202" t="str">
        <x:v>Open Seat Quota</x:v>
      </x:c>
      <x:c r="F202" t="str">
        <x:v>ST</x:v>
      </x:c>
      <x:c r="G202" t="n">
        <x:v>3</x:v>
      </x:c>
      <x:c r="H202" t="n">
        <x:v>3</x:v>
      </x:c>
      <x:c r="I202" t="n">
        <x:f>G202-H202</x:f>
        <x:v>0</x:v>
      </x:c>
      <x:c r="J202" s="20" t="n">
        <x:f>IFERROR(H202/G202,0)</x:f>
        <x:v>1</x:v>
      </x:c>
      <x:c r="K202" t="n">
        <x:v>36421</x:v>
      </x:c>
      <x:c r="L202" t="n">
        <x:v>37856.5</x:v>
      </x:c>
      <x:c r="M202" t="n">
        <x:v>39292</x:v>
      </x:c>
      <x:c r="N202" t="n">
        <x:v>39551.5</x:v>
      </x:c>
      <x:c r="O202" t="n">
        <x:v>39811</x:v>
      </x:c>
    </x:row>
    <x:row r="203">
      <x:c r="A203" t="str">
        <x:v>Haryana</x:v>
      </x:c>
      <x:c r="B203" t="str">
        <x:v>All India Institute Of Medical Science(AIIMS)</x:v>
      </x:c>
      <x:c r="C203" t="str">
        <x:v>904759</x:v>
      </x:c>
      <x:c r="D203" t="str">
        <x:v>All India Institute of Medical Sciences, Rewari, Director Office, AIIMS Rewari (Majra M. Bhalkhi) , Haryana , 123102 , India</x:v>
      </x:c>
      <x:c r="E203" t="str">
        <x:v>Open Seat Quota</x:v>
      </x:c>
      <x:c r="F203" t="str">
        <x:v>ST PwD</x:v>
      </x:c>
      <x:c r="G203" t="n">
        <x:v>1</x:v>
      </x:c>
      <x:c r="H203" t="n">
        <x:v>1</x:v>
      </x:c>
      <x:c r="I203" t="n">
        <x:f>G203-H203</x:f>
        <x:v>0</x:v>
      </x:c>
      <x:c r="J203" s="20" t="n">
        <x:f>IFERROR(H203/G203,0)</x:f>
        <x:v>1</x:v>
      </x:c>
      <x:c r="K203" t="n">
        <x:v>586743</x:v>
      </x:c>
      <x:c r="L203" t="n">
        <x:v>586743</x:v>
      </x:c>
      <x:c r="M203" t="n">
        <x:v>586743</x:v>
      </x:c>
      <x:c r="N203" t="n">
        <x:v>586743</x:v>
      </x:c>
      <x:c r="O203" t="n">
        <x:v>586743</x:v>
      </x:c>
    </x:row>
    <x:row r="204">
      <x:c r="A204" t="str">
        <x:v>Kerala</x:v>
      </x:c>
      <x:c r="B204" t="str">
        <x:v>Deemed University</x:v>
      </x:c>
      <x:c r="C204" t="str">
        <x:v>200352</x:v>
      </x:c>
      <x:c r="D204" t="str">
        <x:v>Amrita School of Medicine, Elamkara, Kochi, Amrita School of Medicine, Amrita Institute of Medical Sciences AIMS Ponekkara P.O Kochi 682041</x:v>
      </x:c>
      <x:c r="E204" t="str">
        <x:v>NRI</x:v>
      </x:c>
      <x:c r="F204" t="str">
        <x:v>Open</x:v>
      </x:c>
      <x:c r="G204" t="n">
        <x:v>23</x:v>
      </x:c>
      <x:c r="H204" t="n">
        <x:v>10</x:v>
      </x:c>
      <x:c r="I204" t="n">
        <x:f>G204-H204</x:f>
        <x:v>13</x:v>
      </x:c>
      <x:c r="J204" s="20" t="n">
        <x:f>IFERROR(H204/G204,0)</x:f>
        <x:v>0.43478260869565216</x:v>
      </x:c>
      <x:c r="K204" t="n">
        <x:v>332905</x:v>
      </x:c>
      <x:c r="L204" t="n">
        <x:v>523465</x:v>
      </x:c>
      <x:c r="M204" t="n">
        <x:v>663402.5</x:v>
      </x:c>
      <x:c r="N204" t="n">
        <x:v>683783.75</x:v>
      </x:c>
      <x:c r="O204" t="n">
        <x:v>969765</x:v>
      </x:c>
    </x:row>
    <x:row r="205">
      <x:c r="A205" t="str">
        <x:v>Kerala</x:v>
      </x:c>
      <x:c r="B205" t="str">
        <x:v>Deemed University</x:v>
      </x:c>
      <x:c r="C205" t="str">
        <x:v>200352</x:v>
      </x:c>
      <x:c r="D205" t="str">
        <x:v>Amrita School of Medicine, Elamkara, Kochi, Amrita School of Medicine, Amrita Institute of Medical Sciences AIMS Ponekkara P.O Kochi 682041</x:v>
      </x:c>
      <x:c r="E205" t="str">
        <x:v>Self-Financed Merit</x:v>
      </x:c>
      <x:c r="F205" t="str">
        <x:v>Open</x:v>
      </x:c>
      <x:c r="G205" t="n">
        <x:v>126</x:v>
      </x:c>
      <x:c r="H205" t="n">
        <x:v>126</x:v>
      </x:c>
      <x:c r="I205" t="n">
        <x:f>G205-H205</x:f>
        <x:v>0</x:v>
      </x:c>
      <x:c r="J205" s="20" t="n">
        <x:f>IFERROR(H205/G205,0)</x:f>
        <x:v>1</x:v>
      </x:c>
      <x:c r="K205" t="n">
        <x:v>15292</x:v>
      </x:c>
      <x:c r="L205" t="n">
        <x:v>158456.25</x:v>
      </x:c>
      <x:c r="M205" t="n">
        <x:v>190289</x:v>
      </x:c>
      <x:c r="N205" t="n">
        <x:v>222310</x:v>
      </x:c>
      <x:c r="O205" t="n">
        <x:v>257880</x:v>
      </x:c>
    </x:row>
    <x:row r="206">
      <x:c r="A206" t="str">
        <x:v>Haryana</x:v>
      </x:c>
      <x:c r="B206" t="str">
        <x:v>Deemed University</x:v>
      </x:c>
      <x:c r="C206" t="str">
        <x:v>200646</x:v>
      </x:c>
      <x:c r="D206" t="str">
        <x:v>Amrita School of Medicine, Mata Amritanandmayi Marg, Sector- 88, Faridabad</x:v>
      </x:c>
      <x:c r="E206" t="str">
        <x:v>NRI</x:v>
      </x:c>
      <x:c r="F206" t="str">
        <x:v>Open</x:v>
      </x:c>
      <x:c r="G206" t="n">
        <x:v>15</x:v>
      </x:c>
      <x:c r="H206" t="n">
        <x:v>1</x:v>
      </x:c>
      <x:c r="I206" t="n">
        <x:f>G206-H206</x:f>
        <x:v>14</x:v>
      </x:c>
      <x:c r="J206" s="20" t="n">
        <x:f>IFERROR(H206/G206,0)</x:f>
        <x:v>0.06666666666666667</x:v>
      </x:c>
      <x:c r="K206" t="n">
        <x:v>973592</x:v>
      </x:c>
      <x:c r="L206" t="n">
        <x:v>973592</x:v>
      </x:c>
      <x:c r="M206" t="n">
        <x:v>973592</x:v>
      </x:c>
      <x:c r="N206" t="n">
        <x:v>973592</x:v>
      </x:c>
      <x:c r="O206" t="n">
        <x:v>973592</x:v>
      </x:c>
    </x:row>
    <x:row r="207">
      <x:c r="A207" t="str">
        <x:v>Haryana</x:v>
      </x:c>
      <x:c r="B207" t="str">
        <x:v>Deemed University</x:v>
      </x:c>
      <x:c r="C207" t="str">
        <x:v>200646</x:v>
      </x:c>
      <x:c r="D207" t="str">
        <x:v>Amrita School of Medicine, Mata Amritanandmayi Marg, Sector- 88, Faridabad</x:v>
      </x:c>
      <x:c r="E207" t="str">
        <x:v>Self-Financed Merit</x:v>
      </x:c>
      <x:c r="F207" t="str">
        <x:v>Open</x:v>
      </x:c>
      <x:c r="G207" t="n">
        <x:v>135</x:v>
      </x:c>
      <x:c r="H207" t="n">
        <x:v>135</x:v>
      </x:c>
      <x:c r="I207" t="n">
        <x:f>G207-H207</x:f>
        <x:v>0</x:v>
      </x:c>
      <x:c r="J207" s="20" t="n">
        <x:f>IFERROR(H207/G207,0)</x:f>
        <x:v>1</x:v>
      </x:c>
      <x:c r="K207" t="n">
        <x:v>27432</x:v>
      </x:c>
      <x:c r="L207" t="n">
        <x:v>131388</x:v>
      </x:c>
      <x:c r="M207" t="n">
        <x:v>179189</x:v>
      </x:c>
      <x:c r="N207" t="n">
        <x:v>219936</x:v>
      </x:c>
      <x:c r="O207" t="n">
        <x:v>255782</x:v>
      </x:c>
    </x:row>
    <x:row r="208">
      <x:c r="A208" t="str">
        <x:v>Andaman And Nicobar Islands</x:v>
      </x:c>
      <x:c r="B208" t="str">
        <x:v>All India except Central University</x:v>
      </x:c>
      <x:c r="C208" t="str">
        <x:v>200101</x:v>
      </x:c>
      <x:c r="D208" t="str">
        <x:v>Andaman &amp; Nicobar Islands Institute of Medical Sciences, Port Blair, Director ANIIMS, DHS Annexe Building, Atlanta Point, Port Blair-744104</x:v>
      </x:c>
      <x:c r="E208" t="str">
        <x:v>All India</x:v>
      </x:c>
      <x:c r="F208" t="str">
        <x:v>EWS</x:v>
      </x:c>
      <x:c r="G208" t="n">
        <x:v>2</x:v>
      </x:c>
      <x:c r="H208" t="n">
        <x:v>2</x:v>
      </x:c>
      <x:c r="I208" t="n">
        <x:f>G208-H208</x:f>
        <x:v>0</x:v>
      </x:c>
      <x:c r="J208" s="20" t="n">
        <x:f>IFERROR(H208/G208,0)</x:f>
        <x:v>1</x:v>
      </x:c>
      <x:c r="K208" t="n">
        <x:v>19170</x:v>
      </x:c>
      <x:c r="L208" t="n">
        <x:v>20347.75</x:v>
      </x:c>
      <x:c r="M208" t="n">
        <x:v>21525.5</x:v>
      </x:c>
      <x:c r="N208" t="n">
        <x:v>22703.25</x:v>
      </x:c>
      <x:c r="O208" t="n">
        <x:v>23881</x:v>
      </x:c>
    </x:row>
    <x:row r="209">
      <x:c r="A209" t="str">
        <x:v>Andaman And Nicobar Islands</x:v>
      </x:c>
      <x:c r="B209" t="str">
        <x:v>All India except Central University</x:v>
      </x:c>
      <x:c r="C209" t="str">
        <x:v>200101</x:v>
      </x:c>
      <x:c r="D209" t="str">
        <x:v>Andaman &amp; Nicobar Islands Institute of Medical Sciences, Port Blair, Director ANIIMS, DHS Annexe Building, Atlanta Point, Port Blair-744104</x:v>
      </x:c>
      <x:c r="E209" t="str">
        <x:v>All India</x:v>
      </x:c>
      <x:c r="F209" t="str">
        <x:v>OBC</x:v>
      </x:c>
      <x:c r="G209" t="n">
        <x:v>5</x:v>
      </x:c>
      <x:c r="H209" t="n">
        <x:v>5</x:v>
      </x:c>
      <x:c r="I209" t="n">
        <x:f>G209-H209</x:f>
        <x:v>0</x:v>
      </x:c>
      <x:c r="J209" s="20" t="n">
        <x:f>IFERROR(H209/G209,0)</x:f>
        <x:v>1</x:v>
      </x:c>
      <x:c r="K209" t="n">
        <x:v>18526</x:v>
      </x:c>
      <x:c r="L209" t="n">
        <x:v>19129</x:v>
      </x:c>
      <x:c r="M209" t="n">
        <x:v>19368</x:v>
      </x:c>
      <x:c r="N209" t="n">
        <x:v>19606</x:v>
      </x:c>
      <x:c r="O209" t="n">
        <x:v>19997</x:v>
      </x:c>
    </x:row>
    <x:row r="210">
      <x:c r="A210" t="str">
        <x:v>Andaman And Nicobar Islands</x:v>
      </x:c>
      <x:c r="B210" t="str">
        <x:v>All India except Central University</x:v>
      </x:c>
      <x:c r="C210" t="str">
        <x:v>200101</x:v>
      </x:c>
      <x:c r="D210" t="str">
        <x:v>Andaman &amp; Nicobar Islands Institute of Medical Sciences, Port Blair, Director ANIIMS, DHS Annexe Building, Atlanta Point, Port Blair-744104</x:v>
      </x:c>
      <x:c r="E210" t="str">
        <x:v>All India</x:v>
      </x:c>
      <x:c r="F210" t="str">
        <x:v>Open</x:v>
      </x:c>
      <x:c r="G210" t="n">
        <x:v>6</x:v>
      </x:c>
      <x:c r="H210" t="n">
        <x:v>6</x:v>
      </x:c>
      <x:c r="I210" t="n">
        <x:f>G210-H210</x:f>
        <x:v>0</x:v>
      </x:c>
      <x:c r="J210" s="20" t="n">
        <x:f>IFERROR(H210/G210,0)</x:f>
        <x:v>1</x:v>
      </x:c>
      <x:c r="K210" t="n">
        <x:v>11901</x:v>
      </x:c>
      <x:c r="L210" t="n">
        <x:v>13259.25</x:v>
      </x:c>
      <x:c r="M210" t="n">
        <x:v>14652</x:v>
      </x:c>
      <x:c r="N210" t="n">
        <x:v>15072</x:v>
      </x:c>
      <x:c r="O210" t="n">
        <x:v>16206</x:v>
      </x:c>
    </x:row>
    <x:row r="211">
      <x:c r="A211" t="str">
        <x:v>Andaman And Nicobar Islands</x:v>
      </x:c>
      <x:c r="B211" t="str">
        <x:v>All India except Central University</x:v>
      </x:c>
      <x:c r="C211" t="str">
        <x:v>200101</x:v>
      </x:c>
      <x:c r="D211" t="str">
        <x:v>Andaman &amp; Nicobar Islands Institute of Medical Sciences, Port Blair, Director ANIIMS, DHS Annexe Building, Atlanta Point, Port Blair-744104</x:v>
      </x:c>
      <x:c r="E211" t="str">
        <x:v>All India</x:v>
      </x:c>
      <x:c r="F211" t="str">
        <x:v>SC</x:v>
      </x:c>
      <x:c r="G211" t="n">
        <x:v>3</x:v>
      </x:c>
      <x:c r="H211" t="n">
        <x:v>3</x:v>
      </x:c>
      <x:c r="I211" t="n">
        <x:f>G211-H211</x:f>
        <x:v>0</x:v>
      </x:c>
      <x:c r="J211" s="20" t="n">
        <x:f>IFERROR(H211/G211,0)</x:f>
        <x:v>1</x:v>
      </x:c>
      <x:c r="K211" t="n">
        <x:v>50486</x:v>
      </x:c>
      <x:c r="L211" t="n">
        <x:v>54402</x:v>
      </x:c>
      <x:c r="M211" t="n">
        <x:v>58318</x:v>
      </x:c>
      <x:c r="N211" t="n">
        <x:v>73670.5</x:v>
      </x:c>
      <x:c r="O211" t="n">
        <x:v>89023</x:v>
      </x:c>
    </x:row>
    <x:row r="212">
      <x:c r="A212" t="str">
        <x:v>Andaman And Nicobar Islands</x:v>
      </x:c>
      <x:c r="B212" t="str">
        <x:v>All India except Central University</x:v>
      </x:c>
      <x:c r="C212" t="str">
        <x:v>200101</x:v>
      </x:c>
      <x:c r="D212" t="str">
        <x:v>Andaman &amp; Nicobar Islands Institute of Medical Sciences, Port Blair, Director ANIIMS, DHS Annexe Building, Atlanta Point, Port Blair-744104</x:v>
      </x:c>
      <x:c r="E212" t="str">
        <x:v>All India</x:v>
      </x:c>
      <x:c r="F212" t="str">
        <x:v>ST</x:v>
      </x:c>
      <x:c r="G212" t="n">
        <x:v>1</x:v>
      </x:c>
      <x:c r="H212" t="n">
        <x:v>1</x:v>
      </x:c>
      <x:c r="I212" t="n">
        <x:f>G212-H212</x:f>
        <x:v>0</x:v>
      </x:c>
      <x:c r="J212" s="20" t="n">
        <x:f>IFERROR(H212/G212,0)</x:f>
        <x:v>1</x:v>
      </x:c>
      <x:c r="K212" t="n">
        <x:v>116475</x:v>
      </x:c>
      <x:c r="L212" t="n">
        <x:v>116475</x:v>
      </x:c>
      <x:c r="M212" t="n">
        <x:v>116475</x:v>
      </x:c>
      <x:c r="N212" t="n">
        <x:v>116475</x:v>
      </x:c>
      <x:c r="O212" t="n">
        <x:v>116475</x:v>
      </x:c>
    </x:row>
    <x:row r="213">
      <x:c r="A213" t="str">
        <x:v>Andhra Pradesh</x:v>
      </x:c>
      <x:c r="B213" t="str">
        <x:v>All India except Central University</x:v>
      </x:c>
      <x:c r="C213" t="str">
        <x:v>200421</x:v>
      </x:c>
      <x:c r="D213" t="str">
        <x:v>Andhra Medical College, Visakhapatnam, MAHARANI PETA NEAR COLLECTORATE KGH CAMPUS VISAKHAPATNAM</x:v>
      </x:c>
      <x:c r="E213" t="str">
        <x:v>All India</x:v>
      </x:c>
      <x:c r="F213" t="str">
        <x:v>EWS</x:v>
      </x:c>
      <x:c r="G213" t="n">
        <x:v>3</x:v>
      </x:c>
      <x:c r="H213" t="n">
        <x:v>3</x:v>
      </x:c>
      <x:c r="I213" t="n">
        <x:f>G213-H213</x:f>
        <x:v>0</x:v>
      </x:c>
      <x:c r="J213" s="20" t="n">
        <x:f>IFERROR(H213/G213,0)</x:f>
        <x:v>1</x:v>
      </x:c>
      <x:c r="K213" t="n">
        <x:v>4813</x:v>
      </x:c>
      <x:c r="L213" t="n">
        <x:v>5191</x:v>
      </x:c>
      <x:c r="M213" t="n">
        <x:v>5569</x:v>
      </x:c>
      <x:c r="N213" t="n">
        <x:v>5734.5</x:v>
      </x:c>
      <x:c r="O213" t="n">
        <x:v>5900</x:v>
      </x:c>
    </x:row>
    <x:row r="214">
      <x:c r="A214" t="str">
        <x:v>Andhra Pradesh</x:v>
      </x:c>
      <x:c r="B214" t="str">
        <x:v>All India except Central University</x:v>
      </x:c>
      <x:c r="C214" t="str">
        <x:v>200421</x:v>
      </x:c>
      <x:c r="D214" t="str">
        <x:v>Andhra Medical College, Visakhapatnam, MAHARANI PETA NEAR COLLECTORATE KGH CAMPUS VISAKHAPATNAM</x:v>
      </x:c>
      <x:c r="E214" t="str">
        <x:v>All India</x:v>
      </x:c>
      <x:c r="F214" t="str">
        <x:v>OBC</x:v>
      </x:c>
      <x:c r="G214" t="n">
        <x:v>10</x:v>
      </x:c>
      <x:c r="H214" t="n">
        <x:v>10</x:v>
      </x:c>
      <x:c r="I214" t="n">
        <x:f>G214-H214</x:f>
        <x:v>0</x:v>
      </x:c>
      <x:c r="J214" s="20" t="n">
        <x:f>IFERROR(H214/G214,0)</x:f>
        <x:v>1</x:v>
      </x:c>
      <x:c r="K214" t="n">
        <x:v>4483</x:v>
      </x:c>
      <x:c r="L214" t="n">
        <x:v>4659.75</x:v>
      </x:c>
      <x:c r="M214" t="n">
        <x:v>4695.5</x:v>
      </x:c>
      <x:c r="N214" t="n">
        <x:v>4794</x:v>
      </x:c>
      <x:c r="O214" t="n">
        <x:v>5016</x:v>
      </x:c>
    </x:row>
    <x:row r="215">
      <x:c r="A215" t="str">
        <x:v>Andhra Pradesh</x:v>
      </x:c>
      <x:c r="B215" t="str">
        <x:v>All India except Central University</x:v>
      </x:c>
      <x:c r="C215" t="str">
        <x:v>200421</x:v>
      </x:c>
      <x:c r="D215" t="str">
        <x:v>Andhra Medical College, Visakhapatnam, MAHARANI PETA NEAR COLLECTORATE KGH CAMPUS VISAKHAPATNAM</x:v>
      </x:c>
      <x:c r="E215" t="str">
        <x:v>All India</x:v>
      </x:c>
      <x:c r="F215" t="str">
        <x:v>Open</x:v>
      </x:c>
      <x:c r="G215" t="n">
        <x:v>16</x:v>
      </x:c>
      <x:c r="H215" t="n">
        <x:v>16</x:v>
      </x:c>
      <x:c r="I215" t="n">
        <x:f>G215-H215</x:f>
        <x:v>0</x:v>
      </x:c>
      <x:c r="J215" s="20" t="n">
        <x:f>IFERROR(H215/G215,0)</x:f>
        <x:v>1</x:v>
      </x:c>
      <x:c r="K215" t="n">
        <x:v>1771</x:v>
      </x:c>
      <x:c r="L215" t="n">
        <x:v>4014.25</x:v>
      </x:c>
      <x:c r="M215" t="n">
        <x:v>4274.5</x:v>
      </x:c>
      <x:c r="N215" t="n">
        <x:v>4358.25</x:v>
      </x:c>
      <x:c r="O215" t="n">
        <x:v>4443</x:v>
      </x:c>
    </x:row>
    <x:row r="216">
      <x:c r="A216" t="str">
        <x:v>Andhra Pradesh</x:v>
      </x:c>
      <x:c r="B216" t="str">
        <x:v>All India except Central University</x:v>
      </x:c>
      <x:c r="C216" t="str">
        <x:v>200421</x:v>
      </x:c>
      <x:c r="D216" t="str">
        <x:v>Andhra Medical College, Visakhapatnam, MAHARANI PETA NEAR COLLECTORATE KGH CAMPUS VISAKHAPATNAM</x:v>
      </x:c>
      <x:c r="E216" t="str">
        <x:v>All India</x:v>
      </x:c>
      <x:c r="F216" t="str">
        <x:v>SC</x:v>
      </x:c>
      <x:c r="G216" t="n">
        <x:v>6</x:v>
      </x:c>
      <x:c r="H216" t="n">
        <x:v>6</x:v>
      </x:c>
      <x:c r="I216" t="n">
        <x:f>G216-H216</x:f>
        <x:v>0</x:v>
      </x:c>
      <x:c r="J216" s="20" t="n">
        <x:f>IFERROR(H216/G216,0)</x:f>
        <x:v>1</x:v>
      </x:c>
      <x:c r="K216" t="n">
        <x:v>20846</x:v>
      </x:c>
      <x:c r="L216" t="n">
        <x:v>26378.75</x:v>
      </x:c>
      <x:c r="M216" t="n">
        <x:v>29637</x:v>
      </x:c>
      <x:c r="N216" t="n">
        <x:v>30804.25</x:v>
      </x:c>
      <x:c r="O216" t="n">
        <x:v>33997</x:v>
      </x:c>
    </x:row>
    <x:row r="217">
      <x:c r="A217" t="str">
        <x:v>Andhra Pradesh</x:v>
      </x:c>
      <x:c r="B217" t="str">
        <x:v>All India except Central University</x:v>
      </x:c>
      <x:c r="C217" t="str">
        <x:v>200421</x:v>
      </x:c>
      <x:c r="D217" t="str">
        <x:v>Andhra Medical College, Visakhapatnam, MAHARANI PETA NEAR COLLECTORATE KGH CAMPUS VISAKHAPATNAM</x:v>
      </x:c>
      <x:c r="E217" t="str">
        <x:v>All India</x:v>
      </x:c>
      <x:c r="F217" t="str">
        <x:v>ST</x:v>
      </x:c>
      <x:c r="G217" t="n">
        <x:v>2</x:v>
      </x:c>
      <x:c r="H217" t="n">
        <x:v>2</x:v>
      </x:c>
      <x:c r="I217" t="n">
        <x:f>G217-H217</x:f>
        <x:v>0</x:v>
      </x:c>
      <x:c r="J217" s="20" t="n">
        <x:f>IFERROR(H217/G217,0)</x:f>
        <x:v>1</x:v>
      </x:c>
      <x:c r="K217" t="n">
        <x:v>44678</x:v>
      </x:c>
      <x:c r="L217" t="n">
        <x:v>44844.75</x:v>
      </x:c>
      <x:c r="M217" t="n">
        <x:v>45011.5</x:v>
      </x:c>
      <x:c r="N217" t="n">
        <x:v>45178.25</x:v>
      </x:c>
      <x:c r="O217" t="n">
        <x:v>45345</x:v>
      </x:c>
    </x:row>
    <x:row r="218">
      <x:c r="A218" t="str">
        <x:v>Bihar</x:v>
      </x:c>
      <x:c r="B218" t="str">
        <x:v>All India except Central University</x:v>
      </x:c>
      <x:c r="C218" t="str">
        <x:v>200109</x:v>
      </x:c>
      <x:c r="D218" t="str">
        <x:v>Anugrah Narayan Magadh Medical College, Gaya, SHERGHATI ROAD, GAYAJI</x:v>
      </x:c>
      <x:c r="E218" t="str">
        <x:v>All India</x:v>
      </x:c>
      <x:c r="F218" t="str">
        <x:v>EWS</x:v>
      </x:c>
      <x:c r="G218" t="n">
        <x:v>2</x:v>
      </x:c>
      <x:c r="H218" t="n">
        <x:v>2</x:v>
      </x:c>
      <x:c r="I218" t="n">
        <x:f>G218-H218</x:f>
        <x:v>0</x:v>
      </x:c>
      <x:c r="J218" s="20" t="n">
        <x:f>IFERROR(H218/G218,0)</x:f>
        <x:v>1</x:v>
      </x:c>
      <x:c r="K218" t="n">
        <x:v>12754</x:v>
      </x:c>
      <x:c r="L218" t="n">
        <x:v>12896.75</x:v>
      </x:c>
      <x:c r="M218" t="n">
        <x:v>13039.5</x:v>
      </x:c>
      <x:c r="N218" t="n">
        <x:v>13182.25</x:v>
      </x:c>
      <x:c r="O218" t="n">
        <x:v>13325</x:v>
      </x:c>
    </x:row>
    <x:row r="219">
      <x:c r="A219" t="str">
        <x:v>Bihar</x:v>
      </x:c>
      <x:c r="B219" t="str">
        <x:v>All India except Central University</x:v>
      </x:c>
      <x:c r="C219" t="str">
        <x:v>200109</x:v>
      </x:c>
      <x:c r="D219" t="str">
        <x:v>Anugrah Narayan Magadh Medical College, Gaya, SHERGHATI ROAD, GAYAJI</x:v>
      </x:c>
      <x:c r="E219" t="str">
        <x:v>All India</x:v>
      </x:c>
      <x:c r="F219" t="str">
        <x:v>OBC</x:v>
      </x:c>
      <x:c r="G219" t="n">
        <x:v>3</x:v>
      </x:c>
      <x:c r="H219" t="n">
        <x:v>3</x:v>
      </x:c>
      <x:c r="I219" t="n">
        <x:f>G219-H219</x:f>
        <x:v>0</x:v>
      </x:c>
      <x:c r="J219" s="20" t="n">
        <x:f>IFERROR(H219/G219,0)</x:f>
        <x:v>1</x:v>
      </x:c>
      <x:c r="K219" t="n">
        <x:v>10619</x:v>
      </x:c>
      <x:c r="L219" t="n">
        <x:v>11160</x:v>
      </x:c>
      <x:c r="M219" t="n">
        <x:v>11701</x:v>
      </x:c>
      <x:c r="N219" t="n">
        <x:v>11918</x:v>
      </x:c>
      <x:c r="O219" t="n">
        <x:v>12135</x:v>
      </x:c>
    </x:row>
    <x:row r="220">
      <x:c r="A220" t="str">
        <x:v>Bihar</x:v>
      </x:c>
      <x:c r="B220" t="str">
        <x:v>All India except Central University</x:v>
      </x:c>
      <x:c r="C220" t="str">
        <x:v>200109</x:v>
      </x:c>
      <x:c r="D220" t="str">
        <x:v>Anugrah Narayan Magadh Medical College, Gaya, SHERGHATI ROAD, GAYAJI</x:v>
      </x:c>
      <x:c r="E220" t="str">
        <x:v>All India</x:v>
      </x:c>
      <x:c r="F220" t="str">
        <x:v>OBC PwD</x:v>
      </x:c>
      <x:c r="G220" t="n">
        <x:v>1</x:v>
      </x:c>
      <x:c r="H220" t="n">
        <x:v>1</x:v>
      </x:c>
      <x:c r="I220" t="n">
        <x:f>G220-H220</x:f>
        <x:v>0</x:v>
      </x:c>
      <x:c r="J220" s="20" t="n">
        <x:f>IFERROR(H220/G220,0)</x:f>
        <x:v>1</x:v>
      </x:c>
      <x:c r="K220" t="n">
        <x:v>509848</x:v>
      </x:c>
      <x:c r="L220" t="n">
        <x:v>509848</x:v>
      </x:c>
      <x:c r="M220" t="n">
        <x:v>509848</x:v>
      </x:c>
      <x:c r="N220" t="n">
        <x:v>509848</x:v>
      </x:c>
      <x:c r="O220" t="n">
        <x:v>509848</x:v>
      </x:c>
    </x:row>
    <x:row r="221">
      <x:c r="A221" t="str">
        <x:v>Bihar</x:v>
      </x:c>
      <x:c r="B221" t="str">
        <x:v>All India except Central University</x:v>
      </x:c>
      <x:c r="C221" t="str">
        <x:v>200109</x:v>
      </x:c>
      <x:c r="D221" t="str">
        <x:v>Anugrah Narayan Magadh Medical College, Gaya, SHERGHATI ROAD, GAYAJI</x:v>
      </x:c>
      <x:c r="E221" t="str">
        <x:v>All India</x:v>
      </x:c>
      <x:c r="F221" t="str">
        <x:v>Open</x:v>
      </x:c>
      <x:c r="G221" t="n">
        <x:v>6</x:v>
      </x:c>
      <x:c r="H221" t="n">
        <x:v>6</x:v>
      </x:c>
      <x:c r="I221" t="n">
        <x:f>G221-H221</x:f>
        <x:v>0</x:v>
      </x:c>
      <x:c r="J221" s="20" t="n">
        <x:f>IFERROR(H221/G221,0)</x:f>
        <x:v>1</x:v>
      </x:c>
      <x:c r="K221" t="n">
        <x:v>7669</x:v>
      </x:c>
      <x:c r="L221" t="n">
        <x:v>8597.25</x:v>
      </x:c>
      <x:c r="M221" t="n">
        <x:v>9277.5</x:v>
      </x:c>
      <x:c r="N221" t="n">
        <x:v>9618</x:v>
      </x:c>
      <x:c r="O221" t="n">
        <x:v>10539</x:v>
      </x:c>
    </x:row>
    <x:row r="222">
      <x:c r="A222" t="str">
        <x:v>Bihar</x:v>
      </x:c>
      <x:c r="B222" t="str">
        <x:v>All India except Central University</x:v>
      </x:c>
      <x:c r="C222" t="str">
        <x:v>200109</x:v>
      </x:c>
      <x:c r="D222" t="str">
        <x:v>Anugrah Narayan Magadh Medical College, Gaya, SHERGHATI ROAD, GAYAJI</x:v>
      </x:c>
      <x:c r="E222" t="str">
        <x:v>All India</x:v>
      </x:c>
      <x:c r="F222" t="str">
        <x:v>Open PwD</x:v>
      </x:c>
      <x:c r="G222" t="n">
        <x:v>1</x:v>
      </x:c>
      <x:c r="H222" t="n">
        <x:v>1</x:v>
      </x:c>
      <x:c r="I222" t="n">
        <x:f>G222-H222</x:f>
        <x:v>0</x:v>
      </x:c>
      <x:c r="J222" s="20" t="n">
        <x:f>IFERROR(H222/G222,0)</x:f>
        <x:v>1</x:v>
      </x:c>
      <x:c r="K222" t="n">
        <x:v>380662</x:v>
      </x:c>
      <x:c r="L222" t="n">
        <x:v>380662</x:v>
      </x:c>
      <x:c r="M222" t="n">
        <x:v>380662</x:v>
      </x:c>
      <x:c r="N222" t="n">
        <x:v>380662</x:v>
      </x:c>
      <x:c r="O222" t="n">
        <x:v>380662</x:v>
      </x:c>
    </x:row>
    <x:row r="223">
      <x:c r="A223" t="str">
        <x:v>Bihar</x:v>
      </x:c>
      <x:c r="B223" t="str">
        <x:v>All India except Central University</x:v>
      </x:c>
      <x:c r="C223" t="str">
        <x:v>200109</x:v>
      </x:c>
      <x:c r="D223" t="str">
        <x:v>Anugrah Narayan Magadh Medical College, Gaya, SHERGHATI ROAD, GAYAJI</x:v>
      </x:c>
      <x:c r="E223" t="str">
        <x:v>All India</x:v>
      </x:c>
      <x:c r="F223" t="str">
        <x:v>SC</x:v>
      </x:c>
      <x:c r="G223" t="n">
        <x:v>3</x:v>
      </x:c>
      <x:c r="H223" t="n">
        <x:v>3</x:v>
      </x:c>
      <x:c r="I223" t="n">
        <x:f>G223-H223</x:f>
        <x:v>0</x:v>
      </x:c>
      <x:c r="J223" s="20" t="n">
        <x:f>IFERROR(H223/G223,0)</x:f>
        <x:v>1</x:v>
      </x:c>
      <x:c r="K223" t="n">
        <x:v>73086</x:v>
      </x:c>
      <x:c r="L223" t="n">
        <x:v>73470.5</x:v>
      </x:c>
      <x:c r="M223" t="n">
        <x:v>73855</x:v>
      </x:c>
      <x:c r="N223" t="n">
        <x:v>74129</x:v>
      </x:c>
      <x:c r="O223" t="n">
        <x:v>74403</x:v>
      </x:c>
    </x:row>
    <x:row r="224">
      <x:c r="A224" t="str">
        <x:v>Bihar</x:v>
      </x:c>
      <x:c r="B224" t="str">
        <x:v>All India except Central University</x:v>
      </x:c>
      <x:c r="C224" t="str">
        <x:v>200109</x:v>
      </x:c>
      <x:c r="D224" t="str">
        <x:v>Anugrah Narayan Magadh Medical College, Gaya, SHERGHATI ROAD, GAYAJI</x:v>
      </x:c>
      <x:c r="E224" t="str">
        <x:v>All India</x:v>
      </x:c>
      <x:c r="F224" t="str">
        <x:v>ST</x:v>
      </x:c>
      <x:c r="G224" t="n">
        <x:v>2</x:v>
      </x:c>
      <x:c r="H224" t="n">
        <x:v>2</x:v>
      </x:c>
      <x:c r="I224" t="n">
        <x:f>G224-H224</x:f>
        <x:v>0</x:v>
      </x:c>
      <x:c r="J224" s="20" t="n">
        <x:f>IFERROR(H224/G224,0)</x:f>
        <x:v>1</x:v>
      </x:c>
      <x:c r="K224" t="n">
        <x:v>92320</x:v>
      </x:c>
      <x:c r="L224" t="n">
        <x:v>92576.25</x:v>
      </x:c>
      <x:c r="M224" t="n">
        <x:v>92832.5</x:v>
      </x:c>
      <x:c r="N224" t="n">
        <x:v>93088.75</x:v>
      </x:c>
      <x:c r="O224" t="n">
        <x:v>93345</x:v>
      </x:c>
    </x:row>
    <x:row r="225">
      <x:c r="A225" t="str">
        <x:v>Assam</x:v>
      </x:c>
      <x:c r="B225" t="str">
        <x:v>All India except Central University</x:v>
      </x:c>
      <x:c r="C225" t="str">
        <x:v>200102</x:v>
      </x:c>
      <x:c r="D225" t="str">
        <x:v>Assam Medial College, Dibrugarh, Borbari, Dibrugarh</x:v>
      </x:c>
      <x:c r="E225" t="str">
        <x:v>All India</x:v>
      </x:c>
      <x:c r="F225" t="str">
        <x:v>EWS</x:v>
      </x:c>
      <x:c r="G225" t="n">
        <x:v>3</x:v>
      </x:c>
      <x:c r="H225" t="n">
        <x:v>3</x:v>
      </x:c>
      <x:c r="I225" t="n">
        <x:f>G225-H225</x:f>
        <x:v>0</x:v>
      </x:c>
      <x:c r="J225" s="20" t="n">
        <x:f>IFERROR(H225/G225,0)</x:f>
        <x:v>1</x:v>
      </x:c>
      <x:c r="K225" t="n">
        <x:v>14885</x:v>
      </x:c>
      <x:c r="L225" t="n">
        <x:v>15838</x:v>
      </x:c>
      <x:c r="M225" t="n">
        <x:v>16791</x:v>
      </x:c>
      <x:c r="N225" t="n">
        <x:v>17071</x:v>
      </x:c>
      <x:c r="O225" t="n">
        <x:v>17351</x:v>
      </x:c>
    </x:row>
    <x:row r="226">
      <x:c r="A226" t="str">
        <x:v>Assam</x:v>
      </x:c>
      <x:c r="B226" t="str">
        <x:v>All India except Central University</x:v>
      </x:c>
      <x:c r="C226" t="str">
        <x:v>200102</x:v>
      </x:c>
      <x:c r="D226" t="str">
        <x:v>Assam Medial College, Dibrugarh, Borbari, Dibrugarh</x:v>
      </x:c>
      <x:c r="E226" t="str">
        <x:v>All India</x:v>
      </x:c>
      <x:c r="F226" t="str">
        <x:v>OBC</x:v>
      </x:c>
      <x:c r="G226" t="n">
        <x:v>11</x:v>
      </x:c>
      <x:c r="H226" t="n">
        <x:v>11</x:v>
      </x:c>
      <x:c r="I226" t="n">
        <x:f>G226-H226</x:f>
        <x:v>0</x:v>
      </x:c>
      <x:c r="J226" s="20" t="n">
        <x:f>IFERROR(H226/G226,0)</x:f>
        <x:v>1</x:v>
      </x:c>
      <x:c r="K226" t="n">
        <x:v>14006</x:v>
      </x:c>
      <x:c r="L226" t="n">
        <x:v>15269.5</x:v>
      </x:c>
      <x:c r="M226" t="n">
        <x:v>16314</x:v>
      </x:c>
      <x:c r="N226" t="n">
        <x:v>17144.5</x:v>
      </x:c>
      <x:c r="O226" t="n">
        <x:v>17613</x:v>
      </x:c>
    </x:row>
    <x:row r="227">
      <x:c r="A227" t="str">
        <x:v>Assam</x:v>
      </x:c>
      <x:c r="B227" t="str">
        <x:v>All India except Central University</x:v>
      </x:c>
      <x:c r="C227" t="str">
        <x:v>200102</x:v>
      </x:c>
      <x:c r="D227" t="str">
        <x:v>Assam Medial College, Dibrugarh, Borbari, Dibrugarh</x:v>
      </x:c>
      <x:c r="E227" t="str">
        <x:v>All India</x:v>
      </x:c>
      <x:c r="F227" t="str">
        <x:v>Open</x:v>
      </x:c>
      <x:c r="G227" t="n">
        <x:v>15</x:v>
      </x:c>
      <x:c r="H227" t="n">
        <x:v>15</x:v>
      </x:c>
      <x:c r="I227" t="n">
        <x:f>G227-H227</x:f>
        <x:v>0</x:v>
      </x:c>
      <x:c r="J227" s="20" t="n">
        <x:f>IFERROR(H227/G227,0)</x:f>
        <x:v>1</x:v>
      </x:c>
      <x:c r="K227" t="n">
        <x:v>6483</x:v>
      </x:c>
      <x:c r="L227" t="n">
        <x:v>10305.5</x:v>
      </x:c>
      <x:c r="M227" t="n">
        <x:v>11412</x:v>
      </x:c>
      <x:c r="N227" t="n">
        <x:v>12062</x:v>
      </x:c>
      <x:c r="O227" t="n">
        <x:v>12707</x:v>
      </x:c>
    </x:row>
    <x:row r="228">
      <x:c r="A228" t="str">
        <x:v>Assam</x:v>
      </x:c>
      <x:c r="B228" t="str">
        <x:v>All India except Central University</x:v>
      </x:c>
      <x:c r="C228" t="str">
        <x:v>200102</x:v>
      </x:c>
      <x:c r="D228" t="str">
        <x:v>Assam Medial College, Dibrugarh, Borbari, Dibrugarh</x:v>
      </x:c>
      <x:c r="E228" t="str">
        <x:v>All India</x:v>
      </x:c>
      <x:c r="F228" t="str">
        <x:v>Open PwD</x:v>
      </x:c>
      <x:c r="G228" t="n">
        <x:v>1</x:v>
      </x:c>
      <x:c r="H228" t="n">
        <x:v>1</x:v>
      </x:c>
      <x:c r="I228" t="n">
        <x:f>G228-H228</x:f>
        <x:v>0</x:v>
      </x:c>
      <x:c r="J228" s="20" t="n">
        <x:f>IFERROR(H228/G228,0)</x:f>
        <x:v>1</x:v>
      </x:c>
      <x:c r="K228" t="n">
        <x:v>379326</x:v>
      </x:c>
      <x:c r="L228" t="n">
        <x:v>379326</x:v>
      </x:c>
      <x:c r="M228" t="n">
        <x:v>379326</x:v>
      </x:c>
      <x:c r="N228" t="n">
        <x:v>379326</x:v>
      </x:c>
      <x:c r="O228" t="n">
        <x:v>379326</x:v>
      </x:c>
    </x:row>
    <x:row r="229">
      <x:c r="A229" t="str">
        <x:v>Assam</x:v>
      </x:c>
      <x:c r="B229" t="str">
        <x:v>All India except Central University</x:v>
      </x:c>
      <x:c r="C229" t="str">
        <x:v>200102</x:v>
      </x:c>
      <x:c r="D229" t="str">
        <x:v>Assam Medial College, Dibrugarh, Borbari, Dibrugarh</x:v>
      </x:c>
      <x:c r="E229" t="str">
        <x:v>All India</x:v>
      </x:c>
      <x:c r="F229" t="str">
        <x:v>SC</x:v>
      </x:c>
      <x:c r="G229" t="n">
        <x:v>5</x:v>
      </x:c>
      <x:c r="H229" t="n">
        <x:v>5</x:v>
      </x:c>
      <x:c r="I229" t="n">
        <x:f>G229-H229</x:f>
        <x:v>0</x:v>
      </x:c>
      <x:c r="J229" s="20" t="n">
        <x:f>IFERROR(H229/G229,0)</x:f>
        <x:v>1</x:v>
      </x:c>
      <x:c r="K229" t="n">
        <x:v>40459</x:v>
      </x:c>
      <x:c r="L229" t="n">
        <x:v>68654</x:v>
      </x:c>
      <x:c r="M229" t="n">
        <x:v>69727</x:v>
      </x:c>
      <x:c r="N229" t="n">
        <x:v>70328</x:v>
      </x:c>
      <x:c r="O229" t="n">
        <x:v>71105</x:v>
      </x:c>
    </x:row>
    <x:row r="230">
      <x:c r="A230" t="str">
        <x:v>Assam</x:v>
      </x:c>
      <x:c r="B230" t="str">
        <x:v>All India except Central University</x:v>
      </x:c>
      <x:c r="C230" t="str">
        <x:v>200102</x:v>
      </x:c>
      <x:c r="D230" t="str">
        <x:v>Assam Medial College, Dibrugarh, Borbari, Dibrugarh</x:v>
      </x:c>
      <x:c r="E230" t="str">
        <x:v>All India</x:v>
      </x:c>
      <x:c r="F230" t="str">
        <x:v>ST</x:v>
      </x:c>
      <x:c r="G230" t="n">
        <x:v>3</x:v>
      </x:c>
      <x:c r="H230" t="n">
        <x:v>3</x:v>
      </x:c>
      <x:c r="I230" t="n">
        <x:f>G230-H230</x:f>
        <x:v>0</x:v>
      </x:c>
      <x:c r="J230" s="20" t="n">
        <x:f>IFERROR(H230/G230,0)</x:f>
        <x:v>1</x:v>
      </x:c>
      <x:c r="K230" t="n">
        <x:v>50084</x:v>
      </x:c>
      <x:c r="L230" t="n">
        <x:v>51961.5</x:v>
      </x:c>
      <x:c r="M230" t="n">
        <x:v>53839</x:v>
      </x:c>
      <x:c r="N230" t="n">
        <x:v>55373</x:v>
      </x:c>
      <x:c r="O230" t="n">
        <x:v>56907</x:v>
      </x:c>
    </x:row>
    <x:row r="231">
      <x:c r="A231" t="str">
        <x:v>Delhi</x:v>
      </x:c>
      <x:c r="B231" t="str">
        <x:v>Central University</x:v>
      </x:c>
      <x:c r="C231" t="str">
        <x:v>200498</x:v>
      </x:c>
      <x:c r="D231" t="str">
        <x:v>Atal Bihari Vajpayee Institute of Medical Sciences and Dr. RML Hospital, New Delhi, ABVIMS, Dr. RML Hospital, B.K.S. Marg, New Delhi</x:v>
      </x:c>
      <x:c r="E231" t="str">
        <x:v>All India</x:v>
      </x:c>
      <x:c r="F231" t="str">
        <x:v>EWS</x:v>
      </x:c>
      <x:c r="G231" t="n">
        <x:v>1</x:v>
      </x:c>
      <x:c r="H231" t="n">
        <x:v>1</x:v>
      </x:c>
      <x:c r="I231" t="n">
        <x:f>G231-H231</x:f>
        <x:v>0</x:v>
      </x:c>
      <x:c r="J231" s="20" t="n">
        <x:f>IFERROR(H231/G231,0)</x:f>
        <x:v>1</x:v>
      </x:c>
      <x:c r="K231" t="n">
        <x:v>842</x:v>
      </x:c>
      <x:c r="L231" t="n">
        <x:v>842</x:v>
      </x:c>
      <x:c r="M231" t="n">
        <x:v>842</x:v>
      </x:c>
      <x:c r="N231" t="n">
        <x:v>842</x:v>
      </x:c>
      <x:c r="O231" t="n">
        <x:v>842</x:v>
      </x:c>
    </x:row>
    <x:row r="232">
      <x:c r="A232" t="str">
        <x:v>Delhi</x:v>
      </x:c>
      <x:c r="B232" t="str">
        <x:v>Central University</x:v>
      </x:c>
      <x:c r="C232" t="str">
        <x:v>200498</x:v>
      </x:c>
      <x:c r="D232" t="str">
        <x:v>Atal Bihari Vajpayee Institute of Medical Sciences and Dr. RML Hospital, New Delhi, ABVIMS, Dr. RML Hospital, B.K.S. Marg, New Delhi</x:v>
      </x:c>
      <x:c r="E232" t="str">
        <x:v>All India</x:v>
      </x:c>
      <x:c r="F232" t="str">
        <x:v>OBC</x:v>
      </x:c>
      <x:c r="G232" t="n">
        <x:v>3</x:v>
      </x:c>
      <x:c r="H232" t="n">
        <x:v>3</x:v>
      </x:c>
      <x:c r="I232" t="n">
        <x:f>G232-H232</x:f>
        <x:v>0</x:v>
      </x:c>
      <x:c r="J232" s="20" t="n">
        <x:f>IFERROR(H232/G232,0)</x:f>
        <x:v>1</x:v>
      </x:c>
      <x:c r="K232" t="n">
        <x:v>453</x:v>
      </x:c>
      <x:c r="L232" t="n">
        <x:v>514.5</x:v>
      </x:c>
      <x:c r="M232" t="n">
        <x:v>576</x:v>
      </x:c>
      <x:c r="N232" t="n">
        <x:v>587</x:v>
      </x:c>
      <x:c r="O232" t="n">
        <x:v>598</x:v>
      </x:c>
    </x:row>
    <x:row r="233">
      <x:c r="A233" t="str">
        <x:v>Delhi</x:v>
      </x:c>
      <x:c r="B233" t="str">
        <x:v>Central University</x:v>
      </x:c>
      <x:c r="C233" t="str">
        <x:v>200498</x:v>
      </x:c>
      <x:c r="D233" t="str">
        <x:v>Atal Bihari Vajpayee Institute of Medical Sciences and Dr. RML Hospital, New Delhi, ABVIMS, Dr. RML Hospital, B.K.S. Marg, New Delhi</x:v>
      </x:c>
      <x:c r="E233" t="str">
        <x:v>All India</x:v>
      </x:c>
      <x:c r="F233" t="str">
        <x:v>OBC PwD</x:v>
      </x:c>
      <x:c r="G233" t="n">
        <x:v>1</x:v>
      </x:c>
      <x:c r="H233" t="n">
        <x:v>1</x:v>
      </x:c>
      <x:c r="I233" t="n">
        <x:f>G233-H233</x:f>
        <x:v>0</x:v>
      </x:c>
      <x:c r="J233" s="20" t="n">
        <x:f>IFERROR(H233/G233,0)</x:f>
        <x:v>1</x:v>
      </x:c>
      <x:c r="K233" t="n">
        <x:v>211713</x:v>
      </x:c>
      <x:c r="L233" t="n">
        <x:v>211713</x:v>
      </x:c>
      <x:c r="M233" t="n">
        <x:v>211713</x:v>
      </x:c>
      <x:c r="N233" t="n">
        <x:v>211713</x:v>
      </x:c>
      <x:c r="O233" t="n">
        <x:v>211713</x:v>
      </x:c>
    </x:row>
    <x:row r="234">
      <x:c r="A234" t="str">
        <x:v>Delhi</x:v>
      </x:c>
      <x:c r="B234" t="str">
        <x:v>Central University</x:v>
      </x:c>
      <x:c r="C234" t="str">
        <x:v>200498</x:v>
      </x:c>
      <x:c r="D234" t="str">
        <x:v>Atal Bihari Vajpayee Institute of Medical Sciences and Dr. RML Hospital, New Delhi, ABVIMS, Dr. RML Hospital, B.K.S. Marg, New Delhi</x:v>
      </x:c>
      <x:c r="E234" t="str">
        <x:v>All India</x:v>
      </x:c>
      <x:c r="F234" t="str">
        <x:v>Open</x:v>
      </x:c>
      <x:c r="G234" t="n">
        <x:v>7</x:v>
      </x:c>
      <x:c r="H234" t="n">
        <x:v>7</x:v>
      </x:c>
      <x:c r="I234" t="n">
        <x:f>G234-H234</x:f>
        <x:v>0</x:v>
      </x:c>
      <x:c r="J234" s="20" t="n">
        <x:f>IFERROR(H234/G234,0)</x:f>
        <x:v>1</x:v>
      </x:c>
      <x:c r="K234" t="n">
        <x:v>133</x:v>
      </x:c>
      <x:c r="L234" t="n">
        <x:v>155.5</x:v>
      </x:c>
      <x:c r="M234" t="n">
        <x:v>160</x:v>
      </x:c>
      <x:c r="N234" t="n">
        <x:v>163.5</x:v>
      </x:c>
      <x:c r="O234" t="n">
        <x:v>166</x:v>
      </x:c>
    </x:row>
    <x:row r="235">
      <x:c r="A235" t="str">
        <x:v>Delhi</x:v>
      </x:c>
      <x:c r="B235" t="str">
        <x:v>Central University</x:v>
      </x:c>
      <x:c r="C235" t="str">
        <x:v>200498</x:v>
      </x:c>
      <x:c r="D235" t="str">
        <x:v>Atal Bihari Vajpayee Institute of Medical Sciences and Dr. RML Hospital, New Delhi, ABVIMS, Dr. RML Hospital, B.K.S. Marg, New Delhi</x:v>
      </x:c>
      <x:c r="E235" t="str">
        <x:v>All India</x:v>
      </x:c>
      <x:c r="F235" t="str">
        <x:v>SC</x:v>
      </x:c>
      <x:c r="G235" t="n">
        <x:v>2</x:v>
      </x:c>
      <x:c r="H235" t="n">
        <x:v>2</x:v>
      </x:c>
      <x:c r="I235" t="n">
        <x:f>G235-H235</x:f>
        <x:v>0</x:v>
      </x:c>
      <x:c r="J235" s="20" t="n">
        <x:f>IFERROR(H235/G235,0)</x:f>
        <x:v>1</x:v>
      </x:c>
      <x:c r="K235" t="n">
        <x:v>4118</x:v>
      </x:c>
      <x:c r="L235" t="n">
        <x:v>4210.5</x:v>
      </x:c>
      <x:c r="M235" t="n">
        <x:v>4303</x:v>
      </x:c>
      <x:c r="N235" t="n">
        <x:v>4395.5</x:v>
      </x:c>
      <x:c r="O235" t="n">
        <x:v>4488</x:v>
      </x:c>
    </x:row>
    <x:row r="236">
      <x:c r="A236" t="str">
        <x:v>Delhi</x:v>
      </x:c>
      <x:c r="B236" t="str">
        <x:v>Central University</x:v>
      </x:c>
      <x:c r="C236" t="str">
        <x:v>200498</x:v>
      </x:c>
      <x:c r="D236" t="str">
        <x:v>Atal Bihari Vajpayee Institute of Medical Sciences and Dr. RML Hospital, New Delhi, ABVIMS, Dr. RML Hospital, B.K.S. Marg, New Delhi</x:v>
      </x:c>
      <x:c r="E236" t="str">
        <x:v>All India</x:v>
      </x:c>
      <x:c r="F236" t="str">
        <x:v>ST</x:v>
      </x:c>
      <x:c r="G236" t="n">
        <x:v>1</x:v>
      </x:c>
      <x:c r="H236" t="n">
        <x:v>1</x:v>
      </x:c>
      <x:c r="I236" t="n">
        <x:f>G236-H236</x:f>
        <x:v>0</x:v>
      </x:c>
      <x:c r="J236" s="20" t="n">
        <x:f>IFERROR(H236/G236,0)</x:f>
        <x:v>1</x:v>
      </x:c>
      <x:c r="K236" t="n">
        <x:v>5703</x:v>
      </x:c>
      <x:c r="L236" t="n">
        <x:v>5703</x:v>
      </x:c>
      <x:c r="M236" t="n">
        <x:v>5703</x:v>
      </x:c>
      <x:c r="N236" t="n">
        <x:v>5703</x:v>
      </x:c>
      <x:c r="O236" t="n">
        <x:v>5703</x:v>
      </x:c>
    </x:row>
    <x:row r="237">
      <x:c r="A237" t="str">
        <x:v>Delhi</x:v>
      </x:c>
      <x:c r="B237" t="str">
        <x:v>Central University</x:v>
      </x:c>
      <x:c r="C237" t="str">
        <x:v>200498</x:v>
      </x:c>
      <x:c r="D237" t="str">
        <x:v>Atal Bihari Vajpayee Institute of Medical Sciences and Dr. RML Hospital, New Delhi, ABVIMS, Dr. RML Hospital, B.K.S. Marg, New Delhi</x:v>
      </x:c>
      <x:c r="E237" t="str">
        <x:v>Delhi NCR CW</x:v>
      </x:c>
      <x:c r="F237" t="str">
        <x:v>EWS</x:v>
      </x:c>
      <x:c r="G237" t="n">
        <x:v>1</x:v>
      </x:c>
      <x:c r="H237" t="n">
        <x:v>1</x:v>
      </x:c>
      <x:c r="I237" t="n">
        <x:f>G237-H237</x:f>
        <x:v>0</x:v>
      </x:c>
      <x:c r="J237" s="20" t="n">
        <x:f>IFERROR(H237/G237,0)</x:f>
        <x:v>1</x:v>
      </x:c>
      <x:c r="K237" t="n">
        <x:v>249509</x:v>
      </x:c>
      <x:c r="L237" t="n">
        <x:v>249509</x:v>
      </x:c>
      <x:c r="M237" t="n">
        <x:v>249509</x:v>
      </x:c>
      <x:c r="N237" t="n">
        <x:v>249509</x:v>
      </x:c>
      <x:c r="O237" t="n">
        <x:v>249509</x:v>
      </x:c>
    </x:row>
    <x:row r="238">
      <x:c r="A238" t="str">
        <x:v>Delhi</x:v>
      </x:c>
      <x:c r="B238" t="str">
        <x:v>Central University</x:v>
      </x:c>
      <x:c r="C238" t="str">
        <x:v>200498</x:v>
      </x:c>
      <x:c r="D238" t="str">
        <x:v>Atal Bihari Vajpayee Institute of Medical Sciences and Dr. RML Hospital, New Delhi, ABVIMS, Dr. RML Hospital, B.K.S. Marg, New Delhi</x:v>
      </x:c>
      <x:c r="E238" t="str">
        <x:v>Delhi NCR CW</x:v>
      </x:c>
      <x:c r="F238" t="str">
        <x:v>OBC</x:v>
      </x:c>
      <x:c r="G238" t="n">
        <x:v>1</x:v>
      </x:c>
      <x:c r="H238" t="n">
        <x:v>1</x:v>
      </x:c>
      <x:c r="I238" t="n">
        <x:f>G238-H238</x:f>
        <x:v>0</x:v>
      </x:c>
      <x:c r="J238" s="20" t="n">
        <x:f>IFERROR(H238/G238,0)</x:f>
        <x:v>1</x:v>
      </x:c>
      <x:c r="K238" t="n">
        <x:v>484948</x:v>
      </x:c>
      <x:c r="L238" t="n">
        <x:v>484948</x:v>
      </x:c>
      <x:c r="M238" t="n">
        <x:v>484948</x:v>
      </x:c>
      <x:c r="N238" t="n">
        <x:v>484948</x:v>
      </x:c>
      <x:c r="O238" t="n">
        <x:v>484948</x:v>
      </x:c>
    </x:row>
    <x:row r="239">
      <x:c r="A239" t="str">
        <x:v>Delhi</x:v>
      </x:c>
      <x:c r="B239" t="str">
        <x:v>Central University</x:v>
      </x:c>
      <x:c r="C239" t="str">
        <x:v>200498</x:v>
      </x:c>
      <x:c r="D239" t="str">
        <x:v>Atal Bihari Vajpayee Institute of Medical Sciences and Dr. RML Hospital, New Delhi, ABVIMS, Dr. RML Hospital, B.K.S. Marg, New Delhi</x:v>
      </x:c>
      <x:c r="E239" t="str">
        <x:v>Delhi NCR CW</x:v>
      </x:c>
      <x:c r="F239" t="str">
        <x:v>Open</x:v>
      </x:c>
      <x:c r="G239" t="n">
        <x:v>2</x:v>
      </x:c>
      <x:c r="H239" t="n">
        <x:v>2</x:v>
      </x:c>
      <x:c r="I239" t="n">
        <x:f>G239-H239</x:f>
        <x:v>0</x:v>
      </x:c>
      <x:c r="J239" s="20" t="n">
        <x:f>IFERROR(H239/G239,0)</x:f>
        <x:v>1</x:v>
      </x:c>
      <x:c r="K239" t="n">
        <x:v>130549</x:v>
      </x:c>
      <x:c r="L239" t="n">
        <x:v>155955</x:v>
      </x:c>
      <x:c r="M239" t="n">
        <x:v>181361</x:v>
      </x:c>
      <x:c r="N239" t="n">
        <x:v>206767</x:v>
      </x:c>
      <x:c r="O239" t="n">
        <x:v>232173</x:v>
      </x:c>
    </x:row>
    <x:row r="240">
      <x:c r="A240" t="str">
        <x:v>Delhi</x:v>
      </x:c>
      <x:c r="B240" t="str">
        <x:v>Central University</x:v>
      </x:c>
      <x:c r="C240" t="str">
        <x:v>200498</x:v>
      </x:c>
      <x:c r="D240" t="str">
        <x:v>Atal Bihari Vajpayee Institute of Medical Sciences and Dr. RML Hospital, New Delhi, ABVIMS, Dr. RML Hospital, B.K.S. Marg, New Delhi</x:v>
      </x:c>
      <x:c r="E240" t="str">
        <x:v>IP University Quota</x:v>
      </x:c>
      <x:c r="F240" t="str">
        <x:v>EWS</x:v>
      </x:c>
      <x:c r="G240" t="n">
        <x:v>7</x:v>
      </x:c>
      <x:c r="H240" t="n">
        <x:v>7</x:v>
      </x:c>
      <x:c r="I240" t="n">
        <x:f>G240-H240</x:f>
        <x:v>0</x:v>
      </x:c>
      <x:c r="J240" s="20" t="n">
        <x:f>IFERROR(H240/G240,0)</x:f>
        <x:v>1</x:v>
      </x:c>
      <x:c r="K240" t="n">
        <x:v>4152</x:v>
      </x:c>
      <x:c r="L240" t="n">
        <x:v>4436</x:v>
      </x:c>
      <x:c r="M240" t="n">
        <x:v>4753</x:v>
      </x:c>
      <x:c r="N240" t="n">
        <x:v>4879</x:v>
      </x:c>
      <x:c r="O240" t="n">
        <x:v>4954</x:v>
      </x:c>
    </x:row>
    <x:row r="241">
      <x:c r="A241" t="str">
        <x:v>Delhi</x:v>
      </x:c>
      <x:c r="B241" t="str">
        <x:v>Central University</x:v>
      </x:c>
      <x:c r="C241" t="str">
        <x:v>200498</x:v>
      </x:c>
      <x:c r="D241" t="str">
        <x:v>Atal Bihari Vajpayee Institute of Medical Sciences and Dr. RML Hospital, New Delhi, ABVIMS, Dr. RML Hospital, B.K.S. Marg, New Delhi</x:v>
      </x:c>
      <x:c r="E241" t="str">
        <x:v>IP University Quota</x:v>
      </x:c>
      <x:c r="F241" t="str">
        <x:v>EWS PwD</x:v>
      </x:c>
      <x:c r="G241" t="n">
        <x:v>1</x:v>
      </x:c>
      <x:c r="H241" t="n">
        <x:v>0</x:v>
      </x:c>
      <x:c r="I241" t="n">
        <x:f>G241-H241</x:f>
        <x:v>1</x:v>
      </x:c>
      <x:c r="J241" s="20" t="n">
        <x:f>IFERROR(H241/G241,0)</x:f>
        <x:v>0</x:v>
      </x:c>
      <x:c r="K241"/>
      <x:c r="L241"/>
      <x:c r="M241"/>
      <x:c r="N241"/>
      <x:c r="O241"/>
    </x:row>
    <x:row r="242">
      <x:c r="A242" t="str">
        <x:v>Delhi</x:v>
      </x:c>
      <x:c r="B242" t="str">
        <x:v>Central University</x:v>
      </x:c>
      <x:c r="C242" t="str">
        <x:v>200498</x:v>
      </x:c>
      <x:c r="D242" t="str">
        <x:v>Atal Bihari Vajpayee Institute of Medical Sciences and Dr. RML Hospital, New Delhi, ABVIMS, Dr. RML Hospital, B.K.S. Marg, New Delhi</x:v>
      </x:c>
      <x:c r="E242" t="str">
        <x:v>IP University Quota</x:v>
      </x:c>
      <x:c r="F242" t="str">
        <x:v>OBC</x:v>
      </x:c>
      <x:c r="G242" t="n">
        <x:v>21</x:v>
      </x:c>
      <x:c r="H242" t="n">
        <x:v>21</x:v>
      </x:c>
      <x:c r="I242" t="n">
        <x:f>G242-H242</x:f>
        <x:v>0</x:v>
      </x:c>
      <x:c r="J242" s="20" t="n">
        <x:f>IFERROR(H242/G242,0)</x:f>
        <x:v>1</x:v>
      </x:c>
      <x:c r="K242" t="n">
        <x:v>4762</x:v>
      </x:c>
      <x:c r="L242" t="n">
        <x:v>6276</x:v>
      </x:c>
      <x:c r="M242" t="n">
        <x:v>6914</x:v>
      </x:c>
      <x:c r="N242" t="n">
        <x:v>7419</x:v>
      </x:c>
      <x:c r="O242" t="n">
        <x:v>8038</x:v>
      </x:c>
    </x:row>
    <x:row r="243">
      <x:c r="A243" t="str">
        <x:v>Delhi</x:v>
      </x:c>
      <x:c r="B243" t="str">
        <x:v>Central University</x:v>
      </x:c>
      <x:c r="C243" t="str">
        <x:v>200498</x:v>
      </x:c>
      <x:c r="D243" t="str">
        <x:v>Atal Bihari Vajpayee Institute of Medical Sciences and Dr. RML Hospital, New Delhi, ABVIMS, Dr. RML Hospital, B.K.S. Marg, New Delhi</x:v>
      </x:c>
      <x:c r="E243" t="str">
        <x:v>IP University Quota</x:v>
      </x:c>
      <x:c r="F243" t="str">
        <x:v>OBC PwD</x:v>
      </x:c>
      <x:c r="G243" t="n">
        <x:v>1</x:v>
      </x:c>
      <x:c r="H243" t="n">
        <x:v>1</x:v>
      </x:c>
      <x:c r="I243" t="n">
        <x:f>G243-H243</x:f>
        <x:v>0</x:v>
      </x:c>
      <x:c r="J243" s="20" t="n">
        <x:f>IFERROR(H243/G243,0)</x:f>
        <x:v>1</x:v>
      </x:c>
      <x:c r="K243" t="n">
        <x:v>950951</x:v>
      </x:c>
      <x:c r="L243" t="n">
        <x:v>950951</x:v>
      </x:c>
      <x:c r="M243" t="n">
        <x:v>950951</x:v>
      </x:c>
      <x:c r="N243" t="n">
        <x:v>950951</x:v>
      </x:c>
      <x:c r="O243" t="n">
        <x:v>950951</x:v>
      </x:c>
    </x:row>
    <x:row r="244">
      <x:c r="A244" t="str">
        <x:v>Delhi</x:v>
      </x:c>
      <x:c r="B244" t="str">
        <x:v>Central University</x:v>
      </x:c>
      <x:c r="C244" t="str">
        <x:v>200498</x:v>
      </x:c>
      <x:c r="D244" t="str">
        <x:v>Atal Bihari Vajpayee Institute of Medical Sciences and Dr. RML Hospital, New Delhi, ABVIMS, Dr. RML Hospital, B.K.S. Marg, New Delhi</x:v>
      </x:c>
      <x:c r="E244" t="str">
        <x:v>IP University Quota</x:v>
      </x:c>
      <x:c r="F244" t="str">
        <x:v>Open</x:v>
      </x:c>
      <x:c r="G244" t="n">
        <x:v>30</x:v>
      </x:c>
      <x:c r="H244" t="n">
        <x:v>30</x:v>
      </x:c>
      <x:c r="I244" t="n">
        <x:f>G244-H244</x:f>
        <x:v>0</x:v>
      </x:c>
      <x:c r="J244" s="20" t="n">
        <x:f>IFERROR(H244/G244,0)</x:f>
        <x:v>1</x:v>
      </x:c>
      <x:c r="K244" t="n">
        <x:v>1571</x:v>
      </x:c>
      <x:c r="L244" t="n">
        <x:v>2293.75</x:v>
      </x:c>
      <x:c r="M244" t="n">
        <x:v>2723</x:v>
      </x:c>
      <x:c r="N244" t="n">
        <x:v>2899.5</x:v>
      </x:c>
      <x:c r="O244" t="n">
        <x:v>3117</x:v>
      </x:c>
    </x:row>
    <x:row r="245">
      <x:c r="A245" t="str">
        <x:v>Delhi</x:v>
      </x:c>
      <x:c r="B245" t="str">
        <x:v>Central University</x:v>
      </x:c>
      <x:c r="C245" t="str">
        <x:v>200498</x:v>
      </x:c>
      <x:c r="D245" t="str">
        <x:v>Atal Bihari Vajpayee Institute of Medical Sciences and Dr. RML Hospital, New Delhi, ABVIMS, Dr. RML Hospital, B.K.S. Marg, New Delhi</x:v>
      </x:c>
      <x:c r="E245" t="str">
        <x:v>IP University Quota</x:v>
      </x:c>
      <x:c r="F245" t="str">
        <x:v>Open PwD</x:v>
      </x:c>
      <x:c r="G245" t="n">
        <x:v>2</x:v>
      </x:c>
      <x:c r="H245" t="n">
        <x:v>2</x:v>
      </x:c>
      <x:c r="I245" t="n">
        <x:f>G245-H245</x:f>
        <x:v>0</x:v>
      </x:c>
      <x:c r="J245" s="20" t="n">
        <x:f>IFERROR(H245/G245,0)</x:f>
        <x:v>1</x:v>
      </x:c>
      <x:c r="K245" t="n">
        <x:v>721765</x:v>
      </x:c>
      <x:c r="L245" t="n">
        <x:v>745735</x:v>
      </x:c>
      <x:c r="M245" t="n">
        <x:v>769705</x:v>
      </x:c>
      <x:c r="N245" t="n">
        <x:v>793675</x:v>
      </x:c>
      <x:c r="O245" t="n">
        <x:v>817645</x:v>
      </x:c>
    </x:row>
    <x:row r="246">
      <x:c r="A246" t="str">
        <x:v>Delhi</x:v>
      </x:c>
      <x:c r="B246" t="str">
        <x:v>Central University</x:v>
      </x:c>
      <x:c r="C246" t="str">
        <x:v>200498</x:v>
      </x:c>
      <x:c r="D246" t="str">
        <x:v>Atal Bihari Vajpayee Institute of Medical Sciences and Dr. RML Hospital, New Delhi, ABVIMS, Dr. RML Hospital, B.K.S. Marg, New Delhi</x:v>
      </x:c>
      <x:c r="E246" t="str">
        <x:v>IP University Quota</x:v>
      </x:c>
      <x:c r="F246" t="str">
        <x:v>SC</x:v>
      </x:c>
      <x:c r="G246" t="n">
        <x:v>13</x:v>
      </x:c>
      <x:c r="H246" t="n">
        <x:v>13</x:v>
      </x:c>
      <x:c r="I246" t="n">
        <x:f>G246-H246</x:f>
        <x:v>0</x:v>
      </x:c>
      <x:c r="J246" s="20" t="n">
        <x:f>IFERROR(H246/G246,0)</x:f>
        <x:v>1</x:v>
      </x:c>
      <x:c r="K246" t="n">
        <x:v>10446</x:v>
      </x:c>
      <x:c r="L246" t="n">
        <x:v>42381</x:v>
      </x:c>
      <x:c r="M246" t="n">
        <x:v>43394</x:v>
      </x:c>
      <x:c r="N246" t="n">
        <x:v>47248</x:v>
      </x:c>
      <x:c r="O246" t="n">
        <x:v>49620</x:v>
      </x:c>
    </x:row>
    <x:row r="247">
      <x:c r="A247" t="str">
        <x:v>Delhi</x:v>
      </x:c>
      <x:c r="B247" t="str">
        <x:v>Central University</x:v>
      </x:c>
      <x:c r="C247" t="str">
        <x:v>200498</x:v>
      </x:c>
      <x:c r="D247" t="str">
        <x:v>Atal Bihari Vajpayee Institute of Medical Sciences and Dr. RML Hospital, New Delhi, ABVIMS, Dr. RML Hospital, B.K.S. Marg, New Delhi</x:v>
      </x:c>
      <x:c r="E247" t="str">
        <x:v>IP University Quota</x:v>
      </x:c>
      <x:c r="F247" t="str">
        <x:v>ST</x:v>
      </x:c>
      <x:c r="G247" t="n">
        <x:v>6</x:v>
      </x:c>
      <x:c r="H247" t="n">
        <x:v>6</x:v>
      </x:c>
      <x:c r="I247" t="n">
        <x:f>G247-H247</x:f>
        <x:v>0</x:v>
      </x:c>
      <x:c r="J247" s="20" t="n">
        <x:f>IFERROR(H247/G247,0)</x:f>
        <x:v>1</x:v>
      </x:c>
      <x:c r="K247" t="n">
        <x:v>72372</x:v>
      </x:c>
      <x:c r="L247" t="n">
        <x:v>73725</x:v>
      </x:c>
      <x:c r="M247" t="n">
        <x:v>77313</x:v>
      </x:c>
      <x:c r="N247" t="n">
        <x:v>78435</x:v>
      </x:c>
      <x:c r="O247" t="n">
        <x:v>80375</x:v>
      </x:c>
    </x:row>
    <x:row r="248">
      <x:c r="A248" t="str">
        <x:v>Uttar Pradesh</x:v>
      </x:c>
      <x:c r="B248" t="str">
        <x:v>All India except Central University</x:v>
      </x:c>
      <x:c r="C248" t="str">
        <x:v>902822</x:v>
      </x:c>
      <x:c r="D248" t="str">
        <x:v>Autonomous State Medical College Kushinagar, Autonomous State Medical Collage, Kubersthan Road, Harka, Kushinagar</x:v>
      </x:c>
      <x:c r="E248" t="str">
        <x:v>All India</x:v>
      </x:c>
      <x:c r="F248" t="str">
        <x:v>EWS</x:v>
      </x:c>
      <x:c r="G248" t="n">
        <x:v>2</x:v>
      </x:c>
      <x:c r="H248" t="n">
        <x:v>2</x:v>
      </x:c>
      <x:c r="I248" t="n">
        <x:f>G248-H248</x:f>
        <x:v>0</x:v>
      </x:c>
      <x:c r="J248" s="20" t="n">
        <x:f>IFERROR(H248/G248,0)</x:f>
        <x:v>1</x:v>
      </x:c>
      <x:c r="K248" t="n">
        <x:v>18149</x:v>
      </x:c>
      <x:c r="L248" t="n">
        <x:v>18514.5</x:v>
      </x:c>
      <x:c r="M248" t="n">
        <x:v>18880</x:v>
      </x:c>
      <x:c r="N248" t="n">
        <x:v>19245.5</x:v>
      </x:c>
      <x:c r="O248" t="n">
        <x:v>19611</x:v>
      </x:c>
    </x:row>
    <x:row r="249">
      <x:c r="A249" t="str">
        <x:v>Uttar Pradesh</x:v>
      </x:c>
      <x:c r="B249" t="str">
        <x:v>All India except Central University</x:v>
      </x:c>
      <x:c r="C249" t="str">
        <x:v>902822</x:v>
      </x:c>
      <x:c r="D249" t="str">
        <x:v>Autonomous State Medical College Kushinagar, Autonomous State Medical Collage, Kubersthan Road, Harka, Kushinagar</x:v>
      </x:c>
      <x:c r="E249" t="str">
        <x:v>All India</x:v>
      </x:c>
      <x:c r="F249" t="str">
        <x:v>OBC</x:v>
      </x:c>
      <x:c r="G249" t="n">
        <x:v>4</x:v>
      </x:c>
      <x:c r="H249" t="n">
        <x:v>4</x:v>
      </x:c>
      <x:c r="I249" t="n">
        <x:f>G249-H249</x:f>
        <x:v>0</x:v>
      </x:c>
      <x:c r="J249" s="20" t="n">
        <x:f>IFERROR(H249/G249,0)</x:f>
        <x:v>1</x:v>
      </x:c>
      <x:c r="K249" t="n">
        <x:v>16376</x:v>
      </x:c>
      <x:c r="L249" t="n">
        <x:v>16499.75</x:v>
      </x:c>
      <x:c r="M249" t="n">
        <x:v>16702</x:v>
      </x:c>
      <x:c r="N249" t="n">
        <x:v>16877</x:v>
      </x:c>
      <x:c r="O249" t="n">
        <x:v>16919</x:v>
      </x:c>
    </x:row>
    <x:row r="250">
      <x:c r="A250" t="str">
        <x:v>Uttar Pradesh</x:v>
      </x:c>
      <x:c r="B250" t="str">
        <x:v>All India except Central University</x:v>
      </x:c>
      <x:c r="C250" t="str">
        <x:v>902822</x:v>
      </x:c>
      <x:c r="D250" t="str">
        <x:v>Autonomous State Medical College Kushinagar, Autonomous State Medical Collage, Kubersthan Road, Harka, Kushinagar</x:v>
      </x:c>
      <x:c r="E250" t="str">
        <x:v>All India</x:v>
      </x:c>
      <x:c r="F250" t="str">
        <x:v>Open</x:v>
      </x:c>
      <x:c r="G250" t="n">
        <x:v>5</x:v>
      </x:c>
      <x:c r="H250" t="n">
        <x:v>5</x:v>
      </x:c>
      <x:c r="I250" t="n">
        <x:f>G250-H250</x:f>
        <x:v>0</x:v>
      </x:c>
      <x:c r="J250" s="20" t="n">
        <x:f>IFERROR(H250/G250,0)</x:f>
        <x:v>1</x:v>
      </x:c>
      <x:c r="K250" t="n">
        <x:v>13044</x:v>
      </x:c>
      <x:c r="L250" t="n">
        <x:v>13902</x:v>
      </x:c>
      <x:c r="M250" t="n">
        <x:v>15278</x:v>
      </x:c>
      <x:c r="N250" t="n">
        <x:v>15348</x:v>
      </x:c>
      <x:c r="O250" t="n">
        <x:v>15703</x:v>
      </x:c>
    </x:row>
    <x:row r="251">
      <x:c r="A251" t="str">
        <x:v>Uttar Pradesh</x:v>
      </x:c>
      <x:c r="B251" t="str">
        <x:v>All India except Central University</x:v>
      </x:c>
      <x:c r="C251" t="str">
        <x:v>902822</x:v>
      </x:c>
      <x:c r="D251" t="str">
        <x:v>Autonomous State Medical College Kushinagar, Autonomous State Medical Collage, Kubersthan Road, Harka, Kushinagar</x:v>
      </x:c>
      <x:c r="E251" t="str">
        <x:v>All India</x:v>
      </x:c>
      <x:c r="F251" t="str">
        <x:v>SC</x:v>
      </x:c>
      <x:c r="G251" t="n">
        <x:v>3</x:v>
      </x:c>
      <x:c r="H251" t="n">
        <x:v>3</x:v>
      </x:c>
      <x:c r="I251" t="n">
        <x:f>G251-H251</x:f>
        <x:v>0</x:v>
      </x:c>
      <x:c r="J251" s="20" t="n">
        <x:f>IFERROR(H251/G251,0)</x:f>
        <x:v>1</x:v>
      </x:c>
      <x:c r="K251" t="n">
        <x:v>72878</x:v>
      </x:c>
      <x:c r="L251" t="n">
        <x:v>77841.5</x:v>
      </x:c>
      <x:c r="M251" t="n">
        <x:v>82805</x:v>
      </x:c>
      <x:c r="N251" t="n">
        <x:v>83010.5</x:v>
      </x:c>
      <x:c r="O251" t="n">
        <x:v>83216</x:v>
      </x:c>
    </x:row>
    <x:row r="252">
      <x:c r="A252" t="str">
        <x:v>Uttar Pradesh</x:v>
      </x:c>
      <x:c r="B252" t="str">
        <x:v>All India except Central University</x:v>
      </x:c>
      <x:c r="C252" t="str">
        <x:v>902822</x:v>
      </x:c>
      <x:c r="D252" t="str">
        <x:v>Autonomous State Medical College Kushinagar, Autonomous State Medical Collage, Kubersthan Road, Harka, Kushinagar</x:v>
      </x:c>
      <x:c r="E252" t="str">
        <x:v>All India</x:v>
      </x:c>
      <x:c r="F252" t="str">
        <x:v>ST</x:v>
      </x:c>
      <x:c r="G252" t="n">
        <x:v>1</x:v>
      </x:c>
      <x:c r="H252" t="n">
        <x:v>1</x:v>
      </x:c>
      <x:c r="I252" t="n">
        <x:f>G252-H252</x:f>
        <x:v>0</x:v>
      </x:c>
      <x:c r="J252" s="20" t="n">
        <x:f>IFERROR(H252/G252,0)</x:f>
        <x:v>1</x:v>
      </x:c>
      <x:c r="K252" t="n">
        <x:v>105980</x:v>
      </x:c>
      <x:c r="L252" t="n">
        <x:v>105980</x:v>
      </x:c>
      <x:c r="M252" t="n">
        <x:v>105980</x:v>
      </x:c>
      <x:c r="N252" t="n">
        <x:v>105980</x:v>
      </x:c>
      <x:c r="O252" t="n">
        <x:v>105980</x:v>
      </x:c>
    </x:row>
    <x:row r="253">
      <x:c r="A253" t="str">
        <x:v>Uttar Pradesh</x:v>
      </x:c>
      <x:c r="B253" t="str">
        <x:v>All India except Central University</x:v>
      </x:c>
      <x:c r="C253" t="str">
        <x:v>902824</x:v>
      </x:c>
      <x:c r="D253" t="str">
        <x:v>Autonomous State Medical College Lalitpur, Amarpur Galla Mandi Jhansi Road Lalitpur</x:v>
      </x:c>
      <x:c r="E253" t="str">
        <x:v>All India</x:v>
      </x:c>
      <x:c r="F253" t="str">
        <x:v>EWS</x:v>
      </x:c>
      <x:c r="G253" t="n">
        <x:v>1</x:v>
      </x:c>
      <x:c r="H253" t="n">
        <x:v>1</x:v>
      </x:c>
      <x:c r="I253" t="n">
        <x:f>G253-H253</x:f>
        <x:v>0</x:v>
      </x:c>
      <x:c r="J253" s="20" t="n">
        <x:f>IFERROR(H253/G253,0)</x:f>
        <x:v>1</x:v>
      </x:c>
      <x:c r="K253" t="n">
        <x:v>17215</x:v>
      </x:c>
      <x:c r="L253" t="n">
        <x:v>17215</x:v>
      </x:c>
      <x:c r="M253" t="n">
        <x:v>17215</x:v>
      </x:c>
      <x:c r="N253" t="n">
        <x:v>17215</x:v>
      </x:c>
      <x:c r="O253" t="n">
        <x:v>17215</x:v>
      </x:c>
    </x:row>
    <x:row r="254">
      <x:c r="A254" t="str">
        <x:v>Uttar Pradesh</x:v>
      </x:c>
      <x:c r="B254" t="str">
        <x:v>All India except Central University</x:v>
      </x:c>
      <x:c r="C254" t="str">
        <x:v>902824</x:v>
      </x:c>
      <x:c r="D254" t="str">
        <x:v>Autonomous State Medical College Lalitpur, Amarpur Galla Mandi Jhansi Road Lalitpur</x:v>
      </x:c>
      <x:c r="E254" t="str">
        <x:v>All India</x:v>
      </x:c>
      <x:c r="F254" t="str">
        <x:v>OBC</x:v>
      </x:c>
      <x:c r="G254" t="n">
        <x:v>4</x:v>
      </x:c>
      <x:c r="H254" t="n">
        <x:v>4</x:v>
      </x:c>
      <x:c r="I254" t="n">
        <x:f>G254-H254</x:f>
        <x:v>0</x:v>
      </x:c>
      <x:c r="J254" s="20" t="n">
        <x:f>IFERROR(H254/G254,0)</x:f>
        <x:v>1</x:v>
      </x:c>
      <x:c r="K254" t="n">
        <x:v>16810</x:v>
      </x:c>
      <x:c r="L254" t="n">
        <x:v>16972.75</x:v>
      </x:c>
      <x:c r="M254" t="n">
        <x:v>17041.5</x:v>
      </x:c>
      <x:c r="N254" t="n">
        <x:v>17060.25</x:v>
      </x:c>
      <x:c r="O254" t="n">
        <x:v>17073</x:v>
      </x:c>
    </x:row>
    <x:row r="255">
      <x:c r="A255" t="str">
        <x:v>Uttar Pradesh</x:v>
      </x:c>
      <x:c r="B255" t="str">
        <x:v>All India except Central University</x:v>
      </x:c>
      <x:c r="C255" t="str">
        <x:v>902824</x:v>
      </x:c>
      <x:c r="D255" t="str">
        <x:v>Autonomous State Medical College Lalitpur, Amarpur Galla Mandi Jhansi Road Lalitpur</x:v>
      </x:c>
      <x:c r="E255" t="str">
        <x:v>All India</x:v>
      </x:c>
      <x:c r="F255" t="str">
        <x:v>Open</x:v>
      </x:c>
      <x:c r="G255" t="n">
        <x:v>7</x:v>
      </x:c>
      <x:c r="H255" t="n">
        <x:v>7</x:v>
      </x:c>
      <x:c r="I255" t="n">
        <x:f>G255-H255</x:f>
        <x:v>0</x:v>
      </x:c>
      <x:c r="J255" s="20" t="n">
        <x:f>IFERROR(H255/G255,0)</x:f>
        <x:v>1</x:v>
      </x:c>
      <x:c r="K255" t="n">
        <x:v>14560</x:v>
      </x:c>
      <x:c r="L255" t="n">
        <x:v>15025</x:v>
      </x:c>
      <x:c r="M255" t="n">
        <x:v>16659</x:v>
      </x:c>
      <x:c r="N255" t="n">
        <x:v>16701.5</x:v>
      </x:c>
      <x:c r="O255" t="n">
        <x:v>16795</x:v>
      </x:c>
    </x:row>
    <x:row r="256">
      <x:c r="A256" t="str">
        <x:v>Uttar Pradesh</x:v>
      </x:c>
      <x:c r="B256" t="str">
        <x:v>All India except Central University</x:v>
      </x:c>
      <x:c r="C256" t="str">
        <x:v>902824</x:v>
      </x:c>
      <x:c r="D256" t="str">
        <x:v>Autonomous State Medical College Lalitpur, Amarpur Galla Mandi Jhansi Road Lalitpur</x:v>
      </x:c>
      <x:c r="E256" t="str">
        <x:v>All India</x:v>
      </x:c>
      <x:c r="F256" t="str">
        <x:v>SC</x:v>
      </x:c>
      <x:c r="G256" t="n">
        <x:v>2</x:v>
      </x:c>
      <x:c r="H256" t="n">
        <x:v>2</x:v>
      </x:c>
      <x:c r="I256" t="n">
        <x:f>G256-H256</x:f>
        <x:v>0</x:v>
      </x:c>
      <x:c r="J256" s="20" t="n">
        <x:f>IFERROR(H256/G256,0)</x:f>
        <x:v>1</x:v>
      </x:c>
      <x:c r="K256" t="n">
        <x:v>66837</x:v>
      </x:c>
      <x:c r="L256" t="n">
        <x:v>69702.5</x:v>
      </x:c>
      <x:c r="M256" t="n">
        <x:v>72568</x:v>
      </x:c>
      <x:c r="N256" t="n">
        <x:v>75433.5</x:v>
      </x:c>
      <x:c r="O256" t="n">
        <x:v>78299</x:v>
      </x:c>
    </x:row>
    <x:row r="257">
      <x:c r="A257" t="str">
        <x:v>Uttar Pradesh</x:v>
      </x:c>
      <x:c r="B257" t="str">
        <x:v>All India except Central University</x:v>
      </x:c>
      <x:c r="C257" t="str">
        <x:v>902824</x:v>
      </x:c>
      <x:c r="D257" t="str">
        <x:v>Autonomous State Medical College Lalitpur, Amarpur Galla Mandi Jhansi Road Lalitpur</x:v>
      </x:c>
      <x:c r="E257" t="str">
        <x:v>All India</x:v>
      </x:c>
      <x:c r="F257" t="str">
        <x:v>ST</x:v>
      </x:c>
      <x:c r="G257" t="n">
        <x:v>1</x:v>
      </x:c>
      <x:c r="H257" t="n">
        <x:v>1</x:v>
      </x:c>
      <x:c r="I257" t="n">
        <x:f>G257-H257</x:f>
        <x:v>0</x:v>
      </x:c>
      <x:c r="J257" s="20" t="n">
        <x:f>IFERROR(H257/G257,0)</x:f>
        <x:v>1</x:v>
      </x:c>
      <x:c r="K257" t="n">
        <x:v>97870</x:v>
      </x:c>
      <x:c r="L257" t="n">
        <x:v>97870</x:v>
      </x:c>
      <x:c r="M257" t="n">
        <x:v>97870</x:v>
      </x:c>
      <x:c r="N257" t="n">
        <x:v>97870</x:v>
      </x:c>
      <x:c r="O257" t="n">
        <x:v>97870</x:v>
      </x:c>
    </x:row>
    <x:row r="258">
      <x:c r="A258" t="str">
        <x:v>Uttar Pradesh</x:v>
      </x:c>
      <x:c r="B258" t="str">
        <x:v>All India except Central University</x:v>
      </x:c>
      <x:c r="C258" t="str">
        <x:v>902813</x:v>
      </x:c>
      <x:c r="D258" t="str">
        <x:v>Autonomous State Medical College Pilibhit, SH26 Bithaura Kalan Puranpur Road Pilibhit</x:v>
      </x:c>
      <x:c r="E258" t="str">
        <x:v>All India</x:v>
      </x:c>
      <x:c r="F258" t="str">
        <x:v>EWS</x:v>
      </x:c>
      <x:c r="G258" t="n">
        <x:v>2</x:v>
      </x:c>
      <x:c r="H258" t="n">
        <x:v>2</x:v>
      </x:c>
      <x:c r="I258" t="n">
        <x:f>G258-H258</x:f>
        <x:v>0</x:v>
      </x:c>
      <x:c r="J258" s="20" t="n">
        <x:f>IFERROR(H258/G258,0)</x:f>
        <x:v>1</x:v>
      </x:c>
      <x:c r="K258" t="n">
        <x:v>16833</x:v>
      </x:c>
      <x:c r="L258" t="n">
        <x:v>16886.75</x:v>
      </x:c>
      <x:c r="M258" t="n">
        <x:v>16940.5</x:v>
      </x:c>
      <x:c r="N258" t="n">
        <x:v>16994.25</x:v>
      </x:c>
      <x:c r="O258" t="n">
        <x:v>17048</x:v>
      </x:c>
    </x:row>
    <x:row r="259">
      <x:c r="A259" t="str">
        <x:v>Uttar Pradesh</x:v>
      </x:c>
      <x:c r="B259" t="str">
        <x:v>All India except Central University</x:v>
      </x:c>
      <x:c r="C259" t="str">
        <x:v>902813</x:v>
      </x:c>
      <x:c r="D259" t="str">
        <x:v>Autonomous State Medical College Pilibhit, SH26 Bithaura Kalan Puranpur Road Pilibhit</x:v>
      </x:c>
      <x:c r="E259" t="str">
        <x:v>All India</x:v>
      </x:c>
      <x:c r="F259" t="str">
        <x:v>OBC</x:v>
      </x:c>
      <x:c r="G259" t="n">
        <x:v>3</x:v>
      </x:c>
      <x:c r="H259" t="n">
        <x:v>3</x:v>
      </x:c>
      <x:c r="I259" t="n">
        <x:f>G259-H259</x:f>
        <x:v>0</x:v>
      </x:c>
      <x:c r="J259" s="20" t="n">
        <x:f>IFERROR(H259/G259,0)</x:f>
        <x:v>1</x:v>
      </x:c>
      <x:c r="K259" t="n">
        <x:v>16414</x:v>
      </x:c>
      <x:c r="L259" t="n">
        <x:v>16504</x:v>
      </x:c>
      <x:c r="M259" t="n">
        <x:v>16594</x:v>
      </x:c>
      <x:c r="N259" t="n">
        <x:v>16597</x:v>
      </x:c>
      <x:c r="O259" t="n">
        <x:v>16600</x:v>
      </x:c>
    </x:row>
    <x:row r="260">
      <x:c r="A260" t="str">
        <x:v>Uttar Pradesh</x:v>
      </x:c>
      <x:c r="B260" t="str">
        <x:v>All India except Central University</x:v>
      </x:c>
      <x:c r="C260" t="str">
        <x:v>902813</x:v>
      </x:c>
      <x:c r="D260" t="str">
        <x:v>Autonomous State Medical College Pilibhit, SH26 Bithaura Kalan Puranpur Road Pilibhit</x:v>
      </x:c>
      <x:c r="E260" t="str">
        <x:v>All India</x:v>
      </x:c>
      <x:c r="F260" t="str">
        <x:v>OBC PwD</x:v>
      </x:c>
      <x:c r="G260" t="n">
        <x:v>1</x:v>
      </x:c>
      <x:c r="H260" t="n">
        <x:v>1</x:v>
      </x:c>
      <x:c r="I260" t="n">
        <x:f>G260-H260</x:f>
        <x:v>0</x:v>
      </x:c>
      <x:c r="J260" s="20" t="n">
        <x:f>IFERROR(H260/G260,0)</x:f>
        <x:v>1</x:v>
      </x:c>
      <x:c r="K260" t="n">
        <x:v>482008</x:v>
      </x:c>
      <x:c r="L260" t="n">
        <x:v>482008</x:v>
      </x:c>
      <x:c r="M260" t="n">
        <x:v>482008</x:v>
      </x:c>
      <x:c r="N260" t="n">
        <x:v>482008</x:v>
      </x:c>
      <x:c r="O260" t="n">
        <x:v>482008</x:v>
      </x:c>
    </x:row>
    <x:row r="261">
      <x:c r="A261" t="str">
        <x:v>Uttar Pradesh</x:v>
      </x:c>
      <x:c r="B261" t="str">
        <x:v>All India except Central University</x:v>
      </x:c>
      <x:c r="C261" t="str">
        <x:v>902813</x:v>
      </x:c>
      <x:c r="D261" t="str">
        <x:v>Autonomous State Medical College Pilibhit, SH26 Bithaura Kalan Puranpur Road Pilibhit</x:v>
      </x:c>
      <x:c r="E261" t="str">
        <x:v>All India</x:v>
      </x:c>
      <x:c r="F261" t="str">
        <x:v>Open</x:v>
      </x:c>
      <x:c r="G261" t="n">
        <x:v>6</x:v>
      </x:c>
      <x:c r="H261" t="n">
        <x:v>6</x:v>
      </x:c>
      <x:c r="I261" t="n">
        <x:f>G261-H261</x:f>
        <x:v>0</x:v>
      </x:c>
      <x:c r="J261" s="20" t="n">
        <x:f>IFERROR(H261/G261,0)</x:f>
        <x:v>1</x:v>
      </x:c>
      <x:c r="K261" t="n">
        <x:v>10694</x:v>
      </x:c>
      <x:c r="L261" t="n">
        <x:v>14622.25</x:v>
      </x:c>
      <x:c r="M261" t="n">
        <x:v>14724.5</x:v>
      </x:c>
      <x:c r="N261" t="n">
        <x:v>15402.75</x:v>
      </x:c>
      <x:c r="O261" t="n">
        <x:v>15637</x:v>
      </x:c>
    </x:row>
    <x:row r="262">
      <x:c r="A262" t="str">
        <x:v>Uttar Pradesh</x:v>
      </x:c>
      <x:c r="B262" t="str">
        <x:v>All India except Central University</x:v>
      </x:c>
      <x:c r="C262" t="str">
        <x:v>902813</x:v>
      </x:c>
      <x:c r="D262" t="str">
        <x:v>Autonomous State Medical College Pilibhit, SH26 Bithaura Kalan Puranpur Road Pilibhit</x:v>
      </x:c>
      <x:c r="E262" t="str">
        <x:v>All India</x:v>
      </x:c>
      <x:c r="F262" t="str">
        <x:v>SC</x:v>
      </x:c>
      <x:c r="G262" t="n">
        <x:v>2</x:v>
      </x:c>
      <x:c r="H262" t="n">
        <x:v>2</x:v>
      </x:c>
      <x:c r="I262" t="n">
        <x:f>G262-H262</x:f>
        <x:v>0</x:v>
      </x:c>
      <x:c r="J262" s="20" t="n">
        <x:f>IFERROR(H262/G262,0)</x:f>
        <x:v>1</x:v>
      </x:c>
      <x:c r="K262" t="n">
        <x:v>83814</x:v>
      </x:c>
      <x:c r="L262" t="n">
        <x:v>84093.75</x:v>
      </x:c>
      <x:c r="M262" t="n">
        <x:v>84373.5</x:v>
      </x:c>
      <x:c r="N262" t="n">
        <x:v>84653.25</x:v>
      </x:c>
      <x:c r="O262" t="n">
        <x:v>84933</x:v>
      </x:c>
    </x:row>
    <x:row r="263">
      <x:c r="A263" t="str">
        <x:v>Uttar Pradesh</x:v>
      </x:c>
      <x:c r="B263" t="str">
        <x:v>All India except Central University</x:v>
      </x:c>
      <x:c r="C263" t="str">
        <x:v>902813</x:v>
      </x:c>
      <x:c r="D263" t="str">
        <x:v>Autonomous State Medical College Pilibhit, SH26 Bithaura Kalan Puranpur Road Pilibhit</x:v>
      </x:c>
      <x:c r="E263" t="str">
        <x:v>All India</x:v>
      </x:c>
      <x:c r="F263" t="str">
        <x:v>ST</x:v>
      </x:c>
      <x:c r="G263" t="n">
        <x:v>1</x:v>
      </x:c>
      <x:c r="H263" t="n">
        <x:v>1</x:v>
      </x:c>
      <x:c r="I263" t="n">
        <x:f>G263-H263</x:f>
        <x:v>0</x:v>
      </x:c>
      <x:c r="J263" s="20" t="n">
        <x:f>IFERROR(H263/G263,0)</x:f>
        <x:v>1</x:v>
      </x:c>
      <x:c r="K263" t="n">
        <x:v>103777</x:v>
      </x:c>
      <x:c r="L263" t="n">
        <x:v>103777</x:v>
      </x:c>
      <x:c r="M263" t="n">
        <x:v>103777</x:v>
      </x:c>
      <x:c r="N263" t="n">
        <x:v>103777</x:v>
      </x:c>
      <x:c r="O263" t="n">
        <x:v>103777</x:v>
      </x:c>
    </x:row>
    <x:row r="264">
      <x:c r="A264" t="str">
        <x:v>Uttar Pradesh</x:v>
      </x:c>
      <x:c r="B264" t="str">
        <x:v>All India except Central University</x:v>
      </x:c>
      <x:c r="C264" t="str">
        <x:v>200554</x:v>
      </x:c>
      <x:c r="D264" t="str">
        <x:v>Autonomous State Medical College Pratapgarh, Pure Keshav Rai Gay Ghat Road Pratapgarh</x:v>
      </x:c>
      <x:c r="E264" t="str">
        <x:v>All India</x:v>
      </x:c>
      <x:c r="F264" t="str">
        <x:v>EWS</x:v>
      </x:c>
      <x:c r="G264" t="n">
        <x:v>1</x:v>
      </x:c>
      <x:c r="H264" t="n">
        <x:v>1</x:v>
      </x:c>
      <x:c r="I264" t="n">
        <x:f>G264-H264</x:f>
        <x:v>0</x:v>
      </x:c>
      <x:c r="J264" s="20" t="n">
        <x:f>IFERROR(H264/G264,0)</x:f>
        <x:v>1</x:v>
      </x:c>
      <x:c r="K264" t="n">
        <x:v>16395</x:v>
      </x:c>
      <x:c r="L264" t="n">
        <x:v>16395</x:v>
      </x:c>
      <x:c r="M264" t="n">
        <x:v>16395</x:v>
      </x:c>
      <x:c r="N264" t="n">
        <x:v>16395</x:v>
      </x:c>
      <x:c r="O264" t="n">
        <x:v>16395</x:v>
      </x:c>
    </x:row>
    <x:row r="265">
      <x:c r="A265" t="str">
        <x:v>Uttar Pradesh</x:v>
      </x:c>
      <x:c r="B265" t="str">
        <x:v>All India except Central University</x:v>
      </x:c>
      <x:c r="C265" t="str">
        <x:v>200554</x:v>
      </x:c>
      <x:c r="D265" t="str">
        <x:v>Autonomous State Medical College Pratapgarh, Pure Keshav Rai Gay Ghat Road Pratapgarh</x:v>
      </x:c>
      <x:c r="E265" t="str">
        <x:v>All India</x:v>
      </x:c>
      <x:c r="F265" t="str">
        <x:v>EWS PwD</x:v>
      </x:c>
      <x:c r="G265" t="n">
        <x:v>1</x:v>
      </x:c>
      <x:c r="H265" t="n">
        <x:v>1</x:v>
      </x:c>
      <x:c r="I265" t="n">
        <x:f>G265-H265</x:f>
        <x:v>0</x:v>
      </x:c>
      <x:c r="J265" s="20" t="n">
        <x:f>IFERROR(H265/G265,0)</x:f>
        <x:v>1</x:v>
      </x:c>
      <x:c r="K265" t="n">
        <x:v>669790</x:v>
      </x:c>
      <x:c r="L265" t="n">
        <x:v>669790</x:v>
      </x:c>
      <x:c r="M265" t="n">
        <x:v>669790</x:v>
      </x:c>
      <x:c r="N265" t="n">
        <x:v>669790</x:v>
      </x:c>
      <x:c r="O265" t="n">
        <x:v>669790</x:v>
      </x:c>
    </x:row>
    <x:row r="266">
      <x:c r="A266" t="str">
        <x:v>Uttar Pradesh</x:v>
      </x:c>
      <x:c r="B266" t="str">
        <x:v>All India except Central University</x:v>
      </x:c>
      <x:c r="C266" t="str">
        <x:v>200554</x:v>
      </x:c>
      <x:c r="D266" t="str">
        <x:v>Autonomous State Medical College Pratapgarh, Pure Keshav Rai Gay Ghat Road Pratapgarh</x:v>
      </x:c>
      <x:c r="E266" t="str">
        <x:v>All India</x:v>
      </x:c>
      <x:c r="F266" t="str">
        <x:v>OBC</x:v>
      </x:c>
      <x:c r="G266" t="n">
        <x:v>4</x:v>
      </x:c>
      <x:c r="H266" t="n">
        <x:v>4</x:v>
      </x:c>
      <x:c r="I266" t="n">
        <x:f>G266-H266</x:f>
        <x:v>0</x:v>
      </x:c>
      <x:c r="J266" s="20" t="n">
        <x:f>IFERROR(H266/G266,0)</x:f>
        <x:v>1</x:v>
      </x:c>
      <x:c r="K266" t="n">
        <x:v>14382</x:v>
      </x:c>
      <x:c r="L266" t="n">
        <x:v>14985</x:v>
      </x:c>
      <x:c r="M266" t="n">
        <x:v>15234.5</x:v>
      </x:c>
      <x:c r="N266" t="n">
        <x:v>15470.25</x:v>
      </x:c>
      <x:c r="O266" t="n">
        <x:v>16032</x:v>
      </x:c>
    </x:row>
    <x:row r="267">
      <x:c r="A267" t="str">
        <x:v>Uttar Pradesh</x:v>
      </x:c>
      <x:c r="B267" t="str">
        <x:v>All India except Central University</x:v>
      </x:c>
      <x:c r="C267" t="str">
        <x:v>200554</x:v>
      </x:c>
      <x:c r="D267" t="str">
        <x:v>Autonomous State Medical College Pratapgarh, Pure Keshav Rai Gay Ghat Road Pratapgarh</x:v>
      </x:c>
      <x:c r="E267" t="str">
        <x:v>All India</x:v>
      </x:c>
      <x:c r="F267" t="str">
        <x:v>Open</x:v>
      </x:c>
      <x:c r="G267" t="n">
        <x:v>3</x:v>
      </x:c>
      <x:c r="H267" t="n">
        <x:v>3</x:v>
      </x:c>
      <x:c r="I267" t="n">
        <x:f>G267-H267</x:f>
        <x:v>0</x:v>
      </x:c>
      <x:c r="J267" s="20" t="n">
        <x:f>IFERROR(H267/G267,0)</x:f>
        <x:v>1</x:v>
      </x:c>
      <x:c r="K267" t="n">
        <x:v>13143</x:v>
      </x:c>
      <x:c r="L267" t="n">
        <x:v>13215</x:v>
      </x:c>
      <x:c r="M267" t="n">
        <x:v>13287</x:v>
      </x:c>
      <x:c r="N267" t="n">
        <x:v>13649</x:v>
      </x:c>
      <x:c r="O267" t="n">
        <x:v>14011</x:v>
      </x:c>
    </x:row>
    <x:row r="268">
      <x:c r="A268" t="str">
        <x:v>Uttar Pradesh</x:v>
      </x:c>
      <x:c r="B268" t="str">
        <x:v>All India except Central University</x:v>
      </x:c>
      <x:c r="C268" t="str">
        <x:v>200554</x:v>
      </x:c>
      <x:c r="D268" t="str">
        <x:v>Autonomous State Medical College Pratapgarh, Pure Keshav Rai Gay Ghat Road Pratapgarh</x:v>
      </x:c>
      <x:c r="E268" t="str">
        <x:v>All India</x:v>
      </x:c>
      <x:c r="F268" t="str">
        <x:v>Open PwD</x:v>
      </x:c>
      <x:c r="G268" t="n">
        <x:v>1</x:v>
      </x:c>
      <x:c r="H268" t="n">
        <x:v>1</x:v>
      </x:c>
      <x:c r="I268" t="n">
        <x:f>G268-H268</x:f>
        <x:v>0</x:v>
      </x:c>
      <x:c r="J268" s="20" t="n">
        <x:f>IFERROR(H268/G268,0)</x:f>
        <x:v>1</x:v>
      </x:c>
      <x:c r="K268" t="n">
        <x:v>539008</x:v>
      </x:c>
      <x:c r="L268" t="n">
        <x:v>539008</x:v>
      </x:c>
      <x:c r="M268" t="n">
        <x:v>539008</x:v>
      </x:c>
      <x:c r="N268" t="n">
        <x:v>539008</x:v>
      </x:c>
      <x:c r="O268" t="n">
        <x:v>539008</x:v>
      </x:c>
    </x:row>
    <x:row r="269">
      <x:c r="A269" t="str">
        <x:v>Uttar Pradesh</x:v>
      </x:c>
      <x:c r="B269" t="str">
        <x:v>All India except Central University</x:v>
      </x:c>
      <x:c r="C269" t="str">
        <x:v>200554</x:v>
      </x:c>
      <x:c r="D269" t="str">
        <x:v>Autonomous State Medical College Pratapgarh, Pure Keshav Rai Gay Ghat Road Pratapgarh</x:v>
      </x:c>
      <x:c r="E269" t="str">
        <x:v>All India</x:v>
      </x:c>
      <x:c r="F269" t="str">
        <x:v>SC</x:v>
      </x:c>
      <x:c r="G269" t="n">
        <x:v>2</x:v>
      </x:c>
      <x:c r="H269" t="n">
        <x:v>2</x:v>
      </x:c>
      <x:c r="I269" t="n">
        <x:f>G269-H269</x:f>
        <x:v>0</x:v>
      </x:c>
      <x:c r="J269" s="20" t="n">
        <x:f>IFERROR(H269/G269,0)</x:f>
        <x:v>1</x:v>
      </x:c>
      <x:c r="K269" t="n">
        <x:v>82170</x:v>
      </x:c>
      <x:c r="L269" t="n">
        <x:v>82345.5</x:v>
      </x:c>
      <x:c r="M269" t="n">
        <x:v>82521</x:v>
      </x:c>
      <x:c r="N269" t="n">
        <x:v>82696.5</x:v>
      </x:c>
      <x:c r="O269" t="n">
        <x:v>82872</x:v>
      </x:c>
    </x:row>
    <x:row r="270">
      <x:c r="A270" t="str">
        <x:v>Uttar Pradesh</x:v>
      </x:c>
      <x:c r="B270" t="str">
        <x:v>All India except Central University</x:v>
      </x:c>
      <x:c r="C270" t="str">
        <x:v>200554</x:v>
      </x:c>
      <x:c r="D270" t="str">
        <x:v>Autonomous State Medical College Pratapgarh, Pure Keshav Rai Gay Ghat Road Pratapgarh</x:v>
      </x:c>
      <x:c r="E270" t="str">
        <x:v>All India</x:v>
      </x:c>
      <x:c r="F270" t="str">
        <x:v>SC PwD</x:v>
      </x:c>
      <x:c r="G270" t="n">
        <x:v>1</x:v>
      </x:c>
      <x:c r="H270" t="n">
        <x:v>1</x:v>
      </x:c>
      <x:c r="I270" t="n">
        <x:f>G270-H270</x:f>
        <x:v>0</x:v>
      </x:c>
      <x:c r="J270" s="20" t="n">
        <x:f>IFERROR(H270/G270,0)</x:f>
        <x:v>1</x:v>
      </x:c>
      <x:c r="K270" t="n">
        <x:v>946495</x:v>
      </x:c>
      <x:c r="L270" t="n">
        <x:v>946495</x:v>
      </x:c>
      <x:c r="M270" t="n">
        <x:v>946495</x:v>
      </x:c>
      <x:c r="N270" t="n">
        <x:v>946495</x:v>
      </x:c>
      <x:c r="O270" t="n">
        <x:v>946495</x:v>
      </x:c>
    </x:row>
    <x:row r="271">
      <x:c r="A271" t="str">
        <x:v>Uttar Pradesh</x:v>
      </x:c>
      <x:c r="B271" t="str">
        <x:v>All India except Central University</x:v>
      </x:c>
      <x:c r="C271" t="str">
        <x:v>200554</x:v>
      </x:c>
      <x:c r="D271" t="str">
        <x:v>Autonomous State Medical College Pratapgarh, Pure Keshav Rai Gay Ghat Road Pratapgarh</x:v>
      </x:c>
      <x:c r="E271" t="str">
        <x:v>All India</x:v>
      </x:c>
      <x:c r="F271" t="str">
        <x:v>ST</x:v>
      </x:c>
      <x:c r="G271" t="n">
        <x:v>2</x:v>
      </x:c>
      <x:c r="H271" t="n">
        <x:v>2</x:v>
      </x:c>
      <x:c r="I271" t="n">
        <x:f>G271-H271</x:f>
        <x:v>0</x:v>
      </x:c>
      <x:c r="J271" s="20" t="n">
        <x:f>IFERROR(H271/G271,0)</x:f>
        <x:v>1</x:v>
      </x:c>
      <x:c r="K271" t="n">
        <x:v>95298</x:v>
      </x:c>
      <x:c r="L271" t="n">
        <x:v>97818.5</x:v>
      </x:c>
      <x:c r="M271" t="n">
        <x:v>100339</x:v>
      </x:c>
      <x:c r="N271" t="n">
        <x:v>102859.5</x:v>
      </x:c>
      <x:c r="O271" t="n">
        <x:v>105380</x:v>
      </x:c>
    </x:row>
    <x:row r="272">
      <x:c r="A272" t="str">
        <x:v>Uttar Pradesh</x:v>
      </x:c>
      <x:c r="B272" t="str">
        <x:v>All India except Central University</x:v>
      </x:c>
      <x:c r="C272" t="str">
        <x:v>200556</x:v>
      </x:c>
      <x:c r="D272" t="str">
        <x:v>Autonomous State Medical College Society Ghazipur, R.T.I. Ground, Ghazipur (U.P) (233001)</x:v>
      </x:c>
      <x:c r="E272" t="str">
        <x:v>All India</x:v>
      </x:c>
      <x:c r="F272" t="str">
        <x:v>EWS</x:v>
      </x:c>
      <x:c r="G272" t="n">
        <x:v>1</x:v>
      </x:c>
      <x:c r="H272" t="n">
        <x:v>1</x:v>
      </x:c>
      <x:c r="I272" t="n">
        <x:f>G272-H272</x:f>
        <x:v>0</x:v>
      </x:c>
      <x:c r="J272" s="20" t="n">
        <x:f>IFERROR(H272/G272,0)</x:f>
        <x:v>1</x:v>
      </x:c>
      <x:c r="K272" t="n">
        <x:v>17980</x:v>
      </x:c>
      <x:c r="L272" t="n">
        <x:v>17980</x:v>
      </x:c>
      <x:c r="M272" t="n">
        <x:v>17980</x:v>
      </x:c>
      <x:c r="N272" t="n">
        <x:v>17980</x:v>
      </x:c>
      <x:c r="O272" t="n">
        <x:v>17980</x:v>
      </x:c>
    </x:row>
    <x:row r="273">
      <x:c r="A273" t="str">
        <x:v>Uttar Pradesh</x:v>
      </x:c>
      <x:c r="B273" t="str">
        <x:v>All India except Central University</x:v>
      </x:c>
      <x:c r="C273" t="str">
        <x:v>200556</x:v>
      </x:c>
      <x:c r="D273" t="str">
        <x:v>Autonomous State Medical College Society Ghazipur, R.T.I. Ground, Ghazipur (U.P) (233001)</x:v>
      </x:c>
      <x:c r="E273" t="str">
        <x:v>All India</x:v>
      </x:c>
      <x:c r="F273" t="str">
        <x:v>OBC</x:v>
      </x:c>
      <x:c r="G273" t="n">
        <x:v>4</x:v>
      </x:c>
      <x:c r="H273" t="n">
        <x:v>4</x:v>
      </x:c>
      <x:c r="I273" t="n">
        <x:f>G273-H273</x:f>
        <x:v>0</x:v>
      </x:c>
      <x:c r="J273" s="20" t="n">
        <x:f>IFERROR(H273/G273,0)</x:f>
        <x:v>1</x:v>
      </x:c>
      <x:c r="K273" t="n">
        <x:v>16150</x:v>
      </x:c>
      <x:c r="L273" t="n">
        <x:v>16365.25</x:v>
      </x:c>
      <x:c r="M273" t="n">
        <x:v>16456.5</x:v>
      </x:c>
      <x:c r="N273" t="n">
        <x:v>16511</x:v>
      </x:c>
      <x:c r="O273" t="n">
        <x:v>16616</x:v>
      </x:c>
    </x:row>
    <x:row r="274">
      <x:c r="A274" t="str">
        <x:v>Uttar Pradesh</x:v>
      </x:c>
      <x:c r="B274" t="str">
        <x:v>All India except Central University</x:v>
      </x:c>
      <x:c r="C274" t="str">
        <x:v>200556</x:v>
      </x:c>
      <x:c r="D274" t="str">
        <x:v>Autonomous State Medical College Society Ghazipur, R.T.I. Ground, Ghazipur (U.P) (233001)</x:v>
      </x:c>
      <x:c r="E274" t="str">
        <x:v>All India</x:v>
      </x:c>
      <x:c r="F274" t="str">
        <x:v>Open</x:v>
      </x:c>
      <x:c r="G274" t="n">
        <x:v>8</x:v>
      </x:c>
      <x:c r="H274" t="n">
        <x:v>8</x:v>
      </x:c>
      <x:c r="I274" t="n">
        <x:f>G274-H274</x:f>
        <x:v>0</x:v>
      </x:c>
      <x:c r="J274" s="20" t="n">
        <x:f>IFERROR(H274/G274,0)</x:f>
        <x:v>1</x:v>
      </x:c>
      <x:c r="K274" t="n">
        <x:v>15270</x:v>
      </x:c>
      <x:c r="L274" t="n">
        <x:v>15552.75</x:v>
      </x:c>
      <x:c r="M274" t="n">
        <x:v>15948</x:v>
      </x:c>
      <x:c r="N274" t="n">
        <x:v>16074.25</x:v>
      </x:c>
      <x:c r="O274" t="n">
        <x:v>16111</x:v>
      </x:c>
    </x:row>
    <x:row r="275">
      <x:c r="A275" t="str">
        <x:v>Uttar Pradesh</x:v>
      </x:c>
      <x:c r="B275" t="str">
        <x:v>All India except Central University</x:v>
      </x:c>
      <x:c r="C275" t="str">
        <x:v>200556</x:v>
      </x:c>
      <x:c r="D275" t="str">
        <x:v>Autonomous State Medical College Society Ghazipur, R.T.I. Ground, Ghazipur (U.P) (233001)</x:v>
      </x:c>
      <x:c r="E275" t="str">
        <x:v>All India</x:v>
      </x:c>
      <x:c r="F275" t="str">
        <x:v>SC</x:v>
      </x:c>
      <x:c r="G275" t="n">
        <x:v>2</x:v>
      </x:c>
      <x:c r="H275" t="n">
        <x:v>2</x:v>
      </x:c>
      <x:c r="I275" t="n">
        <x:f>G275-H275</x:f>
        <x:v>0</x:v>
      </x:c>
      <x:c r="J275" s="20" t="n">
        <x:f>IFERROR(H275/G275,0)</x:f>
        <x:v>1</x:v>
      </x:c>
      <x:c r="K275" t="n">
        <x:v>82848</x:v>
      </x:c>
      <x:c r="L275" t="n">
        <x:v>83142.25</x:v>
      </x:c>
      <x:c r="M275" t="n">
        <x:v>83436.5</x:v>
      </x:c>
      <x:c r="N275" t="n">
        <x:v>83730.75</x:v>
      </x:c>
      <x:c r="O275" t="n">
        <x:v>84025</x:v>
      </x:c>
    </x:row>
    <x:row r="276">
      <x:c r="A276" t="str">
        <x:v>Uttar Pradesh</x:v>
      </x:c>
      <x:c r="B276" t="str">
        <x:v>All India except Central University</x:v>
      </x:c>
      <x:c r="C276" t="str">
        <x:v>200552</x:v>
      </x:c>
      <x:c r="D276" t="str">
        <x:v>Autonomous State Medical College Society, Etah, Uttar Pradesh, NAGLA PADIHAR SIRAO MAHARARA LINK, PAC ROAD, SAKEET, ETAH,U.P.- 207001</x:v>
      </x:c>
      <x:c r="E276" t="str">
        <x:v>All India</x:v>
      </x:c>
      <x:c r="F276" t="str">
        <x:v>EWS</x:v>
      </x:c>
      <x:c r="G276" t="n">
        <x:v>1</x:v>
      </x:c>
      <x:c r="H276" t="n">
        <x:v>1</x:v>
      </x:c>
      <x:c r="I276" t="n">
        <x:f>G276-H276</x:f>
        <x:v>0</x:v>
      </x:c>
      <x:c r="J276" s="20" t="n">
        <x:f>IFERROR(H276/G276,0)</x:f>
        <x:v>1</x:v>
      </x:c>
      <x:c r="K276" t="n">
        <x:v>12976</x:v>
      </x:c>
      <x:c r="L276" t="n">
        <x:v>12976</x:v>
      </x:c>
      <x:c r="M276" t="n">
        <x:v>12976</x:v>
      </x:c>
      <x:c r="N276" t="n">
        <x:v>12976</x:v>
      </x:c>
      <x:c r="O276" t="n">
        <x:v>12976</x:v>
      </x:c>
    </x:row>
    <x:row r="277">
      <x:c r="A277" t="str">
        <x:v>Uttar Pradesh</x:v>
      </x:c>
      <x:c r="B277" t="str">
        <x:v>All India except Central University</x:v>
      </x:c>
      <x:c r="C277" t="str">
        <x:v>200552</x:v>
      </x:c>
      <x:c r="D277" t="str">
        <x:v>Autonomous State Medical College Society, Etah, Uttar Pradesh, NAGLA PADIHAR SIRAO MAHARARA LINK, PAC ROAD, SAKEET, ETAH,U.P.- 207001</x:v>
      </x:c>
      <x:c r="E277" t="str">
        <x:v>All India</x:v>
      </x:c>
      <x:c r="F277" t="str">
        <x:v>OBC</x:v>
      </x:c>
      <x:c r="G277" t="n">
        <x:v>4</x:v>
      </x:c>
      <x:c r="H277" t="n">
        <x:v>4</x:v>
      </x:c>
      <x:c r="I277" t="n">
        <x:f>G277-H277</x:f>
        <x:v>0</x:v>
      </x:c>
      <x:c r="J277" s="20" t="n">
        <x:f>IFERROR(H277/G277,0)</x:f>
        <x:v>1</x:v>
      </x:c>
      <x:c r="K277" t="n">
        <x:v>12991</x:v>
      </x:c>
      <x:c r="L277" t="n">
        <x:v>13053.25</x:v>
      </x:c>
      <x:c r="M277" t="n">
        <x:v>13143</x:v>
      </x:c>
      <x:c r="N277" t="n">
        <x:v>13214.5</x:v>
      </x:c>
      <x:c r="O277" t="n">
        <x:v>13222</x:v>
      </x:c>
    </x:row>
    <x:row r="278">
      <x:c r="A278" t="str">
        <x:v>Uttar Pradesh</x:v>
      </x:c>
      <x:c r="B278" t="str">
        <x:v>All India except Central University</x:v>
      </x:c>
      <x:c r="C278" t="str">
        <x:v>200552</x:v>
      </x:c>
      <x:c r="D278" t="str">
        <x:v>Autonomous State Medical College Society, Etah, Uttar Pradesh, NAGLA PADIHAR SIRAO MAHARARA LINK, PAC ROAD, SAKEET, ETAH,U.P.- 207001</x:v>
      </x:c>
      <x:c r="E278" t="str">
        <x:v>All India</x:v>
      </x:c>
      <x:c r="F278" t="str">
        <x:v>Open</x:v>
      </x:c>
      <x:c r="G278" t="n">
        <x:v>6</x:v>
      </x:c>
      <x:c r="H278" t="n">
        <x:v>6</x:v>
      </x:c>
      <x:c r="I278" t="n">
        <x:f>G278-H278</x:f>
        <x:v>0</x:v>
      </x:c>
      <x:c r="J278" s="20" t="n">
        <x:f>IFERROR(H278/G278,0)</x:f>
        <x:v>1</x:v>
      </x:c>
      <x:c r="K278" t="n">
        <x:v>8541</x:v>
      </x:c>
      <x:c r="L278" t="n">
        <x:v>10952.75</x:v>
      </x:c>
      <x:c r="M278" t="n">
        <x:v>11650</x:v>
      </x:c>
      <x:c r="N278" t="n">
        <x:v>11865</x:v>
      </x:c>
      <x:c r="O278" t="n">
        <x:v>12371</x:v>
      </x:c>
    </x:row>
    <x:row r="279">
      <x:c r="A279" t="str">
        <x:v>Uttar Pradesh</x:v>
      </x:c>
      <x:c r="B279" t="str">
        <x:v>All India except Central University</x:v>
      </x:c>
      <x:c r="C279" t="str">
        <x:v>200552</x:v>
      </x:c>
      <x:c r="D279" t="str">
        <x:v>Autonomous State Medical College Society, Etah, Uttar Pradesh, NAGLA PADIHAR SIRAO MAHARARA LINK, PAC ROAD, SAKEET, ETAH,U.P.- 207001</x:v>
      </x:c>
      <x:c r="E279" t="str">
        <x:v>All India</x:v>
      </x:c>
      <x:c r="F279" t="str">
        <x:v>SC</x:v>
      </x:c>
      <x:c r="G279" t="n">
        <x:v>2</x:v>
      </x:c>
      <x:c r="H279" t="n">
        <x:v>2</x:v>
      </x:c>
      <x:c r="I279" t="n">
        <x:f>G279-H279</x:f>
        <x:v>0</x:v>
      </x:c>
      <x:c r="J279" s="20" t="n">
        <x:f>IFERROR(H279/G279,0)</x:f>
        <x:v>1</x:v>
      </x:c>
      <x:c r="K279" t="n">
        <x:v>52783</x:v>
      </x:c>
      <x:c r="L279" t="n">
        <x:v>54228.75</x:v>
      </x:c>
      <x:c r="M279" t="n">
        <x:v>55674.5</x:v>
      </x:c>
      <x:c r="N279" t="n">
        <x:v>57120.25</x:v>
      </x:c>
      <x:c r="O279" t="n">
        <x:v>58566</x:v>
      </x:c>
    </x:row>
    <x:row r="280">
      <x:c r="A280" t="str">
        <x:v>Uttar Pradesh</x:v>
      </x:c>
      <x:c r="B280" t="str">
        <x:v>All India except Central University</x:v>
      </x:c>
      <x:c r="C280" t="str">
        <x:v>200552</x:v>
      </x:c>
      <x:c r="D280" t="str">
        <x:v>Autonomous State Medical College Society, Etah, Uttar Pradesh, NAGLA PADIHAR SIRAO MAHARARA LINK, PAC ROAD, SAKEET, ETAH,U.P.- 207001</x:v>
      </x:c>
      <x:c r="E280" t="str">
        <x:v>All India</x:v>
      </x:c>
      <x:c r="F280" t="str">
        <x:v>ST</x:v>
      </x:c>
      <x:c r="G280" t="n">
        <x:v>2</x:v>
      </x:c>
      <x:c r="H280" t="n">
        <x:v>2</x:v>
      </x:c>
      <x:c r="I280" t="n">
        <x:f>G280-H280</x:f>
        <x:v>0</x:v>
      </x:c>
      <x:c r="J280" s="20" t="n">
        <x:f>IFERROR(H280/G280,0)</x:f>
        <x:v>1</x:v>
      </x:c>
      <x:c r="K280" t="n">
        <x:v>77810</x:v>
      </x:c>
      <x:c r="L280" t="n">
        <x:v>84459.5</x:v>
      </x:c>
      <x:c r="M280" t="n">
        <x:v>91109</x:v>
      </x:c>
      <x:c r="N280" t="n">
        <x:v>97758.5</x:v>
      </x:c>
      <x:c r="O280" t="n">
        <x:v>104408</x:v>
      </x:c>
    </x:row>
    <x:row r="281">
      <x:c r="A281" t="str">
        <x:v>Uttar Pradesh</x:v>
      </x:c>
      <x:c r="B281" t="str">
        <x:v>All India except Central University</x:v>
      </x:c>
      <x:c r="C281" t="str">
        <x:v>200563</x:v>
      </x:c>
      <x:c r="D281" t="str">
        <x:v>Autonomous State Medical College Society, Fatehpur, Autonomous State Medical College Village chittaura near Allipur GT road fatehpur</x:v>
      </x:c>
      <x:c r="E281" t="str">
        <x:v>All India</x:v>
      </x:c>
      <x:c r="F281" t="str">
        <x:v>EWS</x:v>
      </x:c>
      <x:c r="G281" t="n">
        <x:v>2</x:v>
      </x:c>
      <x:c r="H281" t="n">
        <x:v>2</x:v>
      </x:c>
      <x:c r="I281" t="n">
        <x:f>G281-H281</x:f>
        <x:v>0</x:v>
      </x:c>
      <x:c r="J281" s="20" t="n">
        <x:f>IFERROR(H281/G281,0)</x:f>
        <x:v>1</x:v>
      </x:c>
      <x:c r="K281" t="n">
        <x:v>14430</x:v>
      </x:c>
      <x:c r="L281" t="n">
        <x:v>15037.5</x:v>
      </x:c>
      <x:c r="M281" t="n">
        <x:v>15645</x:v>
      </x:c>
      <x:c r="N281" t="n">
        <x:v>16252.5</x:v>
      </x:c>
      <x:c r="O281" t="n">
        <x:v>16860</x:v>
      </x:c>
    </x:row>
    <x:row r="282">
      <x:c r="A282" t="str">
        <x:v>Uttar Pradesh</x:v>
      </x:c>
      <x:c r="B282" t="str">
        <x:v>All India except Central University</x:v>
      </x:c>
      <x:c r="C282" t="str">
        <x:v>200563</x:v>
      </x:c>
      <x:c r="D282" t="str">
        <x:v>Autonomous State Medical College Society, Fatehpur, Autonomous State Medical College Village chittaura near Allipur GT road fatehpur</x:v>
      </x:c>
      <x:c r="E282" t="str">
        <x:v>All India</x:v>
      </x:c>
      <x:c r="F282" t="str">
        <x:v>OBC</x:v>
      </x:c>
      <x:c r="G282" t="n">
        <x:v>4</x:v>
      </x:c>
      <x:c r="H282" t="n">
        <x:v>4</x:v>
      </x:c>
      <x:c r="I282" t="n">
        <x:f>G282-H282</x:f>
        <x:v>0</x:v>
      </x:c>
      <x:c r="J282" s="20" t="n">
        <x:f>IFERROR(H282/G282,0)</x:f>
        <x:v>1</x:v>
      </x:c>
      <x:c r="K282" t="n">
        <x:v>14448</x:v>
      </x:c>
      <x:c r="L282" t="n">
        <x:v>15354.75</x:v>
      </x:c>
      <x:c r="M282" t="n">
        <x:v>15693</x:v>
      </x:c>
      <x:c r="N282" t="n">
        <x:v>15767</x:v>
      </x:c>
      <x:c r="O282" t="n">
        <x:v>15881</x:v>
      </x:c>
    </x:row>
    <x:row r="283">
      <x:c r="A283" t="str">
        <x:v>Uttar Pradesh</x:v>
      </x:c>
      <x:c r="B283" t="str">
        <x:v>All India except Central University</x:v>
      </x:c>
      <x:c r="C283" t="str">
        <x:v>200563</x:v>
      </x:c>
      <x:c r="D283" t="str">
        <x:v>Autonomous State Medical College Society, Fatehpur, Autonomous State Medical College Village chittaura near Allipur GT road fatehpur</x:v>
      </x:c>
      <x:c r="E283" t="str">
        <x:v>All India</x:v>
      </x:c>
      <x:c r="F283" t="str">
        <x:v>Open</x:v>
      </x:c>
      <x:c r="G283" t="n">
        <x:v>5</x:v>
      </x:c>
      <x:c r="H283" t="n">
        <x:v>5</x:v>
      </x:c>
      <x:c r="I283" t="n">
        <x:f>G283-H283</x:f>
        <x:v>0</x:v>
      </x:c>
      <x:c r="J283" s="20" t="n">
        <x:f>IFERROR(H283/G283,0)</x:f>
        <x:v>1</x:v>
      </x:c>
      <x:c r="K283" t="n">
        <x:v>12305</x:v>
      </x:c>
      <x:c r="L283" t="n">
        <x:v>12763</x:v>
      </x:c>
      <x:c r="M283" t="n">
        <x:v>12951</x:v>
      </x:c>
      <x:c r="N283" t="n">
        <x:v>13369</x:v>
      </x:c>
      <x:c r="O283" t="n">
        <x:v>13729</x:v>
      </x:c>
    </x:row>
    <x:row r="284">
      <x:c r="A284" t="str">
        <x:v>Uttar Pradesh</x:v>
      </x:c>
      <x:c r="B284" t="str">
        <x:v>All India except Central University</x:v>
      </x:c>
      <x:c r="C284" t="str">
        <x:v>200563</x:v>
      </x:c>
      <x:c r="D284" t="str">
        <x:v>Autonomous State Medical College Society, Fatehpur, Autonomous State Medical College Village chittaura near Allipur GT road fatehpur</x:v>
      </x:c>
      <x:c r="E284" t="str">
        <x:v>All India</x:v>
      </x:c>
      <x:c r="F284" t="str">
        <x:v>Open PwD</x:v>
      </x:c>
      <x:c r="G284" t="n">
        <x:v>1</x:v>
      </x:c>
      <x:c r="H284" t="n">
        <x:v>1</x:v>
      </x:c>
      <x:c r="I284" t="n">
        <x:f>G284-H284</x:f>
        <x:v>0</x:v>
      </x:c>
      <x:c r="J284" s="20" t="n">
        <x:f>IFERROR(H284/G284,0)</x:f>
        <x:v>1</x:v>
      </x:c>
      <x:c r="K284" t="n">
        <x:v>457638</x:v>
      </x:c>
      <x:c r="L284" t="n">
        <x:v>457638</x:v>
      </x:c>
      <x:c r="M284" t="n">
        <x:v>457638</x:v>
      </x:c>
      <x:c r="N284" t="n">
        <x:v>457638</x:v>
      </x:c>
      <x:c r="O284" t="n">
        <x:v>457638</x:v>
      </x:c>
    </x:row>
    <x:row r="285">
      <x:c r="A285" t="str">
        <x:v>Uttar Pradesh</x:v>
      </x:c>
      <x:c r="B285" t="str">
        <x:v>All India except Central University</x:v>
      </x:c>
      <x:c r="C285" t="str">
        <x:v>200563</x:v>
      </x:c>
      <x:c r="D285" t="str">
        <x:v>Autonomous State Medical College Society, Fatehpur, Autonomous State Medical College Village chittaura near Allipur GT road fatehpur</x:v>
      </x:c>
      <x:c r="E285" t="str">
        <x:v>All India</x:v>
      </x:c>
      <x:c r="F285" t="str">
        <x:v>SC</x:v>
      </x:c>
      <x:c r="G285" t="n">
        <x:v>2</x:v>
      </x:c>
      <x:c r="H285" t="n">
        <x:v>2</x:v>
      </x:c>
      <x:c r="I285" t="n">
        <x:f>G285-H285</x:f>
        <x:v>0</x:v>
      </x:c>
      <x:c r="J285" s="20" t="n">
        <x:f>IFERROR(H285/G285,0)</x:f>
        <x:v>1</x:v>
      </x:c>
      <x:c r="K285" t="n">
        <x:v>72110</x:v>
      </x:c>
      <x:c r="L285" t="n">
        <x:v>72992.5</x:v>
      </x:c>
      <x:c r="M285" t="n">
        <x:v>73875</x:v>
      </x:c>
      <x:c r="N285" t="n">
        <x:v>74757.5</x:v>
      </x:c>
      <x:c r="O285" t="n">
        <x:v>75640</x:v>
      </x:c>
    </x:row>
    <x:row r="286">
      <x:c r="A286" t="str">
        <x:v>Uttar Pradesh</x:v>
      </x:c>
      <x:c r="B286" t="str">
        <x:v>All India except Central University</x:v>
      </x:c>
      <x:c r="C286" t="str">
        <x:v>200563</x:v>
      </x:c>
      <x:c r="D286" t="str">
        <x:v>Autonomous State Medical College Society, Fatehpur, Autonomous State Medical College Village chittaura near Allipur GT road fatehpur</x:v>
      </x:c>
      <x:c r="E286" t="str">
        <x:v>All India</x:v>
      </x:c>
      <x:c r="F286" t="str">
        <x:v>ST</x:v>
      </x:c>
      <x:c r="G286" t="n">
        <x:v>1</x:v>
      </x:c>
      <x:c r="H286" t="n">
        <x:v>1</x:v>
      </x:c>
      <x:c r="I286" t="n">
        <x:f>G286-H286</x:f>
        <x:v>0</x:v>
      </x:c>
      <x:c r="J286" s="20" t="n">
        <x:f>IFERROR(H286/G286,0)</x:f>
        <x:v>1</x:v>
      </x:c>
      <x:c r="K286" t="n">
        <x:v>77759</x:v>
      </x:c>
      <x:c r="L286" t="n">
        <x:v>77759</x:v>
      </x:c>
      <x:c r="M286" t="n">
        <x:v>77759</x:v>
      </x:c>
      <x:c r="N286" t="n">
        <x:v>77759</x:v>
      </x:c>
      <x:c r="O286" t="n">
        <x:v>77759</x:v>
      </x:c>
    </x:row>
    <x:row r="287">
      <x:c r="A287" t="str">
        <x:v>Uttar Pradesh</x:v>
      </x:c>
      <x:c r="B287" t="str">
        <x:v>All India except Central University</x:v>
      </x:c>
      <x:c r="C287" t="str">
        <x:v>200570</x:v>
      </x:c>
      <x:c r="D287" t="str">
        <x:v>Autonomous State Medical College Society, Hardoi, Gaura Danda, Sitapur Road, Hardoi</x:v>
      </x:c>
      <x:c r="E287" t="str">
        <x:v>All India</x:v>
      </x:c>
      <x:c r="F287" t="str">
        <x:v>EWS</x:v>
      </x:c>
      <x:c r="G287" t="n">
        <x:v>1</x:v>
      </x:c>
      <x:c r="H287" t="n">
        <x:v>1</x:v>
      </x:c>
      <x:c r="I287" t="n">
        <x:f>G287-H287</x:f>
        <x:v>0</x:v>
      </x:c>
      <x:c r="J287" s="20" t="n">
        <x:f>IFERROR(H287/G287,0)</x:f>
        <x:v>1</x:v>
      </x:c>
      <x:c r="K287" t="n">
        <x:v>14727</x:v>
      </x:c>
      <x:c r="L287" t="n">
        <x:v>14727</x:v>
      </x:c>
      <x:c r="M287" t="n">
        <x:v>14727</x:v>
      </x:c>
      <x:c r="N287" t="n">
        <x:v>14727</x:v>
      </x:c>
      <x:c r="O287" t="n">
        <x:v>14727</x:v>
      </x:c>
    </x:row>
    <x:row r="288">
      <x:c r="A288" t="str">
        <x:v>Uttar Pradesh</x:v>
      </x:c>
      <x:c r="B288" t="str">
        <x:v>All India except Central University</x:v>
      </x:c>
      <x:c r="C288" t="str">
        <x:v>200570</x:v>
      </x:c>
      <x:c r="D288" t="str">
        <x:v>Autonomous State Medical College Society, Hardoi, Gaura Danda, Sitapur Road, Hardoi</x:v>
      </x:c>
      <x:c r="E288" t="str">
        <x:v>All India</x:v>
      </x:c>
      <x:c r="F288" t="str">
        <x:v>OBC</x:v>
      </x:c>
      <x:c r="G288" t="n">
        <x:v>3</x:v>
      </x:c>
      <x:c r="H288" t="n">
        <x:v>3</x:v>
      </x:c>
      <x:c r="I288" t="n">
        <x:f>G288-H288</x:f>
        <x:v>0</x:v>
      </x:c>
      <x:c r="J288" s="20" t="n">
        <x:f>IFERROR(H288/G288,0)</x:f>
        <x:v>1</x:v>
      </x:c>
      <x:c r="K288" t="n">
        <x:v>14684</x:v>
      </x:c>
      <x:c r="L288" t="n">
        <x:v>15056.5</x:v>
      </x:c>
      <x:c r="M288" t="n">
        <x:v>15429</x:v>
      </x:c>
      <x:c r="N288" t="n">
        <x:v>15507.5</x:v>
      </x:c>
      <x:c r="O288" t="n">
        <x:v>15586</x:v>
      </x:c>
    </x:row>
    <x:row r="289">
      <x:c r="A289" t="str">
        <x:v>Uttar Pradesh</x:v>
      </x:c>
      <x:c r="B289" t="str">
        <x:v>All India except Central University</x:v>
      </x:c>
      <x:c r="C289" t="str">
        <x:v>200570</x:v>
      </x:c>
      <x:c r="D289" t="str">
        <x:v>Autonomous State Medical College Society, Hardoi, Gaura Danda, Sitapur Road, Hardoi</x:v>
      </x:c>
      <x:c r="E289" t="str">
        <x:v>All India</x:v>
      </x:c>
      <x:c r="F289" t="str">
        <x:v>OBC PwD</x:v>
      </x:c>
      <x:c r="G289" t="n">
        <x:v>1</x:v>
      </x:c>
      <x:c r="H289" t="n">
        <x:v>1</x:v>
      </x:c>
      <x:c r="I289" t="n">
        <x:f>G289-H289</x:f>
        <x:v>0</x:v>
      </x:c>
      <x:c r="J289" s="20" t="n">
        <x:f>IFERROR(H289/G289,0)</x:f>
        <x:v>1</x:v>
      </x:c>
      <x:c r="K289" t="n">
        <x:v>470604</x:v>
      </x:c>
      <x:c r="L289" t="n">
        <x:v>470604</x:v>
      </x:c>
      <x:c r="M289" t="n">
        <x:v>470604</x:v>
      </x:c>
      <x:c r="N289" t="n">
        <x:v>470604</x:v>
      </x:c>
      <x:c r="O289" t="n">
        <x:v>470604</x:v>
      </x:c>
    </x:row>
    <x:row r="290">
      <x:c r="A290" t="str">
        <x:v>Uttar Pradesh</x:v>
      </x:c>
      <x:c r="B290" t="str">
        <x:v>All India except Central University</x:v>
      </x:c>
      <x:c r="C290" t="str">
        <x:v>200570</x:v>
      </x:c>
      <x:c r="D290" t="str">
        <x:v>Autonomous State Medical College Society, Hardoi, Gaura Danda, Sitapur Road, Hardoi</x:v>
      </x:c>
      <x:c r="E290" t="str">
        <x:v>All India</x:v>
      </x:c>
      <x:c r="F290" t="str">
        <x:v>Open</x:v>
      </x:c>
      <x:c r="G290" t="n">
        <x:v>7</x:v>
      </x:c>
      <x:c r="H290" t="n">
        <x:v>7</x:v>
      </x:c>
      <x:c r="I290" t="n">
        <x:f>G290-H290</x:f>
        <x:v>0</x:v>
      </x:c>
      <x:c r="J290" s="20" t="n">
        <x:f>IFERROR(H290/G290,0)</x:f>
        <x:v>1</x:v>
      </x:c>
      <x:c r="K290" t="n">
        <x:v>13301</x:v>
      </x:c>
      <x:c r="L290" t="n">
        <x:v>13835.5</x:v>
      </x:c>
      <x:c r="M290" t="n">
        <x:v>14169</x:v>
      </x:c>
      <x:c r="N290" t="n">
        <x:v>14455</x:v>
      </x:c>
      <x:c r="O290" t="n">
        <x:v>14609</x:v>
      </x:c>
    </x:row>
    <x:row r="291">
      <x:c r="A291" t="str">
        <x:v>Uttar Pradesh</x:v>
      </x:c>
      <x:c r="B291" t="str">
        <x:v>All India except Central University</x:v>
      </x:c>
      <x:c r="C291" t="str">
        <x:v>200570</x:v>
      </x:c>
      <x:c r="D291" t="str">
        <x:v>Autonomous State Medical College Society, Hardoi, Gaura Danda, Sitapur Road, Hardoi</x:v>
      </x:c>
      <x:c r="E291" t="str">
        <x:v>All India</x:v>
      </x:c>
      <x:c r="F291" t="str">
        <x:v>SC</x:v>
      </x:c>
      <x:c r="G291" t="n">
        <x:v>2</x:v>
      </x:c>
      <x:c r="H291" t="n">
        <x:v>2</x:v>
      </x:c>
      <x:c r="I291" t="n">
        <x:f>G291-H291</x:f>
        <x:v>0</x:v>
      </x:c>
      <x:c r="J291" s="20" t="n">
        <x:f>IFERROR(H291/G291,0)</x:f>
        <x:v>1</x:v>
      </x:c>
      <x:c r="K291" t="n">
        <x:v>68398</x:v>
      </x:c>
      <x:c r="L291" t="n">
        <x:v>68602</x:v>
      </x:c>
      <x:c r="M291" t="n">
        <x:v>68806</x:v>
      </x:c>
      <x:c r="N291" t="n">
        <x:v>69010</x:v>
      </x:c>
      <x:c r="O291" t="n">
        <x:v>69214</x:v>
      </x:c>
    </x:row>
    <x:row r="292">
      <x:c r="A292" t="str">
        <x:v>Uttar Pradesh</x:v>
      </x:c>
      <x:c r="B292" t="str">
        <x:v>All India except Central University</x:v>
      </x:c>
      <x:c r="C292" t="str">
        <x:v>200570</x:v>
      </x:c>
      <x:c r="D292" t="str">
        <x:v>Autonomous State Medical College Society, Hardoi, Gaura Danda, Sitapur Road, Hardoi</x:v>
      </x:c>
      <x:c r="E292" t="str">
        <x:v>All India</x:v>
      </x:c>
      <x:c r="F292" t="str">
        <x:v>ST</x:v>
      </x:c>
      <x:c r="G292" t="n">
        <x:v>1</x:v>
      </x:c>
      <x:c r="H292" t="n">
        <x:v>1</x:v>
      </x:c>
      <x:c r="I292" t="n">
        <x:f>G292-H292</x:f>
        <x:v>0</x:v>
      </x:c>
      <x:c r="J292" s="20" t="n">
        <x:f>IFERROR(H292/G292,0)</x:f>
        <x:v>1</x:v>
      </x:c>
      <x:c r="K292" t="n">
        <x:v>99245</x:v>
      </x:c>
      <x:c r="L292" t="n">
        <x:v>99245</x:v>
      </x:c>
      <x:c r="M292" t="n">
        <x:v>99245</x:v>
      </x:c>
      <x:c r="N292" t="n">
        <x:v>99245</x:v>
      </x:c>
      <x:c r="O292" t="n">
        <x:v>99245</x:v>
      </x:c>
    </x:row>
    <x:row r="293">
      <x:c r="A293" t="str">
        <x:v>Uttar Pradesh</x:v>
      </x:c>
      <x:c r="B293" t="str">
        <x:v>All India except Central University</x:v>
      </x:c>
      <x:c r="C293" t="str">
        <x:v>902823</x:v>
      </x:c>
      <x:c r="D293" t="str">
        <x:v>Autonomous State Medical College Sultanpur, Autonomous State Medical College Dubepur Sultanpur</x:v>
      </x:c>
      <x:c r="E293" t="str">
        <x:v>All India</x:v>
      </x:c>
      <x:c r="F293" t="str">
        <x:v>EWS</x:v>
      </x:c>
      <x:c r="G293" t="n">
        <x:v>2</x:v>
      </x:c>
      <x:c r="H293" t="n">
        <x:v>2</x:v>
      </x:c>
      <x:c r="I293" t="n">
        <x:f>G293-H293</x:f>
        <x:v>0</x:v>
      </x:c>
      <x:c r="J293" s="20" t="n">
        <x:f>IFERROR(H293/G293,0)</x:f>
        <x:v>1</x:v>
      </x:c>
      <x:c r="K293" t="n">
        <x:v>17149</x:v>
      </x:c>
      <x:c r="L293" t="n">
        <x:v>17437.75</x:v>
      </x:c>
      <x:c r="M293" t="n">
        <x:v>17726.5</x:v>
      </x:c>
      <x:c r="N293" t="n">
        <x:v>18015.25</x:v>
      </x:c>
      <x:c r="O293" t="n">
        <x:v>18304</x:v>
      </x:c>
    </x:row>
    <x:row r="294">
      <x:c r="A294" t="str">
        <x:v>Uttar Pradesh</x:v>
      </x:c>
      <x:c r="B294" t="str">
        <x:v>All India except Central University</x:v>
      </x:c>
      <x:c r="C294" t="str">
        <x:v>902823</x:v>
      </x:c>
      <x:c r="D294" t="str">
        <x:v>Autonomous State Medical College Sultanpur, Autonomous State Medical College Dubepur Sultanpur</x:v>
      </x:c>
      <x:c r="E294" t="str">
        <x:v>All India</x:v>
      </x:c>
      <x:c r="F294" t="str">
        <x:v>OBC</x:v>
      </x:c>
      <x:c r="G294" t="n">
        <x:v>4</x:v>
      </x:c>
      <x:c r="H294" t="n">
        <x:v>4</x:v>
      </x:c>
      <x:c r="I294" t="n">
        <x:f>G294-H294</x:f>
        <x:v>0</x:v>
      </x:c>
      <x:c r="J294" s="20" t="n">
        <x:f>IFERROR(H294/G294,0)</x:f>
        <x:v>1</x:v>
      </x:c>
      <x:c r="K294" t="n">
        <x:v>14839</x:v>
      </x:c>
      <x:c r="L294" t="n">
        <x:v>14978.5</x:v>
      </x:c>
      <x:c r="M294" t="n">
        <x:v>15190</x:v>
      </x:c>
      <x:c r="N294" t="n">
        <x:v>15392.5</x:v>
      </x:c>
      <x:c r="O294" t="n">
        <x:v>15505</x:v>
      </x:c>
    </x:row>
    <x:row r="295">
      <x:c r="A295" t="str">
        <x:v>Uttar Pradesh</x:v>
      </x:c>
      <x:c r="B295" t="str">
        <x:v>All India except Central University</x:v>
      </x:c>
      <x:c r="C295" t="str">
        <x:v>902823</x:v>
      </x:c>
      <x:c r="D295" t="str">
        <x:v>Autonomous State Medical College Sultanpur, Autonomous State Medical College Dubepur Sultanpur</x:v>
      </x:c>
      <x:c r="E295" t="str">
        <x:v>All India</x:v>
      </x:c>
      <x:c r="F295" t="str">
        <x:v>Open</x:v>
      </x:c>
      <x:c r="G295" t="n">
        <x:v>5</x:v>
      </x:c>
      <x:c r="H295" t="n">
        <x:v>5</x:v>
      </x:c>
      <x:c r="I295" t="n">
        <x:f>G295-H295</x:f>
        <x:v>0</x:v>
      </x:c>
      <x:c r="J295" s="20" t="n">
        <x:f>IFERROR(H295/G295,0)</x:f>
        <x:v>1</x:v>
      </x:c>
      <x:c r="K295" t="n">
        <x:v>11954</x:v>
      </x:c>
      <x:c r="L295" t="n">
        <x:v>14250</x:v>
      </x:c>
      <x:c r="M295" t="n">
        <x:v>14320</x:v>
      </x:c>
      <x:c r="N295" t="n">
        <x:v>14407</x:v>
      </x:c>
      <x:c r="O295" t="n">
        <x:v>14694</x:v>
      </x:c>
    </x:row>
    <x:row r="296">
      <x:c r="A296" t="str">
        <x:v>Uttar Pradesh</x:v>
      </x:c>
      <x:c r="B296" t="str">
        <x:v>All India except Central University</x:v>
      </x:c>
      <x:c r="C296" t="str">
        <x:v>902823</x:v>
      </x:c>
      <x:c r="D296" t="str">
        <x:v>Autonomous State Medical College Sultanpur, Autonomous State Medical College Dubepur Sultanpur</x:v>
      </x:c>
      <x:c r="E296" t="str">
        <x:v>All India</x:v>
      </x:c>
      <x:c r="F296" t="str">
        <x:v>SC</x:v>
      </x:c>
      <x:c r="G296" t="n">
        <x:v>3</x:v>
      </x:c>
      <x:c r="H296" t="n">
        <x:v>3</x:v>
      </x:c>
      <x:c r="I296" t="n">
        <x:f>G296-H296</x:f>
        <x:v>0</x:v>
      </x:c>
      <x:c r="J296" s="20" t="n">
        <x:f>IFERROR(H296/G296,0)</x:f>
        <x:v>1</x:v>
      </x:c>
      <x:c r="K296" t="n">
        <x:v>78585</x:v>
      </x:c>
      <x:c r="L296" t="n">
        <x:v>79171.5</x:v>
      </x:c>
      <x:c r="M296" t="n">
        <x:v>79758</x:v>
      </x:c>
      <x:c r="N296" t="n">
        <x:v>81297</x:v>
      </x:c>
      <x:c r="O296" t="n">
        <x:v>82836</x:v>
      </x:c>
    </x:row>
    <x:row r="297">
      <x:c r="A297" t="str">
        <x:v>Uttar Pradesh</x:v>
      </x:c>
      <x:c r="B297" t="str">
        <x:v>All India except Central University</x:v>
      </x:c>
      <x:c r="C297" t="str">
        <x:v>902823</x:v>
      </x:c>
      <x:c r="D297" t="str">
        <x:v>Autonomous State Medical College Sultanpur, Autonomous State Medical College Dubepur Sultanpur</x:v>
      </x:c>
      <x:c r="E297" t="str">
        <x:v>All India</x:v>
      </x:c>
      <x:c r="F297" t="str">
        <x:v>ST</x:v>
      </x:c>
      <x:c r="G297" t="n">
        <x:v>1</x:v>
      </x:c>
      <x:c r="H297" t="n">
        <x:v>1</x:v>
      </x:c>
      <x:c r="I297" t="n">
        <x:f>G297-H297</x:f>
        <x:v>0</x:v>
      </x:c>
      <x:c r="J297" s="20" t="n">
        <x:f>IFERROR(H297/G297,0)</x:f>
        <x:v>1</x:v>
      </x:c>
      <x:c r="K297" t="n">
        <x:v>105459</x:v>
      </x:c>
      <x:c r="L297" t="n">
        <x:v>105459</x:v>
      </x:c>
      <x:c r="M297" t="n">
        <x:v>105459</x:v>
      </x:c>
      <x:c r="N297" t="n">
        <x:v>105459</x:v>
      </x:c>
      <x:c r="O297" t="n">
        <x:v>105459</x:v>
      </x:c>
    </x:row>
    <x:row r="298">
      <x:c r="A298" t="str">
        <x:v>Uttar Pradesh</x:v>
      </x:c>
      <x:c r="B298" t="str">
        <x:v>All India except Central University</x:v>
      </x:c>
      <x:c r="C298" t="str">
        <x:v>902861</x:v>
      </x:c>
      <x:c r="D298" t="str">
        <x:v>Autonomous State Medical College and Hospital Gonda, Chhavanni Sarkar Infront of Circuit House Gonda</x:v>
      </x:c>
      <x:c r="E298" t="str">
        <x:v>All India</x:v>
      </x:c>
      <x:c r="F298" t="str">
        <x:v>EWS</x:v>
      </x:c>
      <x:c r="G298" t="n">
        <x:v>2</x:v>
      </x:c>
      <x:c r="H298" t="n">
        <x:v>2</x:v>
      </x:c>
      <x:c r="I298" t="n">
        <x:f>G298-H298</x:f>
        <x:v>0</x:v>
      </x:c>
      <x:c r="J298" s="20" t="n">
        <x:f>IFERROR(H298/G298,0)</x:f>
        <x:v>1</x:v>
      </x:c>
      <x:c r="K298" t="n">
        <x:v>17708</x:v>
      </x:c>
      <x:c r="L298" t="n">
        <x:v>17801.5</x:v>
      </x:c>
      <x:c r="M298" t="n">
        <x:v>17895</x:v>
      </x:c>
      <x:c r="N298" t="n">
        <x:v>17988.5</x:v>
      </x:c>
      <x:c r="O298" t="n">
        <x:v>18082</x:v>
      </x:c>
    </x:row>
    <x:row r="299">
      <x:c r="A299" t="str">
        <x:v>Uttar Pradesh</x:v>
      </x:c>
      <x:c r="B299" t="str">
        <x:v>All India except Central University</x:v>
      </x:c>
      <x:c r="C299" t="str">
        <x:v>902861</x:v>
      </x:c>
      <x:c r="D299" t="str">
        <x:v>Autonomous State Medical College and Hospital Gonda, Chhavanni Sarkar Infront of Circuit House Gonda</x:v>
      </x:c>
      <x:c r="E299" t="str">
        <x:v>All India</x:v>
      </x:c>
      <x:c r="F299" t="str">
        <x:v>OBC</x:v>
      </x:c>
      <x:c r="G299" t="n">
        <x:v>4</x:v>
      </x:c>
      <x:c r="H299" t="n">
        <x:v>4</x:v>
      </x:c>
      <x:c r="I299" t="n">
        <x:f>G299-H299</x:f>
        <x:v>0</x:v>
      </x:c>
      <x:c r="J299" s="20" t="n">
        <x:f>IFERROR(H299/G299,0)</x:f>
        <x:v>1</x:v>
      </x:c>
      <x:c r="K299" t="n">
        <x:v>16315</x:v>
      </x:c>
      <x:c r="L299" t="n">
        <x:v>16638.25</x:v>
      </x:c>
      <x:c r="M299" t="n">
        <x:v>16807.5</x:v>
      </x:c>
      <x:c r="N299" t="n">
        <x:v>16902.25</x:v>
      </x:c>
      <x:c r="O299" t="n">
        <x:v>17002</x:v>
      </x:c>
    </x:row>
    <x:row r="300">
      <x:c r="A300" t="str">
        <x:v>Uttar Pradesh</x:v>
      </x:c>
      <x:c r="B300" t="str">
        <x:v>All India except Central University</x:v>
      </x:c>
      <x:c r="C300" t="str">
        <x:v>902861</x:v>
      </x:c>
      <x:c r="D300" t="str">
        <x:v>Autonomous State Medical College and Hospital Gonda, Chhavanni Sarkar Infront of Circuit House Gonda</x:v>
      </x:c>
      <x:c r="E300" t="str">
        <x:v>All India</x:v>
      </x:c>
      <x:c r="F300" t="str">
        <x:v>Open</x:v>
      </x:c>
      <x:c r="G300" t="n">
        <x:v>6</x:v>
      </x:c>
      <x:c r="H300" t="n">
        <x:v>6</x:v>
      </x:c>
      <x:c r="I300" t="n">
        <x:f>G300-H300</x:f>
        <x:v>0</x:v>
      </x:c>
      <x:c r="J300" s="20" t="n">
        <x:f>IFERROR(H300/G300,0)</x:f>
        <x:v>1</x:v>
      </x:c>
      <x:c r="K300" t="n">
        <x:v>13788</x:v>
      </x:c>
      <x:c r="L300" t="n">
        <x:v>14726.5</x:v>
      </x:c>
      <x:c r="M300" t="n">
        <x:v>15946.5</x:v>
      </x:c>
      <x:c r="N300" t="n">
        <x:v>16025</x:v>
      </x:c>
      <x:c r="O300" t="n">
        <x:v>16303</x:v>
      </x:c>
    </x:row>
    <x:row r="301">
      <x:c r="A301" t="str">
        <x:v>Uttar Pradesh</x:v>
      </x:c>
      <x:c r="B301" t="str">
        <x:v>All India except Central University</x:v>
      </x:c>
      <x:c r="C301" t="str">
        <x:v>902861</x:v>
      </x:c>
      <x:c r="D301" t="str">
        <x:v>Autonomous State Medical College and Hospital Gonda, Chhavanni Sarkar Infront of Circuit House Gonda</x:v>
      </x:c>
      <x:c r="E301" t="str">
        <x:v>All India</x:v>
      </x:c>
      <x:c r="F301" t="str">
        <x:v>SC</x:v>
      </x:c>
      <x:c r="G301" t="n">
        <x:v>2</x:v>
      </x:c>
      <x:c r="H301" t="n">
        <x:v>2</x:v>
      </x:c>
      <x:c r="I301" t="n">
        <x:f>G301-H301</x:f>
        <x:v>0</x:v>
      </x:c>
      <x:c r="J301" s="20" t="n">
        <x:f>IFERROR(H301/G301,0)</x:f>
        <x:v>1</x:v>
      </x:c>
      <x:c r="K301" t="n">
        <x:v>81381</x:v>
      </x:c>
      <x:c r="L301" t="n">
        <x:v>82774.25</x:v>
      </x:c>
      <x:c r="M301" t="n">
        <x:v>84167.5</x:v>
      </x:c>
      <x:c r="N301" t="n">
        <x:v>85560.75</x:v>
      </x:c>
      <x:c r="O301" t="n">
        <x:v>86954</x:v>
      </x:c>
    </x:row>
    <x:row r="302">
      <x:c r="A302" t="str">
        <x:v>Uttar Pradesh</x:v>
      </x:c>
      <x:c r="B302" t="str">
        <x:v>All India except Central University</x:v>
      </x:c>
      <x:c r="C302" t="str">
        <x:v>902861</x:v>
      </x:c>
      <x:c r="D302" t="str">
        <x:v>Autonomous State Medical College and Hospital Gonda, Chhavanni Sarkar Infront of Circuit House Gonda</x:v>
      </x:c>
      <x:c r="E302" t="str">
        <x:v>All India</x:v>
      </x:c>
      <x:c r="F302" t="str">
        <x:v>ST</x:v>
      </x:c>
      <x:c r="G302" t="n">
        <x:v>1</x:v>
      </x:c>
      <x:c r="H302" t="n">
        <x:v>1</x:v>
      </x:c>
      <x:c r="I302" t="n">
        <x:f>G302-H302</x:f>
        <x:v>0</x:v>
      </x:c>
      <x:c r="J302" s="20" t="n">
        <x:f>IFERROR(H302/G302,0)</x:f>
        <x:v>1</x:v>
      </x:c>
      <x:c r="K302" t="n">
        <x:v>107840</x:v>
      </x:c>
      <x:c r="L302" t="n">
        <x:v>107840</x:v>
      </x:c>
      <x:c r="M302" t="n">
        <x:v>107840</x:v>
      </x:c>
      <x:c r="N302" t="n">
        <x:v>107840</x:v>
      </x:c>
      <x:c r="O302" t="n">
        <x:v>107840</x:v>
      </x:c>
    </x:row>
    <x:row r="303">
      <x:c r="A303" t="str">
        <x:v>Uttar Pradesh</x:v>
      </x:c>
      <x:c r="B303" t="str">
        <x:v>All India except Central University</x:v>
      </x:c>
      <x:c r="C303" t="str">
        <x:v>902859</x:v>
      </x:c>
      <x:c r="D303" t="str">
        <x:v>Autonomous State Medical College and Hospital Kaushambi, Kadipur Manjhanpur Kaushambi District</x:v>
      </x:c>
      <x:c r="E303" t="str">
        <x:v>All India</x:v>
      </x:c>
      <x:c r="F303" t="str">
        <x:v>EWS</x:v>
      </x:c>
      <x:c r="G303" t="n">
        <x:v>1</x:v>
      </x:c>
      <x:c r="H303" t="n">
        <x:v>1</x:v>
      </x:c>
      <x:c r="I303" t="n">
        <x:f>G303-H303</x:f>
        <x:v>0</x:v>
      </x:c>
      <x:c r="J303" s="20" t="n">
        <x:f>IFERROR(H303/G303,0)</x:f>
        <x:v>1</x:v>
      </x:c>
      <x:c r="K303" t="n">
        <x:v>18345</x:v>
      </x:c>
      <x:c r="L303" t="n">
        <x:v>18345</x:v>
      </x:c>
      <x:c r="M303" t="n">
        <x:v>18345</x:v>
      </x:c>
      <x:c r="N303" t="n">
        <x:v>18345</x:v>
      </x:c>
      <x:c r="O303" t="n">
        <x:v>18345</x:v>
      </x:c>
    </x:row>
    <x:row r="304">
      <x:c r="A304" t="str">
        <x:v>Uttar Pradesh</x:v>
      </x:c>
      <x:c r="B304" t="str">
        <x:v>All India except Central University</x:v>
      </x:c>
      <x:c r="C304" t="str">
        <x:v>902859</x:v>
      </x:c>
      <x:c r="D304" t="str">
        <x:v>Autonomous State Medical College and Hospital Kaushambi, Kadipur Manjhanpur Kaushambi District</x:v>
      </x:c>
      <x:c r="E304" t="str">
        <x:v>All India</x:v>
      </x:c>
      <x:c r="F304" t="str">
        <x:v>OBC</x:v>
      </x:c>
      <x:c r="G304" t="n">
        <x:v>4</x:v>
      </x:c>
      <x:c r="H304" t="n">
        <x:v>4</x:v>
      </x:c>
      <x:c r="I304" t="n">
        <x:f>G304-H304</x:f>
        <x:v>0</x:v>
      </x:c>
      <x:c r="J304" s="20" t="n">
        <x:f>IFERROR(H304/G304,0)</x:f>
        <x:v>1</x:v>
      </x:c>
      <x:c r="K304" t="n">
        <x:v>16855</x:v>
      </x:c>
      <x:c r="L304" t="n">
        <x:v>17001.25</x:v>
      </x:c>
      <x:c r="M304" t="n">
        <x:v>17101</x:v>
      </x:c>
      <x:c r="N304" t="n">
        <x:v>17214</x:v>
      </x:c>
      <x:c r="O304" t="n">
        <x:v>17400</x:v>
      </x:c>
    </x:row>
    <x:row r="305">
      <x:c r="A305" t="str">
        <x:v>Uttar Pradesh</x:v>
      </x:c>
      <x:c r="B305" t="str">
        <x:v>All India except Central University</x:v>
      </x:c>
      <x:c r="C305" t="str">
        <x:v>902859</x:v>
      </x:c>
      <x:c r="D305" t="str">
        <x:v>Autonomous State Medical College and Hospital Kaushambi, Kadipur Manjhanpur Kaushambi District</x:v>
      </x:c>
      <x:c r="E305" t="str">
        <x:v>All India</x:v>
      </x:c>
      <x:c r="F305" t="str">
        <x:v>Open</x:v>
      </x:c>
      <x:c r="G305" t="n">
        <x:v>6</x:v>
      </x:c>
      <x:c r="H305" t="n">
        <x:v>6</x:v>
      </x:c>
      <x:c r="I305" t="n">
        <x:f>G305-H305</x:f>
        <x:v>0</x:v>
      </x:c>
      <x:c r="J305" s="20" t="n">
        <x:f>IFERROR(H305/G305,0)</x:f>
        <x:v>1</x:v>
      </x:c>
      <x:c r="K305" t="n">
        <x:v>9421</x:v>
      </x:c>
      <x:c r="L305" t="n">
        <x:v>12751.5</x:v>
      </x:c>
      <x:c r="M305" t="n">
        <x:v>15129</x:v>
      </x:c>
      <x:c r="N305" t="n">
        <x:v>16424.25</x:v>
      </x:c>
      <x:c r="O305" t="n">
        <x:v>16819</x:v>
      </x:c>
    </x:row>
    <x:row r="306">
      <x:c r="A306" t="str">
        <x:v>Uttar Pradesh</x:v>
      </x:c>
      <x:c r="B306" t="str">
        <x:v>All India except Central University</x:v>
      </x:c>
      <x:c r="C306" t="str">
        <x:v>902859</x:v>
      </x:c>
      <x:c r="D306" t="str">
        <x:v>Autonomous State Medical College and Hospital Kaushambi, Kadipur Manjhanpur Kaushambi District</x:v>
      </x:c>
      <x:c r="E306" t="str">
        <x:v>All India</x:v>
      </x:c>
      <x:c r="F306" t="str">
        <x:v>Open PwD</x:v>
      </x:c>
      <x:c r="G306" t="n">
        <x:v>1</x:v>
      </x:c>
      <x:c r="H306" t="n">
        <x:v>1</x:v>
      </x:c>
      <x:c r="I306" t="n">
        <x:f>G306-H306</x:f>
        <x:v>0</x:v>
      </x:c>
      <x:c r="J306" s="20" t="n">
        <x:f>IFERROR(H306/G306,0)</x:f>
        <x:v>1</x:v>
      </x:c>
      <x:c r="K306" t="n">
        <x:v>540353</x:v>
      </x:c>
      <x:c r="L306" t="n">
        <x:v>540353</x:v>
      </x:c>
      <x:c r="M306" t="n">
        <x:v>540353</x:v>
      </x:c>
      <x:c r="N306" t="n">
        <x:v>540353</x:v>
      </x:c>
      <x:c r="O306" t="n">
        <x:v>540353</x:v>
      </x:c>
    </x:row>
    <x:row r="307">
      <x:c r="A307" t="str">
        <x:v>Uttar Pradesh</x:v>
      </x:c>
      <x:c r="B307" t="str">
        <x:v>All India except Central University</x:v>
      </x:c>
      <x:c r="C307" t="str">
        <x:v>902859</x:v>
      </x:c>
      <x:c r="D307" t="str">
        <x:v>Autonomous State Medical College and Hospital Kaushambi, Kadipur Manjhanpur Kaushambi District</x:v>
      </x:c>
      <x:c r="E307" t="str">
        <x:v>All India</x:v>
      </x:c>
      <x:c r="F307" t="str">
        <x:v>SC</x:v>
      </x:c>
      <x:c r="G307" t="n">
        <x:v>2</x:v>
      </x:c>
      <x:c r="H307" t="n">
        <x:v>2</x:v>
      </x:c>
      <x:c r="I307" t="n">
        <x:f>G307-H307</x:f>
        <x:v>0</x:v>
      </x:c>
      <x:c r="J307" s="20" t="n">
        <x:f>IFERROR(H307/G307,0)</x:f>
        <x:v>1</x:v>
      </x:c>
      <x:c r="K307" t="n">
        <x:v>77823</x:v>
      </x:c>
      <x:c r="L307" t="n">
        <x:v>79779.5</x:v>
      </x:c>
      <x:c r="M307" t="n">
        <x:v>81736</x:v>
      </x:c>
      <x:c r="N307" t="n">
        <x:v>83692.5</x:v>
      </x:c>
      <x:c r="O307" t="n">
        <x:v>85649</x:v>
      </x:c>
    </x:row>
    <x:row r="308">
      <x:c r="A308" t="str">
        <x:v>Uttar Pradesh</x:v>
      </x:c>
      <x:c r="B308" t="str">
        <x:v>All India except Central University</x:v>
      </x:c>
      <x:c r="C308" t="str">
        <x:v>902859</x:v>
      </x:c>
      <x:c r="D308" t="str">
        <x:v>Autonomous State Medical College and Hospital Kaushambi, Kadipur Manjhanpur Kaushambi District</x:v>
      </x:c>
      <x:c r="E308" t="str">
        <x:v>All India</x:v>
      </x:c>
      <x:c r="F308" t="str">
        <x:v>ST</x:v>
      </x:c>
      <x:c r="G308" t="n">
        <x:v>1</x:v>
      </x:c>
      <x:c r="H308" t="n">
        <x:v>1</x:v>
      </x:c>
      <x:c r="I308" t="n">
        <x:f>G308-H308</x:f>
        <x:v>0</x:v>
      </x:c>
      <x:c r="J308" s="20" t="n">
        <x:f>IFERROR(H308/G308,0)</x:f>
        <x:v>1</x:v>
      </x:c>
      <x:c r="K308" t="n">
        <x:v>108029</x:v>
      </x:c>
      <x:c r="L308" t="n">
        <x:v>108029</x:v>
      </x:c>
      <x:c r="M308" t="n">
        <x:v>108029</x:v>
      </x:c>
      <x:c r="N308" t="n">
        <x:v>108029</x:v>
      </x:c>
      <x:c r="O308" t="n">
        <x:v>108029</x:v>
      </x:c>
    </x:row>
    <x:row r="309">
      <x:c r="A309" t="str">
        <x:v>Uttar Pradesh</x:v>
      </x:c>
      <x:c r="B309" t="str">
        <x:v>All India except Central University</x:v>
      </x:c>
      <x:c r="C309" t="str">
        <x:v>902816</x:v>
      </x:c>
      <x:c r="D309" t="str">
        <x:v>Autonomous State Medical College, Akbarpur, Kanpur, Kumbhi, Akabarpur, Kanpur Dehat U.P.</x:v>
      </x:c>
      <x:c r="E309" t="str">
        <x:v>All India</x:v>
      </x:c>
      <x:c r="F309" t="str">
        <x:v>EWS</x:v>
      </x:c>
      <x:c r="G309" t="n">
        <x:v>1</x:v>
      </x:c>
      <x:c r="H309" t="n">
        <x:v>1</x:v>
      </x:c>
      <x:c r="I309" t="n">
        <x:f>G309-H309</x:f>
        <x:v>0</x:v>
      </x:c>
      <x:c r="J309" s="20" t="n">
        <x:f>IFERROR(H309/G309,0)</x:f>
        <x:v>1</x:v>
      </x:c>
      <x:c r="K309" t="n">
        <x:v>11396</x:v>
      </x:c>
      <x:c r="L309" t="n">
        <x:v>11396</x:v>
      </x:c>
      <x:c r="M309" t="n">
        <x:v>11396</x:v>
      </x:c>
      <x:c r="N309" t="n">
        <x:v>11396</x:v>
      </x:c>
      <x:c r="O309" t="n">
        <x:v>11396</x:v>
      </x:c>
    </x:row>
    <x:row r="310">
      <x:c r="A310" t="str">
        <x:v>Uttar Pradesh</x:v>
      </x:c>
      <x:c r="B310" t="str">
        <x:v>All India except Central University</x:v>
      </x:c>
      <x:c r="C310" t="str">
        <x:v>902816</x:v>
      </x:c>
      <x:c r="D310" t="str">
        <x:v>Autonomous State Medical College, Akbarpur, Kanpur, Kumbhi, Akabarpur, Kanpur Dehat U.P.</x:v>
      </x:c>
      <x:c r="E310" t="str">
        <x:v>All India</x:v>
      </x:c>
      <x:c r="F310" t="str">
        <x:v>OBC</x:v>
      </x:c>
      <x:c r="G310" t="n">
        <x:v>5</x:v>
      </x:c>
      <x:c r="H310" t="n">
        <x:v>5</x:v>
      </x:c>
      <x:c r="I310" t="n">
        <x:f>G310-H310</x:f>
        <x:v>0</x:v>
      </x:c>
      <x:c r="J310" s="20" t="n">
        <x:f>IFERROR(H310/G310,0)</x:f>
        <x:v>1</x:v>
      </x:c>
      <x:c r="K310" t="n">
        <x:v>13833</x:v>
      </x:c>
      <x:c r="L310" t="n">
        <x:v>14020</x:v>
      </x:c>
      <x:c r="M310" t="n">
        <x:v>14060</x:v>
      </x:c>
      <x:c r="N310" t="n">
        <x:v>14505</x:v>
      </x:c>
      <x:c r="O310" t="n">
        <x:v>15359</x:v>
      </x:c>
    </x:row>
    <x:row r="311">
      <x:c r="A311" t="str">
        <x:v>Uttar Pradesh</x:v>
      </x:c>
      <x:c r="B311" t="str">
        <x:v>All India except Central University</x:v>
      </x:c>
      <x:c r="C311" t="str">
        <x:v>902816</x:v>
      </x:c>
      <x:c r="D311" t="str">
        <x:v>Autonomous State Medical College, Akbarpur, Kanpur, Kumbhi, Akabarpur, Kanpur Dehat U.P.</x:v>
      </x:c>
      <x:c r="E311" t="str">
        <x:v>All India</x:v>
      </x:c>
      <x:c r="F311" t="str">
        <x:v>Open</x:v>
      </x:c>
      <x:c r="G311" t="n">
        <x:v>5</x:v>
      </x:c>
      <x:c r="H311" t="n">
        <x:v>5</x:v>
      </x:c>
      <x:c r="I311" t="n">
        <x:f>G311-H311</x:f>
        <x:v>0</x:v>
      </x:c>
      <x:c r="J311" s="20" t="n">
        <x:f>IFERROR(H311/G311,0)</x:f>
        <x:v>1</x:v>
      </x:c>
      <x:c r="K311" t="n">
        <x:v>8278</x:v>
      </x:c>
      <x:c r="L311" t="n">
        <x:v>9398</x:v>
      </x:c>
      <x:c r="M311" t="n">
        <x:v>10360</x:v>
      </x:c>
      <x:c r="N311" t="n">
        <x:v>10625</x:v>
      </x:c>
      <x:c r="O311" t="n">
        <x:v>10913</x:v>
      </x:c>
    </x:row>
    <x:row r="312">
      <x:c r="A312" t="str">
        <x:v>Uttar Pradesh</x:v>
      </x:c>
      <x:c r="B312" t="str">
        <x:v>All India except Central University</x:v>
      </x:c>
      <x:c r="C312" t="str">
        <x:v>902816</x:v>
      </x:c>
      <x:c r="D312" t="str">
        <x:v>Autonomous State Medical College, Akbarpur, Kanpur, Kumbhi, Akabarpur, Kanpur Dehat U.P.</x:v>
      </x:c>
      <x:c r="E312" t="str">
        <x:v>All India</x:v>
      </x:c>
      <x:c r="F312" t="str">
        <x:v>Open PwD</x:v>
      </x:c>
      <x:c r="G312" t="n">
        <x:v>1</x:v>
      </x:c>
      <x:c r="H312" t="n">
        <x:v>1</x:v>
      </x:c>
      <x:c r="I312" t="n">
        <x:f>G312-H312</x:f>
        <x:v>0</x:v>
      </x:c>
      <x:c r="J312" s="20" t="n">
        <x:f>IFERROR(H312/G312,0)</x:f>
        <x:v>1</x:v>
      </x:c>
      <x:c r="K312" t="n">
        <x:v>312671</x:v>
      </x:c>
      <x:c r="L312" t="n">
        <x:v>312671</x:v>
      </x:c>
      <x:c r="M312" t="n">
        <x:v>312671</x:v>
      </x:c>
      <x:c r="N312" t="n">
        <x:v>312671</x:v>
      </x:c>
      <x:c r="O312" t="n">
        <x:v>312671</x:v>
      </x:c>
    </x:row>
    <x:row r="313">
      <x:c r="A313" t="str">
        <x:v>Uttar Pradesh</x:v>
      </x:c>
      <x:c r="B313" t="str">
        <x:v>All India except Central University</x:v>
      </x:c>
      <x:c r="C313" t="str">
        <x:v>902816</x:v>
      </x:c>
      <x:c r="D313" t="str">
        <x:v>Autonomous State Medical College, Akbarpur, Kanpur, Kumbhi, Akabarpur, Kanpur Dehat U.P.</x:v>
      </x:c>
      <x:c r="E313" t="str">
        <x:v>All India</x:v>
      </x:c>
      <x:c r="F313" t="str">
        <x:v>SC</x:v>
      </x:c>
      <x:c r="G313" t="n">
        <x:v>2</x:v>
      </x:c>
      <x:c r="H313" t="n">
        <x:v>2</x:v>
      </x:c>
      <x:c r="I313" t="n">
        <x:f>G313-H313</x:f>
        <x:v>0</x:v>
      </x:c>
      <x:c r="J313" s="20" t="n">
        <x:f>IFERROR(H313/G313,0)</x:f>
        <x:v>1</x:v>
      </x:c>
      <x:c r="K313" t="n">
        <x:v>54768</x:v>
      </x:c>
      <x:c r="L313" t="n">
        <x:v>55517</x:v>
      </x:c>
      <x:c r="M313" t="n">
        <x:v>56266</x:v>
      </x:c>
      <x:c r="N313" t="n">
        <x:v>57015</x:v>
      </x:c>
      <x:c r="O313" t="n">
        <x:v>57764</x:v>
      </x:c>
    </x:row>
    <x:row r="314">
      <x:c r="A314" t="str">
        <x:v>Uttar Pradesh</x:v>
      </x:c>
      <x:c r="B314" t="str">
        <x:v>All India except Central University</x:v>
      </x:c>
      <x:c r="C314" t="str">
        <x:v>902816</x:v>
      </x:c>
      <x:c r="D314" t="str">
        <x:v>Autonomous State Medical College, Akbarpur, Kanpur, Kumbhi, Akabarpur, Kanpur Dehat U.P.</x:v>
      </x:c>
      <x:c r="E314" t="str">
        <x:v>All India</x:v>
      </x:c>
      <x:c r="F314" t="str">
        <x:v>ST</x:v>
      </x:c>
      <x:c r="G314" t="n">
        <x:v>1</x:v>
      </x:c>
      <x:c r="H314" t="n">
        <x:v>1</x:v>
      </x:c>
      <x:c r="I314" t="n">
        <x:f>G314-H314</x:f>
        <x:v>0</x:v>
      </x:c>
      <x:c r="J314" s="20" t="n">
        <x:f>IFERROR(H314/G314,0)</x:f>
        <x:v>1</x:v>
      </x:c>
      <x:c r="K314" t="n">
        <x:v>103013</x:v>
      </x:c>
      <x:c r="L314" t="n">
        <x:v>103013</x:v>
      </x:c>
      <x:c r="M314" t="n">
        <x:v>103013</x:v>
      </x:c>
      <x:c r="N314" t="n">
        <x:v>103013</x:v>
      </x:c>
      <x:c r="O314" t="n">
        <x:v>103013</x:v>
      </x:c>
    </x:row>
    <x:row r="315">
      <x:c r="A315" t="str">
        <x:v>Uttar Pradesh</x:v>
      </x:c>
      <x:c r="B315" t="str">
        <x:v>All India except Central University</x:v>
      </x:c>
      <x:c r="C315" t="str">
        <x:v>200553</x:v>
      </x:c>
      <x:c r="D315" t="str">
        <x:v>Autonomous State Medical College, Siddharthnagar, Autonomous State Medical College Siddharthnagar 71 Ashok Marg Village Mudila Naugarh Uttar Prade</x:v>
      </x:c>
      <x:c r="E315" t="str">
        <x:v>All India</x:v>
      </x:c>
      <x:c r="F315" t="str">
        <x:v>EWS</x:v>
      </x:c>
      <x:c r="G315" t="n">
        <x:v>2</x:v>
      </x:c>
      <x:c r="H315" t="n">
        <x:v>2</x:v>
      </x:c>
      <x:c r="I315" t="n">
        <x:f>G315-H315</x:f>
        <x:v>0</x:v>
      </x:c>
      <x:c r="J315" s="20" t="n">
        <x:f>IFERROR(H315/G315,0)</x:f>
        <x:v>1</x:v>
      </x:c>
      <x:c r="K315" t="n">
        <x:v>17262</x:v>
      </x:c>
      <x:c r="L315" t="n">
        <x:v>17266.5</x:v>
      </x:c>
      <x:c r="M315" t="n">
        <x:v>17271</x:v>
      </x:c>
      <x:c r="N315" t="n">
        <x:v>17275.5</x:v>
      </x:c>
      <x:c r="O315" t="n">
        <x:v>17280</x:v>
      </x:c>
    </x:row>
    <x:row r="316">
      <x:c r="A316" t="str">
        <x:v>Uttar Pradesh</x:v>
      </x:c>
      <x:c r="B316" t="str">
        <x:v>All India except Central University</x:v>
      </x:c>
      <x:c r="C316" t="str">
        <x:v>200553</x:v>
      </x:c>
      <x:c r="D316" t="str">
        <x:v>Autonomous State Medical College, Siddharthnagar, Autonomous State Medical College Siddharthnagar 71 Ashok Marg Village Mudila Naugarh Uttar Prade</x:v>
      </x:c>
      <x:c r="E316" t="str">
        <x:v>All India</x:v>
      </x:c>
      <x:c r="F316" t="str">
        <x:v>OBC</x:v>
      </x:c>
      <x:c r="G316" t="n">
        <x:v>4</x:v>
      </x:c>
      <x:c r="H316" t="n">
        <x:v>4</x:v>
      </x:c>
      <x:c r="I316" t="n">
        <x:f>G316-H316</x:f>
        <x:v>0</x:v>
      </x:c>
      <x:c r="J316" s="20" t="n">
        <x:f>IFERROR(H316/G316,0)</x:f>
        <x:v>1</x:v>
      </x:c>
      <x:c r="K316" t="n">
        <x:v>15295</x:v>
      </x:c>
      <x:c r="L316" t="n">
        <x:v>15523</x:v>
      </x:c>
      <x:c r="M316" t="n">
        <x:v>15700</x:v>
      </x:c>
      <x:c r="N316" t="n">
        <x:v>15850.5</x:v>
      </x:c>
      <x:c r="O316" t="n">
        <x:v>15999</x:v>
      </x:c>
    </x:row>
    <x:row r="317">
      <x:c r="A317" t="str">
        <x:v>Uttar Pradesh</x:v>
      </x:c>
      <x:c r="B317" t="str">
        <x:v>All India except Central University</x:v>
      </x:c>
      <x:c r="C317" t="str">
        <x:v>200553</x:v>
      </x:c>
      <x:c r="D317" t="str">
        <x:v>Autonomous State Medical College, Siddharthnagar, Autonomous State Medical College Siddharthnagar 71 Ashok Marg Village Mudila Naugarh Uttar Prade</x:v>
      </x:c>
      <x:c r="E317" t="str">
        <x:v>All India</x:v>
      </x:c>
      <x:c r="F317" t="str">
        <x:v>Open</x:v>
      </x:c>
      <x:c r="G317" t="n">
        <x:v>6</x:v>
      </x:c>
      <x:c r="H317" t="n">
        <x:v>6</x:v>
      </x:c>
      <x:c r="I317" t="n">
        <x:f>G317-H317</x:f>
        <x:v>0</x:v>
      </x:c>
      <x:c r="J317" s="20" t="n">
        <x:f>IFERROR(H317/G317,0)</x:f>
        <x:v>1</x:v>
      </x:c>
      <x:c r="K317" t="n">
        <x:v>12982</x:v>
      </x:c>
      <x:c r="L317" t="n">
        <x:v>13364.75</x:v>
      </x:c>
      <x:c r="M317" t="n">
        <x:v>13788</x:v>
      </x:c>
      <x:c r="N317" t="n">
        <x:v>14221</x:v>
      </x:c>
      <x:c r="O317" t="n">
        <x:v>14620</x:v>
      </x:c>
    </x:row>
    <x:row r="318">
      <x:c r="A318" t="str">
        <x:v>Uttar Pradesh</x:v>
      </x:c>
      <x:c r="B318" t="str">
        <x:v>All India except Central University</x:v>
      </x:c>
      <x:c r="C318" t="str">
        <x:v>200553</x:v>
      </x:c>
      <x:c r="D318" t="str">
        <x:v>Autonomous State Medical College, Siddharthnagar, Autonomous State Medical College Siddharthnagar 71 Ashok Marg Village Mudila Naugarh Uttar Prade</x:v>
      </x:c>
      <x:c r="E318" t="str">
        <x:v>All India</x:v>
      </x:c>
      <x:c r="F318" t="str">
        <x:v>SC</x:v>
      </x:c>
      <x:c r="G318" t="n">
        <x:v>2</x:v>
      </x:c>
      <x:c r="H318" t="n">
        <x:v>2</x:v>
      </x:c>
      <x:c r="I318" t="n">
        <x:f>G318-H318</x:f>
        <x:v>0</x:v>
      </x:c>
      <x:c r="J318" s="20" t="n">
        <x:f>IFERROR(H318/G318,0)</x:f>
        <x:v>1</x:v>
      </x:c>
      <x:c r="K318" t="n">
        <x:v>69348</x:v>
      </x:c>
      <x:c r="L318" t="n">
        <x:v>71156.25</x:v>
      </x:c>
      <x:c r="M318" t="n">
        <x:v>72964.5</x:v>
      </x:c>
      <x:c r="N318" t="n">
        <x:v>74772.75</x:v>
      </x:c>
      <x:c r="O318" t="n">
        <x:v>76581</x:v>
      </x:c>
    </x:row>
    <x:row r="319">
      <x:c r="A319" t="str">
        <x:v>Uttar Pradesh</x:v>
      </x:c>
      <x:c r="B319" t="str">
        <x:v>All India except Central University</x:v>
      </x:c>
      <x:c r="C319" t="str">
        <x:v>200553</x:v>
      </x:c>
      <x:c r="D319" t="str">
        <x:v>Autonomous State Medical College, Siddharthnagar, Autonomous State Medical College Siddharthnagar 71 Ashok Marg Village Mudila Naugarh Uttar Prade</x:v>
      </x:c>
      <x:c r="E319" t="str">
        <x:v>All India</x:v>
      </x:c>
      <x:c r="F319" t="str">
        <x:v>ST</x:v>
      </x:c>
      <x:c r="G319" t="n">
        <x:v>1</x:v>
      </x:c>
      <x:c r="H319" t="n">
        <x:v>1</x:v>
      </x:c>
      <x:c r="I319" t="n">
        <x:f>G319-H319</x:f>
        <x:v>0</x:v>
      </x:c>
      <x:c r="J319" s="20" t="n">
        <x:f>IFERROR(H319/G319,0)</x:f>
        <x:v>1</x:v>
      </x:c>
      <x:c r="K319" t="n">
        <x:v>105728</x:v>
      </x:c>
      <x:c r="L319" t="n">
        <x:v>105728</x:v>
      </x:c>
      <x:c r="M319" t="n">
        <x:v>105728</x:v>
      </x:c>
      <x:c r="N319" t="n">
        <x:v>105728</x:v>
      </x:c>
      <x:c r="O319" t="n">
        <x:v>105728</x:v>
      </x:c>
    </x:row>
    <x:row r="320">
      <x:c r="A320" t="str">
        <x:v>Uttar Pradesh</x:v>
      </x:c>
      <x:c r="B320" t="str">
        <x:v>All India except Central University</x:v>
      </x:c>
      <x:c r="C320" t="str">
        <x:v>903362</x:v>
      </x:c>
      <x:c r="D320" t="str">
        <x:v>Autonomous State Medical College, Sonebhadra, Rounp Rd, Churk,Robertsganj, Sonebhadra</x:v>
      </x:c>
      <x:c r="E320" t="str">
        <x:v>All India</x:v>
      </x:c>
      <x:c r="F320" t="str">
        <x:v>EWS</x:v>
      </x:c>
      <x:c r="G320" t="n">
        <x:v>1</x:v>
      </x:c>
      <x:c r="H320" t="n">
        <x:v>1</x:v>
      </x:c>
      <x:c r="I320" t="n">
        <x:f>G320-H320</x:f>
        <x:v>0</x:v>
      </x:c>
      <x:c r="J320" s="20" t="n">
        <x:f>IFERROR(H320/G320,0)</x:f>
        <x:v>1</x:v>
      </x:c>
      <x:c r="K320" t="n">
        <x:v>17626</x:v>
      </x:c>
      <x:c r="L320" t="n">
        <x:v>17626</x:v>
      </x:c>
      <x:c r="M320" t="n">
        <x:v>17626</x:v>
      </x:c>
      <x:c r="N320" t="n">
        <x:v>17626</x:v>
      </x:c>
      <x:c r="O320" t="n">
        <x:v>17626</x:v>
      </x:c>
    </x:row>
    <x:row r="321">
      <x:c r="A321" t="str">
        <x:v>Uttar Pradesh</x:v>
      </x:c>
      <x:c r="B321" t="str">
        <x:v>All India except Central University</x:v>
      </x:c>
      <x:c r="C321" t="str">
        <x:v>903362</x:v>
      </x:c>
      <x:c r="D321" t="str">
        <x:v>Autonomous State Medical College, Sonebhadra, Rounp Rd, Churk,Robertsganj, Sonebhadra</x:v>
      </x:c>
      <x:c r="E321" t="str">
        <x:v>All India</x:v>
      </x:c>
      <x:c r="F321" t="str">
        <x:v>OBC</x:v>
      </x:c>
      <x:c r="G321" t="n">
        <x:v>3</x:v>
      </x:c>
      <x:c r="H321" t="n">
        <x:v>3</x:v>
      </x:c>
      <x:c r="I321" t="n">
        <x:f>G321-H321</x:f>
        <x:v>0</x:v>
      </x:c>
      <x:c r="J321" s="20" t="n">
        <x:f>IFERROR(H321/G321,0)</x:f>
        <x:v>1</x:v>
      </x:c>
      <x:c r="K321" t="n">
        <x:v>17420</x:v>
      </x:c>
      <x:c r="L321" t="n">
        <x:v>17460.5</x:v>
      </x:c>
      <x:c r="M321" t="n">
        <x:v>17501</x:v>
      </x:c>
      <x:c r="N321" t="n">
        <x:v>17576</x:v>
      </x:c>
      <x:c r="O321" t="n">
        <x:v>17651</x:v>
      </x:c>
    </x:row>
    <x:row r="322">
      <x:c r="A322" t="str">
        <x:v>Uttar Pradesh</x:v>
      </x:c>
      <x:c r="B322" t="str">
        <x:v>All India except Central University</x:v>
      </x:c>
      <x:c r="C322" t="str">
        <x:v>903362</x:v>
      </x:c>
      <x:c r="D322" t="str">
        <x:v>Autonomous State Medical College, Sonebhadra, Rounp Rd, Churk,Robertsganj, Sonebhadra</x:v>
      </x:c>
      <x:c r="E322" t="str">
        <x:v>All India</x:v>
      </x:c>
      <x:c r="F322" t="str">
        <x:v>OBC PwD</x:v>
      </x:c>
      <x:c r="G322" t="n">
        <x:v>1</x:v>
      </x:c>
      <x:c r="H322" t="n">
        <x:v>1</x:v>
      </x:c>
      <x:c r="I322" t="n">
        <x:f>G322-H322</x:f>
        <x:v>0</x:v>
      </x:c>
      <x:c r="J322" s="20" t="n">
        <x:f>IFERROR(H322/G322,0)</x:f>
        <x:v>1</x:v>
      </x:c>
      <x:c r="K322" t="n">
        <x:v>583372</x:v>
      </x:c>
      <x:c r="L322" t="n">
        <x:v>583372</x:v>
      </x:c>
      <x:c r="M322" t="n">
        <x:v>583372</x:v>
      </x:c>
      <x:c r="N322" t="n">
        <x:v>583372</x:v>
      </x:c>
      <x:c r="O322" t="n">
        <x:v>583372</x:v>
      </x:c>
    </x:row>
    <x:row r="323">
      <x:c r="A323" t="str">
        <x:v>Uttar Pradesh</x:v>
      </x:c>
      <x:c r="B323" t="str">
        <x:v>All India except Central University</x:v>
      </x:c>
      <x:c r="C323" t="str">
        <x:v>903362</x:v>
      </x:c>
      <x:c r="D323" t="str">
        <x:v>Autonomous State Medical College, Sonebhadra, Rounp Rd, Churk,Robertsganj, Sonebhadra</x:v>
      </x:c>
      <x:c r="E323" t="str">
        <x:v>All India</x:v>
      </x:c>
      <x:c r="F323" t="str">
        <x:v>Open</x:v>
      </x:c>
      <x:c r="G323" t="n">
        <x:v>7</x:v>
      </x:c>
      <x:c r="H323" t="n">
        <x:v>7</x:v>
      </x:c>
      <x:c r="I323" t="n">
        <x:f>G323-H323</x:f>
        <x:v>0</x:v>
      </x:c>
      <x:c r="J323" s="20" t="n">
        <x:f>IFERROR(H323/G323,0)</x:f>
        <x:v>1</x:v>
      </x:c>
      <x:c r="K323" t="n">
        <x:v>13418</x:v>
      </x:c>
      <x:c r="L323" t="n">
        <x:v>15290</x:v>
      </x:c>
      <x:c r="M323" t="n">
        <x:v>17186</x:v>
      </x:c>
      <x:c r="N323" t="n">
        <x:v>17247</x:v>
      </x:c>
      <x:c r="O323" t="n">
        <x:v>17283</x:v>
      </x:c>
    </x:row>
    <x:row r="324">
      <x:c r="A324" t="str">
        <x:v>Uttar Pradesh</x:v>
      </x:c>
      <x:c r="B324" t="str">
        <x:v>All India except Central University</x:v>
      </x:c>
      <x:c r="C324" t="str">
        <x:v>903362</x:v>
      </x:c>
      <x:c r="D324" t="str">
        <x:v>Autonomous State Medical College, Sonebhadra, Rounp Rd, Churk,Robertsganj, Sonebhadra</x:v>
      </x:c>
      <x:c r="E324" t="str">
        <x:v>All India</x:v>
      </x:c>
      <x:c r="F324" t="str">
        <x:v>SC</x:v>
      </x:c>
      <x:c r="G324" t="n">
        <x:v>2</x:v>
      </x:c>
      <x:c r="H324" t="n">
        <x:v>2</x:v>
      </x:c>
      <x:c r="I324" t="n">
        <x:f>G324-H324</x:f>
        <x:v>0</x:v>
      </x:c>
      <x:c r="J324" s="20" t="n">
        <x:f>IFERROR(H324/G324,0)</x:f>
        <x:v>1</x:v>
      </x:c>
      <x:c r="K324" t="n">
        <x:v>87547</x:v>
      </x:c>
      <x:c r="L324" t="n">
        <x:v>87721.5</x:v>
      </x:c>
      <x:c r="M324" t="n">
        <x:v>87896</x:v>
      </x:c>
      <x:c r="N324" t="n">
        <x:v>88070.5</x:v>
      </x:c>
      <x:c r="O324" t="n">
        <x:v>88245</x:v>
      </x:c>
    </x:row>
    <x:row r="325">
      <x:c r="A325" t="str">
        <x:v>Uttar Pradesh</x:v>
      </x:c>
      <x:c r="B325" t="str">
        <x:v>All India except Central University</x:v>
      </x:c>
      <x:c r="C325" t="str">
        <x:v>903362</x:v>
      </x:c>
      <x:c r="D325" t="str">
        <x:v>Autonomous State Medical College, Sonebhadra, Rounp Rd, Churk,Robertsganj, Sonebhadra</x:v>
      </x:c>
      <x:c r="E325" t="str">
        <x:v>All India</x:v>
      </x:c>
      <x:c r="F325" t="str">
        <x:v>ST</x:v>
      </x:c>
      <x:c r="G325" t="n">
        <x:v>1</x:v>
      </x:c>
      <x:c r="H325" t="n">
        <x:v>1</x:v>
      </x:c>
      <x:c r="I325" t="n">
        <x:f>G325-H325</x:f>
        <x:v>0</x:v>
      </x:c>
      <x:c r="J325" s="20" t="n">
        <x:f>IFERROR(H325/G325,0)</x:f>
        <x:v>1</x:v>
      </x:c>
      <x:c r="K325" t="n">
        <x:v>113337</x:v>
      </x:c>
      <x:c r="L325" t="n">
        <x:v>113337</x:v>
      </x:c>
      <x:c r="M325" t="n">
        <x:v>113337</x:v>
      </x:c>
      <x:c r="N325" t="n">
        <x:v>113337</x:v>
      </x:c>
      <x:c r="O325" t="n">
        <x:v>113337</x:v>
      </x:c>
    </x:row>
    <x:row r="326">
      <x:c r="A326" t="str">
        <x:v>Uttar Pradesh</x:v>
      </x:c>
      <x:c r="B326" t="str">
        <x:v>All India except Central University</x:v>
      </x:c>
      <x:c r="C326" t="str">
        <x:v>200574</x:v>
      </x:c>
      <x:c r="D326" t="str">
        <x:v>Autonomous State Society Medical College Mirzapur, MAA VINDHYAVASINI AUTONOMOUS STATE MEDICAL COLLEGE PIPARDARH, VISHUNDERPUR, MIRZAPUR</x:v>
      </x:c>
      <x:c r="E326" t="str">
        <x:v>All India</x:v>
      </x:c>
      <x:c r="F326" t="str">
        <x:v>EWS</x:v>
      </x:c>
      <x:c r="G326" t="n">
        <x:v>2</x:v>
      </x:c>
      <x:c r="H326" t="n">
        <x:v>2</x:v>
      </x:c>
      <x:c r="I326" t="n">
        <x:f>G326-H326</x:f>
        <x:v>0</x:v>
      </x:c>
      <x:c r="J326" s="20" t="n">
        <x:f>IFERROR(H326/G326,0)</x:f>
        <x:v>1</x:v>
      </x:c>
      <x:c r="K326" t="n">
        <x:v>17384</x:v>
      </x:c>
      <x:c r="L326" t="n">
        <x:v>17456.75</x:v>
      </x:c>
      <x:c r="M326" t="n">
        <x:v>17529.5</x:v>
      </x:c>
      <x:c r="N326" t="n">
        <x:v>17602.25</x:v>
      </x:c>
      <x:c r="O326" t="n">
        <x:v>17675</x:v>
      </x:c>
    </x:row>
    <x:row r="327">
      <x:c r="A327" t="str">
        <x:v>Uttar Pradesh</x:v>
      </x:c>
      <x:c r="B327" t="str">
        <x:v>All India except Central University</x:v>
      </x:c>
      <x:c r="C327" t="str">
        <x:v>200574</x:v>
      </x:c>
      <x:c r="D327" t="str">
        <x:v>Autonomous State Society Medical College Mirzapur, MAA VINDHYAVASINI AUTONOMOUS STATE MEDICAL COLLEGE PIPARDARH, VISHUNDERPUR, MIRZAPUR</x:v>
      </x:c>
      <x:c r="E327" t="str">
        <x:v>All India</x:v>
      </x:c>
      <x:c r="F327" t="str">
        <x:v>OBC</x:v>
      </x:c>
      <x:c r="G327" t="n">
        <x:v>4</x:v>
      </x:c>
      <x:c r="H327" t="n">
        <x:v>4</x:v>
      </x:c>
      <x:c r="I327" t="n">
        <x:f>G327-H327</x:f>
        <x:v>0</x:v>
      </x:c>
      <x:c r="J327" s="20" t="n">
        <x:f>IFERROR(H327/G327,0)</x:f>
        <x:v>1</x:v>
      </x:c>
      <x:c r="K327" t="n">
        <x:v>15913</x:v>
      </x:c>
      <x:c r="L327" t="n">
        <x:v>16090</x:v>
      </x:c>
      <x:c r="M327" t="n">
        <x:v>16176.5</x:v>
      </x:c>
      <x:c r="N327" t="n">
        <x:v>16218.5</x:v>
      </x:c>
      <x:c r="O327" t="n">
        <x:v>16262</x:v>
      </x:c>
    </x:row>
    <x:row r="328">
      <x:c r="A328" t="str">
        <x:v>Uttar Pradesh</x:v>
      </x:c>
      <x:c r="B328" t="str">
        <x:v>All India except Central University</x:v>
      </x:c>
      <x:c r="C328" t="str">
        <x:v>200574</x:v>
      </x:c>
      <x:c r="D328" t="str">
        <x:v>Autonomous State Society Medical College Mirzapur, MAA VINDHYAVASINI AUTONOMOUS STATE MEDICAL COLLEGE PIPARDARH, VISHUNDERPUR, MIRZAPUR</x:v>
      </x:c>
      <x:c r="E328" t="str">
        <x:v>All India</x:v>
      </x:c>
      <x:c r="F328" t="str">
        <x:v>Open</x:v>
      </x:c>
      <x:c r="G328" t="n">
        <x:v>6</x:v>
      </x:c>
      <x:c r="H328" t="n">
        <x:v>6</x:v>
      </x:c>
      <x:c r="I328" t="n">
        <x:f>G328-H328</x:f>
        <x:v>0</x:v>
      </x:c>
      <x:c r="J328" s="20" t="n">
        <x:f>IFERROR(H328/G328,0)</x:f>
        <x:v>1</x:v>
      </x:c>
      <x:c r="K328" t="n">
        <x:v>11226</x:v>
      </x:c>
      <x:c r="L328" t="n">
        <x:v>13840.75</x:v>
      </x:c>
      <x:c r="M328" t="n">
        <x:v>15291</x:v>
      </x:c>
      <x:c r="N328" t="n">
        <x:v>15536</x:v>
      </x:c>
      <x:c r="O328" t="n">
        <x:v>15735</x:v>
      </x:c>
    </x:row>
    <x:row r="329">
      <x:c r="A329" t="str">
        <x:v>Uttar Pradesh</x:v>
      </x:c>
      <x:c r="B329" t="str">
        <x:v>All India except Central University</x:v>
      </x:c>
      <x:c r="C329" t="str">
        <x:v>200574</x:v>
      </x:c>
      <x:c r="D329" t="str">
        <x:v>Autonomous State Society Medical College Mirzapur, MAA VINDHYAVASINI AUTONOMOUS STATE MEDICAL COLLEGE PIPARDARH, VISHUNDERPUR, MIRZAPUR</x:v>
      </x:c>
      <x:c r="E329" t="str">
        <x:v>All India</x:v>
      </x:c>
      <x:c r="F329" t="str">
        <x:v>SC</x:v>
      </x:c>
      <x:c r="G329" t="n">
        <x:v>2</x:v>
      </x:c>
      <x:c r="H329" t="n">
        <x:v>2</x:v>
      </x:c>
      <x:c r="I329" t="n">
        <x:f>G329-H329</x:f>
        <x:v>0</x:v>
      </x:c>
      <x:c r="J329" s="20" t="n">
        <x:f>IFERROR(H329/G329,0)</x:f>
        <x:v>1</x:v>
      </x:c>
      <x:c r="K329" t="n">
        <x:v>81223</x:v>
      </x:c>
      <x:c r="L329" t="n">
        <x:v>81665.5</x:v>
      </x:c>
      <x:c r="M329" t="n">
        <x:v>82108</x:v>
      </x:c>
      <x:c r="N329" t="n">
        <x:v>82550.5</x:v>
      </x:c>
      <x:c r="O329" t="n">
        <x:v>82993</x:v>
      </x:c>
    </x:row>
    <x:row r="330">
      <x:c r="A330" t="str">
        <x:v>Uttar Pradesh</x:v>
      </x:c>
      <x:c r="B330" t="str">
        <x:v>All India except Central University</x:v>
      </x:c>
      <x:c r="C330" t="str">
        <x:v>200574</x:v>
      </x:c>
      <x:c r="D330" t="str">
        <x:v>Autonomous State Society Medical College Mirzapur, MAA VINDHYAVASINI AUTONOMOUS STATE MEDICAL COLLEGE PIPARDARH, VISHUNDERPUR, MIRZAPUR</x:v>
      </x:c>
      <x:c r="E330" t="str">
        <x:v>All India</x:v>
      </x:c>
      <x:c r="F330" t="str">
        <x:v>ST</x:v>
      </x:c>
      <x:c r="G330" t="n">
        <x:v>1</x:v>
      </x:c>
      <x:c r="H330" t="n">
        <x:v>1</x:v>
      </x:c>
      <x:c r="I330" t="n">
        <x:f>G330-H330</x:f>
        <x:v>0</x:v>
      </x:c>
      <x:c r="J330" s="20" t="n">
        <x:f>IFERROR(H330/G330,0)</x:f>
        <x:v>1</x:v>
      </x:c>
      <x:c r="K330" t="n">
        <x:v>105322</x:v>
      </x:c>
      <x:c r="L330" t="n">
        <x:v>105322</x:v>
      </x:c>
      <x:c r="M330" t="n">
        <x:v>105322</x:v>
      </x:c>
      <x:c r="N330" t="n">
        <x:v>105322</x:v>
      </x:c>
      <x:c r="O330" t="n">
        <x:v>105322</x:v>
      </x:c>
    </x:row>
    <x:row r="331">
      <x:c r="A331" t="str">
        <x:v>Uttar Pradesh</x:v>
      </x:c>
      <x:c r="B331" t="str">
        <x:v>All India except Central University</x:v>
      </x:c>
      <x:c r="C331" t="str">
        <x:v>904370</x:v>
      </x:c>
      <x:c r="D331" t="str">
        <x:v>Autonomous state medical college Amethi, Autonomous State Medical College, Tiloi, Amethi, Uttar Pradesh, Pin code- 229309.</x:v>
      </x:c>
      <x:c r="E331" t="str">
        <x:v>All India</x:v>
      </x:c>
      <x:c r="F331" t="str">
        <x:v>EWS</x:v>
      </x:c>
      <x:c r="G331" t="n">
        <x:v>1</x:v>
      </x:c>
      <x:c r="H331" t="n">
        <x:v>1</x:v>
      </x:c>
      <x:c r="I331" t="n">
        <x:f>G331-H331</x:f>
        <x:v>0</x:v>
      </x:c>
      <x:c r="J331" s="20" t="n">
        <x:f>IFERROR(H331/G331,0)</x:f>
        <x:v>1</x:v>
      </x:c>
      <x:c r="K331" t="n">
        <x:v>17340</x:v>
      </x:c>
      <x:c r="L331" t="n">
        <x:v>17340</x:v>
      </x:c>
      <x:c r="M331" t="n">
        <x:v>17340</x:v>
      </x:c>
      <x:c r="N331" t="n">
        <x:v>17340</x:v>
      </x:c>
      <x:c r="O331" t="n">
        <x:v>17340</x:v>
      </x:c>
    </x:row>
    <x:row r="332">
      <x:c r="A332" t="str">
        <x:v>Uttar Pradesh</x:v>
      </x:c>
      <x:c r="B332" t="str">
        <x:v>All India except Central University</x:v>
      </x:c>
      <x:c r="C332" t="str">
        <x:v>904370</x:v>
      </x:c>
      <x:c r="D332" t="str">
        <x:v>Autonomous state medical college Amethi, Autonomous State Medical College, Tiloi, Amethi, Uttar Pradesh, Pin code- 229309.</x:v>
      </x:c>
      <x:c r="E332" t="str">
        <x:v>All India</x:v>
      </x:c>
      <x:c r="F332" t="str">
        <x:v>OBC</x:v>
      </x:c>
      <x:c r="G332" t="n">
        <x:v>3</x:v>
      </x:c>
      <x:c r="H332" t="n">
        <x:v>3</x:v>
      </x:c>
      <x:c r="I332" t="n">
        <x:f>G332-H332</x:f>
        <x:v>0</x:v>
      </x:c>
      <x:c r="J332" s="20" t="n">
        <x:f>IFERROR(H332/G332,0)</x:f>
        <x:v>1</x:v>
      </x:c>
      <x:c r="K332" t="n">
        <x:v>15396</x:v>
      </x:c>
      <x:c r="L332" t="n">
        <x:v>15933</x:v>
      </x:c>
      <x:c r="M332" t="n">
        <x:v>16470</x:v>
      </x:c>
      <x:c r="N332" t="n">
        <x:v>16619.5</x:v>
      </x:c>
      <x:c r="O332" t="n">
        <x:v>16769</x:v>
      </x:c>
    </x:row>
    <x:row r="333">
      <x:c r="A333" t="str">
        <x:v>Uttar Pradesh</x:v>
      </x:c>
      <x:c r="B333" t="str">
        <x:v>All India except Central University</x:v>
      </x:c>
      <x:c r="C333" t="str">
        <x:v>904370</x:v>
      </x:c>
      <x:c r="D333" t="str">
        <x:v>Autonomous state medical college Amethi, Autonomous State Medical College, Tiloi, Amethi, Uttar Pradesh, Pin code- 229309.</x:v>
      </x:c>
      <x:c r="E333" t="str">
        <x:v>All India</x:v>
      </x:c>
      <x:c r="F333" t="str">
        <x:v>OBC PwD</x:v>
      </x:c>
      <x:c r="G333" t="n">
        <x:v>1</x:v>
      </x:c>
      <x:c r="H333" t="n">
        <x:v>1</x:v>
      </x:c>
      <x:c r="I333" t="n">
        <x:f>G333-H333</x:f>
        <x:v>0</x:v>
      </x:c>
      <x:c r="J333" s="20" t="n">
        <x:f>IFERROR(H333/G333,0)</x:f>
        <x:v>1</x:v>
      </x:c>
      <x:c r="K333" t="n">
        <x:v>524446</x:v>
      </x:c>
      <x:c r="L333" t="n">
        <x:v>524446</x:v>
      </x:c>
      <x:c r="M333" t="n">
        <x:v>524446</x:v>
      </x:c>
      <x:c r="N333" t="n">
        <x:v>524446</x:v>
      </x:c>
      <x:c r="O333" t="n">
        <x:v>524446</x:v>
      </x:c>
    </x:row>
    <x:row r="334">
      <x:c r="A334" t="str">
        <x:v>Uttar Pradesh</x:v>
      </x:c>
      <x:c r="B334" t="str">
        <x:v>All India except Central University</x:v>
      </x:c>
      <x:c r="C334" t="str">
        <x:v>904370</x:v>
      </x:c>
      <x:c r="D334" t="str">
        <x:v>Autonomous state medical college Amethi, Autonomous State Medical College, Tiloi, Amethi, Uttar Pradesh, Pin code- 229309.</x:v>
      </x:c>
      <x:c r="E334" t="str">
        <x:v>All India</x:v>
      </x:c>
      <x:c r="F334" t="str">
        <x:v>Open</x:v>
      </x:c>
      <x:c r="G334" t="n">
        <x:v>6</x:v>
      </x:c>
      <x:c r="H334" t="n">
        <x:v>6</x:v>
      </x:c>
      <x:c r="I334" t="n">
        <x:f>G334-H334</x:f>
        <x:v>0</x:v>
      </x:c>
      <x:c r="J334" s="20" t="n">
        <x:f>IFERROR(H334/G334,0)</x:f>
        <x:v>1</x:v>
      </x:c>
      <x:c r="K334" t="n">
        <x:v>11516</x:v>
      </x:c>
      <x:c r="L334" t="n">
        <x:v>12305.25</x:v>
      </x:c>
      <x:c r="M334" t="n">
        <x:v>14032</x:v>
      </x:c>
      <x:c r="N334" t="n">
        <x:v>14743.25</x:v>
      </x:c>
      <x:c r="O334" t="n">
        <x:v>15379</x:v>
      </x:c>
    </x:row>
    <x:row r="335">
      <x:c r="A335" t="str">
        <x:v>Uttar Pradesh</x:v>
      </x:c>
      <x:c r="B335" t="str">
        <x:v>All India except Central University</x:v>
      </x:c>
      <x:c r="C335" t="str">
        <x:v>904370</x:v>
      </x:c>
      <x:c r="D335" t="str">
        <x:v>Autonomous state medical college Amethi, Autonomous State Medical College, Tiloi, Amethi, Uttar Pradesh, Pin code- 229309.</x:v>
      </x:c>
      <x:c r="E335" t="str">
        <x:v>All India</x:v>
      </x:c>
      <x:c r="F335" t="str">
        <x:v>SC</x:v>
      </x:c>
      <x:c r="G335" t="n">
        <x:v>2</x:v>
      </x:c>
      <x:c r="H335" t="n">
        <x:v>2</x:v>
      </x:c>
      <x:c r="I335" t="n">
        <x:f>G335-H335</x:f>
        <x:v>0</x:v>
      </x:c>
      <x:c r="J335" s="20" t="n">
        <x:f>IFERROR(H335/G335,0)</x:f>
        <x:v>1</x:v>
      </x:c>
      <x:c r="K335" t="n">
        <x:v>73557</x:v>
      </x:c>
      <x:c r="L335" t="n">
        <x:v>73858.75</x:v>
      </x:c>
      <x:c r="M335" t="n">
        <x:v>74160.5</x:v>
      </x:c>
      <x:c r="N335" t="n">
        <x:v>74462.25</x:v>
      </x:c>
      <x:c r="O335" t="n">
        <x:v>74764</x:v>
      </x:c>
    </x:row>
    <x:row r="336">
      <x:c r="A336" t="str">
        <x:v>Uttar Pradesh</x:v>
      </x:c>
      <x:c r="B336" t="str">
        <x:v>All India except Central University</x:v>
      </x:c>
      <x:c r="C336" t="str">
        <x:v>904370</x:v>
      </x:c>
      <x:c r="D336" t="str">
        <x:v>Autonomous state medical college Amethi, Autonomous State Medical College, Tiloi, Amethi, Uttar Pradesh, Pin code- 229309.</x:v>
      </x:c>
      <x:c r="E336" t="str">
        <x:v>All India</x:v>
      </x:c>
      <x:c r="F336" t="str">
        <x:v>ST</x:v>
      </x:c>
      <x:c r="G336" t="n">
        <x:v>2</x:v>
      </x:c>
      <x:c r="H336" t="n">
        <x:v>2</x:v>
      </x:c>
      <x:c r="I336" t="n">
        <x:f>G336-H336</x:f>
        <x:v>0</x:v>
      </x:c>
      <x:c r="J336" s="20" t="n">
        <x:f>IFERROR(H336/G336,0)</x:f>
        <x:v>1</x:v>
      </x:c>
      <x:c r="K336" t="n">
        <x:v>98228</x:v>
      </x:c>
      <x:c r="L336" t="n">
        <x:v>100203.25</x:v>
      </x:c>
      <x:c r="M336" t="n">
        <x:v>102178.5</x:v>
      </x:c>
      <x:c r="N336" t="n">
        <x:v>104153.75</x:v>
      </x:c>
      <x:c r="O336" t="n">
        <x:v>106129</x:v>
      </x:c>
    </x:row>
    <x:row r="337">
      <x:c r="A337" t="str">
        <x:v>Gujarat</x:v>
      </x:c>
      <x:c r="B337" t="str">
        <x:v>All India except Central University</x:v>
      </x:c>
      <x:c r="C337" t="str">
        <x:v>200137</x:v>
      </x:c>
      <x:c r="D337" t="str">
        <x:v>B J Medical College, Ahmedabad, B.J. Medical College, New Civil Hospital Campus, Asarwa, Ahmedabad 380016</x:v>
      </x:c>
      <x:c r="E337" t="str">
        <x:v>All India</x:v>
      </x:c>
      <x:c r="F337" t="str">
        <x:v>EWS</x:v>
      </x:c>
      <x:c r="G337" t="n">
        <x:v>4</x:v>
      </x:c>
      <x:c r="H337" t="n">
        <x:v>4</x:v>
      </x:c>
      <x:c r="I337" t="n">
        <x:f>G337-H337</x:f>
        <x:v>0</x:v>
      </x:c>
      <x:c r="J337" s="20" t="n">
        <x:f>IFERROR(H337/G337,0)</x:f>
        <x:v>1</x:v>
      </x:c>
      <x:c r="K337" t="n">
        <x:v>1376</x:v>
      </x:c>
      <x:c r="L337" t="n">
        <x:v>1868</x:v>
      </x:c>
      <x:c r="M337" t="n">
        <x:v>2078.5</x:v>
      </x:c>
      <x:c r="N337" t="n">
        <x:v>2129.5</x:v>
      </x:c>
      <x:c r="O337" t="n">
        <x:v>2143</x:v>
      </x:c>
    </x:row>
    <x:row r="338">
      <x:c r="A338" t="str">
        <x:v>Gujarat</x:v>
      </x:c>
      <x:c r="B338" t="str">
        <x:v>All India except Central University</x:v>
      </x:c>
      <x:c r="C338" t="str">
        <x:v>200137</x:v>
      </x:c>
      <x:c r="D338" t="str">
        <x:v>B J Medical College, Ahmedabad, B.J. Medical College, New Civil Hospital Campus, Asarwa, Ahmedabad 380016</x:v>
      </x:c>
      <x:c r="E338" t="str">
        <x:v>All India</x:v>
      </x:c>
      <x:c r="F338" t="str">
        <x:v>OBC</x:v>
      </x:c>
      <x:c r="G338" t="n">
        <x:v>10</x:v>
      </x:c>
      <x:c r="H338" t="n">
        <x:v>10</x:v>
      </x:c>
      <x:c r="I338" t="n">
        <x:f>G338-H338</x:f>
        <x:v>0</x:v>
      </x:c>
      <x:c r="J338" s="20" t="n">
        <x:f>IFERROR(H338/G338,0)</x:f>
        <x:v>1</x:v>
      </x:c>
      <x:c r="K338" t="n">
        <x:v>1101</x:v>
      </x:c>
      <x:c r="L338" t="n">
        <x:v>1931.75</x:v>
      </x:c>
      <x:c r="M338" t="n">
        <x:v>2708</x:v>
      </x:c>
      <x:c r="N338" t="n">
        <x:v>3000.75</x:v>
      </x:c>
      <x:c r="O338" t="n">
        <x:v>3119</x:v>
      </x:c>
    </x:row>
    <x:row r="339">
      <x:c r="A339" t="str">
        <x:v>Gujarat</x:v>
      </x:c>
      <x:c r="B339" t="str">
        <x:v>All India except Central University</x:v>
      </x:c>
      <x:c r="C339" t="str">
        <x:v>200137</x:v>
      </x:c>
      <x:c r="D339" t="str">
        <x:v>B J Medical College, Ahmedabad, B.J. Medical College, New Civil Hospital Campus, Asarwa, Ahmedabad 380016</x:v>
      </x:c>
      <x:c r="E339" t="str">
        <x:v>All India</x:v>
      </x:c>
      <x:c r="F339" t="str">
        <x:v>Open</x:v>
      </x:c>
      <x:c r="G339" t="n">
        <x:v>14</x:v>
      </x:c>
      <x:c r="H339" t="n">
        <x:v>14</x:v>
      </x:c>
      <x:c r="I339" t="n">
        <x:f>G339-H339</x:f>
        <x:v>0</x:v>
      </x:c>
      <x:c r="J339" s="20" t="n">
        <x:f>IFERROR(H339/G339,0)</x:f>
        <x:v>1</x:v>
      </x:c>
      <x:c r="K339" t="n">
        <x:v>43</x:v>
      </x:c>
      <x:c r="L339" t="n">
        <x:v>548.75</x:v>
      </x:c>
      <x:c r="M339" t="n">
        <x:v>644.5</x:v>
      </x:c>
      <x:c r="N339" t="n">
        <x:v>793.5</x:v>
      </x:c>
      <x:c r="O339" t="n">
        <x:v>1094</x:v>
      </x:c>
    </x:row>
    <x:row r="340">
      <x:c r="A340" t="str">
        <x:v>Gujarat</x:v>
      </x:c>
      <x:c r="B340" t="str">
        <x:v>All India except Central University</x:v>
      </x:c>
      <x:c r="C340" t="str">
        <x:v>200137</x:v>
      </x:c>
      <x:c r="D340" t="str">
        <x:v>B J Medical College, Ahmedabad, B.J. Medical College, New Civil Hospital Campus, Asarwa, Ahmedabad 380016</x:v>
      </x:c>
      <x:c r="E340" t="str">
        <x:v>All India</x:v>
      </x:c>
      <x:c r="F340" t="str">
        <x:v>SC</x:v>
      </x:c>
      <x:c r="G340" t="n">
        <x:v>6</x:v>
      </x:c>
      <x:c r="H340" t="n">
        <x:v>6</x:v>
      </x:c>
      <x:c r="I340" t="n">
        <x:f>G340-H340</x:f>
        <x:v>0</x:v>
      </x:c>
      <x:c r="J340" s="20" t="n">
        <x:f>IFERROR(H340/G340,0)</x:f>
        <x:v>1</x:v>
      </x:c>
      <x:c r="K340" t="n">
        <x:v>7394</x:v>
      </x:c>
      <x:c r="L340" t="n">
        <x:v>19504.5</x:v>
      </x:c>
      <x:c r="M340" t="n">
        <x:v>20011</x:v>
      </x:c>
      <x:c r="N340" t="n">
        <x:v>20264</x:v>
      </x:c>
      <x:c r="O340" t="n">
        <x:v>20788</x:v>
      </x:c>
    </x:row>
    <x:row r="341">
      <x:c r="A341" t="str">
        <x:v>Gujarat</x:v>
      </x:c>
      <x:c r="B341" t="str">
        <x:v>All India except Central University</x:v>
      </x:c>
      <x:c r="C341" t="str">
        <x:v>200137</x:v>
      </x:c>
      <x:c r="D341" t="str">
        <x:v>B J Medical College, Ahmedabad, B.J. Medical College, New Civil Hospital Campus, Asarwa, Ahmedabad 380016</x:v>
      </x:c>
      <x:c r="E341" t="str">
        <x:v>All India</x:v>
      </x:c>
      <x:c r="F341" t="str">
        <x:v>ST</x:v>
      </x:c>
      <x:c r="G341" t="n">
        <x:v>3</x:v>
      </x:c>
      <x:c r="H341" t="n">
        <x:v>3</x:v>
      </x:c>
      <x:c r="I341" t="n">
        <x:f>G341-H341</x:f>
        <x:v>0</x:v>
      </x:c>
      <x:c r="J341" s="20" t="n">
        <x:f>IFERROR(H341/G341,0)</x:f>
        <x:v>1</x:v>
      </x:c>
      <x:c r="K341" t="n">
        <x:v>23469</x:v>
      </x:c>
      <x:c r="L341" t="n">
        <x:v>28488.5</x:v>
      </x:c>
      <x:c r="M341" t="n">
        <x:v>33508</x:v>
      </x:c>
      <x:c r="N341" t="n">
        <x:v>34790.5</x:v>
      </x:c>
      <x:c r="O341" t="n">
        <x:v>36073</x:v>
      </x:c>
    </x:row>
    <x:row r="342">
      <x:c r="A342" t="str">
        <x:v>Maharashtra</x:v>
      </x:c>
      <x:c r="B342" t="str">
        <x:v>All India except Central University</x:v>
      </x:c>
      <x:c r="C342" t="str">
        <x:v>200205</x:v>
      </x:c>
      <x:c r="D342" t="str">
        <x:v>B. J. Govt. Medical College, Pune, Sassoon Hospital Compound, Near Pune Railway station J.P. Narayan Road, Pune</x:v>
      </x:c>
      <x:c r="E342" t="str">
        <x:v>All India</x:v>
      </x:c>
      <x:c r="F342" t="str">
        <x:v>EWS</x:v>
      </x:c>
      <x:c r="G342" t="n">
        <x:v>3</x:v>
      </x:c>
      <x:c r="H342" t="n">
        <x:v>3</x:v>
      </x:c>
      <x:c r="I342" t="n">
        <x:f>G342-H342</x:f>
        <x:v>0</x:v>
      </x:c>
      <x:c r="J342" s="20" t="n">
        <x:f>IFERROR(H342/G342,0)</x:f>
        <x:v>1</x:v>
      </x:c>
      <x:c r="K342" t="n">
        <x:v>3200</x:v>
      </x:c>
      <x:c r="L342" t="n">
        <x:v>3876</x:v>
      </x:c>
      <x:c r="M342" t="n">
        <x:v>4552</x:v>
      </x:c>
      <x:c r="N342" t="n">
        <x:v>4612.5</x:v>
      </x:c>
      <x:c r="O342" t="n">
        <x:v>4673</x:v>
      </x:c>
    </x:row>
    <x:row r="343">
      <x:c r="A343" t="str">
        <x:v>Maharashtra</x:v>
      </x:c>
      <x:c r="B343" t="str">
        <x:v>All India except Central University</x:v>
      </x:c>
      <x:c r="C343" t="str">
        <x:v>200205</x:v>
      </x:c>
      <x:c r="D343" t="str">
        <x:v>B. J. Govt. Medical College, Pune, Sassoon Hospital Compound, Near Pune Railway station J.P. Narayan Road, Pune</x:v>
      </x:c>
      <x:c r="E343" t="str">
        <x:v>All India</x:v>
      </x:c>
      <x:c r="F343" t="str">
        <x:v>OBC</x:v>
      </x:c>
      <x:c r="G343" t="n">
        <x:v>11</x:v>
      </x:c>
      <x:c r="H343" t="n">
        <x:v>11</x:v>
      </x:c>
      <x:c r="I343" t="n">
        <x:f>G343-H343</x:f>
        <x:v>0</x:v>
      </x:c>
      <x:c r="J343" s="20" t="n">
        <x:f>IFERROR(H343/G343,0)</x:f>
        <x:v>1</x:v>
      </x:c>
      <x:c r="K343" t="n">
        <x:v>3383</x:v>
      </x:c>
      <x:c r="L343" t="n">
        <x:v>4199.5</x:v>
      </x:c>
      <x:c r="M343" t="n">
        <x:v>4425</x:v>
      </x:c>
      <x:c r="N343" t="n">
        <x:v>4526</x:v>
      </x:c>
      <x:c r="O343" t="n">
        <x:v>4724</x:v>
      </x:c>
    </x:row>
    <x:row r="344">
      <x:c r="A344" t="str">
        <x:v>Maharashtra</x:v>
      </x:c>
      <x:c r="B344" t="str">
        <x:v>All India except Central University</x:v>
      </x:c>
      <x:c r="C344" t="str">
        <x:v>200205</x:v>
      </x:c>
      <x:c r="D344" t="str">
        <x:v>B. J. Govt. Medical College, Pune, Sassoon Hospital Compound, Near Pune Railway station J.P. Narayan Road, Pune</x:v>
      </x:c>
      <x:c r="E344" t="str">
        <x:v>All India</x:v>
      </x:c>
      <x:c r="F344" t="str">
        <x:v>Open</x:v>
      </x:c>
      <x:c r="G344" t="n">
        <x:v>15</x:v>
      </x:c>
      <x:c r="H344" t="n">
        <x:v>15</x:v>
      </x:c>
      <x:c r="I344" t="n">
        <x:f>G344-H344</x:f>
        <x:v>0</x:v>
      </x:c>
      <x:c r="J344" s="20" t="n">
        <x:f>IFERROR(H344/G344,0)</x:f>
        <x:v>1</x:v>
      </x:c>
      <x:c r="K344" t="n">
        <x:v>498</x:v>
      </x:c>
      <x:c r="L344" t="n">
        <x:v>1828</x:v>
      </x:c>
      <x:c r="M344" t="n">
        <x:v>2419</x:v>
      </x:c>
      <x:c r="N344" t="n">
        <x:v>2624.5</x:v>
      </x:c>
      <x:c r="O344" t="n">
        <x:v>2770</x:v>
      </x:c>
    </x:row>
    <x:row r="345">
      <x:c r="A345" t="str">
        <x:v>Maharashtra</x:v>
      </x:c>
      <x:c r="B345" t="str">
        <x:v>All India except Central University</x:v>
      </x:c>
      <x:c r="C345" t="str">
        <x:v>200205</x:v>
      </x:c>
      <x:c r="D345" t="str">
        <x:v>B. J. Govt. Medical College, Pune, Sassoon Hospital Compound, Near Pune Railway station J.P. Narayan Road, Pune</x:v>
      </x:c>
      <x:c r="E345" t="str">
        <x:v>All India</x:v>
      </x:c>
      <x:c r="F345" t="str">
        <x:v>Open PwD</x:v>
      </x:c>
      <x:c r="G345" t="n">
        <x:v>1</x:v>
      </x:c>
      <x:c r="H345" t="n">
        <x:v>1</x:v>
      </x:c>
      <x:c r="I345" t="n">
        <x:f>G345-H345</x:f>
        <x:v>0</x:v>
      </x:c>
      <x:c r="J345" s="20" t="n">
        <x:f>IFERROR(H345/G345,0)</x:f>
        <x:v>1</x:v>
      </x:c>
      <x:c r="K345" t="n">
        <x:v>154919</x:v>
      </x:c>
      <x:c r="L345" t="n">
        <x:v>154919</x:v>
      </x:c>
      <x:c r="M345" t="n">
        <x:v>154919</x:v>
      </x:c>
      <x:c r="N345" t="n">
        <x:v>154919</x:v>
      </x:c>
      <x:c r="O345" t="n">
        <x:v>154919</x:v>
      </x:c>
    </x:row>
    <x:row r="346">
      <x:c r="A346" t="str">
        <x:v>Maharashtra</x:v>
      </x:c>
      <x:c r="B346" t="str">
        <x:v>All India except Central University</x:v>
      </x:c>
      <x:c r="C346" t="str">
        <x:v>200205</x:v>
      </x:c>
      <x:c r="D346" t="str">
        <x:v>B. J. Govt. Medical College, Pune, Sassoon Hospital Compound, Near Pune Railway station J.P. Narayan Road, Pune</x:v>
      </x:c>
      <x:c r="E346" t="str">
        <x:v>All India</x:v>
      </x:c>
      <x:c r="F346" t="str">
        <x:v>SC</x:v>
      </x:c>
      <x:c r="G346" t="n">
        <x:v>6</x:v>
      </x:c>
      <x:c r="H346" t="n">
        <x:v>6</x:v>
      </x:c>
      <x:c r="I346" t="n">
        <x:f>G346-H346</x:f>
        <x:v>0</x:v>
      </x:c>
      <x:c r="J346" s="20" t="n">
        <x:f>IFERROR(H346/G346,0)</x:f>
        <x:v>1</x:v>
      </x:c>
      <x:c r="K346" t="n">
        <x:v>25873</x:v>
      </x:c>
      <x:c r="L346" t="n">
        <x:v>26800.75</x:v>
      </x:c>
      <x:c r="M346" t="n">
        <x:v>27116.5</x:v>
      </x:c>
      <x:c r="N346" t="n">
        <x:v>27392.5</x:v>
      </x:c>
      <x:c r="O346" t="n">
        <x:v>28830</x:v>
      </x:c>
    </x:row>
    <x:row r="347">
      <x:c r="A347" t="str">
        <x:v>Maharashtra</x:v>
      </x:c>
      <x:c r="B347" t="str">
        <x:v>All India except Central University</x:v>
      </x:c>
      <x:c r="C347" t="str">
        <x:v>200205</x:v>
      </x:c>
      <x:c r="D347" t="str">
        <x:v>B. J. Govt. Medical College, Pune, Sassoon Hospital Compound, Near Pune Railway station J.P. Narayan Road, Pune</x:v>
      </x:c>
      <x:c r="E347" t="str">
        <x:v>All India</x:v>
      </x:c>
      <x:c r="F347" t="str">
        <x:v>ST</x:v>
      </x:c>
      <x:c r="G347" t="n">
        <x:v>2</x:v>
      </x:c>
      <x:c r="H347" t="n">
        <x:v>2</x:v>
      </x:c>
      <x:c r="I347" t="n">
        <x:f>G347-H347</x:f>
        <x:v>0</x:v>
      </x:c>
      <x:c r="J347" s="20" t="n">
        <x:f>IFERROR(H347/G347,0)</x:f>
        <x:v>1</x:v>
      </x:c>
      <x:c r="K347" t="n">
        <x:v>49190</x:v>
      </x:c>
      <x:c r="L347" t="n">
        <x:v>50774.5</x:v>
      </x:c>
      <x:c r="M347" t="n">
        <x:v>52359</x:v>
      </x:c>
      <x:c r="N347" t="n">
        <x:v>53943.5</x:v>
      </x:c>
      <x:c r="O347" t="n">
        <x:v>55528</x:v>
      </x:c>
    </x:row>
    <x:row r="348">
      <x:c r="A348" t="str">
        <x:v>Haryana</x:v>
      </x:c>
      <x:c r="B348" t="str">
        <x:v>All India except Central University</x:v>
      </x:c>
      <x:c r="C348" t="str">
        <x:v>200145</x:v>
      </x:c>
      <x:c r="D348" t="str">
        <x:v>BPS Government Medical College for Women, Sonepat, DIRECTOR, BPS GOVT MEDICAL COLLEGE FOR WOMEN KHANPUR KALAN SONEPAT-131305</x:v>
      </x:c>
      <x:c r="E348" t="str">
        <x:v>All India</x:v>
      </x:c>
      <x:c r="F348" t="str">
        <x:v>EWS</x:v>
      </x:c>
      <x:c r="G348" t="n">
        <x:v>2</x:v>
      </x:c>
      <x:c r="H348" t="n">
        <x:v>2</x:v>
      </x:c>
      <x:c r="I348" t="n">
        <x:f>G348-H348</x:f>
        <x:v>0</x:v>
      </x:c>
      <x:c r="J348" s="20" t="n">
        <x:f>IFERROR(H348/G348,0)</x:f>
        <x:v>1</x:v>
      </x:c>
      <x:c r="K348" t="n">
        <x:v>12783</x:v>
      </x:c>
      <x:c r="L348" t="n">
        <x:v>13146.5</x:v>
      </x:c>
      <x:c r="M348" t="n">
        <x:v>13510</x:v>
      </x:c>
      <x:c r="N348" t="n">
        <x:v>13873.5</x:v>
      </x:c>
      <x:c r="O348" t="n">
        <x:v>14237</x:v>
      </x:c>
    </x:row>
    <x:row r="349">
      <x:c r="A349" t="str">
        <x:v>Haryana</x:v>
      </x:c>
      <x:c r="B349" t="str">
        <x:v>All India except Central University</x:v>
      </x:c>
      <x:c r="C349" t="str">
        <x:v>200145</x:v>
      </x:c>
      <x:c r="D349" t="str">
        <x:v>BPS Government Medical College for Women, Sonepat, DIRECTOR, BPS GOVT MEDICAL COLLEGE FOR WOMEN KHANPUR KALAN SONEPAT-131305</x:v>
      </x:c>
      <x:c r="E349" t="str">
        <x:v>All India</x:v>
      </x:c>
      <x:c r="F349" t="str">
        <x:v>OBC</x:v>
      </x:c>
      <x:c r="G349" t="n">
        <x:v>6</x:v>
      </x:c>
      <x:c r="H349" t="n">
        <x:v>6</x:v>
      </x:c>
      <x:c r="I349" t="n">
        <x:f>G349-H349</x:f>
        <x:v>0</x:v>
      </x:c>
      <x:c r="J349" s="20" t="n">
        <x:f>IFERROR(H349/G349,0)</x:f>
        <x:v>1</x:v>
      </x:c>
      <x:c r="K349" t="n">
        <x:v>8586</x:v>
      </x:c>
      <x:c r="L349" t="n">
        <x:v>8920.5</x:v>
      </x:c>
      <x:c r="M349" t="n">
        <x:v>9784</x:v>
      </x:c>
      <x:c r="N349" t="n">
        <x:v>9885.5</x:v>
      </x:c>
      <x:c r="O349" t="n">
        <x:v>11071</x:v>
      </x:c>
    </x:row>
    <x:row r="350">
      <x:c r="A350" t="str">
        <x:v>Haryana</x:v>
      </x:c>
      <x:c r="B350" t="str">
        <x:v>All India except Central University</x:v>
      </x:c>
      <x:c r="C350" t="str">
        <x:v>200145</x:v>
      </x:c>
      <x:c r="D350" t="str">
        <x:v>BPS Government Medical College for Women, Sonepat, DIRECTOR, BPS GOVT MEDICAL COLLEGE FOR WOMEN KHANPUR KALAN SONEPAT-131305</x:v>
      </x:c>
      <x:c r="E350" t="str">
        <x:v>All India</x:v>
      </x:c>
      <x:c r="F350" t="str">
        <x:v>Open</x:v>
      </x:c>
      <x:c r="G350" t="n">
        <x:v>6</x:v>
      </x:c>
      <x:c r="H350" t="n">
        <x:v>6</x:v>
      </x:c>
      <x:c r="I350" t="n">
        <x:f>G350-H350</x:f>
        <x:v>0</x:v>
      </x:c>
      <x:c r="J350" s="20" t="n">
        <x:f>IFERROR(H350/G350,0)</x:f>
        <x:v>1</x:v>
      </x:c>
      <x:c r="K350" t="n">
        <x:v>6870</x:v>
      </x:c>
      <x:c r="L350" t="n">
        <x:v>7198.75</x:v>
      </x:c>
      <x:c r="M350" t="n">
        <x:v>7891</x:v>
      </x:c>
      <x:c r="N350" t="n">
        <x:v>8015.5</x:v>
      </x:c>
      <x:c r="O350" t="n">
        <x:v>8454</x:v>
      </x:c>
    </x:row>
    <x:row r="351">
      <x:c r="A351" t="str">
        <x:v>Haryana</x:v>
      </x:c>
      <x:c r="B351" t="str">
        <x:v>All India except Central University</x:v>
      </x:c>
      <x:c r="C351" t="str">
        <x:v>200145</x:v>
      </x:c>
      <x:c r="D351" t="str">
        <x:v>BPS Government Medical College for Women, Sonepat, DIRECTOR, BPS GOVT MEDICAL COLLEGE FOR WOMEN KHANPUR KALAN SONEPAT-131305</x:v>
      </x:c>
      <x:c r="E351" t="str">
        <x:v>All India</x:v>
      </x:c>
      <x:c r="F351" t="str">
        <x:v>SC</x:v>
      </x:c>
      <x:c r="G351" t="n">
        <x:v>3</x:v>
      </x:c>
      <x:c r="H351" t="n">
        <x:v>3</x:v>
      </x:c>
      <x:c r="I351" t="n">
        <x:f>G351-H351</x:f>
        <x:v>0</x:v>
      </x:c>
      <x:c r="J351" s="20" t="n">
        <x:f>IFERROR(H351/G351,0)</x:f>
        <x:v>1</x:v>
      </x:c>
      <x:c r="K351" t="n">
        <x:v>40112</x:v>
      </x:c>
      <x:c r="L351" t="n">
        <x:v>40942.5</x:v>
      </x:c>
      <x:c r="M351" t="n">
        <x:v>41773</x:v>
      </x:c>
      <x:c r="N351" t="n">
        <x:v>44590.5</x:v>
      </x:c>
      <x:c r="O351" t="n">
        <x:v>47408</x:v>
      </x:c>
    </x:row>
    <x:row r="352">
      <x:c r="A352" t="str">
        <x:v>Haryana</x:v>
      </x:c>
      <x:c r="B352" t="str">
        <x:v>All India except Central University</x:v>
      </x:c>
      <x:c r="C352" t="str">
        <x:v>200145</x:v>
      </x:c>
      <x:c r="D352" t="str">
        <x:v>BPS Government Medical College for Women, Sonepat, DIRECTOR, BPS GOVT MEDICAL COLLEGE FOR WOMEN KHANPUR KALAN SONEPAT-131305</x:v>
      </x:c>
      <x:c r="E352" t="str">
        <x:v>All India</x:v>
      </x:c>
      <x:c r="F352" t="str">
        <x:v>ST</x:v>
      </x:c>
      <x:c r="G352" t="n">
        <x:v>1</x:v>
      </x:c>
      <x:c r="H352" t="n">
        <x:v>1</x:v>
      </x:c>
      <x:c r="I352" t="n">
        <x:f>G352-H352</x:f>
        <x:v>0</x:v>
      </x:c>
      <x:c r="J352" s="20" t="n">
        <x:f>IFERROR(H352/G352,0)</x:f>
        <x:v>1</x:v>
      </x:c>
      <x:c r="K352" t="n">
        <x:v>93055</x:v>
      </x:c>
      <x:c r="L352" t="n">
        <x:v>93055</x:v>
      </x:c>
      <x:c r="M352" t="n">
        <x:v>93055</x:v>
      </x:c>
      <x:c r="N352" t="n">
        <x:v>93055</x:v>
      </x:c>
      <x:c r="O352" t="n">
        <x:v>93055</x:v>
      </x:c>
    </x:row>
    <x:row r="353">
      <x:c r="A353" t="str">
        <x:v>Uttar Pradesh</x:v>
      </x:c>
      <x:c r="B353" t="str">
        <x:v>All India except Central University</x:v>
      </x:c>
      <x:c r="C353" t="str">
        <x:v>200286</x:v>
      </x:c>
      <x:c r="D353" t="str">
        <x:v>BRD Medical College, Gorakhpur, MAHARAJGANJ ROAD,GORAKHPUR</x:v>
      </x:c>
      <x:c r="E353" t="str">
        <x:v>All India</x:v>
      </x:c>
      <x:c r="F353" t="str">
        <x:v>EWS</x:v>
      </x:c>
      <x:c r="G353" t="n">
        <x:v>3</x:v>
      </x:c>
      <x:c r="H353" t="n">
        <x:v>3</x:v>
      </x:c>
      <x:c r="I353" t="n">
        <x:f>G353-H353</x:f>
        <x:v>0</x:v>
      </x:c>
      <x:c r="J353" s="20" t="n">
        <x:f>IFERROR(H353/G353,0)</x:f>
        <x:v>1</x:v>
      </x:c>
      <x:c r="K353" t="n">
        <x:v>7813</x:v>
      </x:c>
      <x:c r="L353" t="n">
        <x:v>8240</x:v>
      </x:c>
      <x:c r="M353" t="n">
        <x:v>8667</x:v>
      </x:c>
      <x:c r="N353" t="n">
        <x:v>8702</x:v>
      </x:c>
      <x:c r="O353" t="n">
        <x:v>8737</x:v>
      </x:c>
    </x:row>
    <x:row r="354">
      <x:c r="A354" t="str">
        <x:v>Uttar Pradesh</x:v>
      </x:c>
      <x:c r="B354" t="str">
        <x:v>All India except Central University</x:v>
      </x:c>
      <x:c r="C354" t="str">
        <x:v>200286</x:v>
      </x:c>
      <x:c r="D354" t="str">
        <x:v>BRD Medical College, Gorakhpur, MAHARAJGANJ ROAD,GORAKHPUR</x:v>
      </x:c>
      <x:c r="E354" t="str">
        <x:v>All India</x:v>
      </x:c>
      <x:c r="F354" t="str">
        <x:v>OBC</x:v>
      </x:c>
      <x:c r="G354" t="n">
        <x:v>6</x:v>
      </x:c>
      <x:c r="H354" t="n">
        <x:v>6</x:v>
      </x:c>
      <x:c r="I354" t="n">
        <x:f>G354-H354</x:f>
        <x:v>0</x:v>
      </x:c>
      <x:c r="J354" s="20" t="n">
        <x:f>IFERROR(H354/G354,0)</x:f>
        <x:v>1</x:v>
      </x:c>
      <x:c r="K354" t="n">
        <x:v>6372</x:v>
      </x:c>
      <x:c r="L354" t="n">
        <x:v>6708.75</x:v>
      </x:c>
      <x:c r="M354" t="n">
        <x:v>6934.5</x:v>
      </x:c>
      <x:c r="N354" t="n">
        <x:v>7141.5</x:v>
      </x:c>
      <x:c r="O354" t="n">
        <x:v>7388</x:v>
      </x:c>
    </x:row>
    <x:row r="355">
      <x:c r="A355" t="str">
        <x:v>Uttar Pradesh</x:v>
      </x:c>
      <x:c r="B355" t="str">
        <x:v>All India except Central University</x:v>
      </x:c>
      <x:c r="C355" t="str">
        <x:v>200286</x:v>
      </x:c>
      <x:c r="D355" t="str">
        <x:v>BRD Medical College, Gorakhpur, MAHARAJGANJ ROAD,GORAKHPUR</x:v>
      </x:c>
      <x:c r="E355" t="str">
        <x:v>All India</x:v>
      </x:c>
      <x:c r="F355" t="str">
        <x:v>Open</x:v>
      </x:c>
      <x:c r="G355" t="n">
        <x:v>9</x:v>
      </x:c>
      <x:c r="H355" t="n">
        <x:v>9</x:v>
      </x:c>
      <x:c r="I355" t="n">
        <x:f>G355-H355</x:f>
        <x:v>0</x:v>
      </x:c>
      <x:c r="J355" s="20" t="n">
        <x:f>IFERROR(H355/G355,0)</x:f>
        <x:v>1</x:v>
      </x:c>
      <x:c r="K355" t="n">
        <x:v>5295</x:v>
      </x:c>
      <x:c r="L355" t="n">
        <x:v>5605</x:v>
      </x:c>
      <x:c r="M355" t="n">
        <x:v>5786</x:v>
      </x:c>
      <x:c r="N355" t="n">
        <x:v>5796</x:v>
      </x:c>
      <x:c r="O355" t="n">
        <x:v>6026</x:v>
      </x:c>
    </x:row>
    <x:row r="356">
      <x:c r="A356" t="str">
        <x:v>Uttar Pradesh</x:v>
      </x:c>
      <x:c r="B356" t="str">
        <x:v>All India except Central University</x:v>
      </x:c>
      <x:c r="C356" t="str">
        <x:v>200286</x:v>
      </x:c>
      <x:c r="D356" t="str">
        <x:v>BRD Medical College, Gorakhpur, MAHARAJGANJ ROAD,GORAKHPUR</x:v>
      </x:c>
      <x:c r="E356" t="str">
        <x:v>All India</x:v>
      </x:c>
      <x:c r="F356" t="str">
        <x:v>SC</x:v>
      </x:c>
      <x:c r="G356" t="n">
        <x:v>3</x:v>
      </x:c>
      <x:c r="H356" t="n">
        <x:v>3</x:v>
      </x:c>
      <x:c r="I356" t="n">
        <x:f>G356-H356</x:f>
        <x:v>0</x:v>
      </x:c>
      <x:c r="J356" s="20" t="n">
        <x:f>IFERROR(H356/G356,0)</x:f>
        <x:v>1</x:v>
      </x:c>
      <x:c r="K356" t="n">
        <x:v>42484</x:v>
      </x:c>
      <x:c r="L356" t="n">
        <x:v>42522.5</x:v>
      </x:c>
      <x:c r="M356" t="n">
        <x:v>42561</x:v>
      </x:c>
      <x:c r="N356" t="n">
        <x:v>43409</x:v>
      </x:c>
      <x:c r="O356" t="n">
        <x:v>44257</x:v>
      </x:c>
    </x:row>
    <x:row r="357">
      <x:c r="A357" t="str">
        <x:v>Uttar Pradesh</x:v>
      </x:c>
      <x:c r="B357" t="str">
        <x:v>All India except Central University</x:v>
      </x:c>
      <x:c r="C357" t="str">
        <x:v>200286</x:v>
      </x:c>
      <x:c r="D357" t="str">
        <x:v>BRD Medical College, Gorakhpur, MAHARAJGANJ ROAD,GORAKHPUR</x:v>
      </x:c>
      <x:c r="E357" t="str">
        <x:v>All India</x:v>
      </x:c>
      <x:c r="F357" t="str">
        <x:v>ST</x:v>
      </x:c>
      <x:c r="G357" t="n">
        <x:v>1</x:v>
      </x:c>
      <x:c r="H357" t="n">
        <x:v>1</x:v>
      </x:c>
      <x:c r="I357" t="n">
        <x:f>G357-H357</x:f>
        <x:v>0</x:v>
      </x:c>
      <x:c r="J357" s="20" t="n">
        <x:f>IFERROR(H357/G357,0)</x:f>
        <x:v>1</x:v>
      </x:c>
      <x:c r="K357" t="n">
        <x:v>68082</x:v>
      </x:c>
      <x:c r="L357" t="n">
        <x:v>68082</x:v>
      </x:c>
      <x:c r="M357" t="n">
        <x:v>68082</x:v>
      </x:c>
      <x:c r="N357" t="n">
        <x:v>68082</x:v>
      </x:c>
      <x:c r="O357" t="n">
        <x:v>68082</x:v>
      </x:c>
    </x:row>
    <x:row r="358">
      <x:c r="A358" t="str">
        <x:v>Uttar Pradesh</x:v>
      </x:c>
      <x:c r="B358" t="str">
        <x:v>All India except Central University</x:v>
      </x:c>
      <x:c r="C358" t="str">
        <x:v>902863</x:v>
      </x:c>
      <x:c r="D358" t="str">
        <x:v>Baba Kina Ram Autonomous State Medical College and Hospital Chandauli , Baba kinaram autonomous state Medical college , Naubatpur ,Chandauli</x:v>
      </x:c>
      <x:c r="E358" t="str">
        <x:v>All India</x:v>
      </x:c>
      <x:c r="F358" t="str">
        <x:v>EWS</x:v>
      </x:c>
      <x:c r="G358" t="n">
        <x:v>1</x:v>
      </x:c>
      <x:c r="H358" t="n">
        <x:v>1</x:v>
      </x:c>
      <x:c r="I358" t="n">
        <x:f>G358-H358</x:f>
        <x:v>0</x:v>
      </x:c>
      <x:c r="J358" s="20" t="n">
        <x:f>IFERROR(H358/G358,0)</x:f>
        <x:v>1</x:v>
      </x:c>
      <x:c r="K358" t="n">
        <x:v>17105</x:v>
      </x:c>
      <x:c r="L358" t="n">
        <x:v>17105</x:v>
      </x:c>
      <x:c r="M358" t="n">
        <x:v>17105</x:v>
      </x:c>
      <x:c r="N358" t="n">
        <x:v>17105</x:v>
      </x:c>
      <x:c r="O358" t="n">
        <x:v>17105</x:v>
      </x:c>
    </x:row>
    <x:row r="359">
      <x:c r="A359" t="str">
        <x:v>Uttar Pradesh</x:v>
      </x:c>
      <x:c r="B359" t="str">
        <x:v>All India except Central University</x:v>
      </x:c>
      <x:c r="C359" t="str">
        <x:v>902863</x:v>
      </x:c>
      <x:c r="D359" t="str">
        <x:v>Baba Kina Ram Autonomous State Medical College and Hospital Chandauli , Baba kinaram autonomous state Medical college , Naubatpur ,Chandauli</x:v>
      </x:c>
      <x:c r="E359" t="str">
        <x:v>All India</x:v>
      </x:c>
      <x:c r="F359" t="str">
        <x:v>OBC</x:v>
      </x:c>
      <x:c r="G359" t="n">
        <x:v>4</x:v>
      </x:c>
      <x:c r="H359" t="n">
        <x:v>4</x:v>
      </x:c>
      <x:c r="I359" t="n">
        <x:f>G359-H359</x:f>
        <x:v>0</x:v>
      </x:c>
      <x:c r="J359" s="20" t="n">
        <x:f>IFERROR(H359/G359,0)</x:f>
        <x:v>1</x:v>
      </x:c>
      <x:c r="K359" t="n">
        <x:v>17066</x:v>
      </x:c>
      <x:c r="L359" t="n">
        <x:v>17223.5</x:v>
      </x:c>
      <x:c r="M359" t="n">
        <x:v>17460.5</x:v>
      </x:c>
      <x:c r="N359" t="n">
        <x:v>17735.5</x:v>
      </x:c>
      <x:c r="O359" t="n">
        <x:v>18007</x:v>
      </x:c>
    </x:row>
    <x:row r="360">
      <x:c r="A360" t="str">
        <x:v>Uttar Pradesh</x:v>
      </x:c>
      <x:c r="B360" t="str">
        <x:v>All India except Central University</x:v>
      </x:c>
      <x:c r="C360" t="str">
        <x:v>902863</x:v>
      </x:c>
      <x:c r="D360" t="str">
        <x:v>Baba Kina Ram Autonomous State Medical College and Hospital Chandauli , Baba kinaram autonomous state Medical college , Naubatpur ,Chandauli</x:v>
      </x:c>
      <x:c r="E360" t="str">
        <x:v>All India</x:v>
      </x:c>
      <x:c r="F360" t="str">
        <x:v>Open</x:v>
      </x:c>
      <x:c r="G360" t="n">
        <x:v>4</x:v>
      </x:c>
      <x:c r="H360" t="n">
        <x:v>4</x:v>
      </x:c>
      <x:c r="I360" t="n">
        <x:f>G360-H360</x:f>
        <x:v>0</x:v>
      </x:c>
      <x:c r="J360" s="20" t="n">
        <x:f>IFERROR(H360/G360,0)</x:f>
        <x:v>1</x:v>
      </x:c>
      <x:c r="K360" t="n">
        <x:v>10443</x:v>
      </x:c>
      <x:c r="L360" t="n">
        <x:v>13128</x:v>
      </x:c>
      <x:c r="M360" t="n">
        <x:v>14489.5</x:v>
      </x:c>
      <x:c r="N360" t="n">
        <x:v>15249.75</x:v>
      </x:c>
      <x:c r="O360" t="n">
        <x:v>16131</x:v>
      </x:c>
    </x:row>
    <x:row r="361">
      <x:c r="A361" t="str">
        <x:v>Uttar Pradesh</x:v>
      </x:c>
      <x:c r="B361" t="str">
        <x:v>All India except Central University</x:v>
      </x:c>
      <x:c r="C361" t="str">
        <x:v>902863</x:v>
      </x:c>
      <x:c r="D361" t="str">
        <x:v>Baba Kina Ram Autonomous State Medical College and Hospital Chandauli , Baba kinaram autonomous state Medical college , Naubatpur ,Chandauli</x:v>
      </x:c>
      <x:c r="E361" t="str">
        <x:v>All India</x:v>
      </x:c>
      <x:c r="F361" t="str">
        <x:v>Open PwD</x:v>
      </x:c>
      <x:c r="G361" t="n">
        <x:v>1</x:v>
      </x:c>
      <x:c r="H361" t="n">
        <x:v>1</x:v>
      </x:c>
      <x:c r="I361" t="n">
        <x:f>G361-H361</x:f>
        <x:v>0</x:v>
      </x:c>
      <x:c r="J361" s="20" t="n">
        <x:f>IFERROR(H361/G361,0)</x:f>
        <x:v>1</x:v>
      </x:c>
      <x:c r="K361" t="n">
        <x:v>548292</x:v>
      </x:c>
      <x:c r="L361" t="n">
        <x:v>548292</x:v>
      </x:c>
      <x:c r="M361" t="n">
        <x:v>548292</x:v>
      </x:c>
      <x:c r="N361" t="n">
        <x:v>548292</x:v>
      </x:c>
      <x:c r="O361" t="n">
        <x:v>548292</x:v>
      </x:c>
    </x:row>
    <x:row r="362">
      <x:c r="A362" t="str">
        <x:v>Uttar Pradesh</x:v>
      </x:c>
      <x:c r="B362" t="str">
        <x:v>All India except Central University</x:v>
      </x:c>
      <x:c r="C362" t="str">
        <x:v>902863</x:v>
      </x:c>
      <x:c r="D362" t="str">
        <x:v>Baba Kina Ram Autonomous State Medical College and Hospital Chandauli , Baba kinaram autonomous state Medical college , Naubatpur ,Chandauli</x:v>
      </x:c>
      <x:c r="E362" t="str">
        <x:v>All India</x:v>
      </x:c>
      <x:c r="F362" t="str">
        <x:v>SC</x:v>
      </x:c>
      <x:c r="G362" t="n">
        <x:v>2</x:v>
      </x:c>
      <x:c r="H362" t="n">
        <x:v>2</x:v>
      </x:c>
      <x:c r="I362" t="n">
        <x:f>G362-H362</x:f>
        <x:v>0</x:v>
      </x:c>
      <x:c r="J362" s="20" t="n">
        <x:f>IFERROR(H362/G362,0)</x:f>
        <x:v>1</x:v>
      </x:c>
      <x:c r="K362" t="n">
        <x:v>76678</x:v>
      </x:c>
      <x:c r="L362" t="n">
        <x:v>77335.5</x:v>
      </x:c>
      <x:c r="M362" t="n">
        <x:v>77993</x:v>
      </x:c>
      <x:c r="N362" t="n">
        <x:v>78650.5</x:v>
      </x:c>
      <x:c r="O362" t="n">
        <x:v>79308</x:v>
      </x:c>
    </x:row>
    <x:row r="363">
      <x:c r="A363" t="str">
        <x:v>Uttar Pradesh</x:v>
      </x:c>
      <x:c r="B363" t="str">
        <x:v>All India except Central University</x:v>
      </x:c>
      <x:c r="C363" t="str">
        <x:v>902863</x:v>
      </x:c>
      <x:c r="D363" t="str">
        <x:v>Baba Kina Ram Autonomous State Medical College and Hospital Chandauli , Baba kinaram autonomous state Medical college , Naubatpur ,Chandauli</x:v>
      </x:c>
      <x:c r="E363" t="str">
        <x:v>All India</x:v>
      </x:c>
      <x:c r="F363" t="str">
        <x:v>SC PwD</x:v>
      </x:c>
      <x:c r="G363" t="n">
        <x:v>1</x:v>
      </x:c>
      <x:c r="H363" t="n">
        <x:v>1</x:v>
      </x:c>
      <x:c r="I363" t="n">
        <x:f>G363-H363</x:f>
        <x:v>0</x:v>
      </x:c>
      <x:c r="J363" s="20" t="n">
        <x:f>IFERROR(H363/G363,0)</x:f>
        <x:v>1</x:v>
      </x:c>
      <x:c r="K363" t="n">
        <x:v>773839</x:v>
      </x:c>
      <x:c r="L363" t="n">
        <x:v>773839</x:v>
      </x:c>
      <x:c r="M363" t="n">
        <x:v>773839</x:v>
      </x:c>
      <x:c r="N363" t="n">
        <x:v>773839</x:v>
      </x:c>
      <x:c r="O363" t="n">
        <x:v>773839</x:v>
      </x:c>
    </x:row>
    <x:row r="364">
      <x:c r="A364" t="str">
        <x:v>Uttar Pradesh</x:v>
      </x:c>
      <x:c r="B364" t="str">
        <x:v>All India except Central University</x:v>
      </x:c>
      <x:c r="C364" t="str">
        <x:v>902863</x:v>
      </x:c>
      <x:c r="D364" t="str">
        <x:v>Baba Kina Ram Autonomous State Medical College and Hospital Chandauli , Baba kinaram autonomous state Medical college , Naubatpur ,Chandauli</x:v>
      </x:c>
      <x:c r="E364" t="str">
        <x:v>All India</x:v>
      </x:c>
      <x:c r="F364" t="str">
        <x:v>ST</x:v>
      </x:c>
      <x:c r="G364" t="n">
        <x:v>1</x:v>
      </x:c>
      <x:c r="H364" t="n">
        <x:v>1</x:v>
      </x:c>
      <x:c r="I364" t="n">
        <x:f>G364-H364</x:f>
        <x:v>0</x:v>
      </x:c>
      <x:c r="J364" s="20" t="n">
        <x:f>IFERROR(H364/G364,0)</x:f>
        <x:v>1</x:v>
      </x:c>
      <x:c r="K364" t="n">
        <x:v>108539</x:v>
      </x:c>
      <x:c r="L364" t="n">
        <x:v>108539</x:v>
      </x:c>
      <x:c r="M364" t="n">
        <x:v>108539</x:v>
      </x:c>
      <x:c r="N364" t="n">
        <x:v>108539</x:v>
      </x:c>
      <x:c r="O364" t="n">
        <x:v>108539</x:v>
      </x:c>
    </x:row>
    <x:row r="365">
      <x:c r="A365" t="str">
        <x:v>Uttar Pradesh</x:v>
      </x:c>
      <x:c r="B365" t="str">
        <x:v>All India except Central University</x:v>
      </x:c>
      <x:c r="C365" t="str">
        <x:v>902863</x:v>
      </x:c>
      <x:c r="D365" t="str">
        <x:v>Baba Kina Ram Autonomous State Medical College and Hospital Chandauli , Baba kinaram autonomous state Medical college , Naubatpur ,Chandauli</x:v>
      </x:c>
      <x:c r="E365" t="str">
        <x:v>All India</x:v>
      </x:c>
      <x:c r="F365" t="str">
        <x:v>ST PwD</x:v>
      </x:c>
      <x:c r="G365" t="n">
        <x:v>1</x:v>
      </x:c>
      <x:c r="H365" t="n">
        <x:v>0</x:v>
      </x:c>
      <x:c r="I365" t="n">
        <x:f>G365-H365</x:f>
        <x:v>1</x:v>
      </x:c>
      <x:c r="J365" s="20" t="n">
        <x:f>IFERROR(H365/G365,0)</x:f>
        <x:v>0</x:v>
      </x:c>
      <x:c r="K365"/>
      <x:c r="L365"/>
      <x:c r="M365"/>
      <x:c r="N365"/>
      <x:c r="O365"/>
    </x:row>
    <x:row r="366">
      <x:c r="A366" t="str">
        <x:v>Karnataka</x:v>
      </x:c>
      <x:c r="B366" t="str">
        <x:v>All India except Central University</x:v>
      </x:c>
      <x:c r="C366" t="str">
        <x:v>200161</x:v>
      </x:c>
      <x:c r="D366" t="str">
        <x:v>Bangalore Medical College and Research Institute, Bangalore, K R ROAD FORT BENGALURU</x:v>
      </x:c>
      <x:c r="E366" t="str">
        <x:v>All India</x:v>
      </x:c>
      <x:c r="F366" t="str">
        <x:v>EWS</x:v>
      </x:c>
      <x:c r="G366" t="n">
        <x:v>4</x:v>
      </x:c>
      <x:c r="H366" t="n">
        <x:v>4</x:v>
      </x:c>
      <x:c r="I366" t="n">
        <x:f>G366-H366</x:f>
        <x:v>0</x:v>
      </x:c>
      <x:c r="J366" s="20" t="n">
        <x:f>IFERROR(H366/G366,0)</x:f>
        <x:v>1</x:v>
      </x:c>
      <x:c r="K366" t="n">
        <x:v>1873</x:v>
      </x:c>
      <x:c r="L366" t="n">
        <x:v>2185.75</x:v>
      </x:c>
      <x:c r="M366" t="n">
        <x:v>2517</x:v>
      </x:c>
      <x:c r="N366" t="n">
        <x:v>2863.5</x:v>
      </x:c>
      <x:c r="O366" t="n">
        <x:v>3222</x:v>
      </x:c>
    </x:row>
    <x:row r="367">
      <x:c r="A367" t="str">
        <x:v>Karnataka</x:v>
      </x:c>
      <x:c r="B367" t="str">
        <x:v>All India except Central University</x:v>
      </x:c>
      <x:c r="C367" t="str">
        <x:v>200161</x:v>
      </x:c>
      <x:c r="D367" t="str">
        <x:v>Bangalore Medical College and Research Institute, Bangalore, K R ROAD FORT BENGALURU</x:v>
      </x:c>
      <x:c r="E367" t="str">
        <x:v>All India</x:v>
      </x:c>
      <x:c r="F367" t="str">
        <x:v>OBC</x:v>
      </x:c>
      <x:c r="G367" t="n">
        <x:v>9</x:v>
      </x:c>
      <x:c r="H367" t="n">
        <x:v>9</x:v>
      </x:c>
      <x:c r="I367" t="n">
        <x:f>G367-H367</x:f>
        <x:v>0</x:v>
      </x:c>
      <x:c r="J367" s="20" t="n">
        <x:f>IFERROR(H367/G367,0)</x:f>
        <x:v>1</x:v>
      </x:c>
      <x:c r="K367" t="n">
        <x:v>1807</x:v>
      </x:c>
      <x:c r="L367" t="n">
        <x:v>2545</x:v>
      </x:c>
      <x:c r="M367" t="n">
        <x:v>2616</x:v>
      </x:c>
      <x:c r="N367" t="n">
        <x:v>2704</x:v>
      </x:c>
      <x:c r="O367" t="n">
        <x:v>3240</x:v>
      </x:c>
    </x:row>
    <x:row r="368">
      <x:c r="A368" t="str">
        <x:v>Karnataka</x:v>
      </x:c>
      <x:c r="B368" t="str">
        <x:v>All India except Central University</x:v>
      </x:c>
      <x:c r="C368" t="str">
        <x:v>200161</x:v>
      </x:c>
      <x:c r="D368" t="str">
        <x:v>Bangalore Medical College and Research Institute, Bangalore, K R ROAD FORT BENGALURU</x:v>
      </x:c>
      <x:c r="E368" t="str">
        <x:v>All India</x:v>
      </x:c>
      <x:c r="F368" t="str">
        <x:v>OBC PwD</x:v>
      </x:c>
      <x:c r="G368" t="n">
        <x:v>1</x:v>
      </x:c>
      <x:c r="H368" t="n">
        <x:v>1</x:v>
      </x:c>
      <x:c r="I368" t="n">
        <x:f>G368-H368</x:f>
        <x:v>0</x:v>
      </x:c>
      <x:c r="J368" s="20" t="n">
        <x:f>IFERROR(H368/G368,0)</x:f>
        <x:v>1</x:v>
      </x:c>
      <x:c r="K368" t="n">
        <x:v>157599</x:v>
      </x:c>
      <x:c r="L368" t="n">
        <x:v>157599</x:v>
      </x:c>
      <x:c r="M368" t="n">
        <x:v>157599</x:v>
      </x:c>
      <x:c r="N368" t="n">
        <x:v>157599</x:v>
      </x:c>
      <x:c r="O368" t="n">
        <x:v>157599</x:v>
      </x:c>
    </x:row>
    <x:row r="369">
      <x:c r="A369" t="str">
        <x:v>Karnataka</x:v>
      </x:c>
      <x:c r="B369" t="str">
        <x:v>All India except Central University</x:v>
      </x:c>
      <x:c r="C369" t="str">
        <x:v>200161</x:v>
      </x:c>
      <x:c r="D369" t="str">
        <x:v>Bangalore Medical College and Research Institute, Bangalore, K R ROAD FORT BENGALURU</x:v>
      </x:c>
      <x:c r="E369" t="str">
        <x:v>All India</x:v>
      </x:c>
      <x:c r="F369" t="str">
        <x:v>Open</x:v>
      </x:c>
      <x:c r="G369" t="n">
        <x:v>15</x:v>
      </x:c>
      <x:c r="H369" t="n">
        <x:v>15</x:v>
      </x:c>
      <x:c r="I369" t="n">
        <x:f>G369-H369</x:f>
        <x:v>0</x:v>
      </x:c>
      <x:c r="J369" s="20" t="n">
        <x:f>IFERROR(H369/G369,0)</x:f>
        <x:v>1</x:v>
      </x:c>
      <x:c r="K369" t="n">
        <x:v>109</x:v>
      </x:c>
      <x:c r="L369" t="n">
        <x:v>1049</x:v>
      </x:c>
      <x:c r="M369" t="n">
        <x:v>1211</x:v>
      </x:c>
      <x:c r="N369" t="n">
        <x:v>1564</x:v>
      </x:c>
      <x:c r="O369" t="n">
        <x:v>1774</x:v>
      </x:c>
    </x:row>
    <x:row r="370">
      <x:c r="A370" t="str">
        <x:v>Karnataka</x:v>
      </x:c>
      <x:c r="B370" t="str">
        <x:v>All India except Central University</x:v>
      </x:c>
      <x:c r="C370" t="str">
        <x:v>200161</x:v>
      </x:c>
      <x:c r="D370" t="str">
        <x:v>Bangalore Medical College and Research Institute, Bangalore, K R ROAD FORT BENGALURU</x:v>
      </x:c>
      <x:c r="E370" t="str">
        <x:v>All India</x:v>
      </x:c>
      <x:c r="F370" t="str">
        <x:v>Open PwD</x:v>
      </x:c>
      <x:c r="G370" t="n">
        <x:v>1</x:v>
      </x:c>
      <x:c r="H370" t="n">
        <x:v>1</x:v>
      </x:c>
      <x:c r="I370" t="n">
        <x:f>G370-H370</x:f>
        <x:v>0</x:v>
      </x:c>
      <x:c r="J370" s="20" t="n">
        <x:f>IFERROR(H370/G370,0)</x:f>
        <x:v>1</x:v>
      </x:c>
      <x:c r="K370" t="n">
        <x:v>137754</x:v>
      </x:c>
      <x:c r="L370" t="n">
        <x:v>137754</x:v>
      </x:c>
      <x:c r="M370" t="n">
        <x:v>137754</x:v>
      </x:c>
      <x:c r="N370" t="n">
        <x:v>137754</x:v>
      </x:c>
      <x:c r="O370" t="n">
        <x:v>137754</x:v>
      </x:c>
    </x:row>
    <x:row r="371">
      <x:c r="A371" t="str">
        <x:v>Karnataka</x:v>
      </x:c>
      <x:c r="B371" t="str">
        <x:v>All India except Central University</x:v>
      </x:c>
      <x:c r="C371" t="str">
        <x:v>200161</x:v>
      </x:c>
      <x:c r="D371" t="str">
        <x:v>Bangalore Medical College and Research Institute, Bangalore, K R ROAD FORT BENGALURU</x:v>
      </x:c>
      <x:c r="E371" t="str">
        <x:v>All India</x:v>
      </x:c>
      <x:c r="F371" t="str">
        <x:v>SC</x:v>
      </x:c>
      <x:c r="G371" t="n">
        <x:v>5</x:v>
      </x:c>
      <x:c r="H371" t="n">
        <x:v>5</x:v>
      </x:c>
      <x:c r="I371" t="n">
        <x:f>G371-H371</x:f>
        <x:v>0</x:v>
      </x:c>
      <x:c r="J371" s="20" t="n">
        <x:f>IFERROR(H371/G371,0)</x:f>
        <x:v>1</x:v>
      </x:c>
      <x:c r="K371" t="n">
        <x:v>4475</x:v>
      </x:c>
      <x:c r="L371" t="n">
        <x:v>9261</x:v>
      </x:c>
      <x:c r="M371" t="n">
        <x:v>20890</x:v>
      </x:c>
      <x:c r="N371" t="n">
        <x:v>22600</x:v>
      </x:c>
      <x:c r="O371" t="n">
        <x:v>22693</x:v>
      </x:c>
    </x:row>
    <x:row r="372">
      <x:c r="A372" t="str">
        <x:v>Karnataka</x:v>
      </x:c>
      <x:c r="B372" t="str">
        <x:v>All India except Central University</x:v>
      </x:c>
      <x:c r="C372" t="str">
        <x:v>200161</x:v>
      </x:c>
      <x:c r="D372" t="str">
        <x:v>Bangalore Medical College and Research Institute, Bangalore, K R ROAD FORT BENGALURU</x:v>
      </x:c>
      <x:c r="E372" t="str">
        <x:v>All India</x:v>
      </x:c>
      <x:c r="F372" t="str">
        <x:v>ST</x:v>
      </x:c>
      <x:c r="G372" t="n">
        <x:v>2</x:v>
      </x:c>
      <x:c r="H372" t="n">
        <x:v>2</x:v>
      </x:c>
      <x:c r="I372" t="n">
        <x:f>G372-H372</x:f>
        <x:v>0</x:v>
      </x:c>
      <x:c r="J372" s="20" t="n">
        <x:f>IFERROR(H372/G372,0)</x:f>
        <x:v>1</x:v>
      </x:c>
      <x:c r="K372" t="n">
        <x:v>2164</x:v>
      </x:c>
      <x:c r="L372" t="n">
        <x:v>6195.25</x:v>
      </x:c>
      <x:c r="M372" t="n">
        <x:v>10226.5</x:v>
      </x:c>
      <x:c r="N372" t="n">
        <x:v>14257.75</x:v>
      </x:c>
      <x:c r="O372" t="n">
        <x:v>18289</x:v>
      </x:c>
    </x:row>
    <x:row r="373">
      <x:c r="A373" t="str">
        <x:v>West Bengal</x:v>
      </x:c>
      <x:c r="B373" t="str">
        <x:v>All India except Central University</x:v>
      </x:c>
      <x:c r="C373" t="str">
        <x:v>200307</x:v>
      </x:c>
      <x:c r="D373" t="str">
        <x:v>Bankura Sammilani Medical College, Bankura, Principal, Bankura Sammilani Medical College, Lokepur, PO- Kenduadihi, Bankura, Pin- 722102</x:v>
      </x:c>
      <x:c r="E373" t="str">
        <x:v>All India</x:v>
      </x:c>
      <x:c r="F373" t="str">
        <x:v>EWS</x:v>
      </x:c>
      <x:c r="G373" t="n">
        <x:v>2</x:v>
      </x:c>
      <x:c r="H373" t="n">
        <x:v>2</x:v>
      </x:c>
      <x:c r="I373" t="n">
        <x:f>G373-H373</x:f>
        <x:v>0</x:v>
      </x:c>
      <x:c r="J373" s="20" t="n">
        <x:f>IFERROR(H373/G373,0)</x:f>
        <x:v>1</x:v>
      </x:c>
      <x:c r="K373" t="n">
        <x:v>13275</x:v>
      </x:c>
      <x:c r="L373" t="n">
        <x:v>13991.25</x:v>
      </x:c>
      <x:c r="M373" t="n">
        <x:v>14707.5</x:v>
      </x:c>
      <x:c r="N373" t="n">
        <x:v>15423.75</x:v>
      </x:c>
      <x:c r="O373" t="n">
        <x:v>16140</x:v>
      </x:c>
    </x:row>
    <x:row r="374">
      <x:c r="A374" t="str">
        <x:v>West Bengal</x:v>
      </x:c>
      <x:c r="B374" t="str">
        <x:v>All India except Central University</x:v>
      </x:c>
      <x:c r="C374" t="str">
        <x:v>200307</x:v>
      </x:c>
      <x:c r="D374" t="str">
        <x:v>Bankura Sammilani Medical College, Bankura, Principal, Bankura Sammilani Medical College, Lokepur, PO- Kenduadihi, Bankura, Pin- 722102</x:v>
      </x:c>
      <x:c r="E374" t="str">
        <x:v>All India</x:v>
      </x:c>
      <x:c r="F374" t="str">
        <x:v>EWS PwD</x:v>
      </x:c>
      <x:c r="G374" t="n">
        <x:v>1</x:v>
      </x:c>
      <x:c r="H374" t="n">
        <x:v>1</x:v>
      </x:c>
      <x:c r="I374" t="n">
        <x:f>G374-H374</x:f>
        <x:v>0</x:v>
      </x:c>
      <x:c r="J374" s="20" t="n">
        <x:f>IFERROR(H374/G374,0)</x:f>
        <x:v>1</x:v>
      </x:c>
      <x:c r="K374" t="n">
        <x:v>155830</x:v>
      </x:c>
      <x:c r="L374" t="n">
        <x:v>155830</x:v>
      </x:c>
      <x:c r="M374" t="n">
        <x:v>155830</x:v>
      </x:c>
      <x:c r="N374" t="n">
        <x:v>155830</x:v>
      </x:c>
      <x:c r="O374" t="n">
        <x:v>155830</x:v>
      </x:c>
    </x:row>
    <x:row r="375">
      <x:c r="A375" t="str">
        <x:v>West Bengal</x:v>
      </x:c>
      <x:c r="B375" t="str">
        <x:v>All India except Central University</x:v>
      </x:c>
      <x:c r="C375" t="str">
        <x:v>200307</x:v>
      </x:c>
      <x:c r="D375" t="str">
        <x:v>Bankura Sammilani Medical College, Bankura, Principal, Bankura Sammilani Medical College, Lokepur, PO- Kenduadihi, Bankura, Pin- 722102</x:v>
      </x:c>
      <x:c r="E375" t="str">
        <x:v>All India</x:v>
      </x:c>
      <x:c r="F375" t="str">
        <x:v>OBC</x:v>
      </x:c>
      <x:c r="G375" t="n">
        <x:v>8</x:v>
      </x:c>
      <x:c r="H375" t="n">
        <x:v>8</x:v>
      </x:c>
      <x:c r="I375" t="n">
        <x:f>G375-H375</x:f>
        <x:v>0</x:v>
      </x:c>
      <x:c r="J375" s="20" t="n">
        <x:f>IFERROR(H375/G375,0)</x:f>
        <x:v>1</x:v>
      </x:c>
      <x:c r="K375" t="n">
        <x:v>13495</x:v>
      </x:c>
      <x:c r="L375" t="n">
        <x:v>14240.5</x:v>
      </x:c>
      <x:c r="M375" t="n">
        <x:v>14792</x:v>
      </x:c>
      <x:c r="N375" t="n">
        <x:v>15021.75</x:v>
      </x:c>
      <x:c r="O375" t="n">
        <x:v>15249</x:v>
      </x:c>
    </x:row>
    <x:row r="376">
      <x:c r="A376" t="str">
        <x:v>West Bengal</x:v>
      </x:c>
      <x:c r="B376" t="str">
        <x:v>All India except Central University</x:v>
      </x:c>
      <x:c r="C376" t="str">
        <x:v>200307</x:v>
      </x:c>
      <x:c r="D376" t="str">
        <x:v>Bankura Sammilani Medical College, Bankura, Principal, Bankura Sammilani Medical College, Lokepur, PO- Kenduadihi, Bankura, Pin- 722102</x:v>
      </x:c>
      <x:c r="E376" t="str">
        <x:v>All India</x:v>
      </x:c>
      <x:c r="F376" t="str">
        <x:v>Open</x:v>
      </x:c>
      <x:c r="G376" t="n">
        <x:v>13</x:v>
      </x:c>
      <x:c r="H376" t="n">
        <x:v>13</x:v>
      </x:c>
      <x:c r="I376" t="n">
        <x:f>G376-H376</x:f>
        <x:v>0</x:v>
      </x:c>
      <x:c r="J376" s="20" t="n">
        <x:f>IFERROR(H376/G376,0)</x:f>
        <x:v>1</x:v>
      </x:c>
      <x:c r="K376" t="n">
        <x:v>5916</x:v>
      </x:c>
      <x:c r="L376" t="n">
        <x:v>11573</x:v>
      </x:c>
      <x:c r="M376" t="n">
        <x:v>12424</x:v>
      </x:c>
      <x:c r="N376" t="n">
        <x:v>12555</x:v>
      </x:c>
      <x:c r="O376" t="n">
        <x:v>12710</x:v>
      </x:c>
    </x:row>
    <x:row r="377">
      <x:c r="A377" t="str">
        <x:v>West Bengal</x:v>
      </x:c>
      <x:c r="B377" t="str">
        <x:v>All India except Central University</x:v>
      </x:c>
      <x:c r="C377" t="str">
        <x:v>200307</x:v>
      </x:c>
      <x:c r="D377" t="str">
        <x:v>Bankura Sammilani Medical College, Bankura, Principal, Bankura Sammilani Medical College, Lokepur, PO- Kenduadihi, Bankura, Pin- 722102</x:v>
      </x:c>
      <x:c r="E377" t="str">
        <x:v>All India</x:v>
      </x:c>
      <x:c r="F377" t="str">
        <x:v>SC</x:v>
      </x:c>
      <x:c r="G377" t="n">
        <x:v>3</x:v>
      </x:c>
      <x:c r="H377" t="n">
        <x:v>3</x:v>
      </x:c>
      <x:c r="I377" t="n">
        <x:f>G377-H377</x:f>
        <x:v>0</x:v>
      </x:c>
      <x:c r="J377" s="20" t="n">
        <x:f>IFERROR(H377/G377,0)</x:f>
        <x:v>1</x:v>
      </x:c>
      <x:c r="K377" t="n">
        <x:v>71614</x:v>
      </x:c>
      <x:c r="L377" t="n">
        <x:v>72797</x:v>
      </x:c>
      <x:c r="M377" t="n">
        <x:v>73980</x:v>
      </x:c>
      <x:c r="N377" t="n">
        <x:v>74170.5</x:v>
      </x:c>
      <x:c r="O377" t="n">
        <x:v>74361</x:v>
      </x:c>
    </x:row>
    <x:row r="378">
      <x:c r="A378" t="str">
        <x:v>West Bengal</x:v>
      </x:c>
      <x:c r="B378" t="str">
        <x:v>All India except Central University</x:v>
      </x:c>
      <x:c r="C378" t="str">
        <x:v>200307</x:v>
      </x:c>
      <x:c r="D378" t="str">
        <x:v>Bankura Sammilani Medical College, Bankura, Principal, Bankura Sammilani Medical College, Lokepur, PO- Kenduadihi, Bankura, Pin- 722102</x:v>
      </x:c>
      <x:c r="E378" t="str">
        <x:v>All India</x:v>
      </x:c>
      <x:c r="F378" t="str">
        <x:v>SC PwD</x:v>
      </x:c>
      <x:c r="G378" t="n">
        <x:v>1</x:v>
      </x:c>
      <x:c r="H378" t="n">
        <x:v>1</x:v>
      </x:c>
      <x:c r="I378" t="n">
        <x:f>G378-H378</x:f>
        <x:v>0</x:v>
      </x:c>
      <x:c r="J378" s="20" t="n">
        <x:f>IFERROR(H378/G378,0)</x:f>
        <x:v>1</x:v>
      </x:c>
      <x:c r="K378" t="n">
        <x:v>340360</x:v>
      </x:c>
      <x:c r="L378" t="n">
        <x:v>340360</x:v>
      </x:c>
      <x:c r="M378" t="n">
        <x:v>340360</x:v>
      </x:c>
      <x:c r="N378" t="n">
        <x:v>340360</x:v>
      </x:c>
      <x:c r="O378" t="n">
        <x:v>340360</x:v>
      </x:c>
    </x:row>
    <x:row r="379">
      <x:c r="A379" t="str">
        <x:v>West Bengal</x:v>
      </x:c>
      <x:c r="B379" t="str">
        <x:v>All India except Central University</x:v>
      </x:c>
      <x:c r="C379" t="str">
        <x:v>200307</x:v>
      </x:c>
      <x:c r="D379" t="str">
        <x:v>Bankura Sammilani Medical College, Bankura, Principal, Bankura Sammilani Medical College, Lokepur, PO- Kenduadihi, Bankura, Pin- 722102</x:v>
      </x:c>
      <x:c r="E379" t="str">
        <x:v>All India</x:v>
      </x:c>
      <x:c r="F379" t="str">
        <x:v>ST</x:v>
      </x:c>
      <x:c r="G379" t="n">
        <x:v>2</x:v>
      </x:c>
      <x:c r="H379" t="n">
        <x:v>2</x:v>
      </x:c>
      <x:c r="I379" t="n">
        <x:f>G379-H379</x:f>
        <x:v>0</x:v>
      </x:c>
      <x:c r="J379" s="20" t="n">
        <x:f>IFERROR(H379/G379,0)</x:f>
        <x:v>1</x:v>
      </x:c>
      <x:c r="K379" t="n">
        <x:v>101204</x:v>
      </x:c>
      <x:c r="L379" t="n">
        <x:v>101310</x:v>
      </x:c>
      <x:c r="M379" t="n">
        <x:v>101416</x:v>
      </x:c>
      <x:c r="N379" t="n">
        <x:v>101522</x:v>
      </x:c>
      <x:c r="O379" t="n">
        <x:v>101628</x:v>
      </x:c>
    </x:row>
    <x:row r="380">
      <x:c r="A380" t="str">
        <x:v>West Bengal</x:v>
      </x:c>
      <x:c r="B380" t="str">
        <x:v>All India except Central University</x:v>
      </x:c>
      <x:c r="C380" t="str">
        <x:v>200613</x:v>
      </x:c>
      <x:c r="D380" t="str">
        <x:v>Barasat Government Medical College &amp; Hospital, 80 Jessore Road Banamalipur JL NO 80and Uttorhat JL no 78 Barasat North Twenty Four Parganas 700124</x:v>
      </x:c>
      <x:c r="E380" t="str">
        <x:v>All India</x:v>
      </x:c>
      <x:c r="F380" t="str">
        <x:v>EWS</x:v>
      </x:c>
      <x:c r="G380" t="n">
        <x:v>2</x:v>
      </x:c>
      <x:c r="H380" t="n">
        <x:v>2</x:v>
      </x:c>
      <x:c r="I380" t="n">
        <x:f>G380-H380</x:f>
        <x:v>0</x:v>
      </x:c>
      <x:c r="J380" s="20" t="n">
        <x:f>IFERROR(H380/G380,0)</x:f>
        <x:v>1</x:v>
      </x:c>
      <x:c r="K380" t="n">
        <x:v>18041</x:v>
      </x:c>
      <x:c r="L380" t="n">
        <x:v>18342.75</x:v>
      </x:c>
      <x:c r="M380" t="n">
        <x:v>18644.5</x:v>
      </x:c>
      <x:c r="N380" t="n">
        <x:v>18946.25</x:v>
      </x:c>
      <x:c r="O380" t="n">
        <x:v>19248</x:v>
      </x:c>
    </x:row>
    <x:row r="381">
      <x:c r="A381" t="str">
        <x:v>West Bengal</x:v>
      </x:c>
      <x:c r="B381" t="str">
        <x:v>All India except Central University</x:v>
      </x:c>
      <x:c r="C381" t="str">
        <x:v>200613</x:v>
      </x:c>
      <x:c r="D381" t="str">
        <x:v>Barasat Government Medical College &amp; Hospital, 80 Jessore Road Banamalipur JL NO 80and Uttorhat JL no 78 Barasat North Twenty Four Parganas 700124</x:v>
      </x:c>
      <x:c r="E381" t="str">
        <x:v>All India</x:v>
      </x:c>
      <x:c r="F381" t="str">
        <x:v>OBC</x:v>
      </x:c>
      <x:c r="G381" t="n">
        <x:v>4</x:v>
      </x:c>
      <x:c r="H381" t="n">
        <x:v>4</x:v>
      </x:c>
      <x:c r="I381" t="n">
        <x:f>G381-H381</x:f>
        <x:v>0</x:v>
      </x:c>
      <x:c r="J381" s="20" t="n">
        <x:f>IFERROR(H381/G381,0)</x:f>
        <x:v>1</x:v>
      </x:c>
      <x:c r="K381" t="n">
        <x:v>14807</x:v>
      </x:c>
      <x:c r="L381" t="n">
        <x:v>15149</x:v>
      </x:c>
      <x:c r="M381" t="n">
        <x:v>15598</x:v>
      </x:c>
      <x:c r="N381" t="n">
        <x:v>16061.25</x:v>
      </x:c>
      <x:c r="O381" t="n">
        <x:v>16446</x:v>
      </x:c>
    </x:row>
    <x:row r="382">
      <x:c r="A382" t="str">
        <x:v>West Bengal</x:v>
      </x:c>
      <x:c r="B382" t="str">
        <x:v>All India except Central University</x:v>
      </x:c>
      <x:c r="C382" t="str">
        <x:v>200613</x:v>
      </x:c>
      <x:c r="D382" t="str">
        <x:v>Barasat Government Medical College &amp; Hospital, 80 Jessore Road Banamalipur JL NO 80and Uttorhat JL no 78 Barasat North Twenty Four Parganas 700124</x:v>
      </x:c>
      <x:c r="E382" t="str">
        <x:v>All India</x:v>
      </x:c>
      <x:c r="F382" t="str">
        <x:v>Open</x:v>
      </x:c>
      <x:c r="G382" t="n">
        <x:v>5</x:v>
      </x:c>
      <x:c r="H382" t="n">
        <x:v>5</x:v>
      </x:c>
      <x:c r="I382" t="n">
        <x:f>G382-H382</x:f>
        <x:v>0</x:v>
      </x:c>
      <x:c r="J382" s="20" t="n">
        <x:f>IFERROR(H382/G382,0)</x:f>
        <x:v>1</x:v>
      </x:c>
      <x:c r="K382" t="n">
        <x:v>9377</x:v>
      </x:c>
      <x:c r="L382" t="n">
        <x:v>11200</x:v>
      </x:c>
      <x:c r="M382" t="n">
        <x:v>11236</x:v>
      </x:c>
      <x:c r="N382" t="n">
        <x:v>11888</x:v>
      </x:c>
      <x:c r="O382" t="n">
        <x:v>11947</x:v>
      </x:c>
    </x:row>
    <x:row r="383">
      <x:c r="A383" t="str">
        <x:v>West Bengal</x:v>
      </x:c>
      <x:c r="B383" t="str">
        <x:v>All India except Central University</x:v>
      </x:c>
      <x:c r="C383" t="str">
        <x:v>200613</x:v>
      </x:c>
      <x:c r="D383" t="str">
        <x:v>Barasat Government Medical College &amp; Hospital, 80 Jessore Road Banamalipur JL NO 80and Uttorhat JL no 78 Barasat North Twenty Four Parganas 700124</x:v>
      </x:c>
      <x:c r="E383" t="str">
        <x:v>All India</x:v>
      </x:c>
      <x:c r="F383" t="str">
        <x:v>Open PwD</x:v>
      </x:c>
      <x:c r="G383" t="n">
        <x:v>1</x:v>
      </x:c>
      <x:c r="H383" t="n">
        <x:v>1</x:v>
      </x:c>
      <x:c r="I383" t="n">
        <x:f>G383-H383</x:f>
        <x:v>0</x:v>
      </x:c>
      <x:c r="J383" s="20" t="n">
        <x:f>IFERROR(H383/G383,0)</x:f>
        <x:v>1</x:v>
      </x:c>
      <x:c r="K383" t="n">
        <x:v>616340</x:v>
      </x:c>
      <x:c r="L383" t="n">
        <x:v>616340</x:v>
      </x:c>
      <x:c r="M383" t="n">
        <x:v>616340</x:v>
      </x:c>
      <x:c r="N383" t="n">
        <x:v>616340</x:v>
      </x:c>
      <x:c r="O383" t="n">
        <x:v>616340</x:v>
      </x:c>
    </x:row>
    <x:row r="384">
      <x:c r="A384" t="str">
        <x:v>West Bengal</x:v>
      </x:c>
      <x:c r="B384" t="str">
        <x:v>All India except Central University</x:v>
      </x:c>
      <x:c r="C384" t="str">
        <x:v>200613</x:v>
      </x:c>
      <x:c r="D384" t="str">
        <x:v>Barasat Government Medical College &amp; Hospital, 80 Jessore Road Banamalipur JL NO 80and Uttorhat JL no 78 Barasat North Twenty Four Parganas 700124</x:v>
      </x:c>
      <x:c r="E384" t="str">
        <x:v>All India</x:v>
      </x:c>
      <x:c r="F384" t="str">
        <x:v>SC</x:v>
      </x:c>
      <x:c r="G384" t="n">
        <x:v>2</x:v>
      </x:c>
      <x:c r="H384" t="n">
        <x:v>2</x:v>
      </x:c>
      <x:c r="I384" t="n">
        <x:f>G384-H384</x:f>
        <x:v>0</x:v>
      </x:c>
      <x:c r="J384" s="20" t="n">
        <x:f>IFERROR(H384/G384,0)</x:f>
        <x:v>1</x:v>
      </x:c>
      <x:c r="K384" t="n">
        <x:v>86692</x:v>
      </x:c>
      <x:c r="L384" t="n">
        <x:v>86868</x:v>
      </x:c>
      <x:c r="M384" t="n">
        <x:v>87044</x:v>
      </x:c>
      <x:c r="N384" t="n">
        <x:v>87220</x:v>
      </x:c>
      <x:c r="O384" t="n">
        <x:v>87396</x:v>
      </x:c>
    </x:row>
    <x:row r="385">
      <x:c r="A385" t="str">
        <x:v>West Bengal</x:v>
      </x:c>
      <x:c r="B385" t="str">
        <x:v>All India except Central University</x:v>
      </x:c>
      <x:c r="C385" t="str">
        <x:v>200613</x:v>
      </x:c>
      <x:c r="D385" t="str">
        <x:v>Barasat Government Medical College &amp; Hospital, 80 Jessore Road Banamalipur JL NO 80and Uttorhat JL no 78 Barasat North Twenty Four Parganas 700124</x:v>
      </x:c>
      <x:c r="E385" t="str">
        <x:v>All India</x:v>
      </x:c>
      <x:c r="F385" t="str">
        <x:v>ST</x:v>
      </x:c>
      <x:c r="G385" t="n">
        <x:v>1</x:v>
      </x:c>
      <x:c r="H385" t="n">
        <x:v>1</x:v>
      </x:c>
      <x:c r="I385" t="n">
        <x:f>G385-H385</x:f>
        <x:v>0</x:v>
      </x:c>
      <x:c r="J385" s="20" t="n">
        <x:f>IFERROR(H385/G385,0)</x:f>
        <x:v>1</x:v>
      </x:c>
      <x:c r="K385" t="n">
        <x:v>67896</x:v>
      </x:c>
      <x:c r="L385" t="n">
        <x:v>67896</x:v>
      </x:c>
      <x:c r="M385" t="n">
        <x:v>67896</x:v>
      </x:c>
      <x:c r="N385" t="n">
        <x:v>67896</x:v>
      </x:c>
      <x:c r="O385" t="n">
        <x:v>67896</x:v>
      </x:c>
    </x:row>
    <x:row r="386">
      <x:c r="A386" t="str">
        <x:v>Karnataka</x:v>
      </x:c>
      <x:c r="B386" t="str">
        <x:v>All India except Central University</x:v>
      </x:c>
      <x:c r="C386" t="str">
        <x:v>200162</x:v>
      </x:c>
      <x:c r="D386" t="str">
        <x:v>Belagavi Institute of Medical Sciences, Belagavi, DR B R AMBEDKAR ROAD BELAGAVI.</x:v>
      </x:c>
      <x:c r="E386" t="str">
        <x:v>All India</x:v>
      </x:c>
      <x:c r="F386" t="str">
        <x:v>EWS</x:v>
      </x:c>
      <x:c r="G386" t="n">
        <x:v>3</x:v>
      </x:c>
      <x:c r="H386" t="n">
        <x:v>3</x:v>
      </x:c>
      <x:c r="I386" t="n">
        <x:f>G386-H386</x:f>
        <x:v>0</x:v>
      </x:c>
      <x:c r="J386" s="20" t="n">
        <x:f>IFERROR(H386/G386,0)</x:f>
        <x:v>1</x:v>
      </x:c>
      <x:c r="K386" t="n">
        <x:v>12134</x:v>
      </x:c>
      <x:c r="L386" t="n">
        <x:v>12997.5</x:v>
      </x:c>
      <x:c r="M386" t="n">
        <x:v>13861</x:v>
      </x:c>
      <x:c r="N386" t="n">
        <x:v>13989</x:v>
      </x:c>
      <x:c r="O386" t="n">
        <x:v>14117</x:v>
      </x:c>
    </x:row>
    <x:row r="387">
      <x:c r="A387" t="str">
        <x:v>Karnataka</x:v>
      </x:c>
      <x:c r="B387" t="str">
        <x:v>All India except Central University</x:v>
      </x:c>
      <x:c r="C387" t="str">
        <x:v>200162</x:v>
      </x:c>
      <x:c r="D387" t="str">
        <x:v>Belagavi Institute of Medical Sciences, Belagavi, DR B R AMBEDKAR ROAD BELAGAVI.</x:v>
      </x:c>
      <x:c r="E387" t="str">
        <x:v>All India</x:v>
      </x:c>
      <x:c r="F387" t="str">
        <x:v>OBC</x:v>
      </x:c>
      <x:c r="G387" t="n">
        <x:v>8</x:v>
      </x:c>
      <x:c r="H387" t="n">
        <x:v>8</x:v>
      </x:c>
      <x:c r="I387" t="n">
        <x:f>G387-H387</x:f>
        <x:v>0</x:v>
      </x:c>
      <x:c r="J387" s="20" t="n">
        <x:f>IFERROR(H387/G387,0)</x:f>
        <x:v>1</x:v>
      </x:c>
      <x:c r="K387" t="n">
        <x:v>9363</x:v>
      </x:c>
      <x:c r="L387" t="n">
        <x:v>9771.75</x:v>
      </x:c>
      <x:c r="M387" t="n">
        <x:v>10815</x:v>
      </x:c>
      <x:c r="N387" t="n">
        <x:v>11978</x:v>
      </x:c>
      <x:c r="O387" t="n">
        <x:v>12391</x:v>
      </x:c>
    </x:row>
    <x:row r="388">
      <x:c r="A388" t="str">
        <x:v>Karnataka</x:v>
      </x:c>
      <x:c r="B388" t="str">
        <x:v>All India except Central University</x:v>
      </x:c>
      <x:c r="C388" t="str">
        <x:v>200162</x:v>
      </x:c>
      <x:c r="D388" t="str">
        <x:v>Belagavi Institute of Medical Sciences, Belagavi, DR B R AMBEDKAR ROAD BELAGAVI.</x:v>
      </x:c>
      <x:c r="E388" t="str">
        <x:v>All India</x:v>
      </x:c>
      <x:c r="F388" t="str">
        <x:v>Open</x:v>
      </x:c>
      <x:c r="G388" t="n">
        <x:v>10</x:v>
      </x:c>
      <x:c r="H388" t="n">
        <x:v>10</x:v>
      </x:c>
      <x:c r="I388" t="n">
        <x:f>G388-H388</x:f>
        <x:v>0</x:v>
      </x:c>
      <x:c r="J388" s="20" t="n">
        <x:f>IFERROR(H388/G388,0)</x:f>
        <x:v>1</x:v>
      </x:c>
      <x:c r="K388" t="n">
        <x:v>1268</x:v>
      </x:c>
      <x:c r="L388" t="n">
        <x:v>6680</x:v>
      </x:c>
      <x:c r="M388" t="n">
        <x:v>7918</x:v>
      </x:c>
      <x:c r="N388" t="n">
        <x:v>8693.75</x:v>
      </x:c>
      <x:c r="O388" t="n">
        <x:v>9305</x:v>
      </x:c>
    </x:row>
    <x:row r="389">
      <x:c r="A389" t="str">
        <x:v>Karnataka</x:v>
      </x:c>
      <x:c r="B389" t="str">
        <x:v>All India except Central University</x:v>
      </x:c>
      <x:c r="C389" t="str">
        <x:v>200162</x:v>
      </x:c>
      <x:c r="D389" t="str">
        <x:v>Belagavi Institute of Medical Sciences, Belagavi, DR B R AMBEDKAR ROAD BELAGAVI.</x:v>
      </x:c>
      <x:c r="E389" t="str">
        <x:v>All India</x:v>
      </x:c>
      <x:c r="F389" t="str">
        <x:v>Open PwD</x:v>
      </x:c>
      <x:c r="G389" t="n">
        <x:v>1</x:v>
      </x:c>
      <x:c r="H389" t="n">
        <x:v>1</x:v>
      </x:c>
      <x:c r="I389" t="n">
        <x:f>G389-H389</x:f>
        <x:v>0</x:v>
      </x:c>
      <x:c r="J389" s="20" t="n">
        <x:f>IFERROR(H389/G389,0)</x:f>
        <x:v>1</x:v>
      </x:c>
      <x:c r="K389" t="n">
        <x:v>271663</x:v>
      </x:c>
      <x:c r="L389" t="n">
        <x:v>271663</x:v>
      </x:c>
      <x:c r="M389" t="n">
        <x:v>271663</x:v>
      </x:c>
      <x:c r="N389" t="n">
        <x:v>271663</x:v>
      </x:c>
      <x:c r="O389" t="n">
        <x:v>271663</x:v>
      </x:c>
    </x:row>
    <x:row r="390">
      <x:c r="A390" t="str">
        <x:v>Karnataka</x:v>
      </x:c>
      <x:c r="B390" t="str">
        <x:v>All India except Central University</x:v>
      </x:c>
      <x:c r="C390" t="str">
        <x:v>200162</x:v>
      </x:c>
      <x:c r="D390" t="str">
        <x:v>Belagavi Institute of Medical Sciences, Belagavi, DR B R AMBEDKAR ROAD BELAGAVI.</x:v>
      </x:c>
      <x:c r="E390" t="str">
        <x:v>All India</x:v>
      </x:c>
      <x:c r="F390" t="str">
        <x:v>SC</x:v>
      </x:c>
      <x:c r="G390" t="n">
        <x:v>4</x:v>
      </x:c>
      <x:c r="H390" t="n">
        <x:v>4</x:v>
      </x:c>
      <x:c r="I390" t="n">
        <x:f>G390-H390</x:f>
        <x:v>0</x:v>
      </x:c>
      <x:c r="J390" s="20" t="n">
        <x:f>IFERROR(H390/G390,0)</x:f>
        <x:v>1</x:v>
      </x:c>
      <x:c r="K390" t="n">
        <x:v>52882</x:v>
      </x:c>
      <x:c r="L390" t="n">
        <x:v>54911.5</x:v>
      </x:c>
      <x:c r="M390" t="n">
        <x:v>57011</x:v>
      </x:c>
      <x:c r="N390" t="n">
        <x:v>59148.25</x:v>
      </x:c>
      <x:c r="O390" t="n">
        <x:v>61291</x:v>
      </x:c>
    </x:row>
    <x:row r="391">
      <x:c r="A391" t="str">
        <x:v>Karnataka</x:v>
      </x:c>
      <x:c r="B391" t="str">
        <x:v>All India except Central University</x:v>
      </x:c>
      <x:c r="C391" t="str">
        <x:v>200162</x:v>
      </x:c>
      <x:c r="D391" t="str">
        <x:v>Belagavi Institute of Medical Sciences, Belagavi, DR B R AMBEDKAR ROAD BELAGAVI.</x:v>
      </x:c>
      <x:c r="E391" t="str">
        <x:v>All India</x:v>
      </x:c>
      <x:c r="F391" t="str">
        <x:v>SC PwD</x:v>
      </x:c>
      <x:c r="G391" t="n">
        <x:v>1</x:v>
      </x:c>
      <x:c r="H391" t="n">
        <x:v>1</x:v>
      </x:c>
      <x:c r="I391" t="n">
        <x:f>G391-H391</x:f>
        <x:v>0</x:v>
      </x:c>
      <x:c r="J391" s="20" t="n">
        <x:f>IFERROR(H391/G391,0)</x:f>
        <x:v>1</x:v>
      </x:c>
      <x:c r="K391" t="n">
        <x:v>620185</x:v>
      </x:c>
      <x:c r="L391" t="n">
        <x:v>620185</x:v>
      </x:c>
      <x:c r="M391" t="n">
        <x:v>620185</x:v>
      </x:c>
      <x:c r="N391" t="n">
        <x:v>620185</x:v>
      </x:c>
      <x:c r="O391" t="n">
        <x:v>620185</x:v>
      </x:c>
    </x:row>
    <x:row r="392">
      <x:c r="A392" t="str">
        <x:v>Karnataka</x:v>
      </x:c>
      <x:c r="B392" t="str">
        <x:v>All India except Central University</x:v>
      </x:c>
      <x:c r="C392" t="str">
        <x:v>200162</x:v>
      </x:c>
      <x:c r="D392" t="str">
        <x:v>Belagavi Institute of Medical Sciences, Belagavi, DR B R AMBEDKAR ROAD BELAGAVI.</x:v>
      </x:c>
      <x:c r="E392" t="str">
        <x:v>All India</x:v>
      </x:c>
      <x:c r="F392" t="str">
        <x:v>ST</x:v>
      </x:c>
      <x:c r="G392" t="n">
        <x:v>3</x:v>
      </x:c>
      <x:c r="H392" t="n">
        <x:v>3</x:v>
      </x:c>
      <x:c r="I392" t="n">
        <x:f>G392-H392</x:f>
        <x:v>0</x:v>
      </x:c>
      <x:c r="J392" s="20" t="n">
        <x:f>IFERROR(H392/G392,0)</x:f>
        <x:v>1</x:v>
      </x:c>
      <x:c r="K392" t="n">
        <x:v>30853</x:v>
      </x:c>
      <x:c r="L392" t="n">
        <x:v>43577.5</x:v>
      </x:c>
      <x:c r="M392" t="n">
        <x:v>56302</x:v>
      </x:c>
      <x:c r="N392" t="n">
        <x:v>61183.5</x:v>
      </x:c>
      <x:c r="O392" t="n">
        <x:v>66065</x:v>
      </x:c>
    </x:row>
    <x:row r="393">
      <x:c r="A393" t="str">
        <x:v>Tamil Nadu</x:v>
      </x:c>
      <x:c r="B393" t="str">
        <x:v>Deemed University</x:v>
      </x:c>
      <x:c r="C393" t="str">
        <x:v>200532</x:v>
      </x:c>
      <x:c r="D393" t="str">
        <x:v>Bhaarat Medical College &amp; Hospital, 173, AGARAM MAIN ROAD , SELAIYUR, TAMBARAM CHENNAI - 600073</x:v>
      </x:c>
      <x:c r="E393" t="str">
        <x:v>NRI</x:v>
      </x:c>
      <x:c r="F393" t="str">
        <x:v>Open</x:v>
      </x:c>
      <x:c r="G393" t="n">
        <x:v>5</x:v>
      </x:c>
      <x:c r="H393" t="n">
        <x:v>0</x:v>
      </x:c>
      <x:c r="I393" t="n">
        <x:f>G393-H393</x:f>
        <x:v>5</x:v>
      </x:c>
      <x:c r="J393" s="20" t="n">
        <x:f>IFERROR(H393/G393,0)</x:f>
        <x:v>0</x:v>
      </x:c>
      <x:c r="K393"/>
      <x:c r="L393"/>
      <x:c r="M393"/>
      <x:c r="N393"/>
      <x:c r="O393"/>
    </x:row>
    <x:row r="394">
      <x:c r="A394" t="str">
        <x:v>Tamil Nadu</x:v>
      </x:c>
      <x:c r="B394" t="str">
        <x:v>Deemed University</x:v>
      </x:c>
      <x:c r="C394" t="str">
        <x:v>200532</x:v>
      </x:c>
      <x:c r="D394" t="str">
        <x:v>Bhaarat Medical College &amp; Hospital, 173, AGARAM MAIN ROAD , SELAIYUR, TAMBARAM CHENNAI - 600073</x:v>
      </x:c>
      <x:c r="E394" t="str">
        <x:v>Self-Financed Merit</x:v>
      </x:c>
      <x:c r="F394" t="str">
        <x:v>Open</x:v>
      </x:c>
      <x:c r="G394" t="n">
        <x:v>245</x:v>
      </x:c>
      <x:c r="H394" t="n">
        <x:v>245</x:v>
      </x:c>
      <x:c r="I394" t="n">
        <x:f>G394-H394</x:f>
        <x:v>0</x:v>
      </x:c>
      <x:c r="J394" s="20" t="n">
        <x:f>IFERROR(H394/G394,0)</x:f>
        <x:v>1</x:v>
      </x:c>
      <x:c r="K394" t="n">
        <x:v>146046</x:v>
      </x:c>
      <x:c r="L394" t="n">
        <x:v>871033</x:v>
      </x:c>
      <x:c r="M394" t="n">
        <x:v>998956</x:v>
      </x:c>
      <x:c r="N394" t="n">
        <x:v>1077277</x:v>
      </x:c>
      <x:c r="O394" t="n">
        <x:v>1163131</x:v>
      </x:c>
    </x:row>
    <x:row r="395">
      <x:c r="A395" t="str">
        <x:v>Maharashtra</x:v>
      </x:c>
      <x:c r="B395" t="str">
        <x:v>Deemed University</x:v>
      </x:c>
      <x:c r="C395" t="str">
        <x:v>200355</x:v>
      </x:c>
      <x:c r="D395" t="str">
        <x:v>Bharati Vidyapeeth Deemed University Medical College &amp; Hospital, Sangli, Sangli Miraj Road Wanlesswadi Sangli Maharashtra</x:v>
      </x:c>
      <x:c r="E395" t="str">
        <x:v>NRI</x:v>
      </x:c>
      <x:c r="F395" t="str">
        <x:v>Open</x:v>
      </x:c>
      <x:c r="G395" t="n">
        <x:v>38</x:v>
      </x:c>
      <x:c r="H395" t="n">
        <x:v>0</x:v>
      </x:c>
      <x:c r="I395" t="n">
        <x:f>G395-H395</x:f>
        <x:v>38</x:v>
      </x:c>
      <x:c r="J395" s="20" t="n">
        <x:f>IFERROR(H395/G395,0)</x:f>
        <x:v>0</x:v>
      </x:c>
      <x:c r="K395"/>
      <x:c r="L395"/>
      <x:c r="M395"/>
      <x:c r="N395"/>
      <x:c r="O395"/>
    </x:row>
    <x:row r="396">
      <x:c r="A396" t="str">
        <x:v>Maharashtra</x:v>
      </x:c>
      <x:c r="B396" t="str">
        <x:v>Deemed University</x:v>
      </x:c>
      <x:c r="C396" t="str">
        <x:v>200355</x:v>
      </x:c>
      <x:c r="D396" t="str">
        <x:v>Bharati Vidyapeeth Deemed University Medical College &amp; Hospital, Sangli, Sangli Miraj Road Wanlesswadi Sangli Maharashtra</x:v>
      </x:c>
      <x:c r="E396" t="str">
        <x:v>Self-Financed Merit</x:v>
      </x:c>
      <x:c r="F396" t="str">
        <x:v>Open</x:v>
      </x:c>
      <x:c r="G396" t="n">
        <x:v>212</x:v>
      </x:c>
      <x:c r="H396" t="n">
        <x:v>212</x:v>
      </x:c>
      <x:c r="I396" t="n">
        <x:f>G396-H396</x:f>
        <x:v>0</x:v>
      </x:c>
      <x:c r="J396" s="20" t="n">
        <x:f>IFERROR(H396/G396,0)</x:f>
        <x:v>1</x:v>
      </x:c>
      <x:c r="K396" t="n">
        <x:v>71120</x:v>
      </x:c>
      <x:c r="L396" t="n">
        <x:v>487091</x:v>
      </x:c>
      <x:c r="M396" t="n">
        <x:v>548822</x:v>
      </x:c>
      <x:c r="N396" t="n">
        <x:v>576512.25</x:v>
      </x:c>
      <x:c r="O396" t="n">
        <x:v>600808</x:v>
      </x:c>
    </x:row>
    <x:row r="397">
      <x:c r="A397" t="str">
        <x:v>Maharashtra</x:v>
      </x:c>
      <x:c r="B397" t="str">
        <x:v>Deemed University</x:v>
      </x:c>
      <x:c r="C397" t="str">
        <x:v>200356</x:v>
      </x:c>
      <x:c r="D397" t="str">
        <x:v>Bharati Vidyapeeth University Medical College, Pune, Dhankawadi, Pune-Satara Road, Pune</x:v>
      </x:c>
      <x:c r="E397" t="str">
        <x:v>NRI</x:v>
      </x:c>
      <x:c r="F397" t="str">
        <x:v>Open</x:v>
      </x:c>
      <x:c r="G397" t="n">
        <x:v>38</x:v>
      </x:c>
      <x:c r="H397" t="n">
        <x:v>1</x:v>
      </x:c>
      <x:c r="I397" t="n">
        <x:f>G397-H397</x:f>
        <x:v>37</x:v>
      </x:c>
      <x:c r="J397" s="20" t="n">
        <x:f>IFERROR(H397/G397,0)</x:f>
        <x:v>0.02631578947368421</x:v>
      </x:c>
      <x:c r="K397" t="n">
        <x:v>724261</x:v>
      </x:c>
      <x:c r="L397" t="n">
        <x:v>724261</x:v>
      </x:c>
      <x:c r="M397" t="n">
        <x:v>724261</x:v>
      </x:c>
      <x:c r="N397" t="n">
        <x:v>724261</x:v>
      </x:c>
      <x:c r="O397" t="n">
        <x:v>724261</x:v>
      </x:c>
    </x:row>
    <x:row r="398">
      <x:c r="A398" t="str">
        <x:v>Maharashtra</x:v>
      </x:c>
      <x:c r="B398" t="str">
        <x:v>Deemed University</x:v>
      </x:c>
      <x:c r="C398" t="str">
        <x:v>200356</x:v>
      </x:c>
      <x:c r="D398" t="str">
        <x:v>Bharati Vidyapeeth University Medical College, Pune, Dhankawadi, Pune-Satara Road, Pune</x:v>
      </x:c>
      <x:c r="E398" t="str">
        <x:v>Self-Financed Merit</x:v>
      </x:c>
      <x:c r="F398" t="str">
        <x:v>Open</x:v>
      </x:c>
      <x:c r="G398" t="n">
        <x:v>212</x:v>
      </x:c>
      <x:c r="H398" t="n">
        <x:v>212</x:v>
      </x:c>
      <x:c r="I398" t="n">
        <x:f>G398-H398</x:f>
        <x:v>0</x:v>
      </x:c>
      <x:c r="J398" s="20" t="n">
        <x:f>IFERROR(H398/G398,0)</x:f>
        <x:v>1</x:v>
      </x:c>
      <x:c r="K398" t="n">
        <x:v>18556</x:v>
      </x:c>
      <x:c r="L398" t="n">
        <x:v>287996.5</x:v>
      </x:c>
      <x:c r="M398" t="n">
        <x:v>380893.5</x:v>
      </x:c>
      <x:c r="N398" t="n">
        <x:v>450508.5</x:v>
      </x:c>
      <x:c r="O398" t="n">
        <x:v>501263</x:v>
      </x:c>
    </x:row>
    <x:row r="399">
      <x:c r="A399" t="str">
        <x:v>Karnataka</x:v>
      </x:c>
      <x:c r="B399" t="str">
        <x:v>All India except Central University</x:v>
      </x:c>
      <x:c r="C399" t="str">
        <x:v>200163</x:v>
      </x:c>
      <x:c r="D399" t="str">
        <x:v>Bidar Institute of Medical Sciences, Bidar, BIDAR INSTITUTE OF MEDICAL SCIENCES BIDAR UDGIR ROAD BIDAR-585401</x:v>
      </x:c>
      <x:c r="E399" t="str">
        <x:v>All India</x:v>
      </x:c>
      <x:c r="F399" t="str">
        <x:v>EWS</x:v>
      </x:c>
      <x:c r="G399" t="n">
        <x:v>3</x:v>
      </x:c>
      <x:c r="H399" t="n">
        <x:v>3</x:v>
      </x:c>
      <x:c r="I399" t="n">
        <x:f>G399-H399</x:f>
        <x:v>0</x:v>
      </x:c>
      <x:c r="J399" s="20" t="n">
        <x:f>IFERROR(H399/G399,0)</x:f>
        <x:v>1</x:v>
      </x:c>
      <x:c r="K399" t="n">
        <x:v>19049</x:v>
      </x:c>
      <x:c r="L399" t="n">
        <x:v>19613</x:v>
      </x:c>
      <x:c r="M399" t="n">
        <x:v>20177</x:v>
      </x:c>
      <x:c r="N399" t="n">
        <x:v>20409</x:v>
      </x:c>
      <x:c r="O399" t="n">
        <x:v>20641</x:v>
      </x:c>
    </x:row>
    <x:row r="400">
      <x:c r="A400" t="str">
        <x:v>Karnataka</x:v>
      </x:c>
      <x:c r="B400" t="str">
        <x:v>All India except Central University</x:v>
      </x:c>
      <x:c r="C400" t="str">
        <x:v>200163</x:v>
      </x:c>
      <x:c r="D400" t="str">
        <x:v>Bidar Institute of Medical Sciences, Bidar, BIDAR INSTITUTE OF MEDICAL SCIENCES BIDAR UDGIR ROAD BIDAR-585401</x:v>
      </x:c>
      <x:c r="E400" t="str">
        <x:v>All India</x:v>
      </x:c>
      <x:c r="F400" t="str">
        <x:v>OBC</x:v>
      </x:c>
      <x:c r="G400" t="n">
        <x:v>8</x:v>
      </x:c>
      <x:c r="H400" t="n">
        <x:v>8</x:v>
      </x:c>
      <x:c r="I400" t="n">
        <x:f>G400-H400</x:f>
        <x:v>0</x:v>
      </x:c>
      <x:c r="J400" s="20" t="n">
        <x:f>IFERROR(H400/G400,0)</x:f>
        <x:v>1</x:v>
      </x:c>
      <x:c r="K400" t="n">
        <x:v>16220</x:v>
      </x:c>
      <x:c r="L400" t="n">
        <x:v>16347.5</x:v>
      </x:c>
      <x:c r="M400" t="n">
        <x:v>16567.5</x:v>
      </x:c>
      <x:c r="N400" t="n">
        <x:v>16755</x:v>
      </x:c>
      <x:c r="O400" t="n">
        <x:v>16916</x:v>
      </x:c>
    </x:row>
    <x:row r="401">
      <x:c r="A401" t="str">
        <x:v>Karnataka</x:v>
      </x:c>
      <x:c r="B401" t="str">
        <x:v>All India except Central University</x:v>
      </x:c>
      <x:c r="C401" t="str">
        <x:v>200163</x:v>
      </x:c>
      <x:c r="D401" t="str">
        <x:v>Bidar Institute of Medical Sciences, Bidar, BIDAR INSTITUTE OF MEDICAL SCIENCES BIDAR UDGIR ROAD BIDAR-585401</x:v>
      </x:c>
      <x:c r="E401" t="str">
        <x:v>All India</x:v>
      </x:c>
      <x:c r="F401" t="str">
        <x:v>Open</x:v>
      </x:c>
      <x:c r="G401" t="n">
        <x:v>13</x:v>
      </x:c>
      <x:c r="H401" t="n">
        <x:v>13</x:v>
      </x:c>
      <x:c r="I401" t="n">
        <x:f>G401-H401</x:f>
        <x:v>0</x:v>
      </x:c>
      <x:c r="J401" s="20" t="n">
        <x:f>IFERROR(H401/G401,0)</x:f>
        <x:v>1</x:v>
      </x:c>
      <x:c r="K401" t="n">
        <x:v>12005</x:v>
      </x:c>
      <x:c r="L401" t="n">
        <x:v>14556</x:v>
      </x:c>
      <x:c r="M401" t="n">
        <x:v>15665</x:v>
      </x:c>
      <x:c r="N401" t="n">
        <x:v>15977</x:v>
      </x:c>
      <x:c r="O401" t="n">
        <x:v>16205</x:v>
      </x:c>
    </x:row>
    <x:row r="402">
      <x:c r="A402" t="str">
        <x:v>Karnataka</x:v>
      </x:c>
      <x:c r="B402" t="str">
        <x:v>All India except Central University</x:v>
      </x:c>
      <x:c r="C402" t="str">
        <x:v>200163</x:v>
      </x:c>
      <x:c r="D402" t="str">
        <x:v>Bidar Institute of Medical Sciences, Bidar, BIDAR INSTITUTE OF MEDICAL SCIENCES BIDAR UDGIR ROAD BIDAR-585401</x:v>
      </x:c>
      <x:c r="E402" t="str">
        <x:v>All India</x:v>
      </x:c>
      <x:c r="F402" t="str">
        <x:v>SC</x:v>
      </x:c>
      <x:c r="G402" t="n">
        <x:v>4</x:v>
      </x:c>
      <x:c r="H402" t="n">
        <x:v>4</x:v>
      </x:c>
      <x:c r="I402" t="n">
        <x:f>G402-H402</x:f>
        <x:v>0</x:v>
      </x:c>
      <x:c r="J402" s="20" t="n">
        <x:f>IFERROR(H402/G402,0)</x:f>
        <x:v>1</x:v>
      </x:c>
      <x:c r="K402" t="n">
        <x:v>68333</x:v>
      </x:c>
      <x:c r="L402" t="n">
        <x:v>78269.75</x:v>
      </x:c>
      <x:c r="M402" t="n">
        <x:v>82974</x:v>
      </x:c>
      <x:c r="N402" t="n">
        <x:v>84465.25</x:v>
      </x:c>
      <x:c r="O402" t="n">
        <x:v>84763</x:v>
      </x:c>
    </x:row>
    <x:row r="403">
      <x:c r="A403" t="str">
        <x:v>Karnataka</x:v>
      </x:c>
      <x:c r="B403" t="str">
        <x:v>All India except Central University</x:v>
      </x:c>
      <x:c r="C403" t="str">
        <x:v>200163</x:v>
      </x:c>
      <x:c r="D403" t="str">
        <x:v>Bidar Institute of Medical Sciences, Bidar, BIDAR INSTITUTE OF MEDICAL SCIENCES BIDAR UDGIR ROAD BIDAR-585401</x:v>
      </x:c>
      <x:c r="E403" t="str">
        <x:v>All India</x:v>
      </x:c>
      <x:c r="F403" t="str">
        <x:v>ST</x:v>
      </x:c>
      <x:c r="G403" t="n">
        <x:v>2</x:v>
      </x:c>
      <x:c r="H403" t="n">
        <x:v>2</x:v>
      </x:c>
      <x:c r="I403" t="n">
        <x:f>G403-H403</x:f>
        <x:v>0</x:v>
      </x:c>
      <x:c r="J403" s="20" t="n">
        <x:f>IFERROR(H403/G403,0)</x:f>
        <x:v>1</x:v>
      </x:c>
      <x:c r="K403" t="n">
        <x:v>48111</x:v>
      </x:c>
      <x:c r="L403" t="n">
        <x:v>56726.25</x:v>
      </x:c>
      <x:c r="M403" t="n">
        <x:v>65341.5</x:v>
      </x:c>
      <x:c r="N403" t="n">
        <x:v>73956.75</x:v>
      </x:c>
      <x:c r="O403" t="n">
        <x:v>82572</x:v>
      </x:c>
    </x:row>
    <x:row r="404">
      <x:c r="A404" t="str">
        <x:v>Madhya Pradesh</x:v>
      </x:c>
      <x:c r="B404" t="str">
        <x:v>All India except Central University</x:v>
      </x:c>
      <x:c r="C404" t="str">
        <x:v>200198</x:v>
      </x:c>
      <x:c r="D404" t="str">
        <x:v>Bundelkhand Medical College, Sagar, Shivaji ward, tili Road, Sagar</x:v>
      </x:c>
      <x:c r="E404" t="str">
        <x:v>All India</x:v>
      </x:c>
      <x:c r="F404" t="str">
        <x:v>EWS</x:v>
      </x:c>
      <x:c r="G404" t="n">
        <x:v>2</x:v>
      </x:c>
      <x:c r="H404" t="n">
        <x:v>2</x:v>
      </x:c>
      <x:c r="I404" t="n">
        <x:f>G404-H404</x:f>
        <x:v>0</x:v>
      </x:c>
      <x:c r="J404" s="20" t="n">
        <x:f>IFERROR(H404/G404,0)</x:f>
        <x:v>1</x:v>
      </x:c>
      <x:c r="K404" t="n">
        <x:v>12017</x:v>
      </x:c>
      <x:c r="L404" t="n">
        <x:v>12371.5</x:v>
      </x:c>
      <x:c r="M404" t="n">
        <x:v>12726</x:v>
      </x:c>
      <x:c r="N404" t="n">
        <x:v>13080.5</x:v>
      </x:c>
      <x:c r="O404" t="n">
        <x:v>13435</x:v>
      </x:c>
    </x:row>
    <x:row r="405">
      <x:c r="A405" t="str">
        <x:v>Madhya Pradesh</x:v>
      </x:c>
      <x:c r="B405" t="str">
        <x:v>All India except Central University</x:v>
      </x:c>
      <x:c r="C405" t="str">
        <x:v>200198</x:v>
      </x:c>
      <x:c r="D405" t="str">
        <x:v>Bundelkhand Medical College, Sagar, Shivaji ward, tili Road, Sagar</x:v>
      </x:c>
      <x:c r="E405" t="str">
        <x:v>All India</x:v>
      </x:c>
      <x:c r="F405" t="str">
        <x:v>OBC</x:v>
      </x:c>
      <x:c r="G405" t="n">
        <x:v>6</x:v>
      </x:c>
      <x:c r="H405" t="n">
        <x:v>6</x:v>
      </x:c>
      <x:c r="I405" t="n">
        <x:f>G405-H405</x:f>
        <x:v>0</x:v>
      </x:c>
      <x:c r="J405" s="20" t="n">
        <x:f>IFERROR(H405/G405,0)</x:f>
        <x:v>1</x:v>
      </x:c>
      <x:c r="K405" t="n">
        <x:v>10554</x:v>
      </x:c>
      <x:c r="L405" t="n">
        <x:v>10622.75</x:v>
      </x:c>
      <x:c r="M405" t="n">
        <x:v>10693.5</x:v>
      </x:c>
      <x:c r="N405" t="n">
        <x:v>10954</x:v>
      </x:c>
      <x:c r="O405" t="n">
        <x:v>11083</x:v>
      </x:c>
    </x:row>
    <x:row r="406">
      <x:c r="A406" t="str">
        <x:v>Madhya Pradesh</x:v>
      </x:c>
      <x:c r="B406" t="str">
        <x:v>All India except Central University</x:v>
      </x:c>
      <x:c r="C406" t="str">
        <x:v>200198</x:v>
      </x:c>
      <x:c r="D406" t="str">
        <x:v>Bundelkhand Medical College, Sagar, Shivaji ward, tili Road, Sagar</x:v>
      </x:c>
      <x:c r="E406" t="str">
        <x:v>All India</x:v>
      </x:c>
      <x:c r="F406" t="str">
        <x:v>Open</x:v>
      </x:c>
      <x:c r="G406" t="n">
        <x:v>9</x:v>
      </x:c>
      <x:c r="H406" t="n">
        <x:v>9</x:v>
      </x:c>
      <x:c r="I406" t="n">
        <x:f>G406-H406</x:f>
        <x:v>0</x:v>
      </x:c>
      <x:c r="J406" s="20" t="n">
        <x:f>IFERROR(H406/G406,0)</x:f>
        <x:v>1</x:v>
      </x:c>
      <x:c r="K406" t="n">
        <x:v>8037</x:v>
      </x:c>
      <x:c r="L406" t="n">
        <x:v>9313</x:v>
      </x:c>
      <x:c r="M406" t="n">
        <x:v>9799</x:v>
      </x:c>
      <x:c r="N406" t="n">
        <x:v>9989</x:v>
      </x:c>
      <x:c r="O406" t="n">
        <x:v>10356</x:v>
      </x:c>
    </x:row>
    <x:row r="407">
      <x:c r="A407" t="str">
        <x:v>Madhya Pradesh</x:v>
      </x:c>
      <x:c r="B407" t="str">
        <x:v>All India except Central University</x:v>
      </x:c>
      <x:c r="C407" t="str">
        <x:v>200198</x:v>
      </x:c>
      <x:c r="D407" t="str">
        <x:v>Bundelkhand Medical College, Sagar, Shivaji ward, tili Road, Sagar</x:v>
      </x:c>
      <x:c r="E407" t="str">
        <x:v>All India</x:v>
      </x:c>
      <x:c r="F407" t="str">
        <x:v>SC</x:v>
      </x:c>
      <x:c r="G407" t="n">
        <x:v>4</x:v>
      </x:c>
      <x:c r="H407" t="n">
        <x:v>4</x:v>
      </x:c>
      <x:c r="I407" t="n">
        <x:f>G407-H407</x:f>
        <x:v>0</x:v>
      </x:c>
      <x:c r="J407" s="20" t="n">
        <x:f>IFERROR(H407/G407,0)</x:f>
        <x:v>1</x:v>
      </x:c>
      <x:c r="K407" t="n">
        <x:v>45881</x:v>
      </x:c>
      <x:c r="L407" t="n">
        <x:v>49631.75</x:v>
      </x:c>
      <x:c r="M407" t="n">
        <x:v>55245.5</x:v>
      </x:c>
      <x:c r="N407" t="n">
        <x:v>59793.25</x:v>
      </x:c>
      <x:c r="O407" t="n">
        <x:v>60346</x:v>
      </x:c>
    </x:row>
    <x:row r="408">
      <x:c r="A408" t="str">
        <x:v>Madhya Pradesh</x:v>
      </x:c>
      <x:c r="B408" t="str">
        <x:v>All India except Central University</x:v>
      </x:c>
      <x:c r="C408" t="str">
        <x:v>200198</x:v>
      </x:c>
      <x:c r="D408" t="str">
        <x:v>Bundelkhand Medical College, Sagar, Shivaji ward, tili Road, Sagar</x:v>
      </x:c>
      <x:c r="E408" t="str">
        <x:v>All India</x:v>
      </x:c>
      <x:c r="F408" t="str">
        <x:v>ST</x:v>
      </x:c>
      <x:c r="G408" t="n">
        <x:v>2</x:v>
      </x:c>
      <x:c r="H408" t="n">
        <x:v>2</x:v>
      </x:c>
      <x:c r="I408" t="n">
        <x:f>G408-H408</x:f>
        <x:v>0</x:v>
      </x:c>
      <x:c r="J408" s="20" t="n">
        <x:f>IFERROR(H408/G408,0)</x:f>
        <x:v>1</x:v>
      </x:c>
      <x:c r="K408" t="n">
        <x:v>77327</x:v>
      </x:c>
      <x:c r="L408" t="n">
        <x:v>77597.25</x:v>
      </x:c>
      <x:c r="M408" t="n">
        <x:v>77867.5</x:v>
      </x:c>
      <x:c r="N408" t="n">
        <x:v>78137.75</x:v>
      </x:c>
      <x:c r="O408" t="n">
        <x:v>78408</x:v>
      </x:c>
    </x:row>
    <x:row r="409">
      <x:c r="A409" t="str">
        <x:v>West Bengal</x:v>
      </x:c>
      <x:c r="B409" t="str">
        <x:v>All India except Central University</x:v>
      </x:c>
      <x:c r="C409" t="str">
        <x:v>200309</x:v>
      </x:c>
      <x:c r="D409" t="str">
        <x:v>Burdwan Medical College, Burdwan, BURDWAN MEDICAL COLLEGE, BABURBAG, POST- RAJBATI, DIST- PURBA BARDHAMAN, PIN-713104,WEST BENGAL</x:v>
      </x:c>
      <x:c r="E409" t="str">
        <x:v>All India</x:v>
      </x:c>
      <x:c r="F409" t="str">
        <x:v>EWS</x:v>
      </x:c>
      <x:c r="G409" t="n">
        <x:v>4</x:v>
      </x:c>
      <x:c r="H409" t="n">
        <x:v>4</x:v>
      </x:c>
      <x:c r="I409" t="n">
        <x:f>G409-H409</x:f>
        <x:v>0</x:v>
      </x:c>
      <x:c r="J409" s="20" t="n">
        <x:f>IFERROR(H409/G409,0)</x:f>
        <x:v>1</x:v>
      </x:c>
      <x:c r="K409" t="n">
        <x:v>12242</x:v>
      </x:c>
      <x:c r="L409" t="n">
        <x:v>13352.75</x:v>
      </x:c>
      <x:c r="M409" t="n">
        <x:v>13894</x:v>
      </x:c>
      <x:c r="N409" t="n">
        <x:v>14201.75</x:v>
      </x:c>
      <x:c r="O409" t="n">
        <x:v>14612</x:v>
      </x:c>
    </x:row>
    <x:row r="410">
      <x:c r="A410" t="str">
        <x:v>West Bengal</x:v>
      </x:c>
      <x:c r="B410" t="str">
        <x:v>All India except Central University</x:v>
      </x:c>
      <x:c r="C410" t="str">
        <x:v>200309</x:v>
      </x:c>
      <x:c r="D410" t="str">
        <x:v>Burdwan Medical College, Burdwan, BURDWAN MEDICAL COLLEGE, BABURBAG, POST- RAJBATI, DIST- PURBA BARDHAMAN, PIN-713104,WEST BENGAL</x:v>
      </x:c>
      <x:c r="E410" t="str">
        <x:v>All India</x:v>
      </x:c>
      <x:c r="F410" t="str">
        <x:v>OBC</x:v>
      </x:c>
      <x:c r="G410" t="n">
        <x:v>9</x:v>
      </x:c>
      <x:c r="H410" t="n">
        <x:v>9</x:v>
      </x:c>
      <x:c r="I410" t="n">
        <x:f>G410-H410</x:f>
        <x:v>0</x:v>
      </x:c>
      <x:c r="J410" s="20" t="n">
        <x:f>IFERROR(H410/G410,0)</x:f>
        <x:v>1</x:v>
      </x:c>
      <x:c r="K410" t="n">
        <x:v>10836</x:v>
      </x:c>
      <x:c r="L410" t="n">
        <x:v>11898</x:v>
      </x:c>
      <x:c r="M410" t="n">
        <x:v>12040</x:v>
      </x:c>
      <x:c r="N410" t="n">
        <x:v>12430</x:v>
      </x:c>
      <x:c r="O410" t="n">
        <x:v>12702</x:v>
      </x:c>
    </x:row>
    <x:row r="411">
      <x:c r="A411" t="str">
        <x:v>West Bengal</x:v>
      </x:c>
      <x:c r="B411" t="str">
        <x:v>All India except Central University</x:v>
      </x:c>
      <x:c r="C411" t="str">
        <x:v>200309</x:v>
      </x:c>
      <x:c r="D411" t="str">
        <x:v>Burdwan Medical College, Burdwan, BURDWAN MEDICAL COLLEGE, BABURBAG, POST- RAJBATI, DIST- PURBA BARDHAMAN, PIN-713104,WEST BENGAL</x:v>
      </x:c>
      <x:c r="E411" t="str">
        <x:v>All India</x:v>
      </x:c>
      <x:c r="F411" t="str">
        <x:v>OBC PwD</x:v>
      </x:c>
      <x:c r="G411" t="n">
        <x:v>1</x:v>
      </x:c>
      <x:c r="H411" t="n">
        <x:v>1</x:v>
      </x:c>
      <x:c r="I411" t="n">
        <x:f>G411-H411</x:f>
        <x:v>0</x:v>
      </x:c>
      <x:c r="J411" s="20" t="n">
        <x:f>IFERROR(H411/G411,0)</x:f>
        <x:v>1</x:v>
      </x:c>
      <x:c r="K411" t="n">
        <x:v>551513</x:v>
      </x:c>
      <x:c r="L411" t="n">
        <x:v>551513</x:v>
      </x:c>
      <x:c r="M411" t="n">
        <x:v>551513</x:v>
      </x:c>
      <x:c r="N411" t="n">
        <x:v>551513</x:v>
      </x:c>
      <x:c r="O411" t="n">
        <x:v>551513</x:v>
      </x:c>
    </x:row>
    <x:row r="412">
      <x:c r="A412" t="str">
        <x:v>West Bengal</x:v>
      </x:c>
      <x:c r="B412" t="str">
        <x:v>All India except Central University</x:v>
      </x:c>
      <x:c r="C412" t="str">
        <x:v>200309</x:v>
      </x:c>
      <x:c r="D412" t="str">
        <x:v>Burdwan Medical College, Burdwan, BURDWAN MEDICAL COLLEGE, BABURBAG, POST- RAJBATI, DIST- PURBA BARDHAMAN, PIN-713104,WEST BENGAL</x:v>
      </x:c>
      <x:c r="E412" t="str">
        <x:v>All India</x:v>
      </x:c>
      <x:c r="F412" t="str">
        <x:v>Open</x:v>
      </x:c>
      <x:c r="G412" t="n">
        <x:v>15</x:v>
      </x:c>
      <x:c r="H412" t="n">
        <x:v>15</x:v>
      </x:c>
      <x:c r="I412" t="n">
        <x:f>G412-H412</x:f>
        <x:v>0</x:v>
      </x:c>
      <x:c r="J412" s="20" t="n">
        <x:f>IFERROR(H412/G412,0)</x:f>
        <x:v>1</x:v>
      </x:c>
      <x:c r="K412" t="n">
        <x:v>6058</x:v>
      </x:c>
      <x:c r="L412" t="n">
        <x:v>8589.5</x:v>
      </x:c>
      <x:c r="M412" t="n">
        <x:v>9563</x:v>
      </x:c>
      <x:c r="N412" t="n">
        <x:v>9935.5</x:v>
      </x:c>
      <x:c r="O412" t="n">
        <x:v>10132</x:v>
      </x:c>
    </x:row>
    <x:row r="413">
      <x:c r="A413" t="str">
        <x:v>West Bengal</x:v>
      </x:c>
      <x:c r="B413" t="str">
        <x:v>All India except Central University</x:v>
      </x:c>
      <x:c r="C413" t="str">
        <x:v>200309</x:v>
      </x:c>
      <x:c r="D413" t="str">
        <x:v>Burdwan Medical College, Burdwan, BURDWAN MEDICAL COLLEGE, BABURBAG, POST- RAJBATI, DIST- PURBA BARDHAMAN, PIN-713104,WEST BENGAL</x:v>
      </x:c>
      <x:c r="E413" t="str">
        <x:v>All India</x:v>
      </x:c>
      <x:c r="F413" t="str">
        <x:v>SC</x:v>
      </x:c>
      <x:c r="G413" t="n">
        <x:v>6</x:v>
      </x:c>
      <x:c r="H413" t="n">
        <x:v>6</x:v>
      </x:c>
      <x:c r="I413" t="n">
        <x:f>G413-H413</x:f>
        <x:v>0</x:v>
      </x:c>
      <x:c r="J413" s="20" t="n">
        <x:f>IFERROR(H413/G413,0)</x:f>
        <x:v>1</x:v>
      </x:c>
      <x:c r="K413" t="n">
        <x:v>32933</x:v>
      </x:c>
      <x:c r="L413" t="n">
        <x:v>49127.25</x:v>
      </x:c>
      <x:c r="M413" t="n">
        <x:v>64016.5</x:v>
      </x:c>
      <x:c r="N413" t="n">
        <x:v>65322.5</x:v>
      </x:c>
      <x:c r="O413" t="n">
        <x:v>66920</x:v>
      </x:c>
    </x:row>
    <x:row r="414">
      <x:c r="A414" t="str">
        <x:v>West Bengal</x:v>
      </x:c>
      <x:c r="B414" t="str">
        <x:v>All India except Central University</x:v>
      </x:c>
      <x:c r="C414" t="str">
        <x:v>200309</x:v>
      </x:c>
      <x:c r="D414" t="str">
        <x:v>Burdwan Medical College, Burdwan, BURDWAN MEDICAL COLLEGE, BABURBAG, POST- RAJBATI, DIST- PURBA BARDHAMAN, PIN-713104,WEST BENGAL</x:v>
      </x:c>
      <x:c r="E414" t="str">
        <x:v>All India</x:v>
      </x:c>
      <x:c r="F414" t="str">
        <x:v>ST</x:v>
      </x:c>
      <x:c r="G414" t="n">
        <x:v>3</x:v>
      </x:c>
      <x:c r="H414" t="n">
        <x:v>3</x:v>
      </x:c>
      <x:c r="I414" t="n">
        <x:f>G414-H414</x:f>
        <x:v>0</x:v>
      </x:c>
      <x:c r="J414" s="20" t="n">
        <x:f>IFERROR(H414/G414,0)</x:f>
        <x:v>1</x:v>
      </x:c>
      <x:c r="K414" t="n">
        <x:v>92547</x:v>
      </x:c>
      <x:c r="L414" t="n">
        <x:v>93842.5</x:v>
      </x:c>
      <x:c r="M414" t="n">
        <x:v>95138</x:v>
      </x:c>
      <x:c r="N414" t="n">
        <x:v>96150.5</x:v>
      </x:c>
      <x:c r="O414" t="n">
        <x:v>97163</x:v>
      </x:c>
    </x:row>
    <x:row r="415">
      <x:c r="A415" t="str">
        <x:v>West Bengal</x:v>
      </x:c>
      <x:c r="B415" t="str">
        <x:v>All India except Central University</x:v>
      </x:c>
      <x:c r="C415" t="str">
        <x:v>200310</x:v>
      </x:c>
      <x:c r="D415" t="str">
        <x:v>Calcutta National Medical College, Kolkata, 32, GORACHAND ROAD, PARK CIRCUS, KOLKATA - 700014</x:v>
      </x:c>
      <x:c r="E415" t="str">
        <x:v>All India</x:v>
      </x:c>
      <x:c r="F415" t="str">
        <x:v>EWS</x:v>
      </x:c>
      <x:c r="G415" t="n">
        <x:v>3</x:v>
      </x:c>
      <x:c r="H415" t="n">
        <x:v>3</x:v>
      </x:c>
      <x:c r="I415" t="n">
        <x:f>G415-H415</x:f>
        <x:v>0</x:v>
      </x:c>
      <x:c r="J415" s="20" t="n">
        <x:f>IFERROR(H415/G415,0)</x:f>
        <x:v>1</x:v>
      </x:c>
      <x:c r="K415" t="n">
        <x:v>6778</x:v>
      </x:c>
      <x:c r="L415" t="n">
        <x:v>7207.5</x:v>
      </x:c>
      <x:c r="M415" t="n">
        <x:v>7637</x:v>
      </x:c>
      <x:c r="N415" t="n">
        <x:v>7854</x:v>
      </x:c>
      <x:c r="O415" t="n">
        <x:v>8071</x:v>
      </x:c>
    </x:row>
    <x:row r="416">
      <x:c r="A416" t="str">
        <x:v>West Bengal</x:v>
      </x:c>
      <x:c r="B416" t="str">
        <x:v>All India except Central University</x:v>
      </x:c>
      <x:c r="C416" t="str">
        <x:v>200310</x:v>
      </x:c>
      <x:c r="D416" t="str">
        <x:v>Calcutta National Medical College, Kolkata, 32, GORACHAND ROAD, PARK CIRCUS, KOLKATA - 700014</x:v>
      </x:c>
      <x:c r="E416" t="str">
        <x:v>All India</x:v>
      </x:c>
      <x:c r="F416" t="str">
        <x:v>OBC</x:v>
      </x:c>
      <x:c r="G416" t="n">
        <x:v>10</x:v>
      </x:c>
      <x:c r="H416" t="n">
        <x:v>10</x:v>
      </x:c>
      <x:c r="I416" t="n">
        <x:f>G416-H416</x:f>
        <x:v>0</x:v>
      </x:c>
      <x:c r="J416" s="20" t="n">
        <x:f>IFERROR(H416/G416,0)</x:f>
        <x:v>1</x:v>
      </x:c>
      <x:c r="K416" t="n">
        <x:v>5819</x:v>
      </x:c>
      <x:c r="L416" t="n">
        <x:v>6517</x:v>
      </x:c>
      <x:c r="M416" t="n">
        <x:v>6718.5</x:v>
      </x:c>
      <x:c r="N416" t="n">
        <x:v>7060</x:v>
      </x:c>
      <x:c r="O416" t="n">
        <x:v>7451</x:v>
      </x:c>
    </x:row>
    <x:row r="417">
      <x:c r="A417" t="str">
        <x:v>West Bengal</x:v>
      </x:c>
      <x:c r="B417" t="str">
        <x:v>All India except Central University</x:v>
      </x:c>
      <x:c r="C417" t="str">
        <x:v>200310</x:v>
      </x:c>
      <x:c r="D417" t="str">
        <x:v>Calcutta National Medical College, Kolkata, 32, GORACHAND ROAD, PARK CIRCUS, KOLKATA - 700014</x:v>
      </x:c>
      <x:c r="E417" t="str">
        <x:v>All India</x:v>
      </x:c>
      <x:c r="F417" t="str">
        <x:v>Open</x:v>
      </x:c>
      <x:c r="G417" t="n">
        <x:v>14</x:v>
      </x:c>
      <x:c r="H417" t="n">
        <x:v>14</x:v>
      </x:c>
      <x:c r="I417" t="n">
        <x:f>G417-H417</x:f>
        <x:v>0</x:v>
      </x:c>
      <x:c r="J417" s="20" t="n">
        <x:f>IFERROR(H417/G417,0)</x:f>
        <x:v>1</x:v>
      </x:c>
      <x:c r="K417" t="n">
        <x:v>3717</x:v>
      </x:c>
      <x:c r="L417" t="n">
        <x:v>4545.5</x:v>
      </x:c>
      <x:c r="M417" t="n">
        <x:v>4990</x:v>
      </x:c>
      <x:c r="N417" t="n">
        <x:v>5310</x:v>
      </x:c>
      <x:c r="O417" t="n">
        <x:v>5736</x:v>
      </x:c>
    </x:row>
    <x:row r="418">
      <x:c r="A418" t="str">
        <x:v>West Bengal</x:v>
      </x:c>
      <x:c r="B418" t="str">
        <x:v>All India except Central University</x:v>
      </x:c>
      <x:c r="C418" t="str">
        <x:v>200310</x:v>
      </x:c>
      <x:c r="D418" t="str">
        <x:v>Calcutta National Medical College, Kolkata, 32, GORACHAND ROAD, PARK CIRCUS, KOLKATA - 700014</x:v>
      </x:c>
      <x:c r="E418" t="str">
        <x:v>All India</x:v>
      </x:c>
      <x:c r="F418" t="str">
        <x:v>Open PwD</x:v>
      </x:c>
      <x:c r="G418" t="n">
        <x:v>1</x:v>
      </x:c>
      <x:c r="H418" t="n">
        <x:v>1</x:v>
      </x:c>
      <x:c r="I418" t="n">
        <x:f>G418-H418</x:f>
        <x:v>0</x:v>
      </x:c>
      <x:c r="J418" s="20" t="n">
        <x:f>IFERROR(H418/G418,0)</x:f>
        <x:v>1</x:v>
      </x:c>
      <x:c r="K418" t="n">
        <x:v>264552</x:v>
      </x:c>
      <x:c r="L418" t="n">
        <x:v>264552</x:v>
      </x:c>
      <x:c r="M418" t="n">
        <x:v>264552</x:v>
      </x:c>
      <x:c r="N418" t="n">
        <x:v>264552</x:v>
      </x:c>
      <x:c r="O418" t="n">
        <x:v>264552</x:v>
      </x:c>
    </x:row>
    <x:row r="419">
      <x:c r="A419" t="str">
        <x:v>West Bengal</x:v>
      </x:c>
      <x:c r="B419" t="str">
        <x:v>All India except Central University</x:v>
      </x:c>
      <x:c r="C419" t="str">
        <x:v>200310</x:v>
      </x:c>
      <x:c r="D419" t="str">
        <x:v>Calcutta National Medical College, Kolkata, 32, GORACHAND ROAD, PARK CIRCUS, KOLKATA - 700014</x:v>
      </x:c>
      <x:c r="E419" t="str">
        <x:v>All India</x:v>
      </x:c>
      <x:c r="F419" t="str">
        <x:v>SC</x:v>
      </x:c>
      <x:c r="G419" t="n">
        <x:v>6</x:v>
      </x:c>
      <x:c r="H419" t="n">
        <x:v>6</x:v>
      </x:c>
      <x:c r="I419" t="n">
        <x:f>G419-H419</x:f>
        <x:v>0</x:v>
      </x:c>
      <x:c r="J419" s="20" t="n">
        <x:f>IFERROR(H419/G419,0)</x:f>
        <x:v>1</x:v>
      </x:c>
      <x:c r="K419" t="n">
        <x:v>33056</x:v>
      </x:c>
      <x:c r="L419" t="n">
        <x:v>33353.5</x:v>
      </x:c>
      <x:c r="M419" t="n">
        <x:v>36084</x:v>
      </x:c>
      <x:c r="N419" t="n">
        <x:v>38953.25</x:v>
      </x:c>
      <x:c r="O419" t="n">
        <x:v>42214</x:v>
      </x:c>
    </x:row>
    <x:row r="420">
      <x:c r="A420" t="str">
        <x:v>West Bengal</x:v>
      </x:c>
      <x:c r="B420" t="str">
        <x:v>All India except Central University</x:v>
      </x:c>
      <x:c r="C420" t="str">
        <x:v>200310</x:v>
      </x:c>
      <x:c r="D420" t="str">
        <x:v>Calcutta National Medical College, Kolkata, 32, GORACHAND ROAD, PARK CIRCUS, KOLKATA - 700014</x:v>
      </x:c>
      <x:c r="E420" t="str">
        <x:v>All India</x:v>
      </x:c>
      <x:c r="F420" t="str">
        <x:v>ST</x:v>
      </x:c>
      <x:c r="G420" t="n">
        <x:v>3</x:v>
      </x:c>
      <x:c r="H420" t="n">
        <x:v>3</x:v>
      </x:c>
      <x:c r="I420" t="n">
        <x:f>G420-H420</x:f>
        <x:v>0</x:v>
      </x:c>
      <x:c r="J420" s="20" t="n">
        <x:f>IFERROR(H420/G420,0)</x:f>
        <x:v>1</x:v>
      </x:c>
      <x:c r="K420" t="n">
        <x:v>58469</x:v>
      </x:c>
      <x:c r="L420" t="n">
        <x:v>69519.5</x:v>
      </x:c>
      <x:c r="M420" t="n">
        <x:v>80570</x:v>
      </x:c>
      <x:c r="N420" t="n">
        <x:v>84076</x:v>
      </x:c>
      <x:c r="O420" t="n">
        <x:v>87582</x:v>
      </x:c>
    </x:row>
    <x:row r="421">
      <x:c r="A421" t="str">
        <x:v>Delhi</x:v>
      </x:c>
      <x:c r="B421" t="str">
        <x:v>All India except Central University</x:v>
      </x:c>
      <x:c r="C421" t="str">
        <x:v>904764</x:v>
      </x:c>
      <x:c r="D421" t="str">
        <x:v>Central Armed Police Forces Institute of Medical Sciences Maidangarhi (AIIMS CAPFIMS) Asola Delhi, AIIMS-CAPFIMS, Asola, Maidan Garhi, New Delhi</x:v>
      </x:c>
      <x:c r="E421" t="str">
        <x:v>All India</x:v>
      </x:c>
      <x:c r="F421" t="str">
        <x:v>EWS</x:v>
      </x:c>
      <x:c r="G421" t="n">
        <x:v>10</x:v>
      </x:c>
      <x:c r="H421" t="n">
        <x:v>10</x:v>
      </x:c>
      <x:c r="I421" t="n">
        <x:f>G421-H421</x:f>
        <x:v>0</x:v>
      </x:c>
      <x:c r="J421" s="20" t="n">
        <x:f>IFERROR(H421/G421,0)</x:f>
        <x:v>1</x:v>
      </x:c>
      <x:c r="K421" t="n">
        <x:v>3345</x:v>
      </x:c>
      <x:c r="L421" t="n">
        <x:v>3699.5</x:v>
      </x:c>
      <x:c r="M421" t="n">
        <x:v>3927</x:v>
      </x:c>
      <x:c r="N421" t="n">
        <x:v>4134.75</x:v>
      </x:c>
      <x:c r="O421" t="n">
        <x:v>4299</x:v>
      </x:c>
    </x:row>
    <x:row r="422">
      <x:c r="A422" t="str">
        <x:v>Delhi</x:v>
      </x:c>
      <x:c r="B422" t="str">
        <x:v>All India except Central University</x:v>
      </x:c>
      <x:c r="C422" t="str">
        <x:v>904764</x:v>
      </x:c>
      <x:c r="D422" t="str">
        <x:v>Central Armed Police Forces Institute of Medical Sciences Maidangarhi (AIIMS CAPFIMS) Asola Delhi, AIIMS-CAPFIMS, Asola, Maidan Garhi, New Delhi</x:v>
      </x:c>
      <x:c r="E422" t="str">
        <x:v>All India</x:v>
      </x:c>
      <x:c r="F422" t="str">
        <x:v>OBC</x:v>
      </x:c>
      <x:c r="G422" t="n">
        <x:v>26</x:v>
      </x:c>
      <x:c r="H422" t="n">
        <x:v>26</x:v>
      </x:c>
      <x:c r="I422" t="n">
        <x:f>G422-H422</x:f>
        <x:v>0</x:v>
      </x:c>
      <x:c r="J422" s="20" t="n">
        <x:f>IFERROR(H422/G422,0)</x:f>
        <x:v>1</x:v>
      </x:c>
      <x:c r="K422" t="n">
        <x:v>2684</x:v>
      </x:c>
      <x:c r="L422" t="n">
        <x:v>3020.75</x:v>
      </x:c>
      <x:c r="M422" t="n">
        <x:v>3580.5</x:v>
      </x:c>
      <x:c r="N422" t="n">
        <x:v>3909.75</x:v>
      </x:c>
      <x:c r="O422" t="n">
        <x:v>3989</x:v>
      </x:c>
    </x:row>
    <x:row r="423">
      <x:c r="A423" t="str">
        <x:v>Delhi</x:v>
      </x:c>
      <x:c r="B423" t="str">
        <x:v>All India except Central University</x:v>
      </x:c>
      <x:c r="C423" t="str">
        <x:v>904764</x:v>
      </x:c>
      <x:c r="D423" t="str">
        <x:v>Central Armed Police Forces Institute of Medical Sciences Maidangarhi (AIIMS CAPFIMS) Asola Delhi, AIIMS-CAPFIMS, Asola, Maidan Garhi, New Delhi</x:v>
      </x:c>
      <x:c r="E423" t="str">
        <x:v>All India</x:v>
      </x:c>
      <x:c r="F423" t="str">
        <x:v>OBC PwD</x:v>
      </x:c>
      <x:c r="G423" t="n">
        <x:v>1</x:v>
      </x:c>
      <x:c r="H423" t="n">
        <x:v>1</x:v>
      </x:c>
      <x:c r="I423" t="n">
        <x:f>G423-H423</x:f>
        <x:v>0</x:v>
      </x:c>
      <x:c r="J423" s="20" t="n">
        <x:f>IFERROR(H423/G423,0)</x:f>
        <x:v>1</x:v>
      </x:c>
      <x:c r="K423" t="n">
        <x:v>361324</x:v>
      </x:c>
      <x:c r="L423" t="n">
        <x:v>361324</x:v>
      </x:c>
      <x:c r="M423" t="n">
        <x:v>361324</x:v>
      </x:c>
      <x:c r="N423" t="n">
        <x:v>361324</x:v>
      </x:c>
      <x:c r="O423" t="n">
        <x:v>361324</x:v>
      </x:c>
    </x:row>
    <x:row r="424">
      <x:c r="A424" t="str">
        <x:v>Delhi</x:v>
      </x:c>
      <x:c r="B424" t="str">
        <x:v>All India except Central University</x:v>
      </x:c>
      <x:c r="C424" t="str">
        <x:v>904764</x:v>
      </x:c>
      <x:c r="D424" t="str">
        <x:v>Central Armed Police Forces Institute of Medical Sciences Maidangarhi (AIIMS CAPFIMS) Asola Delhi, AIIMS-CAPFIMS, Asola, Maidan Garhi, New Delhi</x:v>
      </x:c>
      <x:c r="E424" t="str">
        <x:v>All India</x:v>
      </x:c>
      <x:c r="F424" t="str">
        <x:v>Open</x:v>
      </x:c>
      <x:c r="G424" t="n">
        <x:v>39</x:v>
      </x:c>
      <x:c r="H424" t="n">
        <x:v>39</x:v>
      </x:c>
      <x:c r="I424" t="n">
        <x:f>G424-H424</x:f>
        <x:v>0</x:v>
      </x:c>
      <x:c r="J424" s="20" t="n">
        <x:f>IFERROR(H424/G424,0)</x:f>
        <x:v>1</x:v>
      </x:c>
      <x:c r="K424" t="n">
        <x:v>855</x:v>
      </x:c>
      <x:c r="L424" t="n">
        <x:v>1454.5</x:v>
      </x:c>
      <x:c r="M424" t="n">
        <x:v>1928</x:v>
      </x:c>
      <x:c r="N424" t="n">
        <x:v>2181.5</x:v>
      </x:c>
      <x:c r="O424" t="n">
        <x:v>2513</x:v>
      </x:c>
    </x:row>
    <x:row r="425">
      <x:c r="A425" t="str">
        <x:v>Delhi</x:v>
      </x:c>
      <x:c r="B425" t="str">
        <x:v>All India except Central University</x:v>
      </x:c>
      <x:c r="C425" t="str">
        <x:v>904764</x:v>
      </x:c>
      <x:c r="D425" t="str">
        <x:v>Central Armed Police Forces Institute of Medical Sciences Maidangarhi (AIIMS CAPFIMS) Asola Delhi, AIIMS-CAPFIMS, Asola, Maidan Garhi, New Delhi</x:v>
      </x:c>
      <x:c r="E425" t="str">
        <x:v>All India</x:v>
      </x:c>
      <x:c r="F425" t="str">
        <x:v>Open PwD</x:v>
      </x:c>
      <x:c r="G425" t="n">
        <x:v>2</x:v>
      </x:c>
      <x:c r="H425" t="n">
        <x:v>2</x:v>
      </x:c>
      <x:c r="I425" t="n">
        <x:f>G425-H425</x:f>
        <x:v>0</x:v>
      </x:c>
      <x:c r="J425" s="20" t="n">
        <x:f>IFERROR(H425/G425,0)</x:f>
        <x:v>1</x:v>
      </x:c>
      <x:c r="K425" t="n">
        <x:v>200307</x:v>
      </x:c>
      <x:c r="L425" t="n">
        <x:v>210314.5</x:v>
      </x:c>
      <x:c r="M425" t="n">
        <x:v>220322</x:v>
      </x:c>
      <x:c r="N425" t="n">
        <x:v>230329.5</x:v>
      </x:c>
      <x:c r="O425" t="n">
        <x:v>240337</x:v>
      </x:c>
    </x:row>
    <x:row r="426">
      <x:c r="A426" t="str">
        <x:v>Delhi</x:v>
      </x:c>
      <x:c r="B426" t="str">
        <x:v>All India except Central University</x:v>
      </x:c>
      <x:c r="C426" t="str">
        <x:v>904764</x:v>
      </x:c>
      <x:c r="D426" t="str">
        <x:v>Central Armed Police Forces Institute of Medical Sciences Maidangarhi (AIIMS CAPFIMS) Asola Delhi, AIIMS-CAPFIMS, Asola, Maidan Garhi, New Delhi</x:v>
      </x:c>
      <x:c r="E426" t="str">
        <x:v>All India</x:v>
      </x:c>
      <x:c r="F426" t="str">
        <x:v>SC</x:v>
      </x:c>
      <x:c r="G426" t="n">
        <x:v>14</x:v>
      </x:c>
      <x:c r="H426" t="n">
        <x:v>14</x:v>
      </x:c>
      <x:c r="I426" t="n">
        <x:f>G426-H426</x:f>
        <x:v>0</x:v>
      </x:c>
      <x:c r="J426" s="20" t="n">
        <x:f>IFERROR(H426/G426,0)</x:f>
        <x:v>1</x:v>
      </x:c>
      <x:c r="K426" t="n">
        <x:v>8820</x:v>
      </x:c>
      <x:c r="L426" t="n">
        <x:v>15727.75</x:v>
      </x:c>
      <x:c r="M426" t="n">
        <x:v>23236.5</x:v>
      </x:c>
      <x:c r="N426" t="n">
        <x:v>25219.25</x:v>
      </x:c>
      <x:c r="O426" t="n">
        <x:v>28392</x:v>
      </x:c>
    </x:row>
    <x:row r="427">
      <x:c r="A427" t="str">
        <x:v>Delhi</x:v>
      </x:c>
      <x:c r="B427" t="str">
        <x:v>All India except Central University</x:v>
      </x:c>
      <x:c r="C427" t="str">
        <x:v>904764</x:v>
      </x:c>
      <x:c r="D427" t="str">
        <x:v>Central Armed Police Forces Institute of Medical Sciences Maidangarhi (AIIMS CAPFIMS) Asola Delhi, AIIMS-CAPFIMS, Asola, Maidan Garhi, New Delhi</x:v>
      </x:c>
      <x:c r="E427" t="str">
        <x:v>All India</x:v>
      </x:c>
      <x:c r="F427" t="str">
        <x:v>SC PwD</x:v>
      </x:c>
      <x:c r="G427" t="n">
        <x:v>1</x:v>
      </x:c>
      <x:c r="H427" t="n">
        <x:v>1</x:v>
      </x:c>
      <x:c r="I427" t="n">
        <x:f>G427-H427</x:f>
        <x:v>0</x:v>
      </x:c>
      <x:c r="J427" s="20" t="n">
        <x:f>IFERROR(H427/G427,0)</x:f>
        <x:v>1</x:v>
      </x:c>
      <x:c r="K427" t="n">
        <x:v>682024</x:v>
      </x:c>
      <x:c r="L427" t="n">
        <x:v>682024</x:v>
      </x:c>
      <x:c r="M427" t="n">
        <x:v>682024</x:v>
      </x:c>
      <x:c r="N427" t="n">
        <x:v>682024</x:v>
      </x:c>
      <x:c r="O427" t="n">
        <x:v>682024</x:v>
      </x:c>
    </x:row>
    <x:row r="428">
      <x:c r="A428" t="str">
        <x:v>Delhi</x:v>
      </x:c>
      <x:c r="B428" t="str">
        <x:v>All India except Central University</x:v>
      </x:c>
      <x:c r="C428" t="str">
        <x:v>904764</x:v>
      </x:c>
      <x:c r="D428" t="str">
        <x:v>Central Armed Police Forces Institute of Medical Sciences Maidangarhi (AIIMS CAPFIMS) Asola Delhi, AIIMS-CAPFIMS, Asola, Maidan Garhi, New Delhi</x:v>
      </x:c>
      <x:c r="E428" t="str">
        <x:v>All India</x:v>
      </x:c>
      <x:c r="F428" t="str">
        <x:v>ST</x:v>
      </x:c>
      <x:c r="G428" t="n">
        <x:v>6</x:v>
      </x:c>
      <x:c r="H428" t="n">
        <x:v>6</x:v>
      </x:c>
      <x:c r="I428" t="n">
        <x:f>G428-H428</x:f>
        <x:v>0</x:v>
      </x:c>
      <x:c r="J428" s="20" t="n">
        <x:f>IFERROR(H428/G428,0)</x:f>
        <x:v>1</x:v>
      </x:c>
      <x:c r="K428" t="n">
        <x:v>20912</x:v>
      </x:c>
      <x:c r="L428" t="n">
        <x:v>30292.5</x:v>
      </x:c>
      <x:c r="M428" t="n">
        <x:v>32709.5</x:v>
      </x:c>
      <x:c r="N428" t="n">
        <x:v>37413.25</x:v>
      </x:c>
      <x:c r="O428" t="n">
        <x:v>38615</x:v>
      </x:c>
    </x:row>
    <x:row r="429">
      <x:c r="A429" t="str">
        <x:v>Delhi</x:v>
      </x:c>
      <x:c r="B429" t="str">
        <x:v>All India except Central University</x:v>
      </x:c>
      <x:c r="C429" t="str">
        <x:v>904764</x:v>
      </x:c>
      <x:c r="D429" t="str">
        <x:v>Central Armed Police Forces Institute of Medical Sciences Maidangarhi (AIIMS CAPFIMS) Asola Delhi, AIIMS-CAPFIMS, Asola, Maidan Garhi, New Delhi</x:v>
      </x:c>
      <x:c r="E429" t="str">
        <x:v>All India</x:v>
      </x:c>
      <x:c r="F429" t="str">
        <x:v>ST PwD</x:v>
      </x:c>
      <x:c r="G429" t="n">
        <x:v>1</x:v>
      </x:c>
      <x:c r="H429" t="n">
        <x:v>1</x:v>
      </x:c>
      <x:c r="I429" t="n">
        <x:f>G429-H429</x:f>
        <x:v>0</x:v>
      </x:c>
      <x:c r="J429" s="20" t="n">
        <x:f>IFERROR(H429/G429,0)</x:f>
        <x:v>1</x:v>
      </x:c>
      <x:c r="K429" t="n">
        <x:v>305525</x:v>
      </x:c>
      <x:c r="L429" t="n">
        <x:v>305525</x:v>
      </x:c>
      <x:c r="M429" t="n">
        <x:v>305525</x:v>
      </x:c>
      <x:c r="N429" t="n">
        <x:v>305525</x:v>
      </x:c>
      <x:c r="O429" t="n">
        <x:v>305525</x:v>
      </x:c>
    </x:row>
    <x:row r="430">
      <x:c r="A430" t="str">
        <x:v>Karnataka</x:v>
      </x:c>
      <x:c r="B430" t="str">
        <x:v>All India except Central University</x:v>
      </x:c>
      <x:c r="C430" t="str">
        <x:v>200164</x:v>
      </x:c>
      <x:c r="D430" t="str">
        <x:v>Chamrajanagar Institute of Medical Sciences, Karnataka, SY NO.124, YEDAPURA VILLAGE , KASABA HOBLI, CHAMARAJANAGARA TALUK AND DISTRICT</x:v>
      </x:c>
      <x:c r="E430" t="str">
        <x:v>All India</x:v>
      </x:c>
      <x:c r="F430" t="str">
        <x:v>EWS</x:v>
      </x:c>
      <x:c r="G430" t="n">
        <x:v>2</x:v>
      </x:c>
      <x:c r="H430" t="n">
        <x:v>2</x:v>
      </x:c>
      <x:c r="I430" t="n">
        <x:f>G430-H430</x:f>
        <x:v>0</x:v>
      </x:c>
      <x:c r="J430" s="20" t="n">
        <x:f>IFERROR(H430/G430,0)</x:f>
        <x:v>1</x:v>
      </x:c>
      <x:c r="K430" t="n">
        <x:v>18823</x:v>
      </x:c>
      <x:c r="L430" t="n">
        <x:v>18983.25</x:v>
      </x:c>
      <x:c r="M430" t="n">
        <x:v>19143.5</x:v>
      </x:c>
      <x:c r="N430" t="n">
        <x:v>19303.75</x:v>
      </x:c>
      <x:c r="O430" t="n">
        <x:v>19464</x:v>
      </x:c>
    </x:row>
    <x:row r="431">
      <x:c r="A431" t="str">
        <x:v>Karnataka</x:v>
      </x:c>
      <x:c r="B431" t="str">
        <x:v>All India except Central University</x:v>
      </x:c>
      <x:c r="C431" t="str">
        <x:v>200164</x:v>
      </x:c>
      <x:c r="D431" t="str">
        <x:v>Chamrajanagar Institute of Medical Sciences, Karnataka, SY NO.124, YEDAPURA VILLAGE , KASABA HOBLI, CHAMARAJANAGARA TALUK AND DISTRICT</x:v>
      </x:c>
      <x:c r="E431" t="str">
        <x:v>All India</x:v>
      </x:c>
      <x:c r="F431" t="str">
        <x:v>OBC</x:v>
      </x:c>
      <x:c r="G431" t="n">
        <x:v>5</x:v>
      </x:c>
      <x:c r="H431" t="n">
        <x:v>5</x:v>
      </x:c>
      <x:c r="I431" t="n">
        <x:f>G431-H431</x:f>
        <x:v>0</x:v>
      </x:c>
      <x:c r="J431" s="20" t="n">
        <x:f>IFERROR(H431/G431,0)</x:f>
        <x:v>1</x:v>
      </x:c>
      <x:c r="K431" t="n">
        <x:v>16163</x:v>
      </x:c>
      <x:c r="L431" t="n">
        <x:v>16201</x:v>
      </x:c>
      <x:c r="M431" t="n">
        <x:v>16236</x:v>
      </x:c>
      <x:c r="N431" t="n">
        <x:v>16300</x:v>
      </x:c>
      <x:c r="O431" t="n">
        <x:v>16473</x:v>
      </x:c>
    </x:row>
    <x:row r="432">
      <x:c r="A432" t="str">
        <x:v>Karnataka</x:v>
      </x:c>
      <x:c r="B432" t="str">
        <x:v>All India except Central University</x:v>
      </x:c>
      <x:c r="C432" t="str">
        <x:v>200164</x:v>
      </x:c>
      <x:c r="D432" t="str">
        <x:v>Chamrajanagar Institute of Medical Sciences, Karnataka, SY NO.124, YEDAPURA VILLAGE , KASABA HOBLI, CHAMARAJANAGARA TALUK AND DISTRICT</x:v>
      </x:c>
      <x:c r="E432" t="str">
        <x:v>All India</x:v>
      </x:c>
      <x:c r="F432" t="str">
        <x:v>OBC PwD</x:v>
      </x:c>
      <x:c r="G432" t="n">
        <x:v>1</x:v>
      </x:c>
      <x:c r="H432" t="n">
        <x:v>1</x:v>
      </x:c>
      <x:c r="I432" t="n">
        <x:f>G432-H432</x:f>
        <x:v>0</x:v>
      </x:c>
      <x:c r="J432" s="20" t="n">
        <x:f>IFERROR(H432/G432,0)</x:f>
        <x:v>1</x:v>
      </x:c>
      <x:c r="K432" t="n">
        <x:v>668854</x:v>
      </x:c>
      <x:c r="L432" t="n">
        <x:v>668854</x:v>
      </x:c>
      <x:c r="M432" t="n">
        <x:v>668854</x:v>
      </x:c>
      <x:c r="N432" t="n">
        <x:v>668854</x:v>
      </x:c>
      <x:c r="O432" t="n">
        <x:v>668854</x:v>
      </x:c>
    </x:row>
    <x:row r="433">
      <x:c r="A433" t="str">
        <x:v>Karnataka</x:v>
      </x:c>
      <x:c r="B433" t="str">
        <x:v>All India except Central University</x:v>
      </x:c>
      <x:c r="C433" t="str">
        <x:v>200164</x:v>
      </x:c>
      <x:c r="D433" t="str">
        <x:v>Chamrajanagar Institute of Medical Sciences, Karnataka, SY NO.124, YEDAPURA VILLAGE , KASABA HOBLI, CHAMARAJANAGARA TALUK AND DISTRICT</x:v>
      </x:c>
      <x:c r="E433" t="str">
        <x:v>All India</x:v>
      </x:c>
      <x:c r="F433" t="str">
        <x:v>Open</x:v>
      </x:c>
      <x:c r="G433" t="n">
        <x:v>7</x:v>
      </x:c>
      <x:c r="H433" t="n">
        <x:v>7</x:v>
      </x:c>
      <x:c r="I433" t="n">
        <x:f>G433-H433</x:f>
        <x:v>0</x:v>
      </x:c>
      <x:c r="J433" s="20" t="n">
        <x:f>IFERROR(H433/G433,0)</x:f>
        <x:v>1</x:v>
      </x:c>
      <x:c r="K433" t="n">
        <x:v>10979</x:v>
      </x:c>
      <x:c r="L433" t="n">
        <x:v>12148</x:v>
      </x:c>
      <x:c r="M433" t="n">
        <x:v>13322</x:v>
      </x:c>
      <x:c r="N433" t="n">
        <x:v>14758</x:v>
      </x:c>
      <x:c r="O433" t="n">
        <x:v>15575</x:v>
      </x:c>
    </x:row>
    <x:row r="434">
      <x:c r="A434" t="str">
        <x:v>Karnataka</x:v>
      </x:c>
      <x:c r="B434" t="str">
        <x:v>All India except Central University</x:v>
      </x:c>
      <x:c r="C434" t="str">
        <x:v>200164</x:v>
      </x:c>
      <x:c r="D434" t="str">
        <x:v>Chamrajanagar Institute of Medical Sciences, Karnataka, SY NO.124, YEDAPURA VILLAGE , KASABA HOBLI, CHAMARAJANAGARA TALUK AND DISTRICT</x:v>
      </x:c>
      <x:c r="E434" t="str">
        <x:v>All India</x:v>
      </x:c>
      <x:c r="F434" t="str">
        <x:v>Open PwD</x:v>
      </x:c>
      <x:c r="G434" t="n">
        <x:v>1</x:v>
      </x:c>
      <x:c r="H434" t="n">
        <x:v>1</x:v>
      </x:c>
      <x:c r="I434" t="n">
        <x:f>G434-H434</x:f>
        <x:v>0</x:v>
      </x:c>
      <x:c r="J434" s="20" t="n">
        <x:f>IFERROR(H434/G434,0)</x:f>
        <x:v>1</x:v>
      </x:c>
      <x:c r="K434" t="n">
        <x:v>452860</x:v>
      </x:c>
      <x:c r="L434" t="n">
        <x:v>452860</x:v>
      </x:c>
      <x:c r="M434" t="n">
        <x:v>452860</x:v>
      </x:c>
      <x:c r="N434" t="n">
        <x:v>452860</x:v>
      </x:c>
      <x:c r="O434" t="n">
        <x:v>452860</x:v>
      </x:c>
    </x:row>
    <x:row r="435">
      <x:c r="A435" t="str">
        <x:v>Karnataka</x:v>
      </x:c>
      <x:c r="B435" t="str">
        <x:v>All India except Central University</x:v>
      </x:c>
      <x:c r="C435" t="str">
        <x:v>200164</x:v>
      </x:c>
      <x:c r="D435" t="str">
        <x:v>Chamrajanagar Institute of Medical Sciences, Karnataka, SY NO.124, YEDAPURA VILLAGE , KASABA HOBLI, CHAMARAJANAGARA TALUK AND DISTRICT</x:v>
      </x:c>
      <x:c r="E435" t="str">
        <x:v>All India</x:v>
      </x:c>
      <x:c r="F435" t="str">
        <x:v>SC</x:v>
      </x:c>
      <x:c r="G435" t="n">
        <x:v>4</x:v>
      </x:c>
      <x:c r="H435" t="n">
        <x:v>4</x:v>
      </x:c>
      <x:c r="I435" t="n">
        <x:f>G435-H435</x:f>
        <x:v>0</x:v>
      </x:c>
      <x:c r="J435" s="20" t="n">
        <x:f>IFERROR(H435/G435,0)</x:f>
        <x:v>1</x:v>
      </x:c>
      <x:c r="K435" t="n">
        <x:v>65628</x:v>
      </x:c>
      <x:c r="L435" t="n">
        <x:v>73423.5</x:v>
      </x:c>
      <x:c r="M435" t="n">
        <x:v>79101.5</x:v>
      </x:c>
      <x:c r="N435" t="n">
        <x:v>82383.25</x:v>
      </x:c>
      <x:c r="O435" t="n">
        <x:v>82990</x:v>
      </x:c>
    </x:row>
    <x:row r="436">
      <x:c r="A436" t="str">
        <x:v>Karnataka</x:v>
      </x:c>
      <x:c r="B436" t="str">
        <x:v>All India except Central University</x:v>
      </x:c>
      <x:c r="C436" t="str">
        <x:v>200164</x:v>
      </x:c>
      <x:c r="D436" t="str">
        <x:v>Chamrajanagar Institute of Medical Sciences, Karnataka, SY NO.124, YEDAPURA VILLAGE , KASABA HOBLI, CHAMARAJANAGARA TALUK AND DISTRICT</x:v>
      </x:c>
      <x:c r="E436" t="str">
        <x:v>All India</x:v>
      </x:c>
      <x:c r="F436" t="str">
        <x:v>ST</x:v>
      </x:c>
      <x:c r="G436" t="n">
        <x:v>2</x:v>
      </x:c>
      <x:c r="H436" t="n">
        <x:v>2</x:v>
      </x:c>
      <x:c r="I436" t="n">
        <x:f>G436-H436</x:f>
        <x:v>0</x:v>
      </x:c>
      <x:c r="J436" s="20" t="n">
        <x:f>IFERROR(H436/G436,0)</x:f>
        <x:v>1</x:v>
      </x:c>
      <x:c r="K436" t="n">
        <x:v>85883</x:v>
      </x:c>
      <x:c r="L436" t="n">
        <x:v>86134.75</x:v>
      </x:c>
      <x:c r="M436" t="n">
        <x:v>86386.5</x:v>
      </x:c>
      <x:c r="N436" t="n">
        <x:v>86638.25</x:v>
      </x:c>
      <x:c r="O436" t="n">
        <x:v>86890</x:v>
      </x:c>
    </x:row>
    <x:row r="437">
      <x:c r="A437" t="str">
        <x:v>Chhattisgarh</x:v>
      </x:c>
      <x:c r="B437" t="str">
        <x:v>All India except Central University</x:v>
      </x:c>
      <x:c r="C437" t="str">
        <x:v>200612</x:v>
      </x:c>
      <x:c r="D437" t="str">
        <x:v>Chandulal Chandrakar Memorial Govt. Medical College, Durg, Chandulal Chandrakar Memorial Government Medical College, Kurud Road, Near Rungta College, Kachandur</x:v>
      </x:c>
      <x:c r="E437" t="str">
        <x:v>All India</x:v>
      </x:c>
      <x:c r="F437" t="str">
        <x:v>EWS</x:v>
      </x:c>
      <x:c r="G437" t="n">
        <x:v>2</x:v>
      </x:c>
      <x:c r="H437" t="n">
        <x:v>2</x:v>
      </x:c>
      <x:c r="I437" t="n">
        <x:f>G437-H437</x:f>
        <x:v>0</x:v>
      </x:c>
      <x:c r="J437" s="20" t="n">
        <x:f>IFERROR(H437/G437,0)</x:f>
        <x:v>1</x:v>
      </x:c>
      <x:c r="K437" t="n">
        <x:v>19295</x:v>
      </x:c>
      <x:c r="L437" t="n">
        <x:v>19351.75</x:v>
      </x:c>
      <x:c r="M437" t="n">
        <x:v>19408.5</x:v>
      </x:c>
      <x:c r="N437" t="n">
        <x:v>19465.25</x:v>
      </x:c>
      <x:c r="O437" t="n">
        <x:v>19522</x:v>
      </x:c>
    </x:row>
    <x:row r="438">
      <x:c r="A438" t="str">
        <x:v>Chhattisgarh</x:v>
      </x:c>
      <x:c r="B438" t="str">
        <x:v>All India except Central University</x:v>
      </x:c>
      <x:c r="C438" t="str">
        <x:v>200612</x:v>
      </x:c>
      <x:c r="D438" t="str">
        <x:v>Chandulal Chandrakar Memorial Govt. Medical College, Durg, Chandulal Chandrakar Memorial Government Medical College, Kurud Road, Near Rungta College, Kachandur</x:v>
      </x:c>
      <x:c r="E438" t="str">
        <x:v>All India</x:v>
      </x:c>
      <x:c r="F438" t="str">
        <x:v>EWS PwD</x:v>
      </x:c>
      <x:c r="G438" t="n">
        <x:v>1</x:v>
      </x:c>
      <x:c r="H438" t="n">
        <x:v>1</x:v>
      </x:c>
      <x:c r="I438" t="n">
        <x:f>G438-H438</x:f>
        <x:v>0</x:v>
      </x:c>
      <x:c r="J438" s="20" t="n">
        <x:f>IFERROR(H438/G438,0)</x:f>
        <x:v>1</x:v>
      </x:c>
      <x:c r="K438" t="n">
        <x:v>814936</x:v>
      </x:c>
      <x:c r="L438" t="n">
        <x:v>814936</x:v>
      </x:c>
      <x:c r="M438" t="n">
        <x:v>814936</x:v>
      </x:c>
      <x:c r="N438" t="n">
        <x:v>814936</x:v>
      </x:c>
      <x:c r="O438" t="n">
        <x:v>814936</x:v>
      </x:c>
    </x:row>
    <x:row r="439">
      <x:c r="A439" t="str">
        <x:v>Chhattisgarh</x:v>
      </x:c>
      <x:c r="B439" t="str">
        <x:v>All India except Central University</x:v>
      </x:c>
      <x:c r="C439" t="str">
        <x:v>200612</x:v>
      </x:c>
      <x:c r="D439" t="str">
        <x:v>Chandulal Chandrakar Memorial Govt. Medical College, Durg, Chandulal Chandrakar Memorial Government Medical College, Kurud Road, Near Rungta College, Kachandur</x:v>
      </x:c>
      <x:c r="E439" t="str">
        <x:v>All India</x:v>
      </x:c>
      <x:c r="F439" t="str">
        <x:v>OBC</x:v>
      </x:c>
      <x:c r="G439" t="n">
        <x:v>8</x:v>
      </x:c>
      <x:c r="H439" t="n">
        <x:v>8</x:v>
      </x:c>
      <x:c r="I439" t="n">
        <x:f>G439-H439</x:f>
        <x:v>0</x:v>
      </x:c>
      <x:c r="J439" s="20" t="n">
        <x:f>IFERROR(H439/G439,0)</x:f>
        <x:v>1</x:v>
      </x:c>
      <x:c r="K439" t="n">
        <x:v>16802</x:v>
      </x:c>
      <x:c r="L439" t="n">
        <x:v>16919.25</x:v>
      </x:c>
      <x:c r="M439" t="n">
        <x:v>17317</x:v>
      </x:c>
      <x:c r="N439" t="n">
        <x:v>17671.5</x:v>
      </x:c>
      <x:c r="O439" t="n">
        <x:v>17912</x:v>
      </x:c>
    </x:row>
    <x:row r="440">
      <x:c r="A440" t="str">
        <x:v>Chhattisgarh</x:v>
      </x:c>
      <x:c r="B440" t="str">
        <x:v>All India except Central University</x:v>
      </x:c>
      <x:c r="C440" t="str">
        <x:v>200612</x:v>
      </x:c>
      <x:c r="D440" t="str">
        <x:v>Chandulal Chandrakar Memorial Govt. Medical College, Durg, Chandulal Chandrakar Memorial Government Medical College, Kurud Road, Near Rungta College, Kachandur</x:v>
      </x:c>
      <x:c r="E440" t="str">
        <x:v>All India</x:v>
      </x:c>
      <x:c r="F440" t="str">
        <x:v>Open</x:v>
      </x:c>
      <x:c r="G440" t="n">
        <x:v>11</x:v>
      </x:c>
      <x:c r="H440" t="n">
        <x:v>11</x:v>
      </x:c>
      <x:c r="I440" t="n">
        <x:f>G440-H440</x:f>
        <x:v>0</x:v>
      </x:c>
      <x:c r="J440" s="20" t="n">
        <x:f>IFERROR(H440/G440,0)</x:f>
        <x:v>1</x:v>
      </x:c>
      <x:c r="K440" t="n">
        <x:v>12385</x:v>
      </x:c>
      <x:c r="L440" t="n">
        <x:v>15689.5</x:v>
      </x:c>
      <x:c r="M440" t="n">
        <x:v>15827</x:v>
      </x:c>
      <x:c r="N440" t="n">
        <x:v>16496</x:v>
      </x:c>
      <x:c r="O440" t="n">
        <x:v>16701</x:v>
      </x:c>
    </x:row>
    <x:row r="441">
      <x:c r="A441" t="str">
        <x:v>Chhattisgarh</x:v>
      </x:c>
      <x:c r="B441" t="str">
        <x:v>All India except Central University</x:v>
      </x:c>
      <x:c r="C441" t="str">
        <x:v>200612</x:v>
      </x:c>
      <x:c r="D441" t="str">
        <x:v>Chandulal Chandrakar Memorial Govt. Medical College, Durg, Chandulal Chandrakar Memorial Government Medical College, Kurud Road, Near Rungta College, Kachandur</x:v>
      </x:c>
      <x:c r="E441" t="str">
        <x:v>All India</x:v>
      </x:c>
      <x:c r="F441" t="str">
        <x:v>Open PwD</x:v>
      </x:c>
      <x:c r="G441" t="n">
        <x:v>1</x:v>
      </x:c>
      <x:c r="H441" t="n">
        <x:v>1</x:v>
      </x:c>
      <x:c r="I441" t="n">
        <x:f>G441-H441</x:f>
        <x:v>0</x:v>
      </x:c>
      <x:c r="J441" s="20" t="n">
        <x:f>IFERROR(H441/G441,0)</x:f>
        <x:v>1</x:v>
      </x:c>
      <x:c r="K441" t="n">
        <x:v>570906</x:v>
      </x:c>
      <x:c r="L441" t="n">
        <x:v>570906</x:v>
      </x:c>
      <x:c r="M441" t="n">
        <x:v>570906</x:v>
      </x:c>
      <x:c r="N441" t="n">
        <x:v>570906</x:v>
      </x:c>
      <x:c r="O441" t="n">
        <x:v>570906</x:v>
      </x:c>
    </x:row>
    <x:row r="442">
      <x:c r="A442" t="str">
        <x:v>Chhattisgarh</x:v>
      </x:c>
      <x:c r="B442" t="str">
        <x:v>All India except Central University</x:v>
      </x:c>
      <x:c r="C442" t="str">
        <x:v>200612</x:v>
      </x:c>
      <x:c r="D442" t="str">
        <x:v>Chandulal Chandrakar Memorial Govt. Medical College, Durg, Chandulal Chandrakar Memorial Government Medical College, Kurud Road, Near Rungta College, Kachandur</x:v>
      </x:c>
      <x:c r="E442" t="str">
        <x:v>All India</x:v>
      </x:c>
      <x:c r="F442" t="str">
        <x:v>SC</x:v>
      </x:c>
      <x:c r="G442" t="n">
        <x:v>5</x:v>
      </x:c>
      <x:c r="H442" t="n">
        <x:v>5</x:v>
      </x:c>
      <x:c r="I442" t="n">
        <x:f>G442-H442</x:f>
        <x:v>0</x:v>
      </x:c>
      <x:c r="J442" s="20" t="n">
        <x:f>IFERROR(H442/G442,0)</x:f>
        <x:v>1</x:v>
      </x:c>
      <x:c r="K442" t="n">
        <x:v>89193</x:v>
      </x:c>
      <x:c r="L442" t="n">
        <x:v>90171</x:v>
      </x:c>
      <x:c r="M442" t="n">
        <x:v>90693</x:v>
      </x:c>
      <x:c r="N442" t="n">
        <x:v>92774</x:v>
      </x:c>
      <x:c r="O442" t="n">
        <x:v>93081</x:v>
      </x:c>
    </x:row>
    <x:row r="443">
      <x:c r="A443" t="str">
        <x:v>Chhattisgarh</x:v>
      </x:c>
      <x:c r="B443" t="str">
        <x:v>All India except Central University</x:v>
      </x:c>
      <x:c r="C443" t="str">
        <x:v>200612</x:v>
      </x:c>
      <x:c r="D443" t="str">
        <x:v>Chandulal Chandrakar Memorial Govt. Medical College, Durg, Chandulal Chandrakar Memorial Government Medical College, Kurud Road, Near Rungta College, Kachandur</x:v>
      </x:c>
      <x:c r="E443" t="str">
        <x:v>All India</x:v>
      </x:c>
      <x:c r="F443" t="str">
        <x:v>ST</x:v>
      </x:c>
      <x:c r="G443" t="n">
        <x:v>2</x:v>
      </x:c>
      <x:c r="H443" t="n">
        <x:v>2</x:v>
      </x:c>
      <x:c r="I443" t="n">
        <x:f>G443-H443</x:f>
        <x:v>0</x:v>
      </x:c>
      <x:c r="J443" s="20" t="n">
        <x:f>IFERROR(H443/G443,0)</x:f>
        <x:v>1</x:v>
      </x:c>
      <x:c r="K443" t="n">
        <x:v>88866</x:v>
      </x:c>
      <x:c r="L443" t="n">
        <x:v>92033.5</x:v>
      </x:c>
      <x:c r="M443" t="n">
        <x:v>95201</x:v>
      </x:c>
      <x:c r="N443" t="n">
        <x:v>98368.5</x:v>
      </x:c>
      <x:c r="O443" t="n">
        <x:v>101536</x:v>
      </x:c>
    </x:row>
    <x:row r="444">
      <x:c r="A444" t="str">
        <x:v>Tamil Nadu</x:v>
      </x:c>
      <x:c r="B444" t="str">
        <x:v>All India except Central University</x:v>
      </x:c>
      <x:c r="C444" t="str">
        <x:v>200258</x:v>
      </x:c>
      <x:c r="D444" t="str">
        <x:v>Chengalpattu Medical College, Chengalpattu, GST ROAD, CHENGALPATTU-603 001 CHENGALPATTU DISTRICT</x:v>
      </x:c>
      <x:c r="E444" t="str">
        <x:v>All India</x:v>
      </x:c>
      <x:c r="F444" t="str">
        <x:v>EWS</x:v>
      </x:c>
      <x:c r="G444" t="n">
        <x:v>2</x:v>
      </x:c>
      <x:c r="H444" t="n">
        <x:v>2</x:v>
      </x:c>
      <x:c r="I444" t="n">
        <x:f>G444-H444</x:f>
        <x:v>0</x:v>
      </x:c>
      <x:c r="J444" s="20" t="n">
        <x:f>IFERROR(H444/G444,0)</x:f>
        <x:v>1</x:v>
      </x:c>
      <x:c r="K444" t="n">
        <x:v>20118</x:v>
      </x:c>
      <x:c r="L444" t="n">
        <x:v>20126.75</x:v>
      </x:c>
      <x:c r="M444" t="n">
        <x:v>20135.5</x:v>
      </x:c>
      <x:c r="N444" t="n">
        <x:v>20144.25</x:v>
      </x:c>
      <x:c r="O444" t="n">
        <x:v>20153</x:v>
      </x:c>
    </x:row>
    <x:row r="445">
      <x:c r="A445" t="str">
        <x:v>Tamil Nadu</x:v>
      </x:c>
      <x:c r="B445" t="str">
        <x:v>All India except Central University</x:v>
      </x:c>
      <x:c r="C445" t="str">
        <x:v>200258</x:v>
      </x:c>
      <x:c r="D445" t="str">
        <x:v>Chengalpattu Medical College, Chengalpattu, GST ROAD, CHENGALPATTU-603 001 CHENGALPATTU DISTRICT</x:v>
      </x:c>
      <x:c r="E445" t="str">
        <x:v>All India</x:v>
      </x:c>
      <x:c r="F445" t="str">
        <x:v>OBC</x:v>
      </x:c>
      <x:c r="G445" t="n">
        <x:v>4</x:v>
      </x:c>
      <x:c r="H445" t="n">
        <x:v>4</x:v>
      </x:c>
      <x:c r="I445" t="n">
        <x:f>G445-H445</x:f>
        <x:v>0</x:v>
      </x:c>
      <x:c r="J445" s="20" t="n">
        <x:f>IFERROR(H445/G445,0)</x:f>
        <x:v>1</x:v>
      </x:c>
      <x:c r="K445" t="n">
        <x:v>3679</x:v>
      </x:c>
      <x:c r="L445" t="n">
        <x:v>3934.75</x:v>
      </x:c>
      <x:c r="M445" t="n">
        <x:v>4072.5</x:v>
      </x:c>
      <x:c r="N445" t="n">
        <x:v>4125.25</x:v>
      </x:c>
      <x:c r="O445" t="n">
        <x:v>4126</x:v>
      </x:c>
    </x:row>
    <x:row r="446">
      <x:c r="A446" t="str">
        <x:v>Tamil Nadu</x:v>
      </x:c>
      <x:c r="B446" t="str">
        <x:v>All India except Central University</x:v>
      </x:c>
      <x:c r="C446" t="str">
        <x:v>200258</x:v>
      </x:c>
      <x:c r="D446" t="str">
        <x:v>Chengalpattu Medical College, Chengalpattu, GST ROAD, CHENGALPATTU-603 001 CHENGALPATTU DISTRICT</x:v>
      </x:c>
      <x:c r="E446" t="str">
        <x:v>All India</x:v>
      </x:c>
      <x:c r="F446" t="str">
        <x:v>Open</x:v>
      </x:c>
      <x:c r="G446" t="n">
        <x:v>5</x:v>
      </x:c>
      <x:c r="H446" t="n">
        <x:v>5</x:v>
      </x:c>
      <x:c r="I446" t="n">
        <x:f>G446-H446</x:f>
        <x:v>0</x:v>
      </x:c>
      <x:c r="J446" s="20" t="n">
        <x:f>IFERROR(H446/G446,0)</x:f>
        <x:v>1</x:v>
      </x:c>
      <x:c r="K446" t="n">
        <x:v>2231</x:v>
      </x:c>
      <x:c r="L446" t="n">
        <x:v>2897</x:v>
      </x:c>
      <x:c r="M446" t="n">
        <x:v>3281</x:v>
      </x:c>
      <x:c r="N446" t="n">
        <x:v>3409</x:v>
      </x:c>
      <x:c r="O446" t="n">
        <x:v>3585</x:v>
      </x:c>
    </x:row>
    <x:row r="447">
      <x:c r="A447" t="str">
        <x:v>Tamil Nadu</x:v>
      </x:c>
      <x:c r="B447" t="str">
        <x:v>All India except Central University</x:v>
      </x:c>
      <x:c r="C447" t="str">
        <x:v>200258</x:v>
      </x:c>
      <x:c r="D447" t="str">
        <x:v>Chengalpattu Medical College, Chengalpattu, GST ROAD, CHENGALPATTU-603 001 CHENGALPATTU DISTRICT</x:v>
      </x:c>
      <x:c r="E447" t="str">
        <x:v>All India</x:v>
      </x:c>
      <x:c r="F447" t="str">
        <x:v>Open PwD</x:v>
      </x:c>
      <x:c r="G447" t="n">
        <x:v>1</x:v>
      </x:c>
      <x:c r="H447" t="n">
        <x:v>1</x:v>
      </x:c>
      <x:c r="I447" t="n">
        <x:f>G447-H447</x:f>
        <x:v>0</x:v>
      </x:c>
      <x:c r="J447" s="20" t="n">
        <x:f>IFERROR(H447/G447,0)</x:f>
        <x:v>1</x:v>
      </x:c>
      <x:c r="K447" t="n">
        <x:v>339263</x:v>
      </x:c>
      <x:c r="L447" t="n">
        <x:v>339263</x:v>
      </x:c>
      <x:c r="M447" t="n">
        <x:v>339263</x:v>
      </x:c>
      <x:c r="N447" t="n">
        <x:v>339263</x:v>
      </x:c>
      <x:c r="O447" t="n">
        <x:v>339263</x:v>
      </x:c>
    </x:row>
    <x:row r="448">
      <x:c r="A448" t="str">
        <x:v>Tamil Nadu</x:v>
      </x:c>
      <x:c r="B448" t="str">
        <x:v>All India except Central University</x:v>
      </x:c>
      <x:c r="C448" t="str">
        <x:v>200258</x:v>
      </x:c>
      <x:c r="D448" t="str">
        <x:v>Chengalpattu Medical College, Chengalpattu, GST ROAD, CHENGALPATTU-603 001 CHENGALPATTU DISTRICT</x:v>
      </x:c>
      <x:c r="E448" t="str">
        <x:v>All India</x:v>
      </x:c>
      <x:c r="F448" t="str">
        <x:v>SC</x:v>
      </x:c>
      <x:c r="G448" t="n">
        <x:v>2</x:v>
      </x:c>
      <x:c r="H448" t="n">
        <x:v>2</x:v>
      </x:c>
      <x:c r="I448" t="n">
        <x:f>G448-H448</x:f>
        <x:v>0</x:v>
      </x:c>
      <x:c r="J448" s="20" t="n">
        <x:f>IFERROR(H448/G448,0)</x:f>
        <x:v>1</x:v>
      </x:c>
      <x:c r="K448" t="n">
        <x:v>20288</x:v>
      </x:c>
      <x:c r="L448" t="n">
        <x:v>21587.5</x:v>
      </x:c>
      <x:c r="M448" t="n">
        <x:v>22887</x:v>
      </x:c>
      <x:c r="N448" t="n">
        <x:v>24186.5</x:v>
      </x:c>
      <x:c r="O448" t="n">
        <x:v>25486</x:v>
      </x:c>
    </x:row>
    <x:row r="449">
      <x:c r="A449" t="str">
        <x:v>Tamil Nadu</x:v>
      </x:c>
      <x:c r="B449" t="str">
        <x:v>All India except Central University</x:v>
      </x:c>
      <x:c r="C449" t="str">
        <x:v>200258</x:v>
      </x:c>
      <x:c r="D449" t="str">
        <x:v>Chengalpattu Medical College, Chengalpattu, GST ROAD, CHENGALPATTU-603 001 CHENGALPATTU DISTRICT</x:v>
      </x:c>
      <x:c r="E449" t="str">
        <x:v>All India</x:v>
      </x:c>
      <x:c r="F449" t="str">
        <x:v>ST</x:v>
      </x:c>
      <x:c r="G449" t="n">
        <x:v>1</x:v>
      </x:c>
      <x:c r="H449" t="n">
        <x:v>1</x:v>
      </x:c>
      <x:c r="I449" t="n">
        <x:f>G449-H449</x:f>
        <x:v>0</x:v>
      </x:c>
      <x:c r="J449" s="20" t="n">
        <x:f>IFERROR(H449/G449,0)</x:f>
        <x:v>1</x:v>
      </x:c>
      <x:c r="K449" t="n">
        <x:v>87239</x:v>
      </x:c>
      <x:c r="L449" t="n">
        <x:v>87239</x:v>
      </x:c>
      <x:c r="M449" t="n">
        <x:v>87239</x:v>
      </x:c>
      <x:c r="N449" t="n">
        <x:v>87239</x:v>
      </x:c>
      <x:c r="O449" t="n">
        <x:v>87239</x:v>
      </x:c>
    </x:row>
    <x:row r="450">
      <x:c r="A450" t="str">
        <x:v>Tamil Nadu</x:v>
      </x:c>
      <x:c r="B450" t="str">
        <x:v>Deemed University</x:v>
      </x:c>
      <x:c r="C450" t="str">
        <x:v>200384</x:v>
      </x:c>
      <x:c r="D450" t="str">
        <x:v>Chettinad Hospital &amp; Research Institute, Kanchipuram, Rajiv Gandhi Salai, Kelambakkam, Chengalpattu District</x:v>
      </x:c>
      <x:c r="E450" t="str">
        <x:v>Self-Financed Merit</x:v>
      </x:c>
      <x:c r="F450" t="str">
        <x:v>Open</x:v>
      </x:c>
      <x:c r="G450" t="n">
        <x:v>250</x:v>
      </x:c>
      <x:c r="H450" t="n">
        <x:v>250</x:v>
      </x:c>
      <x:c r="I450" t="n">
        <x:f>G450-H450</x:f>
        <x:v>0</x:v>
      </x:c>
      <x:c r="J450" s="20" t="n">
        <x:f>IFERROR(H450/G450,0)</x:f>
        <x:v>1</x:v>
      </x:c>
      <x:c r="K450" t="n">
        <x:v>57571</x:v>
      </x:c>
      <x:c r="L450" t="n">
        <x:v>433622.5</x:v>
      </x:c>
      <x:c r="M450" t="n">
        <x:v>604103.5</x:v>
      </x:c>
      <x:c r="N450" t="n">
        <x:v>681530.75</x:v>
      </x:c>
      <x:c r="O450" t="n">
        <x:v>738420</x:v>
      </x:c>
    </x:row>
    <x:row r="451">
      <x:c r="A451" t="str">
        <x:v>Karnataka</x:v>
      </x:c>
      <x:c r="B451" t="str">
        <x:v>Deemed University</x:v>
      </x:c>
      <x:c r="C451" t="str">
        <x:v>904743</x:v>
      </x:c>
      <x:c r="D451" t="str">
        <x:v>Chettinad Institute of Medical Education and Research, D.K Plantation, BEML Nagar, Kolar Gold Fields – Kolar</x:v>
      </x:c>
      <x:c r="E451" t="str">
        <x:v>Self-Financed Merit</x:v>
      </x:c>
      <x:c r="F451" t="str">
        <x:v>Open</x:v>
      </x:c>
      <x:c r="G451" t="n">
        <x:v>100</x:v>
      </x:c>
      <x:c r="H451" t="n">
        <x:v>100</x:v>
      </x:c>
      <x:c r="I451" t="n">
        <x:f>G451-H451</x:f>
        <x:v>0</x:v>
      </x:c>
      <x:c r="J451" s="20" t="n">
        <x:f>IFERROR(H451/G451,0)</x:f>
        <x:v>1</x:v>
      </x:c>
      <x:c r="K451" t="n">
        <x:v>176063</x:v>
      </x:c>
      <x:c r="L451" t="n">
        <x:v>440210.5</x:v>
      </x:c>
      <x:c r="M451" t="n">
        <x:v>468102</x:v>
      </x:c>
      <x:c r="N451" t="n">
        <x:v>493149</x:v>
      </x:c>
      <x:c r="O451" t="n">
        <x:v>524239</x:v>
      </x:c>
    </x:row>
    <x:row r="452">
      <x:c r="A452" t="str">
        <x:v>Chhattisgarh</x:v>
      </x:c>
      <x:c r="B452" t="str">
        <x:v>All India except Central University</x:v>
      </x:c>
      <x:c r="C452" t="str">
        <x:v>200120</x:v>
      </x:c>
      <x:c r="D452" t="str">
        <x:v>Chhattisgarh Institute of Medical Sciences, Bilaspur, GOND PARA, SADAR BAZAAR BILASPUR - 495001 (CG)</x:v>
      </x:c>
      <x:c r="E452" t="str">
        <x:v>All India</x:v>
      </x:c>
      <x:c r="F452" t="str">
        <x:v>EWS</x:v>
      </x:c>
      <x:c r="G452" t="n">
        <x:v>2</x:v>
      </x:c>
      <x:c r="H452" t="n">
        <x:v>2</x:v>
      </x:c>
      <x:c r="I452" t="n">
        <x:f>G452-H452</x:f>
        <x:v>0</x:v>
      </x:c>
      <x:c r="J452" s="20" t="n">
        <x:f>IFERROR(H452/G452,0)</x:f>
        <x:v>1</x:v>
      </x:c>
      <x:c r="K452" t="n">
        <x:v>11850</x:v>
      </x:c>
      <x:c r="L452" t="n">
        <x:v>11866.75</x:v>
      </x:c>
      <x:c r="M452" t="n">
        <x:v>11883.5</x:v>
      </x:c>
      <x:c r="N452" t="n">
        <x:v>11900.25</x:v>
      </x:c>
      <x:c r="O452" t="n">
        <x:v>11917</x:v>
      </x:c>
    </x:row>
    <x:row r="453">
      <x:c r="A453" t="str">
        <x:v>Chhattisgarh</x:v>
      </x:c>
      <x:c r="B453" t="str">
        <x:v>All India except Central University</x:v>
      </x:c>
      <x:c r="C453" t="str">
        <x:v>200120</x:v>
      </x:c>
      <x:c r="D453" t="str">
        <x:v>Chhattisgarh Institute of Medical Sciences, Bilaspur, GOND PARA, SADAR BAZAAR BILASPUR - 495001 (CG)</x:v>
      </x:c>
      <x:c r="E453" t="str">
        <x:v>All India</x:v>
      </x:c>
      <x:c r="F453" t="str">
        <x:v>OBC</x:v>
      </x:c>
      <x:c r="G453" t="n">
        <x:v>5</x:v>
      </x:c>
      <x:c r="H453" t="n">
        <x:v>5</x:v>
      </x:c>
      <x:c r="I453" t="n">
        <x:f>G453-H453</x:f>
        <x:v>0</x:v>
      </x:c>
      <x:c r="J453" s="20" t="n">
        <x:f>IFERROR(H453/G453,0)</x:f>
        <x:v>1</x:v>
      </x:c>
      <x:c r="K453" t="n">
        <x:v>10282</x:v>
      </x:c>
      <x:c r="L453" t="n">
        <x:v>11109</x:v>
      </x:c>
      <x:c r="M453" t="n">
        <x:v>11167</x:v>
      </x:c>
      <x:c r="N453" t="n">
        <x:v>11388</x:v>
      </x:c>
      <x:c r="O453" t="n">
        <x:v>11711</x:v>
      </x:c>
    </x:row>
    <x:row r="454">
      <x:c r="A454" t="str">
        <x:v>Chhattisgarh</x:v>
      </x:c>
      <x:c r="B454" t="str">
        <x:v>All India except Central University</x:v>
      </x:c>
      <x:c r="C454" t="str">
        <x:v>200120</x:v>
      </x:c>
      <x:c r="D454" t="str">
        <x:v>Chhattisgarh Institute of Medical Sciences, Bilaspur, GOND PARA, SADAR BAZAAR BILASPUR - 495001 (CG)</x:v>
      </x:c>
      <x:c r="E454" t="str">
        <x:v>All India</x:v>
      </x:c>
      <x:c r="F454" t="str">
        <x:v>OBC PwD</x:v>
      </x:c>
      <x:c r="G454" t="n">
        <x:v>1</x:v>
      </x:c>
      <x:c r="H454" t="n">
        <x:v>1</x:v>
      </x:c>
      <x:c r="I454" t="n">
        <x:f>G454-H454</x:f>
        <x:v>0</x:v>
      </x:c>
      <x:c r="J454" s="20" t="n">
        <x:f>IFERROR(H454/G454,0)</x:f>
        <x:v>1</x:v>
      </x:c>
      <x:c r="K454" t="n">
        <x:v>492711</x:v>
      </x:c>
      <x:c r="L454" t="n">
        <x:v>492711</x:v>
      </x:c>
      <x:c r="M454" t="n">
        <x:v>492711</x:v>
      </x:c>
      <x:c r="N454" t="n">
        <x:v>492711</x:v>
      </x:c>
      <x:c r="O454" t="n">
        <x:v>492711</x:v>
      </x:c>
    </x:row>
    <x:row r="455">
      <x:c r="A455" t="str">
        <x:v>Chhattisgarh</x:v>
      </x:c>
      <x:c r="B455" t="str">
        <x:v>All India except Central University</x:v>
      </x:c>
      <x:c r="C455" t="str">
        <x:v>200120</x:v>
      </x:c>
      <x:c r="D455" t="str">
        <x:v>Chhattisgarh Institute of Medical Sciences, Bilaspur, GOND PARA, SADAR BAZAAR BILASPUR - 495001 (CG)</x:v>
      </x:c>
      <x:c r="E455" t="str">
        <x:v>All India</x:v>
      </x:c>
      <x:c r="F455" t="str">
        <x:v>Open</x:v>
      </x:c>
      <x:c r="G455" t="n">
        <x:v>8</x:v>
      </x:c>
      <x:c r="H455" t="n">
        <x:v>8</x:v>
      </x:c>
      <x:c r="I455" t="n">
        <x:f>G455-H455</x:f>
        <x:v>0</x:v>
      </x:c>
      <x:c r="J455" s="20" t="n">
        <x:f>IFERROR(H455/G455,0)</x:f>
        <x:v>1</x:v>
      </x:c>
      <x:c r="K455" t="n">
        <x:v>7889</x:v>
      </x:c>
      <x:c r="L455" t="n">
        <x:v>8149.75</x:v>
      </x:c>
      <x:c r="M455" t="n">
        <x:v>9189</x:v>
      </x:c>
      <x:c r="N455" t="n">
        <x:v>9640</x:v>
      </x:c>
      <x:c r="O455" t="n">
        <x:v>9771</x:v>
      </x:c>
    </x:row>
    <x:row r="456">
      <x:c r="A456" t="str">
        <x:v>Chhattisgarh</x:v>
      </x:c>
      <x:c r="B456" t="str">
        <x:v>All India except Central University</x:v>
      </x:c>
      <x:c r="C456" t="str">
        <x:v>200120</x:v>
      </x:c>
      <x:c r="D456" t="str">
        <x:v>Chhattisgarh Institute of Medical Sciences, Bilaspur, GOND PARA, SADAR BAZAAR BILASPUR - 495001 (CG)</x:v>
      </x:c>
      <x:c r="E456" t="str">
        <x:v>All India</x:v>
      </x:c>
      <x:c r="F456" t="str">
        <x:v>Open PwD</x:v>
      </x:c>
      <x:c r="G456" t="n">
        <x:v>1</x:v>
      </x:c>
      <x:c r="H456" t="n">
        <x:v>1</x:v>
      </x:c>
      <x:c r="I456" t="n">
        <x:f>G456-H456</x:f>
        <x:v>0</x:v>
      </x:c>
      <x:c r="J456" s="20" t="n">
        <x:f>IFERROR(H456/G456,0)</x:f>
        <x:v>1</x:v>
      </x:c>
      <x:c r="K456" t="n">
        <x:v>460887</x:v>
      </x:c>
      <x:c r="L456" t="n">
        <x:v>460887</x:v>
      </x:c>
      <x:c r="M456" t="n">
        <x:v>460887</x:v>
      </x:c>
      <x:c r="N456" t="n">
        <x:v>460887</x:v>
      </x:c>
      <x:c r="O456" t="n">
        <x:v>460887</x:v>
      </x:c>
    </x:row>
    <x:row r="457">
      <x:c r="A457" t="str">
        <x:v>Chhattisgarh</x:v>
      </x:c>
      <x:c r="B457" t="str">
        <x:v>All India except Central University</x:v>
      </x:c>
      <x:c r="C457" t="str">
        <x:v>200120</x:v>
      </x:c>
      <x:c r="D457" t="str">
        <x:v>Chhattisgarh Institute of Medical Sciences, Bilaspur, GOND PARA, SADAR BAZAAR BILASPUR - 495001 (CG)</x:v>
      </x:c>
      <x:c r="E457" t="str">
        <x:v>All India</x:v>
      </x:c>
      <x:c r="F457" t="str">
        <x:v>SC</x:v>
      </x:c>
      <x:c r="G457" t="n">
        <x:v>3</x:v>
      </x:c>
      <x:c r="H457" t="n">
        <x:v>3</x:v>
      </x:c>
      <x:c r="I457" t="n">
        <x:f>G457-H457</x:f>
        <x:v>0</x:v>
      </x:c>
      <x:c r="J457" s="20" t="n">
        <x:f>IFERROR(H457/G457,0)</x:f>
        <x:v>1</x:v>
      </x:c>
      <x:c r="K457" t="n">
        <x:v>47485</x:v>
      </x:c>
      <x:c r="L457" t="n">
        <x:v>49404.5</x:v>
      </x:c>
      <x:c r="M457" t="n">
        <x:v>51324</x:v>
      </x:c>
      <x:c r="N457" t="n">
        <x:v>54017</x:v>
      </x:c>
      <x:c r="O457" t="n">
        <x:v>56710</x:v>
      </x:c>
    </x:row>
    <x:row r="458">
      <x:c r="A458" t="str">
        <x:v>Chhattisgarh</x:v>
      </x:c>
      <x:c r="B458" t="str">
        <x:v>All India except Central University</x:v>
      </x:c>
      <x:c r="C458" t="str">
        <x:v>200120</x:v>
      </x:c>
      <x:c r="D458" t="str">
        <x:v>Chhattisgarh Institute of Medical Sciences, Bilaspur, GOND PARA, SADAR BAZAAR BILASPUR - 495001 (CG)</x:v>
      </x:c>
      <x:c r="E458" t="str">
        <x:v>All India</x:v>
      </x:c>
      <x:c r="F458" t="str">
        <x:v>ST</x:v>
      </x:c>
      <x:c r="G458" t="n">
        <x:v>2</x:v>
      </x:c>
      <x:c r="H458" t="n">
        <x:v>2</x:v>
      </x:c>
      <x:c r="I458" t="n">
        <x:f>G458-H458</x:f>
        <x:v>0</x:v>
      </x:c>
      <x:c r="J458" s="20" t="n">
        <x:f>IFERROR(H458/G458,0)</x:f>
        <x:v>1</x:v>
      </x:c>
      <x:c r="K458" t="n">
        <x:v>91036</x:v>
      </x:c>
      <x:c r="L458" t="n">
        <x:v>91978</x:v>
      </x:c>
      <x:c r="M458" t="n">
        <x:v>92920</x:v>
      </x:c>
      <x:c r="N458" t="n">
        <x:v>93862</x:v>
      </x:c>
      <x:c r="O458" t="n">
        <x:v>94804</x:v>
      </x:c>
    </x:row>
    <x:row r="459">
      <x:c r="A459" t="str">
        <x:v>Karnataka</x:v>
      </x:c>
      <x:c r="B459" t="str">
        <x:v>All India except Central University</x:v>
      </x:c>
      <x:c r="C459" t="str">
        <x:v>200608</x:v>
      </x:c>
      <x:c r="D459" t="str">
        <x:v>Chikkamagaluru Institute of Medical Sciences, Chikkamagaluru, Director, Chikkamagaluru Institute of Medical Sciences, Teguru, Chikkamagaluru, Karnataka-577133.</x:v>
      </x:c>
      <x:c r="E459" t="str">
        <x:v>All India</x:v>
      </x:c>
      <x:c r="F459" t="str">
        <x:v>EWS</x:v>
      </x:c>
      <x:c r="G459" t="n">
        <x:v>2</x:v>
      </x:c>
      <x:c r="H459" t="n">
        <x:v>2</x:v>
      </x:c>
      <x:c r="I459" t="n">
        <x:f>G459-H459</x:f>
        <x:v>0</x:v>
      </x:c>
      <x:c r="J459" s="20" t="n">
        <x:f>IFERROR(H459/G459,0)</x:f>
        <x:v>1</x:v>
      </x:c>
      <x:c r="K459" t="n">
        <x:v>20056</x:v>
      </x:c>
      <x:c r="L459" t="n">
        <x:v>21129.25</x:v>
      </x:c>
      <x:c r="M459" t="n">
        <x:v>22202.5</x:v>
      </x:c>
      <x:c r="N459" t="n">
        <x:v>23275.75</x:v>
      </x:c>
      <x:c r="O459" t="n">
        <x:v>24349</x:v>
      </x:c>
    </x:row>
    <x:row r="460">
      <x:c r="A460" t="str">
        <x:v>Karnataka</x:v>
      </x:c>
      <x:c r="B460" t="str">
        <x:v>All India except Central University</x:v>
      </x:c>
      <x:c r="C460" t="str">
        <x:v>200608</x:v>
      </x:c>
      <x:c r="D460" t="str">
        <x:v>Chikkamagaluru Institute of Medical Sciences, Chikkamagaluru, Director, Chikkamagaluru Institute of Medical Sciences, Teguru, Chikkamagaluru, Karnataka-577133.</x:v>
      </x:c>
      <x:c r="E460" t="str">
        <x:v>All India</x:v>
      </x:c>
      <x:c r="F460" t="str">
        <x:v>EWS PwD</x:v>
      </x:c>
      <x:c r="G460" t="n">
        <x:v>1</x:v>
      </x:c>
      <x:c r="H460" t="n">
        <x:v>1</x:v>
      </x:c>
      <x:c r="I460" t="n">
        <x:f>G460-H460</x:f>
        <x:v>0</x:v>
      </x:c>
      <x:c r="J460" s="20" t="n">
        <x:f>IFERROR(H460/G460,0)</x:f>
        <x:v>1</x:v>
      </x:c>
      <x:c r="K460" t="n">
        <x:v>792565</x:v>
      </x:c>
      <x:c r="L460" t="n">
        <x:v>792565</x:v>
      </x:c>
      <x:c r="M460" t="n">
        <x:v>792565</x:v>
      </x:c>
      <x:c r="N460" t="n">
        <x:v>792565</x:v>
      </x:c>
      <x:c r="O460" t="n">
        <x:v>792565</x:v>
      </x:c>
    </x:row>
    <x:row r="461">
      <x:c r="A461" t="str">
        <x:v>Karnataka</x:v>
      </x:c>
      <x:c r="B461" t="str">
        <x:v>All India except Central University</x:v>
      </x:c>
      <x:c r="C461" t="str">
        <x:v>200608</x:v>
      </x:c>
      <x:c r="D461" t="str">
        <x:v>Chikkamagaluru Institute of Medical Sciences, Chikkamagaluru, Director, Chikkamagaluru Institute of Medical Sciences, Teguru, Chikkamagaluru, Karnataka-577133.</x:v>
      </x:c>
      <x:c r="E461" t="str">
        <x:v>All India</x:v>
      </x:c>
      <x:c r="F461" t="str">
        <x:v>OBC</x:v>
      </x:c>
      <x:c r="G461" t="n">
        <x:v>6</x:v>
      </x:c>
      <x:c r="H461" t="n">
        <x:v>6</x:v>
      </x:c>
      <x:c r="I461" t="n">
        <x:f>G461-H461</x:f>
        <x:v>0</x:v>
      </x:c>
      <x:c r="J461" s="20" t="n">
        <x:f>IFERROR(H461/G461,0)</x:f>
        <x:v>1</x:v>
      </x:c>
      <x:c r="K461" t="n">
        <x:v>17321</x:v>
      </x:c>
      <x:c r="L461" t="n">
        <x:v>17494</x:v>
      </x:c>
      <x:c r="M461" t="n">
        <x:v>17905</x:v>
      </x:c>
      <x:c r="N461" t="n">
        <x:v>17968.75</x:v>
      </x:c>
      <x:c r="O461" t="n">
        <x:v>18222</x:v>
      </x:c>
    </x:row>
    <x:row r="462">
      <x:c r="A462" t="str">
        <x:v>Karnataka</x:v>
      </x:c>
      <x:c r="B462" t="str">
        <x:v>All India except Central University</x:v>
      </x:c>
      <x:c r="C462" t="str">
        <x:v>200608</x:v>
      </x:c>
      <x:c r="D462" t="str">
        <x:v>Chikkamagaluru Institute of Medical Sciences, Chikkamagaluru, Director, Chikkamagaluru Institute of Medical Sciences, Teguru, Chikkamagaluru, Karnataka-577133.</x:v>
      </x:c>
      <x:c r="E462" t="str">
        <x:v>All India</x:v>
      </x:c>
      <x:c r="F462" t="str">
        <x:v>Open</x:v>
      </x:c>
      <x:c r="G462" t="n">
        <x:v>9</x:v>
      </x:c>
      <x:c r="H462" t="n">
        <x:v>9</x:v>
      </x:c>
      <x:c r="I462" t="n">
        <x:f>G462-H462</x:f>
        <x:v>0</x:v>
      </x:c>
      <x:c r="J462" s="20" t="n">
        <x:f>IFERROR(H462/G462,0)</x:f>
        <x:v>1</x:v>
      </x:c>
      <x:c r="K462" t="n">
        <x:v>12802</x:v>
      </x:c>
      <x:c r="L462" t="n">
        <x:v>15273</x:v>
      </x:c>
      <x:c r="M462" t="n">
        <x:v>15834</x:v>
      </x:c>
      <x:c r="N462" t="n">
        <x:v>16025</x:v>
      </x:c>
      <x:c r="O462" t="n">
        <x:v>16971</x:v>
      </x:c>
    </x:row>
    <x:row r="463">
      <x:c r="A463" t="str">
        <x:v>Karnataka</x:v>
      </x:c>
      <x:c r="B463" t="str">
        <x:v>All India except Central University</x:v>
      </x:c>
      <x:c r="C463" t="str">
        <x:v>200608</x:v>
      </x:c>
      <x:c r="D463" t="str">
        <x:v>Chikkamagaluru Institute of Medical Sciences, Chikkamagaluru, Director, Chikkamagaluru Institute of Medical Sciences, Teguru, Chikkamagaluru, Karnataka-577133.</x:v>
      </x:c>
      <x:c r="E463" t="str">
        <x:v>All India</x:v>
      </x:c>
      <x:c r="F463" t="str">
        <x:v>SC</x:v>
      </x:c>
      <x:c r="G463" t="n">
        <x:v>3</x:v>
      </x:c>
      <x:c r="H463" t="n">
        <x:v>3</x:v>
      </x:c>
      <x:c r="I463" t="n">
        <x:f>G463-H463</x:f>
        <x:v>0</x:v>
      </x:c>
      <x:c r="J463" s="20" t="n">
        <x:f>IFERROR(H463/G463,0)</x:f>
        <x:v>1</x:v>
      </x:c>
      <x:c r="K463" t="n">
        <x:v>86020</x:v>
      </x:c>
      <x:c r="L463" t="n">
        <x:v>86421.5</x:v>
      </x:c>
      <x:c r="M463" t="n">
        <x:v>86823</x:v>
      </x:c>
      <x:c r="N463" t="n">
        <x:v>87488</x:v>
      </x:c>
      <x:c r="O463" t="n">
        <x:v>88153</x:v>
      </x:c>
    </x:row>
    <x:row r="464">
      <x:c r="A464" t="str">
        <x:v>Karnataka</x:v>
      </x:c>
      <x:c r="B464" t="str">
        <x:v>All India except Central University</x:v>
      </x:c>
      <x:c r="C464" t="str">
        <x:v>200608</x:v>
      </x:c>
      <x:c r="D464" t="str">
        <x:v>Chikkamagaluru Institute of Medical Sciences, Chikkamagaluru, Director, Chikkamagaluru Institute of Medical Sciences, Teguru, Chikkamagaluru, Karnataka-577133.</x:v>
      </x:c>
      <x:c r="E464" t="str">
        <x:v>All India</x:v>
      </x:c>
      <x:c r="F464" t="str">
        <x:v>ST</x:v>
      </x:c>
      <x:c r="G464" t="n">
        <x:v>1</x:v>
      </x:c>
      <x:c r="H464" t="n">
        <x:v>1</x:v>
      </x:c>
      <x:c r="I464" t="n">
        <x:f>G464-H464</x:f>
        <x:v>0</x:v>
      </x:c>
      <x:c r="J464" s="20" t="n">
        <x:f>IFERROR(H464/G464,0)</x:f>
        <x:v>1</x:v>
      </x:c>
      <x:c r="K464" t="n">
        <x:v>88441</x:v>
      </x:c>
      <x:c r="L464" t="n">
        <x:v>88441</x:v>
      </x:c>
      <x:c r="M464" t="n">
        <x:v>88441</x:v>
      </x:c>
      <x:c r="N464" t="n">
        <x:v>88441</x:v>
      </x:c>
      <x:c r="O464" t="n">
        <x:v>88441</x:v>
      </x:c>
    </x:row>
    <x:row r="465">
      <x:c r="A465" t="str">
        <x:v>Karnataka</x:v>
      </x:c>
      <x:c r="B465" t="str">
        <x:v>All India except Central University</x:v>
      </x:c>
      <x:c r="C465" t="str">
        <x:v>200682</x:v>
      </x:c>
      <x:c r="D465" t="str">
        <x:v>Chitradurga Medical College and Research Institute, P B Road Chitradurga</x:v>
      </x:c>
      <x:c r="E465" t="str">
        <x:v>All India</x:v>
      </x:c>
      <x:c r="F465" t="str">
        <x:v>EWS</x:v>
      </x:c>
      <x:c r="G465" t="n">
        <x:v>2</x:v>
      </x:c>
      <x:c r="H465" t="n">
        <x:v>2</x:v>
      </x:c>
      <x:c r="I465" t="n">
        <x:f>G465-H465</x:f>
        <x:v>0</x:v>
      </x:c>
      <x:c r="J465" s="20" t="n">
        <x:f>IFERROR(H465/G465,0)</x:f>
        <x:v>1</x:v>
      </x:c>
      <x:c r="K465" t="n">
        <x:v>24721</x:v>
      </x:c>
      <x:c r="L465" t="n">
        <x:v>24797</x:v>
      </x:c>
      <x:c r="M465" t="n">
        <x:v>24873</x:v>
      </x:c>
      <x:c r="N465" t="n">
        <x:v>24949</x:v>
      </x:c>
      <x:c r="O465" t="n">
        <x:v>25025</x:v>
      </x:c>
    </x:row>
    <x:row r="466">
      <x:c r="A466" t="str">
        <x:v>Karnataka</x:v>
      </x:c>
      <x:c r="B466" t="str">
        <x:v>All India except Central University</x:v>
      </x:c>
      <x:c r="C466" t="str">
        <x:v>200682</x:v>
      </x:c>
      <x:c r="D466" t="str">
        <x:v>Chitradurga Medical College and Research Institute, P B Road Chitradurga</x:v>
      </x:c>
      <x:c r="E466" t="str">
        <x:v>All India</x:v>
      </x:c>
      <x:c r="F466" t="str">
        <x:v>OBC</x:v>
      </x:c>
      <x:c r="G466" t="n">
        <x:v>6</x:v>
      </x:c>
      <x:c r="H466" t="n">
        <x:v>6</x:v>
      </x:c>
      <x:c r="I466" t="n">
        <x:f>G466-H466</x:f>
        <x:v>0</x:v>
      </x:c>
      <x:c r="J466" s="20" t="n">
        <x:f>IFERROR(H466/G466,0)</x:f>
        <x:v>1</x:v>
      </x:c>
      <x:c r="K466" t="n">
        <x:v>18442</x:v>
      </x:c>
      <x:c r="L466" t="n">
        <x:v>19175.5</x:v>
      </x:c>
      <x:c r="M466" t="n">
        <x:v>19426.5</x:v>
      </x:c>
      <x:c r="N466" t="n">
        <x:v>19577</x:v>
      </x:c>
      <x:c r="O466" t="n">
        <x:v>19639</x:v>
      </x:c>
    </x:row>
    <x:row r="467">
      <x:c r="A467" t="str">
        <x:v>Karnataka</x:v>
      </x:c>
      <x:c r="B467" t="str">
        <x:v>All India except Central University</x:v>
      </x:c>
      <x:c r="C467" t="str">
        <x:v>200682</x:v>
      </x:c>
      <x:c r="D467" t="str">
        <x:v>Chitradurga Medical College and Research Institute, P B Road Chitradurga</x:v>
      </x:c>
      <x:c r="E467" t="str">
        <x:v>All India</x:v>
      </x:c>
      <x:c r="F467" t="str">
        <x:v>Open</x:v>
      </x:c>
      <x:c r="G467" t="n">
        <x:v>9</x:v>
      </x:c>
      <x:c r="H467" t="n">
        <x:v>9</x:v>
      </x:c>
      <x:c r="I467" t="n">
        <x:f>G467-H467</x:f>
        <x:v>0</x:v>
      </x:c>
      <x:c r="J467" s="20" t="n">
        <x:f>IFERROR(H467/G467,0)</x:f>
        <x:v>1</x:v>
      </x:c>
      <x:c r="K467" t="n">
        <x:v>16750</x:v>
      </x:c>
      <x:c r="L467" t="n">
        <x:v>17358</x:v>
      </x:c>
      <x:c r="M467" t="n">
        <x:v>17823</x:v>
      </x:c>
      <x:c r="N467" t="n">
        <x:v>18002</x:v>
      </x:c>
      <x:c r="O467" t="n">
        <x:v>18095</x:v>
      </x:c>
    </x:row>
    <x:row r="468">
      <x:c r="A468" t="str">
        <x:v>Karnataka</x:v>
      </x:c>
      <x:c r="B468" t="str">
        <x:v>All India except Central University</x:v>
      </x:c>
      <x:c r="C468" t="str">
        <x:v>200682</x:v>
      </x:c>
      <x:c r="D468" t="str">
        <x:v>Chitradurga Medical College and Research Institute, P B Road Chitradurga</x:v>
      </x:c>
      <x:c r="E468" t="str">
        <x:v>All India</x:v>
      </x:c>
      <x:c r="F468" t="str">
        <x:v>Open PwD</x:v>
      </x:c>
      <x:c r="G468" t="n">
        <x:v>1</x:v>
      </x:c>
      <x:c r="H468" t="n">
        <x:v>1</x:v>
      </x:c>
      <x:c r="I468" t="n">
        <x:f>G468-H468</x:f>
        <x:v>0</x:v>
      </x:c>
      <x:c r="J468" s="20" t="n">
        <x:f>IFERROR(H468/G468,0)</x:f>
        <x:v>1</x:v>
      </x:c>
      <x:c r="K468" t="n">
        <x:v>619278</x:v>
      </x:c>
      <x:c r="L468" t="n">
        <x:v>619278</x:v>
      </x:c>
      <x:c r="M468" t="n">
        <x:v>619278</x:v>
      </x:c>
      <x:c r="N468" t="n">
        <x:v>619278</x:v>
      </x:c>
      <x:c r="O468" t="n">
        <x:v>619278</x:v>
      </x:c>
    </x:row>
    <x:row r="469">
      <x:c r="A469" t="str">
        <x:v>Karnataka</x:v>
      </x:c>
      <x:c r="B469" t="str">
        <x:v>All India except Central University</x:v>
      </x:c>
      <x:c r="C469" t="str">
        <x:v>200682</x:v>
      </x:c>
      <x:c r="D469" t="str">
        <x:v>Chitradurga Medical College and Research Institute, P B Road Chitradurga</x:v>
      </x:c>
      <x:c r="E469" t="str">
        <x:v>All India</x:v>
      </x:c>
      <x:c r="F469" t="str">
        <x:v>SC</x:v>
      </x:c>
      <x:c r="G469" t="n">
        <x:v>3</x:v>
      </x:c>
      <x:c r="H469" t="n">
        <x:v>3</x:v>
      </x:c>
      <x:c r="I469" t="n">
        <x:f>G469-H469</x:f>
        <x:v>0</x:v>
      </x:c>
      <x:c r="J469" s="20" t="n">
        <x:f>IFERROR(H469/G469,0)</x:f>
        <x:v>1</x:v>
      </x:c>
      <x:c r="K469" t="n">
        <x:v>66691</x:v>
      </x:c>
      <x:c r="L469" t="n">
        <x:v>79083</x:v>
      </x:c>
      <x:c r="M469" t="n">
        <x:v>91475</x:v>
      </x:c>
      <x:c r="N469" t="n">
        <x:v>91539</x:v>
      </x:c>
      <x:c r="O469" t="n">
        <x:v>91603</x:v>
      </x:c>
    </x:row>
    <x:row r="470">
      <x:c r="A470" t="str">
        <x:v>Karnataka</x:v>
      </x:c>
      <x:c r="B470" t="str">
        <x:v>All India except Central University</x:v>
      </x:c>
      <x:c r="C470" t="str">
        <x:v>200682</x:v>
      </x:c>
      <x:c r="D470" t="str">
        <x:v>Chitradurga Medical College and Research Institute, P B Road Chitradurga</x:v>
      </x:c>
      <x:c r="E470" t="str">
        <x:v>All India</x:v>
      </x:c>
      <x:c r="F470" t="str">
        <x:v>ST</x:v>
      </x:c>
      <x:c r="G470" t="n">
        <x:v>2</x:v>
      </x:c>
      <x:c r="H470" t="n">
        <x:v>2</x:v>
      </x:c>
      <x:c r="I470" t="n">
        <x:f>G470-H470</x:f>
        <x:v>0</x:v>
      </x:c>
      <x:c r="J470" s="20" t="n">
        <x:f>IFERROR(H470/G470,0)</x:f>
        <x:v>1</x:v>
      </x:c>
      <x:c r="K470" t="n">
        <x:v>92381</x:v>
      </x:c>
      <x:c r="L470" t="n">
        <x:v>97157.5</x:v>
      </x:c>
      <x:c r="M470" t="n">
        <x:v>101934</x:v>
      </x:c>
      <x:c r="N470" t="n">
        <x:v>106710.5</x:v>
      </x:c>
      <x:c r="O470" t="n">
        <x:v>111487</x:v>
      </x:c>
    </x:row>
    <x:row r="471">
      <x:c r="A471" t="str">
        <x:v>Tamil Nadu</x:v>
      </x:c>
      <x:c r="B471" t="str">
        <x:v>All India except Central University</x:v>
      </x:c>
      <x:c r="C471" t="str">
        <x:v>200259</x:v>
      </x:c>
      <x:c r="D471" t="str">
        <x:v>Coimbatore Medical College, Coimbatore, CIVIL AERODROME POST, AVINASHI ROAD, PEELAMEDU, COIMBATORE</x:v>
      </x:c>
      <x:c r="E471" t="str">
        <x:v>All India</x:v>
      </x:c>
      <x:c r="F471" t="str">
        <x:v>EWS</x:v>
      </x:c>
      <x:c r="G471" t="n">
        <x:v>3</x:v>
      </x:c>
      <x:c r="H471" t="n">
        <x:v>3</x:v>
      </x:c>
      <x:c r="I471" t="n">
        <x:f>G471-H471</x:f>
        <x:v>0</x:v>
      </x:c>
      <x:c r="J471" s="20" t="n">
        <x:f>IFERROR(H471/G471,0)</x:f>
        <x:v>1</x:v>
      </x:c>
      <x:c r="K471" t="n">
        <x:v>11052</x:v>
      </x:c>
      <x:c r="L471" t="n">
        <x:v>11218</x:v>
      </x:c>
      <x:c r="M471" t="n">
        <x:v>11384</x:v>
      </x:c>
      <x:c r="N471" t="n">
        <x:v>13660.5</x:v>
      </x:c>
      <x:c r="O471" t="n">
        <x:v>15937</x:v>
      </x:c>
    </x:row>
    <x:row r="472">
      <x:c r="A472" t="str">
        <x:v>Tamil Nadu</x:v>
      </x:c>
      <x:c r="B472" t="str">
        <x:v>All India except Central University</x:v>
      </x:c>
      <x:c r="C472" t="str">
        <x:v>200259</x:v>
      </x:c>
      <x:c r="D472" t="str">
        <x:v>Coimbatore Medical College, Coimbatore, CIVIL AERODROME POST, AVINASHI ROAD, PEELAMEDU, COIMBATORE</x:v>
      </x:c>
      <x:c r="E472" t="str">
        <x:v>All India</x:v>
      </x:c>
      <x:c r="F472" t="str">
        <x:v>OBC</x:v>
      </x:c>
      <x:c r="G472" t="n">
        <x:v>8</x:v>
      </x:c>
      <x:c r="H472" t="n">
        <x:v>8</x:v>
      </x:c>
      <x:c r="I472" t="n">
        <x:f>G472-H472</x:f>
        <x:v>0</x:v>
      </x:c>
      <x:c r="J472" s="20" t="n">
        <x:f>IFERROR(H472/G472,0)</x:f>
        <x:v>1</x:v>
      </x:c>
      <x:c r="K472" t="n">
        <x:v>3259</x:v>
      </x:c>
      <x:c r="L472" t="n">
        <x:v>3429.5</x:v>
      </x:c>
      <x:c r="M472" t="n">
        <x:v>3663</x:v>
      </x:c>
      <x:c r="N472" t="n">
        <x:v>3912.75</x:v>
      </x:c>
      <x:c r="O472" t="n">
        <x:v>3934</x:v>
      </x:c>
    </x:row>
    <x:row r="473">
      <x:c r="A473" t="str">
        <x:v>Tamil Nadu</x:v>
      </x:c>
      <x:c r="B473" t="str">
        <x:v>All India except Central University</x:v>
      </x:c>
      <x:c r="C473" t="str">
        <x:v>200259</x:v>
      </x:c>
      <x:c r="D473" t="str">
        <x:v>Coimbatore Medical College, Coimbatore, CIVIL AERODROME POST, AVINASHI ROAD, PEELAMEDU, COIMBATORE</x:v>
      </x:c>
      <x:c r="E473" t="str">
        <x:v>All India</x:v>
      </x:c>
      <x:c r="F473" t="str">
        <x:v>Open</x:v>
      </x:c>
      <x:c r="G473" t="n">
        <x:v>12</x:v>
      </x:c>
      <x:c r="H473" t="n">
        <x:v>12</x:v>
      </x:c>
      <x:c r="I473" t="n">
        <x:f>G473-H473</x:f>
        <x:v>0</x:v>
      </x:c>
      <x:c r="J473" s="20" t="n">
        <x:f>IFERROR(H473/G473,0)</x:f>
        <x:v>1</x:v>
      </x:c>
      <x:c r="K473" t="n">
        <x:v>522</x:v>
      </x:c>
      <x:c r="L473" t="n">
        <x:v>2203</x:v>
      </x:c>
      <x:c r="M473" t="n">
        <x:v>2439</x:v>
      </x:c>
      <x:c r="N473" t="n">
        <x:v>2821.75</x:v>
      </x:c>
      <x:c r="O473" t="n">
        <x:v>3145</x:v>
      </x:c>
    </x:row>
    <x:row r="474">
      <x:c r="A474" t="str">
        <x:v>Tamil Nadu</x:v>
      </x:c>
      <x:c r="B474" t="str">
        <x:v>All India except Central University</x:v>
      </x:c>
      <x:c r="C474" t="str">
        <x:v>200259</x:v>
      </x:c>
      <x:c r="D474" t="str">
        <x:v>Coimbatore Medical College, Coimbatore, CIVIL AERODROME POST, AVINASHI ROAD, PEELAMEDU, COIMBATORE</x:v>
      </x:c>
      <x:c r="E474" t="str">
        <x:v>All India</x:v>
      </x:c>
      <x:c r="F474" t="str">
        <x:v>SC</x:v>
      </x:c>
      <x:c r="G474" t="n">
        <x:v>5</x:v>
      </x:c>
      <x:c r="H474" t="n">
        <x:v>5</x:v>
      </x:c>
      <x:c r="I474" t="n">
        <x:f>G474-H474</x:f>
        <x:v>0</x:v>
      </x:c>
      <x:c r="J474" s="20" t="n">
        <x:f>IFERROR(H474/G474,0)</x:f>
        <x:v>1</x:v>
      </x:c>
      <x:c r="K474" t="n">
        <x:v>15524</x:v>
      </x:c>
      <x:c r="L474" t="n">
        <x:v>16441</x:v>
      </x:c>
      <x:c r="M474" t="n">
        <x:v>19799</x:v>
      </x:c>
      <x:c r="N474" t="n">
        <x:v>20161</x:v>
      </x:c>
      <x:c r="O474" t="n">
        <x:v>21253</x:v>
      </x:c>
    </x:row>
    <x:row r="475">
      <x:c r="A475" t="str">
        <x:v>Tamil Nadu</x:v>
      </x:c>
      <x:c r="B475" t="str">
        <x:v>All India except Central University</x:v>
      </x:c>
      <x:c r="C475" t="str">
        <x:v>200259</x:v>
      </x:c>
      <x:c r="D475" t="str">
        <x:v>Coimbatore Medical College, Coimbatore, CIVIL AERODROME POST, AVINASHI ROAD, PEELAMEDU, COIMBATORE</x:v>
      </x:c>
      <x:c r="E475" t="str">
        <x:v>All India</x:v>
      </x:c>
      <x:c r="F475" t="str">
        <x:v>ST</x:v>
      </x:c>
      <x:c r="G475" t="n">
        <x:v>2</x:v>
      </x:c>
      <x:c r="H475" t="n">
        <x:v>2</x:v>
      </x:c>
      <x:c r="I475" t="n">
        <x:f>G475-H475</x:f>
        <x:v>0</x:v>
      </x:c>
      <x:c r="J475" s="20" t="n">
        <x:f>IFERROR(H475/G475,0)</x:f>
        <x:v>1</x:v>
      </x:c>
      <x:c r="K475" t="n">
        <x:v>74571</x:v>
      </x:c>
      <x:c r="L475" t="n">
        <x:v>76636</x:v>
      </x:c>
      <x:c r="M475" t="n">
        <x:v>78701</x:v>
      </x:c>
      <x:c r="N475" t="n">
        <x:v>80766</x:v>
      </x:c>
      <x:c r="O475" t="n">
        <x:v>82831</x:v>
      </x:c>
    </x:row>
    <x:row r="476">
      <x:c r="A476" t="str">
        <x:v>West Bengal</x:v>
      </x:c>
      <x:c r="B476" t="str">
        <x:v>All India except Central University</x:v>
      </x:c>
      <x:c r="C476" t="str">
        <x:v>200467</x:v>
      </x:c>
      <x:c r="D476" t="str">
        <x:v>College of Medicine and JNM Hospital, Kalyani, Nadia, A Block PS- Kalyani District - Nadia,West Bengal,Pin 741235</x:v>
      </x:c>
      <x:c r="E476" t="str">
        <x:v>All India</x:v>
      </x:c>
      <x:c r="F476" t="str">
        <x:v>EWS</x:v>
      </x:c>
      <x:c r="G476" t="n">
        <x:v>3</x:v>
      </x:c>
      <x:c r="H476" t="n">
        <x:v>3</x:v>
      </x:c>
      <x:c r="I476" t="n">
        <x:f>G476-H476</x:f>
        <x:v>0</x:v>
      </x:c>
      <x:c r="J476" s="20" t="n">
        <x:f>IFERROR(H476/G476,0)</x:f>
        <x:v>1</x:v>
      </x:c>
      <x:c r="K476" t="n">
        <x:v>11267</x:v>
      </x:c>
      <x:c r="L476" t="n">
        <x:v>12873</x:v>
      </x:c>
      <x:c r="M476" t="n">
        <x:v>14479</x:v>
      </x:c>
      <x:c r="N476" t="n">
        <x:v>14542</x:v>
      </x:c>
      <x:c r="O476" t="n">
        <x:v>14605</x:v>
      </x:c>
    </x:row>
    <x:row r="477">
      <x:c r="A477" t="str">
        <x:v>West Bengal</x:v>
      </x:c>
      <x:c r="B477" t="str">
        <x:v>All India except Central University</x:v>
      </x:c>
      <x:c r="C477" t="str">
        <x:v>200467</x:v>
      </x:c>
      <x:c r="D477" t="str">
        <x:v>College of Medicine and JNM Hospital, Kalyani, Nadia, A Block PS- Kalyani District - Nadia,West Bengal,Pin 741235</x:v>
      </x:c>
      <x:c r="E477" t="str">
        <x:v>All India</x:v>
      </x:c>
      <x:c r="F477" t="str">
        <x:v>OBC</x:v>
      </x:c>
      <x:c r="G477" t="n">
        <x:v>6</x:v>
      </x:c>
      <x:c r="H477" t="n">
        <x:v>6</x:v>
      </x:c>
      <x:c r="I477" t="n">
        <x:f>G477-H477</x:f>
        <x:v>0</x:v>
      </x:c>
      <x:c r="J477" s="20" t="n">
        <x:f>IFERROR(H477/G477,0)</x:f>
        <x:v>1</x:v>
      </x:c>
      <x:c r="K477" t="n">
        <x:v>12440</x:v>
      </x:c>
      <x:c r="L477" t="n">
        <x:v>13088.25</x:v>
      </x:c>
      <x:c r="M477" t="n">
        <x:v>13518.5</x:v>
      </x:c>
      <x:c r="N477" t="n">
        <x:v>13837.75</x:v>
      </x:c>
      <x:c r="O477" t="n">
        <x:v>13951</x:v>
      </x:c>
    </x:row>
    <x:row r="478">
      <x:c r="A478" t="str">
        <x:v>West Bengal</x:v>
      </x:c>
      <x:c r="B478" t="str">
        <x:v>All India except Central University</x:v>
      </x:c>
      <x:c r="C478" t="str">
        <x:v>200467</x:v>
      </x:c>
      <x:c r="D478" t="str">
        <x:v>College of Medicine and JNM Hospital, Kalyani, Nadia, A Block PS- Kalyani District - Nadia,West Bengal,Pin 741235</x:v>
      </x:c>
      <x:c r="E478" t="str">
        <x:v>All India</x:v>
      </x:c>
      <x:c r="F478" t="str">
        <x:v>Open</x:v>
      </x:c>
      <x:c r="G478" t="n">
        <x:v>9</x:v>
      </x:c>
      <x:c r="H478" t="n">
        <x:v>9</x:v>
      </x:c>
      <x:c r="I478" t="n">
        <x:f>G478-H478</x:f>
        <x:v>0</x:v>
      </x:c>
      <x:c r="J478" s="20" t="n">
        <x:f>IFERROR(H478/G478,0)</x:f>
        <x:v>1</x:v>
      </x:c>
      <x:c r="K478" t="n">
        <x:v>8265</x:v>
      </x:c>
      <x:c r="L478" t="n">
        <x:v>8625</x:v>
      </x:c>
      <x:c r="M478" t="n">
        <x:v>9959</x:v>
      </x:c>
      <x:c r="N478" t="n">
        <x:v>10710</x:v>
      </x:c>
      <x:c r="O478" t="n">
        <x:v>10855</x:v>
      </x:c>
    </x:row>
    <x:row r="479">
      <x:c r="A479" t="str">
        <x:v>West Bengal</x:v>
      </x:c>
      <x:c r="B479" t="str">
        <x:v>All India except Central University</x:v>
      </x:c>
      <x:c r="C479" t="str">
        <x:v>200467</x:v>
      </x:c>
      <x:c r="D479" t="str">
        <x:v>College of Medicine and JNM Hospital, Kalyani, Nadia, A Block PS- Kalyani District - Nadia,West Bengal,Pin 741235</x:v>
      </x:c>
      <x:c r="E479" t="str">
        <x:v>All India</x:v>
      </x:c>
      <x:c r="F479" t="str">
        <x:v>Open PwD</x:v>
      </x:c>
      <x:c r="G479" t="n">
        <x:v>1</x:v>
      </x:c>
      <x:c r="H479" t="n">
        <x:v>1</x:v>
      </x:c>
      <x:c r="I479" t="n">
        <x:f>G479-H479</x:f>
        <x:v>0</x:v>
      </x:c>
      <x:c r="J479" s="20" t="n">
        <x:f>IFERROR(H479/G479,0)</x:f>
        <x:v>1</x:v>
      </x:c>
      <x:c r="K479" t="n">
        <x:v>311420</x:v>
      </x:c>
      <x:c r="L479" t="n">
        <x:v>311420</x:v>
      </x:c>
      <x:c r="M479" t="n">
        <x:v>311420</x:v>
      </x:c>
      <x:c r="N479" t="n">
        <x:v>311420</x:v>
      </x:c>
      <x:c r="O479" t="n">
        <x:v>311420</x:v>
      </x:c>
    </x:row>
    <x:row r="480">
      <x:c r="A480" t="str">
        <x:v>West Bengal</x:v>
      </x:c>
      <x:c r="B480" t="str">
        <x:v>All India except Central University</x:v>
      </x:c>
      <x:c r="C480" t="str">
        <x:v>200467</x:v>
      </x:c>
      <x:c r="D480" t="str">
        <x:v>College of Medicine and JNM Hospital, Kalyani, Nadia, A Block PS- Kalyani District - Nadia,West Bengal,Pin 741235</x:v>
      </x:c>
      <x:c r="E480" t="str">
        <x:v>All India</x:v>
      </x:c>
      <x:c r="F480" t="str">
        <x:v>SC</x:v>
      </x:c>
      <x:c r="G480" t="n">
        <x:v>3</x:v>
      </x:c>
      <x:c r="H480" t="n">
        <x:v>3</x:v>
      </x:c>
      <x:c r="I480" t="n">
        <x:f>G480-H480</x:f>
        <x:v>0</x:v>
      </x:c>
      <x:c r="J480" s="20" t="n">
        <x:f>IFERROR(H480/G480,0)</x:f>
        <x:v>1</x:v>
      </x:c>
      <x:c r="K480" t="n">
        <x:v>63770</x:v>
      </x:c>
      <x:c r="L480" t="n">
        <x:v>66679.5</x:v>
      </x:c>
      <x:c r="M480" t="n">
        <x:v>69589</x:v>
      </x:c>
      <x:c r="N480" t="n">
        <x:v>72104.5</x:v>
      </x:c>
      <x:c r="O480" t="n">
        <x:v>74620</x:v>
      </x:c>
    </x:row>
    <x:row r="481">
      <x:c r="A481" t="str">
        <x:v>West Bengal</x:v>
      </x:c>
      <x:c r="B481" t="str">
        <x:v>All India except Central University</x:v>
      </x:c>
      <x:c r="C481" t="str">
        <x:v>200467</x:v>
      </x:c>
      <x:c r="D481" t="str">
        <x:v>College of Medicine and JNM Hospital, Kalyani, Nadia, A Block PS- Kalyani District - Nadia,West Bengal,Pin 741235</x:v>
      </x:c>
      <x:c r="E481" t="str">
        <x:v>All India</x:v>
      </x:c>
      <x:c r="F481" t="str">
        <x:v>ST</x:v>
      </x:c>
      <x:c r="G481" t="n">
        <x:v>1</x:v>
      </x:c>
      <x:c r="H481" t="n">
        <x:v>1</x:v>
      </x:c>
      <x:c r="I481" t="n">
        <x:f>G481-H481</x:f>
        <x:v>0</x:v>
      </x:c>
      <x:c r="J481" s="20" t="n">
        <x:f>IFERROR(H481/G481,0)</x:f>
        <x:v>1</x:v>
      </x:c>
      <x:c r="K481" t="n">
        <x:v>103836</x:v>
      </x:c>
      <x:c r="L481" t="n">
        <x:v>103836</x:v>
      </x:c>
      <x:c r="M481" t="n">
        <x:v>103836</x:v>
      </x:c>
      <x:c r="N481" t="n">
        <x:v>103836</x:v>
      </x:c>
      <x:c r="O481" t="n">
        <x:v>103836</x:v>
      </x:c>
    </x:row>
    <x:row r="482">
      <x:c r="A482" t="str">
        <x:v>West Bengal</x:v>
      </x:c>
      <x:c r="B482" t="str">
        <x:v>All India except Central University</x:v>
      </x:c>
      <x:c r="C482" t="str">
        <x:v>200323</x:v>
      </x:c>
      <x:c r="D482" t="str">
        <x:v>College of Medicine and Sagore Dutta Hospital, Kolkata, 578, B.T. Road, Kamarhati, Kolkata</x:v>
      </x:c>
      <x:c r="E482" t="str">
        <x:v>All India</x:v>
      </x:c>
      <x:c r="F482" t="str">
        <x:v>EWS</x:v>
      </x:c>
      <x:c r="G482" t="n">
        <x:v>2</x:v>
      </x:c>
      <x:c r="H482" t="n">
        <x:v>2</x:v>
      </x:c>
      <x:c r="I482" t="n">
        <x:f>G482-H482</x:f>
        <x:v>0</x:v>
      </x:c>
      <x:c r="J482" s="20" t="n">
        <x:f>IFERROR(H482/G482,0)</x:f>
        <x:v>1</x:v>
      </x:c>
      <x:c r="K482" t="n">
        <x:v>10258</x:v>
      </x:c>
      <x:c r="L482" t="n">
        <x:v>10387.5</x:v>
      </x:c>
      <x:c r="M482" t="n">
        <x:v>10517</x:v>
      </x:c>
      <x:c r="N482" t="n">
        <x:v>10646.5</x:v>
      </x:c>
      <x:c r="O482" t="n">
        <x:v>10776</x:v>
      </x:c>
    </x:row>
    <x:row r="483">
      <x:c r="A483" t="str">
        <x:v>West Bengal</x:v>
      </x:c>
      <x:c r="B483" t="str">
        <x:v>All India except Central University</x:v>
      </x:c>
      <x:c r="C483" t="str">
        <x:v>200323</x:v>
      </x:c>
      <x:c r="D483" t="str">
        <x:v>College of Medicine and Sagore Dutta Hospital, Kolkata, 578, B.T. Road, Kamarhati, Kolkata</x:v>
      </x:c>
      <x:c r="E483" t="str">
        <x:v>All India</x:v>
      </x:c>
      <x:c r="F483" t="str">
        <x:v>OBC</x:v>
      </x:c>
      <x:c r="G483" t="n">
        <x:v>5</x:v>
      </x:c>
      <x:c r="H483" t="n">
        <x:v>5</x:v>
      </x:c>
      <x:c r="I483" t="n">
        <x:f>G483-H483</x:f>
        <x:v>0</x:v>
      </x:c>
      <x:c r="J483" s="20" t="n">
        <x:f>IFERROR(H483/G483,0)</x:f>
        <x:v>1</x:v>
      </x:c>
      <x:c r="K483" t="n">
        <x:v>9863</x:v>
      </x:c>
      <x:c r="L483" t="n">
        <x:v>10062</x:v>
      </x:c>
      <x:c r="M483" t="n">
        <x:v>10088</x:v>
      </x:c>
      <x:c r="N483" t="n">
        <x:v>10172</x:v>
      </x:c>
      <x:c r="O483" t="n">
        <x:v>10366</x:v>
      </x:c>
    </x:row>
    <x:row r="484">
      <x:c r="A484" t="str">
        <x:v>West Bengal</x:v>
      </x:c>
      <x:c r="B484" t="str">
        <x:v>All India except Central University</x:v>
      </x:c>
      <x:c r="C484" t="str">
        <x:v>200323</x:v>
      </x:c>
      <x:c r="D484" t="str">
        <x:v>College of Medicine and Sagore Dutta Hospital, Kolkata, 578, B.T. Road, Kamarhati, Kolkata</x:v>
      </x:c>
      <x:c r="E484" t="str">
        <x:v>All India</x:v>
      </x:c>
      <x:c r="F484" t="str">
        <x:v>OBC PwD</x:v>
      </x:c>
      <x:c r="G484" t="n">
        <x:v>1</x:v>
      </x:c>
      <x:c r="H484" t="n">
        <x:v>1</x:v>
      </x:c>
      <x:c r="I484" t="n">
        <x:f>G484-H484</x:f>
        <x:v>0</x:v>
      </x:c>
      <x:c r="J484" s="20" t="n">
        <x:f>IFERROR(H484/G484,0)</x:f>
        <x:v>1</x:v>
      </x:c>
      <x:c r="K484" t="n">
        <x:v>423795</x:v>
      </x:c>
      <x:c r="L484" t="n">
        <x:v>423795</x:v>
      </x:c>
      <x:c r="M484" t="n">
        <x:v>423795</x:v>
      </x:c>
      <x:c r="N484" t="n">
        <x:v>423795</x:v>
      </x:c>
      <x:c r="O484" t="n">
        <x:v>423795</x:v>
      </x:c>
    </x:row>
    <x:row r="485">
      <x:c r="A485" t="str">
        <x:v>West Bengal</x:v>
      </x:c>
      <x:c r="B485" t="str">
        <x:v>All India except Central University</x:v>
      </x:c>
      <x:c r="C485" t="str">
        <x:v>200323</x:v>
      </x:c>
      <x:c r="D485" t="str">
        <x:v>College of Medicine and Sagore Dutta Hospital, Kolkata, 578, B.T. Road, Kamarhati, Kolkata</x:v>
      </x:c>
      <x:c r="E485" t="str">
        <x:v>All India</x:v>
      </x:c>
      <x:c r="F485" t="str">
        <x:v>Open</x:v>
      </x:c>
      <x:c r="G485" t="n">
        <x:v>9</x:v>
      </x:c>
      <x:c r="H485" t="n">
        <x:v>9</x:v>
      </x:c>
      <x:c r="I485" t="n">
        <x:f>G485-H485</x:f>
        <x:v>0</x:v>
      </x:c>
      <x:c r="J485" s="20" t="n">
        <x:f>IFERROR(H485/G485,0)</x:f>
        <x:v>1</x:v>
      </x:c>
      <x:c r="K485" t="n">
        <x:v>6958</x:v>
      </x:c>
      <x:c r="L485" t="n">
        <x:v>7964</x:v>
      </x:c>
      <x:c r="M485" t="n">
        <x:v>8080</x:v>
      </x:c>
      <x:c r="N485" t="n">
        <x:v>8348</x:v>
      </x:c>
      <x:c r="O485" t="n">
        <x:v>8626</x:v>
      </x:c>
    </x:row>
    <x:row r="486">
      <x:c r="A486" t="str">
        <x:v>West Bengal</x:v>
      </x:c>
      <x:c r="B486" t="str">
        <x:v>All India except Central University</x:v>
      </x:c>
      <x:c r="C486" t="str">
        <x:v>200323</x:v>
      </x:c>
      <x:c r="D486" t="str">
        <x:v>College of Medicine and Sagore Dutta Hospital, Kolkata, 578, B.T. Road, Kamarhati, Kolkata</x:v>
      </x:c>
      <x:c r="E486" t="str">
        <x:v>All India</x:v>
      </x:c>
      <x:c r="F486" t="str">
        <x:v>SC</x:v>
      </x:c>
      <x:c r="G486" t="n">
        <x:v>3</x:v>
      </x:c>
      <x:c r="H486" t="n">
        <x:v>3</x:v>
      </x:c>
      <x:c r="I486" t="n">
        <x:f>G486-H486</x:f>
        <x:v>0</x:v>
      </x:c>
      <x:c r="J486" s="20" t="n">
        <x:f>IFERROR(H486/G486,0)</x:f>
        <x:v>1</x:v>
      </x:c>
      <x:c r="K486" t="n">
        <x:v>49945</x:v>
      </x:c>
      <x:c r="L486" t="n">
        <x:v>52048</x:v>
      </x:c>
      <x:c r="M486" t="n">
        <x:v>54151</x:v>
      </x:c>
      <x:c r="N486" t="n">
        <x:v>59275.5</x:v>
      </x:c>
      <x:c r="O486" t="n">
        <x:v>64400</x:v>
      </x:c>
    </x:row>
    <x:row r="487">
      <x:c r="A487" t="str">
        <x:v>West Bengal</x:v>
      </x:c>
      <x:c r="B487" t="str">
        <x:v>All India except Central University</x:v>
      </x:c>
      <x:c r="C487" t="str">
        <x:v>200323</x:v>
      </x:c>
      <x:c r="D487" t="str">
        <x:v>College of Medicine and Sagore Dutta Hospital, Kolkata, 578, B.T. Road, Kamarhati, Kolkata</x:v>
      </x:c>
      <x:c r="E487" t="str">
        <x:v>All India</x:v>
      </x:c>
      <x:c r="F487" t="str">
        <x:v>SC PwD</x:v>
      </x:c>
      <x:c r="G487" t="n">
        <x:v>1</x:v>
      </x:c>
      <x:c r="H487" t="n">
        <x:v>1</x:v>
      </x:c>
      <x:c r="I487" t="n">
        <x:f>G487-H487</x:f>
        <x:v>0</x:v>
      </x:c>
      <x:c r="J487" s="20" t="n">
        <x:f>IFERROR(H487/G487,0)</x:f>
        <x:v>1</x:v>
      </x:c>
      <x:c r="K487" t="n">
        <x:v>509726</x:v>
      </x:c>
      <x:c r="L487" t="n">
        <x:v>509726</x:v>
      </x:c>
      <x:c r="M487" t="n">
        <x:v>509726</x:v>
      </x:c>
      <x:c r="N487" t="n">
        <x:v>509726</x:v>
      </x:c>
      <x:c r="O487" t="n">
        <x:v>509726</x:v>
      </x:c>
    </x:row>
    <x:row r="488">
      <x:c r="A488" t="str">
        <x:v>West Bengal</x:v>
      </x:c>
      <x:c r="B488" t="str">
        <x:v>All India except Central University</x:v>
      </x:c>
      <x:c r="C488" t="str">
        <x:v>200323</x:v>
      </x:c>
      <x:c r="D488" t="str">
        <x:v>College of Medicine and Sagore Dutta Hospital, Kolkata, 578, B.T. Road, Kamarhati, Kolkata</x:v>
      </x:c>
      <x:c r="E488" t="str">
        <x:v>All India</x:v>
      </x:c>
      <x:c r="F488" t="str">
        <x:v>ST</x:v>
      </x:c>
      <x:c r="G488" t="n">
        <x:v>1</x:v>
      </x:c>
      <x:c r="H488" t="n">
        <x:v>1</x:v>
      </x:c>
      <x:c r="I488" t="n">
        <x:f>G488-H488</x:f>
        <x:v>0</x:v>
      </x:c>
      <x:c r="J488" s="20" t="n">
        <x:f>IFERROR(H488/G488,0)</x:f>
        <x:v>1</x:v>
      </x:c>
      <x:c r="K488" t="n">
        <x:v>87101</x:v>
      </x:c>
      <x:c r="L488" t="n">
        <x:v>87101</x:v>
      </x:c>
      <x:c r="M488" t="n">
        <x:v>87101</x:v>
      </x:c>
      <x:c r="N488" t="n">
        <x:v>87101</x:v>
      </x:c>
      <x:c r="O488" t="n">
        <x:v>87101</x:v>
      </x:c>
    </x:row>
    <x:row r="489">
      <x:c r="A489" t="str">
        <x:v>West Bengal</x:v>
      </x:c>
      <x:c r="B489" t="str">
        <x:v>All India except Central University</x:v>
      </x:c>
      <x:c r="C489" t="str">
        <x:v>200323</x:v>
      </x:c>
      <x:c r="D489" t="str">
        <x:v>College of Medicine and Sagore Dutta Hospital, Kolkata, 578, B.T. Road, Kamarhati, Kolkata</x:v>
      </x:c>
      <x:c r="E489" t="str">
        <x:v>All India</x:v>
      </x:c>
      <x:c r="F489" t="str">
        <x:v>ST PwD</x:v>
      </x:c>
      <x:c r="G489" t="n">
        <x:v>1</x:v>
      </x:c>
      <x:c r="H489" t="n">
        <x:v>0</x:v>
      </x:c>
      <x:c r="I489" t="n">
        <x:f>G489-H489</x:f>
        <x:v>1</x:v>
      </x:c>
      <x:c r="J489" s="20" t="n">
        <x:f>IFERROR(H489/G489,0)</x:f>
        <x:v>0</x:v>
      </x:c>
      <x:c r="K489"/>
      <x:c r="L489"/>
      <x:c r="M489"/>
      <x:c r="N489"/>
      <x:c r="O489"/>
    </x:row>
    <x:row r="490">
      <x:c r="A490" t="str">
        <x:v>West Bengal</x:v>
      </x:c>
      <x:c r="B490" t="str">
        <x:v>All India except Central University</x:v>
      </x:c>
      <x:c r="C490" t="str">
        <x:v>200466</x:v>
      </x:c>
      <x:c r="D490" t="str">
        <x:v>Coochbehar Government Medical College &amp; Hospital, Coochbehar, WB, Vivekananda Street, Pilkhana, Beside Panchanan Barma University, Coochbehar</x:v>
      </x:c>
      <x:c r="E490" t="str">
        <x:v>All India</x:v>
      </x:c>
      <x:c r="F490" t="str">
        <x:v>EWS</x:v>
      </x:c>
      <x:c r="G490" t="n">
        <x:v>2</x:v>
      </x:c>
      <x:c r="H490" t="n">
        <x:v>2</x:v>
      </x:c>
      <x:c r="I490" t="n">
        <x:f>G490-H490</x:f>
        <x:v>0</x:v>
      </x:c>
      <x:c r="J490" s="20" t="n">
        <x:f>IFERROR(H490/G490,0)</x:f>
        <x:v>1</x:v>
      </x:c>
      <x:c r="K490" t="n">
        <x:v>18963</x:v>
      </x:c>
      <x:c r="L490" t="n">
        <x:v>19529.5</x:v>
      </x:c>
      <x:c r="M490" t="n">
        <x:v>20096</x:v>
      </x:c>
      <x:c r="N490" t="n">
        <x:v>20662.5</x:v>
      </x:c>
      <x:c r="O490" t="n">
        <x:v>21229</x:v>
      </x:c>
    </x:row>
    <x:row r="491">
      <x:c r="A491" t="str">
        <x:v>West Bengal</x:v>
      </x:c>
      <x:c r="B491" t="str">
        <x:v>All India except Central University</x:v>
      </x:c>
      <x:c r="C491" t="str">
        <x:v>200466</x:v>
      </x:c>
      <x:c r="D491" t="str">
        <x:v>Coochbehar Government Medical College &amp; Hospital, Coochbehar, WB, Vivekananda Street, Pilkhana, Beside Panchanan Barma University, Coochbehar</x:v>
      </x:c>
      <x:c r="E491" t="str">
        <x:v>All India</x:v>
      </x:c>
      <x:c r="F491" t="str">
        <x:v>OBC</x:v>
      </x:c>
      <x:c r="G491" t="n">
        <x:v>7</x:v>
      </x:c>
      <x:c r="H491" t="n">
        <x:v>7</x:v>
      </x:c>
      <x:c r="I491" t="n">
        <x:f>G491-H491</x:f>
        <x:v>0</x:v>
      </x:c>
      <x:c r="J491" s="20" t="n">
        <x:f>IFERROR(H491/G491,0)</x:f>
        <x:v>1</x:v>
      </x:c>
      <x:c r="K491" t="n">
        <x:v>18867</x:v>
      </x:c>
      <x:c r="L491" t="n">
        <x:v>19257.5</x:v>
      </x:c>
      <x:c r="M491" t="n">
        <x:v>19412</x:v>
      </x:c>
      <x:c r="N491" t="n">
        <x:v>19701.5</x:v>
      </x:c>
      <x:c r="O491" t="n">
        <x:v>19912</x:v>
      </x:c>
    </x:row>
    <x:row r="492">
      <x:c r="A492" t="str">
        <x:v>West Bengal</x:v>
      </x:c>
      <x:c r="B492" t="str">
        <x:v>All India except Central University</x:v>
      </x:c>
      <x:c r="C492" t="str">
        <x:v>200466</x:v>
      </x:c>
      <x:c r="D492" t="str">
        <x:v>Coochbehar Government Medical College &amp; Hospital, Coochbehar, WB, Vivekananda Street, Pilkhana, Beside Panchanan Barma University, Coochbehar</x:v>
      </x:c>
      <x:c r="E492" t="str">
        <x:v>All India</x:v>
      </x:c>
      <x:c r="F492" t="str">
        <x:v>Open</x:v>
      </x:c>
      <x:c r="G492" t="n">
        <x:v>9</x:v>
      </x:c>
      <x:c r="H492" t="n">
        <x:v>9</x:v>
      </x:c>
      <x:c r="I492" t="n">
        <x:f>G492-H492</x:f>
        <x:v>0</x:v>
      </x:c>
      <x:c r="J492" s="20" t="n">
        <x:f>IFERROR(H492/G492,0)</x:f>
        <x:v>1</x:v>
      </x:c>
      <x:c r="K492" t="n">
        <x:v>15884</x:v>
      </x:c>
      <x:c r="L492" t="n">
        <x:v>16486</x:v>
      </x:c>
      <x:c r="M492" t="n">
        <x:v>17693</x:v>
      </x:c>
      <x:c r="N492" t="n">
        <x:v>18016</x:v>
      </x:c>
      <x:c r="O492" t="n">
        <x:v>18694</x:v>
      </x:c>
    </x:row>
    <x:row r="493">
      <x:c r="A493" t="str">
        <x:v>West Bengal</x:v>
      </x:c>
      <x:c r="B493" t="str">
        <x:v>All India except Central University</x:v>
      </x:c>
      <x:c r="C493" t="str">
        <x:v>200466</x:v>
      </x:c>
      <x:c r="D493" t="str">
        <x:v>Coochbehar Government Medical College &amp; Hospital, Coochbehar, WB, Vivekananda Street, Pilkhana, Beside Panchanan Barma University, Coochbehar</x:v>
      </x:c>
      <x:c r="E493" t="str">
        <x:v>All India</x:v>
      </x:c>
      <x:c r="F493" t="str">
        <x:v>SC</x:v>
      </x:c>
      <x:c r="G493" t="n">
        <x:v>3</x:v>
      </x:c>
      <x:c r="H493" t="n">
        <x:v>3</x:v>
      </x:c>
      <x:c r="I493" t="n">
        <x:f>G493-H493</x:f>
        <x:v>0</x:v>
      </x:c>
      <x:c r="J493" s="20" t="n">
        <x:f>IFERROR(H493/G493,0)</x:f>
        <x:v>1</x:v>
      </x:c>
      <x:c r="K493" t="n">
        <x:v>84894</x:v>
      </x:c>
      <x:c r="L493" t="n">
        <x:v>87019</x:v>
      </x:c>
      <x:c r="M493" t="n">
        <x:v>89144</x:v>
      </x:c>
      <x:c r="N493" t="n">
        <x:v>91046</x:v>
      </x:c>
      <x:c r="O493" t="n">
        <x:v>92948</x:v>
      </x:c>
    </x:row>
    <x:row r="494">
      <x:c r="A494" t="str">
        <x:v>West Bengal</x:v>
      </x:c>
      <x:c r="B494" t="str">
        <x:v>All India except Central University</x:v>
      </x:c>
      <x:c r="C494" t="str">
        <x:v>200466</x:v>
      </x:c>
      <x:c r="D494" t="str">
        <x:v>Coochbehar Government Medical College &amp; Hospital, Coochbehar, WB, Vivekananda Street, Pilkhana, Beside Panchanan Barma University, Coochbehar</x:v>
      </x:c>
      <x:c r="E494" t="str">
        <x:v>All India</x:v>
      </x:c>
      <x:c r="F494" t="str">
        <x:v>ST</x:v>
      </x:c>
      <x:c r="G494" t="n">
        <x:v>2</x:v>
      </x:c>
      <x:c r="H494" t="n">
        <x:v>2</x:v>
      </x:c>
      <x:c r="I494" t="n">
        <x:f>G494-H494</x:f>
        <x:v>0</x:v>
      </x:c>
      <x:c r="J494" s="20" t="n">
        <x:f>IFERROR(H494/G494,0)</x:f>
        <x:v>1</x:v>
      </x:c>
      <x:c r="K494" t="n">
        <x:v>111572</x:v>
      </x:c>
      <x:c r="L494" t="n">
        <x:v>113188.5</x:v>
      </x:c>
      <x:c r="M494" t="n">
        <x:v>114805</x:v>
      </x:c>
      <x:c r="N494" t="n">
        <x:v>116421.5</x:v>
      </x:c>
      <x:c r="O494" t="n">
        <x:v>118038</x:v>
      </x:c>
    </x:row>
    <x:row r="495">
      <x:c r="A495" t="str">
        <x:v>Maharashtra</x:v>
      </x:c>
      <x:c r="B495" t="str">
        <x:v>Deemed University</x:v>
      </x:c>
      <x:c r="C495" t="str">
        <x:v>904369</x:v>
      </x:c>
      <x:c r="D495" t="str">
        <x:v>DY Patil University, School of Medicine, Survey no 124&amp;126, MIDC Road , Ambi, Taluka Maval, Dist Pune</x:v>
      </x:c>
      <x:c r="E495" t="str">
        <x:v>NRI</x:v>
      </x:c>
      <x:c r="F495" t="str">
        <x:v>Open</x:v>
      </x:c>
      <x:c r="G495" t="n">
        <x:v>15</x:v>
      </x:c>
      <x:c r="H495" t="n">
        <x:v>1</x:v>
      </x:c>
      <x:c r="I495" t="n">
        <x:f>G495-H495</x:f>
        <x:v>14</x:v>
      </x:c>
      <x:c r="J495" s="20" t="n">
        <x:f>IFERROR(H495/G495,0)</x:f>
        <x:v>0.06666666666666667</x:v>
      </x:c>
      <x:c r="K495" t="n">
        <x:v>511934</x:v>
      </x:c>
      <x:c r="L495" t="n">
        <x:v>511934</x:v>
      </x:c>
      <x:c r="M495" t="n">
        <x:v>511934</x:v>
      </x:c>
      <x:c r="N495" t="n">
        <x:v>511934</x:v>
      </x:c>
      <x:c r="O495" t="n">
        <x:v>511934</x:v>
      </x:c>
    </x:row>
    <x:row r="496">
      <x:c r="A496" t="str">
        <x:v>Maharashtra</x:v>
      </x:c>
      <x:c r="B496" t="str">
        <x:v>Deemed University</x:v>
      </x:c>
      <x:c r="C496" t="str">
        <x:v>904369</x:v>
      </x:c>
      <x:c r="D496" t="str">
        <x:v>DY Patil University, School of Medicine, Survey no 124&amp;126, MIDC Road , Ambi, Taluka Maval, Dist Pune</x:v>
      </x:c>
      <x:c r="E496" t="str">
        <x:v>Self-Financed Merit</x:v>
      </x:c>
      <x:c r="F496" t="str">
        <x:v>Open</x:v>
      </x:c>
      <x:c r="G496" t="n">
        <x:v>85</x:v>
      </x:c>
      <x:c r="H496" t="n">
        <x:v>85</x:v>
      </x:c>
      <x:c r="I496" t="n">
        <x:f>G496-H496</x:f>
        <x:v>0</x:v>
      </x:c>
      <x:c r="J496" s="20" t="n">
        <x:f>IFERROR(H496/G496,0)</x:f>
        <x:v>1</x:v>
      </x:c>
      <x:c r="K496" t="n">
        <x:v>68222</x:v>
      </x:c>
      <x:c r="L496" t="n">
        <x:v>442800</x:v>
      </x:c>
      <x:c r="M496" t="n">
        <x:v>508068</x:v>
      </x:c>
      <x:c r="N496" t="n">
        <x:v>535126</x:v>
      </x:c>
      <x:c r="O496" t="n">
        <x:v>559501</x:v>
      </x:c>
    </x:row>
    <x:row r="497">
      <x:c r="A497" t="str">
        <x:v>Bihar</x:v>
      </x:c>
      <x:c r="B497" t="str">
        <x:v>All India except Central University</x:v>
      </x:c>
      <x:c r="C497" t="str">
        <x:v>200110</x:v>
      </x:c>
      <x:c r="D497" t="str">
        <x:v>Darbhanga Medical College, Lehriasarai, Sheetal Prasad Marg, Laheriasarai, Darbhanga</x:v>
      </x:c>
      <x:c r="E497" t="str">
        <x:v>All India</x:v>
      </x:c>
      <x:c r="F497" t="str">
        <x:v>EWS</x:v>
      </x:c>
      <x:c r="G497" t="n">
        <x:v>2</x:v>
      </x:c>
      <x:c r="H497" t="n">
        <x:v>2</x:v>
      </x:c>
      <x:c r="I497" t="n">
        <x:f>G497-H497</x:f>
        <x:v>0</x:v>
      </x:c>
      <x:c r="J497" s="20" t="n">
        <x:f>IFERROR(H497/G497,0)</x:f>
        <x:v>1</x:v>
      </x:c>
      <x:c r="K497" t="n">
        <x:v>7927</x:v>
      </x:c>
      <x:c r="L497" t="n">
        <x:v>8390</x:v>
      </x:c>
      <x:c r="M497" t="n">
        <x:v>8853</x:v>
      </x:c>
      <x:c r="N497" t="n">
        <x:v>9316</x:v>
      </x:c>
      <x:c r="O497" t="n">
        <x:v>9779</x:v>
      </x:c>
    </x:row>
    <x:row r="498">
      <x:c r="A498" t="str">
        <x:v>Bihar</x:v>
      </x:c>
      <x:c r="B498" t="str">
        <x:v>All India except Central University</x:v>
      </x:c>
      <x:c r="C498" t="str">
        <x:v>200110</x:v>
      </x:c>
      <x:c r="D498" t="str">
        <x:v>Darbhanga Medical College, Lehriasarai, Sheetal Prasad Marg, Laheriasarai, Darbhanga</x:v>
      </x:c>
      <x:c r="E498" t="str">
        <x:v>All India</x:v>
      </x:c>
      <x:c r="F498" t="str">
        <x:v>OBC</x:v>
      </x:c>
      <x:c r="G498" t="n">
        <x:v>7</x:v>
      </x:c>
      <x:c r="H498" t="n">
        <x:v>7</x:v>
      </x:c>
      <x:c r="I498" t="n">
        <x:f>G498-H498</x:f>
        <x:v>0</x:v>
      </x:c>
      <x:c r="J498" s="20" t="n">
        <x:f>IFERROR(H498/G498,0)</x:f>
        <x:v>1</x:v>
      </x:c>
      <x:c r="K498" t="n">
        <x:v>8457</x:v>
      </x:c>
      <x:c r="L498" t="n">
        <x:v>8536</x:v>
      </x:c>
      <x:c r="M498" t="n">
        <x:v>8682</x:v>
      </x:c>
      <x:c r="N498" t="n">
        <x:v>9018.5</x:v>
      </x:c>
      <x:c r="O498" t="n">
        <x:v>9259</x:v>
      </x:c>
    </x:row>
    <x:row r="499">
      <x:c r="A499" t="str">
        <x:v>Bihar</x:v>
      </x:c>
      <x:c r="B499" t="str">
        <x:v>All India except Central University</x:v>
      </x:c>
      <x:c r="C499" t="str">
        <x:v>200110</x:v>
      </x:c>
      <x:c r="D499" t="str">
        <x:v>Darbhanga Medical College, Lehriasarai, Sheetal Prasad Marg, Laheriasarai, Darbhanga</x:v>
      </x:c>
      <x:c r="E499" t="str">
        <x:v>All India</x:v>
      </x:c>
      <x:c r="F499" t="str">
        <x:v>Open</x:v>
      </x:c>
      <x:c r="G499" t="n">
        <x:v>10</x:v>
      </x:c>
      <x:c r="H499" t="n">
        <x:v>10</x:v>
      </x:c>
      <x:c r="I499" t="n">
        <x:f>G499-H499</x:f>
        <x:v>0</x:v>
      </x:c>
      <x:c r="J499" s="20" t="n">
        <x:f>IFERROR(H499/G499,0)</x:f>
        <x:v>1</x:v>
      </x:c>
      <x:c r="K499" t="n">
        <x:v>6869</x:v>
      </x:c>
      <x:c r="L499" t="n">
        <x:v>7465</x:v>
      </x:c>
      <x:c r="M499" t="n">
        <x:v>7626</x:v>
      </x:c>
      <x:c r="N499" t="n">
        <x:v>7682.25</x:v>
      </x:c>
      <x:c r="O499" t="n">
        <x:v>7915</x:v>
      </x:c>
    </x:row>
    <x:row r="500">
      <x:c r="A500" t="str">
        <x:v>Bihar</x:v>
      </x:c>
      <x:c r="B500" t="str">
        <x:v>All India except Central University</x:v>
      </x:c>
      <x:c r="C500" t="str">
        <x:v>200110</x:v>
      </x:c>
      <x:c r="D500" t="str">
        <x:v>Darbhanga Medical College, Lehriasarai, Sheetal Prasad Marg, Laheriasarai, Darbhanga</x:v>
      </x:c>
      <x:c r="E500" t="str">
        <x:v>All India</x:v>
      </x:c>
      <x:c r="F500" t="str">
        <x:v>SC</x:v>
      </x:c>
      <x:c r="G500" t="n">
        <x:v>3</x:v>
      </x:c>
      <x:c r="H500" t="n">
        <x:v>3</x:v>
      </x:c>
      <x:c r="I500" t="n">
        <x:f>G500-H500</x:f>
        <x:v>0</x:v>
      </x:c>
      <x:c r="J500" s="20" t="n">
        <x:f>IFERROR(H500/G500,0)</x:f>
        <x:v>1</x:v>
      </x:c>
      <x:c r="K500" t="n">
        <x:v>55072</x:v>
      </x:c>
      <x:c r="L500" t="n">
        <x:v>56659.5</x:v>
      </x:c>
      <x:c r="M500" t="n">
        <x:v>58247</x:v>
      </x:c>
      <x:c r="N500" t="n">
        <x:v>59063</x:v>
      </x:c>
      <x:c r="O500" t="n">
        <x:v>59879</x:v>
      </x:c>
    </x:row>
    <x:row r="501">
      <x:c r="A501" t="str">
        <x:v>Bihar</x:v>
      </x:c>
      <x:c r="B501" t="str">
        <x:v>All India except Central University</x:v>
      </x:c>
      <x:c r="C501" t="str">
        <x:v>200110</x:v>
      </x:c>
      <x:c r="D501" t="str">
        <x:v>Darbhanga Medical College, Lehriasarai, Sheetal Prasad Marg, Laheriasarai, Darbhanga</x:v>
      </x:c>
      <x:c r="E501" t="str">
        <x:v>All India</x:v>
      </x:c>
      <x:c r="F501" t="str">
        <x:v>ST</x:v>
      </x:c>
      <x:c r="G501" t="n">
        <x:v>1</x:v>
      </x:c>
      <x:c r="H501" t="n">
        <x:v>1</x:v>
      </x:c>
      <x:c r="I501" t="n">
        <x:f>G501-H501</x:f>
        <x:v>0</x:v>
      </x:c>
      <x:c r="J501" s="20" t="n">
        <x:f>IFERROR(H501/G501,0)</x:f>
        <x:v>1</x:v>
      </x:c>
      <x:c r="K501" t="n">
        <x:v>77956</x:v>
      </x:c>
      <x:c r="L501" t="n">
        <x:v>77956</x:v>
      </x:c>
      <x:c r="M501" t="n">
        <x:v>77956</x:v>
      </x:c>
      <x:c r="N501" t="n">
        <x:v>77956</x:v>
      </x:c>
      <x:c r="O501" t="n">
        <x:v>77956</x:v>
      </x:c>
    </x:row>
    <x:row r="502">
      <x:c r="A502" t="str">
        <x:v>Maharashtra</x:v>
      </x:c>
      <x:c r="B502" t="str">
        <x:v>Deemed University</x:v>
      </x:c>
      <x:c r="C502" t="str">
        <x:v>200525</x:v>
      </x:c>
      <x:c r="D502" t="str">
        <x:v>Datta Meghe Medical College, Nagpur, Hingna Road Wanadongri Nagpur Maharashtra India</x:v>
      </x:c>
      <x:c r="E502" t="str">
        <x:v>NRI</x:v>
      </x:c>
      <x:c r="F502" t="str">
        <x:v>Open</x:v>
      </x:c>
      <x:c r="G502" t="n">
        <x:v>37</x:v>
      </x:c>
      <x:c r="H502" t="n">
        <x:v>0</x:v>
      </x:c>
      <x:c r="I502" t="n">
        <x:f>G502-H502</x:f>
        <x:v>37</x:v>
      </x:c>
      <x:c r="J502" s="20" t="n">
        <x:f>IFERROR(H502/G502,0)</x:f>
        <x:v>0</x:v>
      </x:c>
      <x:c r="K502"/>
      <x:c r="L502"/>
      <x:c r="M502"/>
      <x:c r="N502"/>
      <x:c r="O502"/>
    </x:row>
    <x:row r="503">
      <x:c r="A503" t="str">
        <x:v>Maharashtra</x:v>
      </x:c>
      <x:c r="B503" t="str">
        <x:v>Deemed University</x:v>
      </x:c>
      <x:c r="C503" t="str">
        <x:v>200525</x:v>
      </x:c>
      <x:c r="D503" t="str">
        <x:v>Datta Meghe Medical College, Nagpur, Hingna Road Wanadongri Nagpur Maharashtra India</x:v>
      </x:c>
      <x:c r="E503" t="str">
        <x:v>Self-Financed Merit</x:v>
      </x:c>
      <x:c r="F503" t="str">
        <x:v>Open</x:v>
      </x:c>
      <x:c r="G503" t="n">
        <x:v>213</x:v>
      </x:c>
      <x:c r="H503" t="n">
        <x:v>213</x:v>
      </x:c>
      <x:c r="I503" t="n">
        <x:f>G503-H503</x:f>
        <x:v>0</x:v>
      </x:c>
      <x:c r="J503" s="20" t="n">
        <x:f>IFERROR(H503/G503,0)</x:f>
        <x:v>1</x:v>
      </x:c>
      <x:c r="K503" t="n">
        <x:v>60199</x:v>
      </x:c>
      <x:c r="L503" t="n">
        <x:v>440530</x:v>
      </x:c>
      <x:c r="M503" t="n">
        <x:v>574993</x:v>
      </x:c>
      <x:c r="N503" t="n">
        <x:v>619720</x:v>
      </x:c>
      <x:c r="O503" t="n">
        <x:v>648817</x:v>
      </x:c>
    </x:row>
    <x:row r="504">
      <x:c r="A504" t="str">
        <x:v>Tamil Nadu</x:v>
      </x:c>
      <x:c r="B504" t="str">
        <x:v>Deemed University</x:v>
      </x:c>
      <x:c r="C504" t="str">
        <x:v>904745</x:v>
      </x:c>
      <x:c r="D504" t="str">
        <x:v>Dhanalakshmi Srinivasan Institute of Medical Sciences and Hospital - Thuraiyur Road, Perambalur, 274C, THURAIYUR ROAD, PERAMBALUR ,PERAMBALUR DISTRICT</x:v>
      </x:c>
      <x:c r="E504" t="str">
        <x:v>NRI</x:v>
      </x:c>
      <x:c r="F504" t="str">
        <x:v>Open</x:v>
      </x:c>
      <x:c r="G504" t="n">
        <x:v>25</x:v>
      </x:c>
      <x:c r="H504" t="n">
        <x:v>0</x:v>
      </x:c>
      <x:c r="I504" t="n">
        <x:f>G504-H504</x:f>
        <x:v>25</x:v>
      </x:c>
      <x:c r="J504" s="20" t="n">
        <x:f>IFERROR(H504/G504,0)</x:f>
        <x:v>0</x:v>
      </x:c>
      <x:c r="K504"/>
      <x:c r="L504"/>
      <x:c r="M504"/>
      <x:c r="N504"/>
      <x:c r="O504"/>
    </x:row>
    <x:row r="505">
      <x:c r="A505" t="str">
        <x:v>Tamil Nadu</x:v>
      </x:c>
      <x:c r="B505" t="str">
        <x:v>Deemed University</x:v>
      </x:c>
      <x:c r="C505" t="str">
        <x:v>904745</x:v>
      </x:c>
      <x:c r="D505" t="str">
        <x:v>Dhanalakshmi Srinivasan Institute of Medical Sciences and Hospital - Thuraiyur Road, Perambalur, 274C, THURAIYUR ROAD, PERAMBALUR ,PERAMBALUR DISTRICT</x:v>
      </x:c>
      <x:c r="E505" t="str">
        <x:v>Self-Financed Merit</x:v>
      </x:c>
      <x:c r="F505" t="str">
        <x:v>Open</x:v>
      </x:c>
      <x:c r="G505" t="n">
        <x:v>175</x:v>
      </x:c>
      <x:c r="H505" t="n">
        <x:v>175</x:v>
      </x:c>
      <x:c r="I505" t="n">
        <x:f>G505-H505</x:f>
        <x:v>0</x:v>
      </x:c>
      <x:c r="J505" s="20" t="n">
        <x:f>IFERROR(H505/G505,0)</x:f>
        <x:v>1</x:v>
      </x:c>
      <x:c r="K505" t="n">
        <x:v>108559</x:v>
      </x:c>
      <x:c r="L505" t="n">
        <x:v>643652</x:v>
      </x:c>
      <x:c r="M505" t="n">
        <x:v>873084</x:v>
      </x:c>
      <x:c r="N505" t="n">
        <x:v>943063</x:v>
      </x:c>
      <x:c r="O505" t="n">
        <x:v>1009363</x:v>
      </x:c>
    </x:row>
    <x:row r="506">
      <x:c r="A506" t="str">
        <x:v>Odisha</x:v>
      </x:c>
      <x:c r="B506" t="str">
        <x:v>All India except Central University</x:v>
      </x:c>
      <x:c r="C506" t="str">
        <x:v>200590</x:v>
      </x:c>
      <x:c r="D506" t="str">
        <x:v>Dharanidhar Medical College and Hospital (previously Government Medical College, Keonjhar), AT-KABITRA, NEAR DD COLLEGE, KEONJHARGARH, PS- TOWN POLICE STATION, DIST- KEONJHAR, ODISHA</x:v>
      </x:c>
      <x:c r="E506" t="str">
        <x:v>All India</x:v>
      </x:c>
      <x:c r="F506" t="str">
        <x:v>EWS</x:v>
      </x:c>
      <x:c r="G506" t="n">
        <x:v>1</x:v>
      </x:c>
      <x:c r="H506" t="n">
        <x:v>1</x:v>
      </x:c>
      <x:c r="I506" t="n">
        <x:f>G506-H506</x:f>
        <x:v>0</x:v>
      </x:c>
      <x:c r="J506" s="20" t="n">
        <x:f>IFERROR(H506/G506,0)</x:f>
        <x:v>1</x:v>
      </x:c>
      <x:c r="K506" t="n">
        <x:v>19801</x:v>
      </x:c>
      <x:c r="L506" t="n">
        <x:v>19801</x:v>
      </x:c>
      <x:c r="M506" t="n">
        <x:v>19801</x:v>
      </x:c>
      <x:c r="N506" t="n">
        <x:v>19801</x:v>
      </x:c>
      <x:c r="O506" t="n">
        <x:v>19801</x:v>
      </x:c>
    </x:row>
    <x:row r="507">
      <x:c r="A507" t="str">
        <x:v>Odisha</x:v>
      </x:c>
      <x:c r="B507" t="str">
        <x:v>All India except Central University</x:v>
      </x:c>
      <x:c r="C507" t="str">
        <x:v>200590</x:v>
      </x:c>
      <x:c r="D507" t="str">
        <x:v>Dharanidhar Medical College and Hospital (previously Government Medical College, Keonjhar), AT-KABITRA, NEAR DD COLLEGE, KEONJHARGARH, PS- TOWN POLICE STATION, DIST- KEONJHAR, ODISHA</x:v>
      </x:c>
      <x:c r="E507" t="str">
        <x:v>All India</x:v>
      </x:c>
      <x:c r="F507" t="str">
        <x:v>OBC</x:v>
      </x:c>
      <x:c r="G507" t="n">
        <x:v>4</x:v>
      </x:c>
      <x:c r="H507" t="n">
        <x:v>4</x:v>
      </x:c>
      <x:c r="I507" t="n">
        <x:f>G507-H507</x:f>
        <x:v>0</x:v>
      </x:c>
      <x:c r="J507" s="20" t="n">
        <x:f>IFERROR(H507/G507,0)</x:f>
        <x:v>1</x:v>
      </x:c>
      <x:c r="K507" t="n">
        <x:v>15419</x:v>
      </x:c>
      <x:c r="L507" t="n">
        <x:v>15797</x:v>
      </x:c>
      <x:c r="M507" t="n">
        <x:v>16009</x:v>
      </x:c>
      <x:c r="N507" t="n">
        <x:v>16215.75</x:v>
      </x:c>
      <x:c r="O507" t="n">
        <x:v>16578</x:v>
      </x:c>
    </x:row>
    <x:row r="508">
      <x:c r="A508" t="str">
        <x:v>Odisha</x:v>
      </x:c>
      <x:c r="B508" t="str">
        <x:v>All India except Central University</x:v>
      </x:c>
      <x:c r="C508" t="str">
        <x:v>200590</x:v>
      </x:c>
      <x:c r="D508" t="str">
        <x:v>Dharanidhar Medical College and Hospital (previously Government Medical College, Keonjhar), AT-KABITRA, NEAR DD COLLEGE, KEONJHARGARH, PS- TOWN POLICE STATION, DIST- KEONJHAR, ODISHA</x:v>
      </x:c>
      <x:c r="E508" t="str">
        <x:v>All India</x:v>
      </x:c>
      <x:c r="F508" t="str">
        <x:v>Open</x:v>
      </x:c>
      <x:c r="G508" t="n">
        <x:v>6</x:v>
      </x:c>
      <x:c r="H508" t="n">
        <x:v>6</x:v>
      </x:c>
      <x:c r="I508" t="n">
        <x:f>G508-H508</x:f>
        <x:v>0</x:v>
      </x:c>
      <x:c r="J508" s="20" t="n">
        <x:f>IFERROR(H508/G508,0)</x:f>
        <x:v>1</x:v>
      </x:c>
      <x:c r="K508" t="n">
        <x:v>9699</x:v>
      </x:c>
      <x:c r="L508" t="n">
        <x:v>10084.25</x:v>
      </x:c>
      <x:c r="M508" t="n">
        <x:v>10982</x:v>
      </x:c>
      <x:c r="N508" t="n">
        <x:v>11713.25</x:v>
      </x:c>
      <x:c r="O508" t="n">
        <x:v>12959</x:v>
      </x:c>
    </x:row>
    <x:row r="509">
      <x:c r="A509" t="str">
        <x:v>Odisha</x:v>
      </x:c>
      <x:c r="B509" t="str">
        <x:v>All India except Central University</x:v>
      </x:c>
      <x:c r="C509" t="str">
        <x:v>200590</x:v>
      </x:c>
      <x:c r="D509" t="str">
        <x:v>Dharanidhar Medical College and Hospital (previously Government Medical College, Keonjhar), AT-KABITRA, NEAR DD COLLEGE, KEONJHARGARH, PS- TOWN POLICE STATION, DIST- KEONJHAR, ODISHA</x:v>
      </x:c>
      <x:c r="E509" t="str">
        <x:v>All India</x:v>
      </x:c>
      <x:c r="F509" t="str">
        <x:v>SC</x:v>
      </x:c>
      <x:c r="G509" t="n">
        <x:v>3</x:v>
      </x:c>
      <x:c r="H509" t="n">
        <x:v>3</x:v>
      </x:c>
      <x:c r="I509" t="n">
        <x:f>G509-H509</x:f>
        <x:v>0</x:v>
      </x:c>
      <x:c r="J509" s="20" t="n">
        <x:f>IFERROR(H509/G509,0)</x:f>
        <x:v>1</x:v>
      </x:c>
      <x:c r="K509" t="n">
        <x:v>75112</x:v>
      </x:c>
      <x:c r="L509" t="n">
        <x:v>76490.5</x:v>
      </x:c>
      <x:c r="M509" t="n">
        <x:v>77869</x:v>
      </x:c>
      <x:c r="N509" t="n">
        <x:v>82945.5</x:v>
      </x:c>
      <x:c r="O509" t="n">
        <x:v>88022</x:v>
      </x:c>
    </x:row>
    <x:row r="510">
      <x:c r="A510" t="str">
        <x:v>Odisha</x:v>
      </x:c>
      <x:c r="B510" t="str">
        <x:v>All India except Central University</x:v>
      </x:c>
      <x:c r="C510" t="str">
        <x:v>200590</x:v>
      </x:c>
      <x:c r="D510" t="str">
        <x:v>Dharanidhar Medical College and Hospital (previously Government Medical College, Keonjhar), AT-KABITRA, NEAR DD COLLEGE, KEONJHARGARH, PS- TOWN POLICE STATION, DIST- KEONJHAR, ODISHA</x:v>
      </x:c>
      <x:c r="E510" t="str">
        <x:v>All India</x:v>
      </x:c>
      <x:c r="F510" t="str">
        <x:v>ST</x:v>
      </x:c>
      <x:c r="G510" t="n">
        <x:v>1</x:v>
      </x:c>
      <x:c r="H510" t="n">
        <x:v>1</x:v>
      </x:c>
      <x:c r="I510" t="n">
        <x:f>G510-H510</x:f>
        <x:v>0</x:v>
      </x:c>
      <x:c r="J510" s="20" t="n">
        <x:f>IFERROR(H510/G510,0)</x:f>
        <x:v>1</x:v>
      </x:c>
      <x:c r="K510" t="n">
        <x:v>119601</x:v>
      </x:c>
      <x:c r="L510" t="n">
        <x:v>119601</x:v>
      </x:c>
      <x:c r="M510" t="n">
        <x:v>119601</x:v>
      </x:c>
      <x:c r="N510" t="n">
        <x:v>119601</x:v>
      </x:c>
      <x:c r="O510" t="n">
        <x:v>119601</x:v>
      </x:c>
    </x:row>
    <x:row r="511">
      <x:c r="A511" t="str">
        <x:v>Assam</x:v>
      </x:c>
      <x:c r="B511" t="str">
        <x:v>All India except Central University</x:v>
      </x:c>
      <x:c r="C511" t="str">
        <x:v>200642</x:v>
      </x:c>
      <x:c r="D511" t="str">
        <x:v>Dhubri Medical College, Dhubri, P.O. Jhagrarpar SPO, Dhubri, Assam, PIN - 783325</x:v>
      </x:c>
      <x:c r="E511" t="str">
        <x:v>All India</x:v>
      </x:c>
      <x:c r="F511" t="str">
        <x:v>EWS</x:v>
      </x:c>
      <x:c r="G511" t="n">
        <x:v>2</x:v>
      </x:c>
      <x:c r="H511" t="n">
        <x:v>2</x:v>
      </x:c>
      <x:c r="I511" t="n">
        <x:f>G511-H511</x:f>
        <x:v>0</x:v>
      </x:c>
      <x:c r="J511" s="20" t="n">
        <x:f>IFERROR(H511/G511,0)</x:f>
        <x:v>1</x:v>
      </x:c>
      <x:c r="K511" t="n">
        <x:v>24418</x:v>
      </x:c>
      <x:c r="L511" t="n">
        <x:v>24424.5</x:v>
      </x:c>
      <x:c r="M511" t="n">
        <x:v>24431</x:v>
      </x:c>
      <x:c r="N511" t="n">
        <x:v>24437.5</x:v>
      </x:c>
      <x:c r="O511" t="n">
        <x:v>24444</x:v>
      </x:c>
    </x:row>
    <x:row r="512">
      <x:c r="A512" t="str">
        <x:v>Assam</x:v>
      </x:c>
      <x:c r="B512" t="str">
        <x:v>All India except Central University</x:v>
      </x:c>
      <x:c r="C512" t="str">
        <x:v>200642</x:v>
      </x:c>
      <x:c r="D512" t="str">
        <x:v>Dhubri Medical College, Dhubri, P.O. Jhagrarpar SPO, Dhubri, Assam, PIN - 783325</x:v>
      </x:c>
      <x:c r="E512" t="str">
        <x:v>All India</x:v>
      </x:c>
      <x:c r="F512" t="str">
        <x:v>OBC</x:v>
      </x:c>
      <x:c r="G512" t="n">
        <x:v>4</x:v>
      </x:c>
      <x:c r="H512" t="n">
        <x:v>4</x:v>
      </x:c>
      <x:c r="I512" t="n">
        <x:f>G512-H512</x:f>
        <x:v>0</x:v>
      </x:c>
      <x:c r="J512" s="20" t="n">
        <x:f>IFERROR(H512/G512,0)</x:f>
        <x:v>1</x:v>
      </x:c>
      <x:c r="K512" t="n">
        <x:v>20495</x:v>
      </x:c>
      <x:c r="L512" t="n">
        <x:v>21440.75</x:v>
      </x:c>
      <x:c r="M512" t="n">
        <x:v>21831.5</x:v>
      </x:c>
      <x:c r="N512" t="n">
        <x:v>21941.25</x:v>
      </x:c>
      <x:c r="O512" t="n">
        <x:v>22044</x:v>
      </x:c>
    </x:row>
    <x:row r="513">
      <x:c r="A513" t="str">
        <x:v>Assam</x:v>
      </x:c>
      <x:c r="B513" t="str">
        <x:v>All India except Central University</x:v>
      </x:c>
      <x:c r="C513" t="str">
        <x:v>200642</x:v>
      </x:c>
      <x:c r="D513" t="str">
        <x:v>Dhubri Medical College, Dhubri, P.O. Jhagrarpar SPO, Dhubri, Assam, PIN - 783325</x:v>
      </x:c>
      <x:c r="E513" t="str">
        <x:v>All India</x:v>
      </x:c>
      <x:c r="F513" t="str">
        <x:v>Open</x:v>
      </x:c>
      <x:c r="G513" t="n">
        <x:v>5</x:v>
      </x:c>
      <x:c r="H513" t="n">
        <x:v>5</x:v>
      </x:c>
      <x:c r="I513" t="n">
        <x:f>G513-H513</x:f>
        <x:v>0</x:v>
      </x:c>
      <x:c r="J513" s="20" t="n">
        <x:f>IFERROR(H513/G513,0)</x:f>
        <x:v>1</x:v>
      </x:c>
      <x:c r="K513" t="n">
        <x:v>19621</x:v>
      </x:c>
      <x:c r="L513" t="n">
        <x:v>19859</x:v>
      </x:c>
      <x:c r="M513" t="n">
        <x:v>19930</x:v>
      </x:c>
      <x:c r="N513" t="n">
        <x:v>20209</x:v>
      </x:c>
      <x:c r="O513" t="n">
        <x:v>20280</x:v>
      </x:c>
    </x:row>
    <x:row r="514">
      <x:c r="A514" t="str">
        <x:v>Assam</x:v>
      </x:c>
      <x:c r="B514" t="str">
        <x:v>All India except Central University</x:v>
      </x:c>
      <x:c r="C514" t="str">
        <x:v>200642</x:v>
      </x:c>
      <x:c r="D514" t="str">
        <x:v>Dhubri Medical College, Dhubri, P.O. Jhagrarpar SPO, Dhubri, Assam, PIN - 783325</x:v>
      </x:c>
      <x:c r="E514" t="str">
        <x:v>All India</x:v>
      </x:c>
      <x:c r="F514" t="str">
        <x:v>SC</x:v>
      </x:c>
      <x:c r="G514" t="n">
        <x:v>3</x:v>
      </x:c>
      <x:c r="H514" t="n">
        <x:v>3</x:v>
      </x:c>
      <x:c r="I514" t="n">
        <x:f>G514-H514</x:f>
        <x:v>0</x:v>
      </x:c>
      <x:c r="J514" s="20" t="n">
        <x:f>IFERROR(H514/G514,0)</x:f>
        <x:v>1</x:v>
      </x:c>
      <x:c r="K514" t="n">
        <x:v>42699</x:v>
      </x:c>
      <x:c r="L514" t="n">
        <x:v>68615.5</x:v>
      </x:c>
      <x:c r="M514" t="n">
        <x:v>94532</x:v>
      </x:c>
      <x:c r="N514" t="n">
        <x:v>96077</x:v>
      </x:c>
      <x:c r="O514" t="n">
        <x:v>97622</x:v>
      </x:c>
    </x:row>
    <x:row r="515">
      <x:c r="A515" t="str">
        <x:v>Assam</x:v>
      </x:c>
      <x:c r="B515" t="str">
        <x:v>All India except Central University</x:v>
      </x:c>
      <x:c r="C515" t="str">
        <x:v>200642</x:v>
      </x:c>
      <x:c r="D515" t="str">
        <x:v>Dhubri Medical College, Dhubri, P.O. Jhagrarpar SPO, Dhubri, Assam, PIN - 783325</x:v>
      </x:c>
      <x:c r="E515" t="str">
        <x:v>All India</x:v>
      </x:c>
      <x:c r="F515" t="str">
        <x:v>ST</x:v>
      </x:c>
      <x:c r="G515" t="n">
        <x:v>1</x:v>
      </x:c>
      <x:c r="H515" t="n">
        <x:v>1</x:v>
      </x:c>
      <x:c r="I515" t="n">
        <x:f>G515-H515</x:f>
        <x:v>0</x:v>
      </x:c>
      <x:c r="J515" s="20" t="n">
        <x:f>IFERROR(H515/G515,0)</x:f>
        <x:v>1</x:v>
      </x:c>
      <x:c r="K515" t="n">
        <x:v>108848</x:v>
      </x:c>
      <x:c r="L515" t="n">
        <x:v>108848</x:v>
      </x:c>
      <x:c r="M515" t="n">
        <x:v>108848</x:v>
      </x:c>
      <x:c r="N515" t="n">
        <x:v>108848</x:v>
      </x:c>
      <x:c r="O515" t="n">
        <x:v>108848</x:v>
      </x:c>
    </x:row>
    <x:row r="516">
      <x:c r="A516" t="str">
        <x:v>West Bengal</x:v>
      </x:c>
      <x:c r="B516" t="str">
        <x:v>All India except Central University</x:v>
      </x:c>
      <x:c r="C516" t="str">
        <x:v>200474</x:v>
      </x:c>
      <x:c r="D516" t="str">
        <x:v>Diamond Harbour Government Medical College and Hospital, West Bengal, New Town, Post-Diamond Harbour, PS- Diamond Harbour, District South 24 Parganas</x:v>
      </x:c>
      <x:c r="E516" t="str">
        <x:v>All India</x:v>
      </x:c>
      <x:c r="F516" t="str">
        <x:v>EWS</x:v>
      </x:c>
      <x:c r="G516" t="n">
        <x:v>2</x:v>
      </x:c>
      <x:c r="H516" t="n">
        <x:v>2</x:v>
      </x:c>
      <x:c r="I516" t="n">
        <x:f>G516-H516</x:f>
        <x:v>0</x:v>
      </x:c>
      <x:c r="J516" s="20" t="n">
        <x:f>IFERROR(H516/G516,0)</x:f>
        <x:v>1</x:v>
      </x:c>
      <x:c r="K516" t="n">
        <x:v>14424</x:v>
      </x:c>
      <x:c r="L516" t="n">
        <x:v>15187</x:v>
      </x:c>
      <x:c r="M516" t="n">
        <x:v>15950</x:v>
      </x:c>
      <x:c r="N516" t="n">
        <x:v>16713</x:v>
      </x:c>
      <x:c r="O516" t="n">
        <x:v>17476</x:v>
      </x:c>
    </x:row>
    <x:row r="517">
      <x:c r="A517" t="str">
        <x:v>West Bengal</x:v>
      </x:c>
      <x:c r="B517" t="str">
        <x:v>All India except Central University</x:v>
      </x:c>
      <x:c r="C517" t="str">
        <x:v>200474</x:v>
      </x:c>
      <x:c r="D517" t="str">
        <x:v>Diamond Harbour Government Medical College and Hospital, West Bengal, New Town, Post-Diamond Harbour, PS- Diamond Harbour, District South 24 Parganas</x:v>
      </x:c>
      <x:c r="E517" t="str">
        <x:v>All India</x:v>
      </x:c>
      <x:c r="F517" t="str">
        <x:v>EWS PwD</x:v>
      </x:c>
      <x:c r="G517" t="n">
        <x:v>1</x:v>
      </x:c>
      <x:c r="H517" t="n">
        <x:v>1</x:v>
      </x:c>
      <x:c r="I517" t="n">
        <x:f>G517-H517</x:f>
        <x:v>0</x:v>
      </x:c>
      <x:c r="J517" s="20" t="n">
        <x:f>IFERROR(H517/G517,0)</x:f>
        <x:v>1</x:v>
      </x:c>
      <x:c r="K517" t="n">
        <x:v>789940</x:v>
      </x:c>
      <x:c r="L517" t="n">
        <x:v>789940</x:v>
      </x:c>
      <x:c r="M517" t="n">
        <x:v>789940</x:v>
      </x:c>
      <x:c r="N517" t="n">
        <x:v>789940</x:v>
      </x:c>
      <x:c r="O517" t="n">
        <x:v>789940</x:v>
      </x:c>
    </x:row>
    <x:row r="518">
      <x:c r="A518" t="str">
        <x:v>West Bengal</x:v>
      </x:c>
      <x:c r="B518" t="str">
        <x:v>All India except Central University</x:v>
      </x:c>
      <x:c r="C518" t="str">
        <x:v>200474</x:v>
      </x:c>
      <x:c r="D518" t="str">
        <x:v>Diamond Harbour Government Medical College and Hospital, West Bengal, New Town, Post-Diamond Harbour, PS- Diamond Harbour, District South 24 Parganas</x:v>
      </x:c>
      <x:c r="E518" t="str">
        <x:v>All India</x:v>
      </x:c>
      <x:c r="F518" t="str">
        <x:v>OBC</x:v>
      </x:c>
      <x:c r="G518" t="n">
        <x:v>6</x:v>
      </x:c>
      <x:c r="H518" t="n">
        <x:v>6</x:v>
      </x:c>
      <x:c r="I518" t="n">
        <x:f>G518-H518</x:f>
        <x:v>0</x:v>
      </x:c>
      <x:c r="J518" s="20" t="n">
        <x:f>IFERROR(H518/G518,0)</x:f>
        <x:v>1</x:v>
      </x:c>
      <x:c r="K518" t="n">
        <x:v>13392</x:v>
      </x:c>
      <x:c r="L518" t="n">
        <x:v>14032.25</x:v>
      </x:c>
      <x:c r="M518" t="n">
        <x:v>14652.5</x:v>
      </x:c>
      <x:c r="N518" t="n">
        <x:v>15227</x:v>
      </x:c>
      <x:c r="O518" t="n">
        <x:v>15667</x:v>
      </x:c>
    </x:row>
    <x:row r="519">
      <x:c r="A519" t="str">
        <x:v>West Bengal</x:v>
      </x:c>
      <x:c r="B519" t="str">
        <x:v>All India except Central University</x:v>
      </x:c>
      <x:c r="C519" t="str">
        <x:v>200474</x:v>
      </x:c>
      <x:c r="D519" t="str">
        <x:v>Diamond Harbour Government Medical College and Hospital, West Bengal, New Town, Post-Diamond Harbour, PS- Diamond Harbour, District South 24 Parganas</x:v>
      </x:c>
      <x:c r="E519" t="str">
        <x:v>All India</x:v>
      </x:c>
      <x:c r="F519" t="str">
        <x:v>Open</x:v>
      </x:c>
      <x:c r="G519" t="n">
        <x:v>7</x:v>
      </x:c>
      <x:c r="H519" t="n">
        <x:v>7</x:v>
      </x:c>
      <x:c r="I519" t="n">
        <x:f>G519-H519</x:f>
        <x:v>0</x:v>
      </x:c>
      <x:c r="J519" s="20" t="n">
        <x:f>IFERROR(H519/G519,0)</x:f>
        <x:v>1</x:v>
      </x:c>
      <x:c r="K519" t="n">
        <x:v>9940</x:v>
      </x:c>
      <x:c r="L519" t="n">
        <x:v>10957</x:v>
      </x:c>
      <x:c r="M519" t="n">
        <x:v>11401</x:v>
      </x:c>
      <x:c r="N519" t="n">
        <x:v>12490</x:v>
      </x:c>
      <x:c r="O519" t="n">
        <x:v>12727</x:v>
      </x:c>
    </x:row>
    <x:row r="520">
      <x:c r="A520" t="str">
        <x:v>West Bengal</x:v>
      </x:c>
      <x:c r="B520" t="str">
        <x:v>All India except Central University</x:v>
      </x:c>
      <x:c r="C520" t="str">
        <x:v>200474</x:v>
      </x:c>
      <x:c r="D520" t="str">
        <x:v>Diamond Harbour Government Medical College and Hospital, West Bengal, New Town, Post-Diamond Harbour, PS- Diamond Harbour, District South 24 Parganas</x:v>
      </x:c>
      <x:c r="E520" t="str">
        <x:v>All India</x:v>
      </x:c>
      <x:c r="F520" t="str">
        <x:v>Open PwD</x:v>
      </x:c>
      <x:c r="G520" t="n">
        <x:v>1</x:v>
      </x:c>
      <x:c r="H520" t="n">
        <x:v>1</x:v>
      </x:c>
      <x:c r="I520" t="n">
        <x:f>G520-H520</x:f>
        <x:v>0</x:v>
      </x:c>
      <x:c r="J520" s="20" t="n">
        <x:f>IFERROR(H520/G520,0)</x:f>
        <x:v>1</x:v>
      </x:c>
      <x:c r="K520" t="n">
        <x:v>312562</x:v>
      </x:c>
      <x:c r="L520" t="n">
        <x:v>312562</x:v>
      </x:c>
      <x:c r="M520" t="n">
        <x:v>312562</x:v>
      </x:c>
      <x:c r="N520" t="n">
        <x:v>312562</x:v>
      </x:c>
      <x:c r="O520" t="n">
        <x:v>312562</x:v>
      </x:c>
    </x:row>
    <x:row r="521">
      <x:c r="A521" t="str">
        <x:v>West Bengal</x:v>
      </x:c>
      <x:c r="B521" t="str">
        <x:v>All India except Central University</x:v>
      </x:c>
      <x:c r="C521" t="str">
        <x:v>200474</x:v>
      </x:c>
      <x:c r="D521" t="str">
        <x:v>Diamond Harbour Government Medical College and Hospital, West Bengal, New Town, Post-Diamond Harbour, PS- Diamond Harbour, District South 24 Parganas</x:v>
      </x:c>
      <x:c r="E521" t="str">
        <x:v>All India</x:v>
      </x:c>
      <x:c r="F521" t="str">
        <x:v>SC</x:v>
      </x:c>
      <x:c r="G521" t="n">
        <x:v>4</x:v>
      </x:c>
      <x:c r="H521" t="n">
        <x:v>4</x:v>
      </x:c>
      <x:c r="I521" t="n">
        <x:f>G521-H521</x:f>
        <x:v>0</x:v>
      </x:c>
      <x:c r="J521" s="20" t="n">
        <x:f>IFERROR(H521/G521,0)</x:f>
        <x:v>1</x:v>
      </x:c>
      <x:c r="K521" t="n">
        <x:v>65260</x:v>
      </x:c>
      <x:c r="L521" t="n">
        <x:v>69445.75</x:v>
      </x:c>
      <x:c r="M521" t="n">
        <x:v>73798</x:v>
      </x:c>
      <x:c r="N521" t="n">
        <x:v>78327.75</x:v>
      </x:c>
      <x:c r="O521" t="n">
        <x:v>83046</x:v>
      </x:c>
    </x:row>
    <x:row r="522">
      <x:c r="A522" t="str">
        <x:v>West Bengal</x:v>
      </x:c>
      <x:c r="B522" t="str">
        <x:v>All India except Central University</x:v>
      </x:c>
      <x:c r="C522" t="str">
        <x:v>200474</x:v>
      </x:c>
      <x:c r="D522" t="str">
        <x:v>Diamond Harbour Government Medical College and Hospital, West Bengal, New Town, Post-Diamond Harbour, PS- Diamond Harbour, District South 24 Parganas</x:v>
      </x:c>
      <x:c r="E522" t="str">
        <x:v>All India</x:v>
      </x:c>
      <x:c r="F522" t="str">
        <x:v>ST</x:v>
      </x:c>
      <x:c r="G522" t="n">
        <x:v>2</x:v>
      </x:c>
      <x:c r="H522" t="n">
        <x:v>2</x:v>
      </x:c>
      <x:c r="I522" t="n">
        <x:f>G522-H522</x:f>
        <x:v>0</x:v>
      </x:c>
      <x:c r="J522" s="20" t="n">
        <x:f>IFERROR(H522/G522,0)</x:f>
        <x:v>1</x:v>
      </x:c>
      <x:c r="K522" t="n">
        <x:v>105347</x:v>
      </x:c>
      <x:c r="L522" t="n">
        <x:v>106016</x:v>
      </x:c>
      <x:c r="M522" t="n">
        <x:v>106685</x:v>
      </x:c>
      <x:c r="N522" t="n">
        <x:v>107354</x:v>
      </x:c>
      <x:c r="O522" t="n">
        <x:v>108023</x:v>
      </x:c>
    </x:row>
    <x:row r="523">
      <x:c r="A523" t="str">
        <x:v>Assam</x:v>
      </x:c>
      <x:c r="B523" t="str">
        <x:v>All India except Central University</x:v>
      </x:c>
      <x:c r="C523" t="str">
        <x:v>200578</x:v>
      </x:c>
      <x:c r="D523" t="str">
        <x:v>Diphu Medical College &amp; Hospital, Diphu, Assam, principaldiphu@gmail.com</x:v>
      </x:c>
      <x:c r="E523" t="str">
        <x:v>All India</x:v>
      </x:c>
      <x:c r="F523" t="str">
        <x:v>EWS</x:v>
      </x:c>
      <x:c r="G523" t="n">
        <x:v>2</x:v>
      </x:c>
      <x:c r="H523" t="n">
        <x:v>2</x:v>
      </x:c>
      <x:c r="I523" t="n">
        <x:f>G523-H523</x:f>
        <x:v>0</x:v>
      </x:c>
      <x:c r="J523" s="20" t="n">
        <x:f>IFERROR(H523/G523,0)</x:f>
        <x:v>1</x:v>
      </x:c>
      <x:c r="K523" t="n">
        <x:v>22906</x:v>
      </x:c>
      <x:c r="L523" t="n">
        <x:v>23245.5</x:v>
      </x:c>
      <x:c r="M523" t="n">
        <x:v>23585</x:v>
      </x:c>
      <x:c r="N523" t="n">
        <x:v>23924.5</x:v>
      </x:c>
      <x:c r="O523" t="n">
        <x:v>24264</x:v>
      </x:c>
    </x:row>
    <x:row r="524">
      <x:c r="A524" t="str">
        <x:v>Assam</x:v>
      </x:c>
      <x:c r="B524" t="str">
        <x:v>All India except Central University</x:v>
      </x:c>
      <x:c r="C524" t="str">
        <x:v>200578</x:v>
      </x:c>
      <x:c r="D524" t="str">
        <x:v>Diphu Medical College &amp; Hospital, Diphu, Assam, principaldiphu@gmail.com</x:v>
      </x:c>
      <x:c r="E524" t="str">
        <x:v>All India</x:v>
      </x:c>
      <x:c r="F524" t="str">
        <x:v>OBC</x:v>
      </x:c>
      <x:c r="G524" t="n">
        <x:v>4</x:v>
      </x:c>
      <x:c r="H524" t="n">
        <x:v>4</x:v>
      </x:c>
      <x:c r="I524" t="n">
        <x:f>G524-H524</x:f>
        <x:v>0</x:v>
      </x:c>
      <x:c r="J524" s="20" t="n">
        <x:f>IFERROR(H524/G524,0)</x:f>
        <x:v>1</x:v>
      </x:c>
      <x:c r="K524" t="n">
        <x:v>20353</x:v>
      </x:c>
      <x:c r="L524" t="n">
        <x:v>21745</x:v>
      </x:c>
      <x:c r="M524" t="n">
        <x:v>22234.5</x:v>
      </x:c>
      <x:c r="N524" t="n">
        <x:v>22285.25</x:v>
      </x:c>
      <x:c r="O524" t="n">
        <x:v>22361</x:v>
      </x:c>
    </x:row>
    <x:row r="525">
      <x:c r="A525" t="str">
        <x:v>Assam</x:v>
      </x:c>
      <x:c r="B525" t="str">
        <x:v>All India except Central University</x:v>
      </x:c>
      <x:c r="C525" t="str">
        <x:v>200578</x:v>
      </x:c>
      <x:c r="D525" t="str">
        <x:v>Diphu Medical College &amp; Hospital, Diphu, Assam, principaldiphu@gmail.com</x:v>
      </x:c>
      <x:c r="E525" t="str">
        <x:v>All India</x:v>
      </x:c>
      <x:c r="F525" t="str">
        <x:v>Open</x:v>
      </x:c>
      <x:c r="G525" t="n">
        <x:v>6</x:v>
      </x:c>
      <x:c r="H525" t="n">
        <x:v>6</x:v>
      </x:c>
      <x:c r="I525" t="n">
        <x:f>G525-H525</x:f>
        <x:v>0</x:v>
      </x:c>
      <x:c r="J525" s="20" t="n">
        <x:f>IFERROR(H525/G525,0)</x:f>
        <x:v>1</x:v>
      </x:c>
      <x:c r="K525" t="n">
        <x:v>16361</x:v>
      </x:c>
      <x:c r="L525" t="n">
        <x:v>19616</x:v>
      </x:c>
      <x:c r="M525" t="n">
        <x:v>19996.5</x:v>
      </x:c>
      <x:c r="N525" t="n">
        <x:v>20050.75</x:v>
      </x:c>
      <x:c r="O525" t="n">
        <x:v>20292</x:v>
      </x:c>
    </x:row>
    <x:row r="526">
      <x:c r="A526" t="str">
        <x:v>Assam</x:v>
      </x:c>
      <x:c r="B526" t="str">
        <x:v>All India except Central University</x:v>
      </x:c>
      <x:c r="C526" t="str">
        <x:v>200578</x:v>
      </x:c>
      <x:c r="D526" t="str">
        <x:v>Diphu Medical College &amp; Hospital, Diphu, Assam, principaldiphu@gmail.com</x:v>
      </x:c>
      <x:c r="E526" t="str">
        <x:v>All India</x:v>
      </x:c>
      <x:c r="F526" t="str">
        <x:v>SC</x:v>
      </x:c>
      <x:c r="G526" t="n">
        <x:v>2</x:v>
      </x:c>
      <x:c r="H526" t="n">
        <x:v>2</x:v>
      </x:c>
      <x:c r="I526" t="n">
        <x:f>G526-H526</x:f>
        <x:v>0</x:v>
      </x:c>
      <x:c r="J526" s="20" t="n">
        <x:f>IFERROR(H526/G526,0)</x:f>
        <x:v>1</x:v>
      </x:c>
      <x:c r="K526" t="n">
        <x:v>99294</x:v>
      </x:c>
      <x:c r="L526" t="n">
        <x:v>99707.25</x:v>
      </x:c>
      <x:c r="M526" t="n">
        <x:v>100120.5</x:v>
      </x:c>
      <x:c r="N526" t="n">
        <x:v>100533.75</x:v>
      </x:c>
      <x:c r="O526" t="n">
        <x:v>100947</x:v>
      </x:c>
    </x:row>
    <x:row r="527">
      <x:c r="A527" t="str">
        <x:v>Assam</x:v>
      </x:c>
      <x:c r="B527" t="str">
        <x:v>All India except Central University</x:v>
      </x:c>
      <x:c r="C527" t="str">
        <x:v>200578</x:v>
      </x:c>
      <x:c r="D527" t="str">
        <x:v>Diphu Medical College &amp; Hospital, Diphu, Assam, principaldiphu@gmail.com</x:v>
      </x:c>
      <x:c r="E527" t="str">
        <x:v>All India</x:v>
      </x:c>
      <x:c r="F527" t="str">
        <x:v>ST</x:v>
      </x:c>
      <x:c r="G527" t="n">
        <x:v>1</x:v>
      </x:c>
      <x:c r="H527" t="n">
        <x:v>1</x:v>
      </x:c>
      <x:c r="I527" t="n">
        <x:f>G527-H527</x:f>
        <x:v>0</x:v>
      </x:c>
      <x:c r="J527" s="20" t="n">
        <x:f>IFERROR(H527/G527,0)</x:f>
        <x:v>1</x:v>
      </x:c>
      <x:c r="K527" t="n">
        <x:v>114961</x:v>
      </x:c>
      <x:c r="L527" t="n">
        <x:v>114961</x:v>
      </x:c>
      <x:c r="M527" t="n">
        <x:v>114961</x:v>
      </x:c>
      <x:c r="N527" t="n">
        <x:v>114961</x:v>
      </x:c>
      <x:c r="O527" t="n">
        <x:v>114961</x:v>
      </x:c>
    </x:row>
    <x:row r="528">
      <x:c r="A528" t="str">
        <x:v>Uttarakhand</x:v>
      </x:c>
      <x:c r="B528" t="str">
        <x:v>All India except Central University</x:v>
      </x:c>
      <x:c r="C528" t="str">
        <x:v>200305</x:v>
      </x:c>
      <x:c r="D528" t="str">
        <x:v>Doon Medical College, Dehradun, Uttarakhand, Government Doon Medical College, Dehrakhas Patel Nagar, Dehradun 248001</x:v>
      </x:c>
      <x:c r="E528" t="str">
        <x:v>All India</x:v>
      </x:c>
      <x:c r="F528" t="str">
        <x:v>EWS</x:v>
      </x:c>
      <x:c r="G528" t="n">
        <x:v>2</x:v>
      </x:c>
      <x:c r="H528" t="n">
        <x:v>2</x:v>
      </x:c>
      <x:c r="I528" t="n">
        <x:f>G528-H528</x:f>
        <x:v>0</x:v>
      </x:c>
      <x:c r="J528" s="20" t="n">
        <x:f>IFERROR(H528/G528,0)</x:f>
        <x:v>1</x:v>
      </x:c>
      <x:c r="K528" t="n">
        <x:v>7325</x:v>
      </x:c>
      <x:c r="L528" t="n">
        <x:v>7776.5</x:v>
      </x:c>
      <x:c r="M528" t="n">
        <x:v>8228</x:v>
      </x:c>
      <x:c r="N528" t="n">
        <x:v>8679.5</x:v>
      </x:c>
      <x:c r="O528" t="n">
        <x:v>9131</x:v>
      </x:c>
    </x:row>
    <x:row r="529">
      <x:c r="A529" t="str">
        <x:v>Uttarakhand</x:v>
      </x:c>
      <x:c r="B529" t="str">
        <x:v>All India except Central University</x:v>
      </x:c>
      <x:c r="C529" t="str">
        <x:v>200305</x:v>
      </x:c>
      <x:c r="D529" t="str">
        <x:v>Doon Medical College, Dehradun, Uttarakhand, Government Doon Medical College, Dehrakhas Patel Nagar, Dehradun 248001</x:v>
      </x:c>
      <x:c r="E529" t="str">
        <x:v>All India</x:v>
      </x:c>
      <x:c r="F529" t="str">
        <x:v>OBC</x:v>
      </x:c>
      <x:c r="G529" t="n">
        <x:v>5</x:v>
      </x:c>
      <x:c r="H529" t="n">
        <x:v>5</x:v>
      </x:c>
      <x:c r="I529" t="n">
        <x:f>G529-H529</x:f>
        <x:v>0</x:v>
      </x:c>
      <x:c r="J529" s="20" t="n">
        <x:f>IFERROR(H529/G529,0)</x:f>
        <x:v>1</x:v>
      </x:c>
      <x:c r="K529" t="n">
        <x:v>6486</x:v>
      </x:c>
      <x:c r="L529" t="n">
        <x:v>6810</x:v>
      </x:c>
      <x:c r="M529" t="n">
        <x:v>7534</x:v>
      </x:c>
      <x:c r="N529" t="n">
        <x:v>7595</x:v>
      </x:c>
      <x:c r="O529" t="n">
        <x:v>7658</x:v>
      </x:c>
    </x:row>
    <x:row r="530">
      <x:c r="A530" t="str">
        <x:v>Uttarakhand</x:v>
      </x:c>
      <x:c r="B530" t="str">
        <x:v>All India except Central University</x:v>
      </x:c>
      <x:c r="C530" t="str">
        <x:v>200305</x:v>
      </x:c>
      <x:c r="D530" t="str">
        <x:v>Doon Medical College, Dehradun, Uttarakhand, Government Doon Medical College, Dehrakhas Patel Nagar, Dehradun 248001</x:v>
      </x:c>
      <x:c r="E530" t="str">
        <x:v>All India</x:v>
      </x:c>
      <x:c r="F530" t="str">
        <x:v>OBC PwD</x:v>
      </x:c>
      <x:c r="G530" t="n">
        <x:v>1</x:v>
      </x:c>
      <x:c r="H530" t="n">
        <x:v>1</x:v>
      </x:c>
      <x:c r="I530" t="n">
        <x:f>G530-H530</x:f>
        <x:v>0</x:v>
      </x:c>
      <x:c r="J530" s="20" t="n">
        <x:f>IFERROR(H530/G530,0)</x:f>
        <x:v>1</x:v>
      </x:c>
      <x:c r="K530" t="n">
        <x:v>391988</x:v>
      </x:c>
      <x:c r="L530" t="n">
        <x:v>391988</x:v>
      </x:c>
      <x:c r="M530" t="n">
        <x:v>391988</x:v>
      </x:c>
      <x:c r="N530" t="n">
        <x:v>391988</x:v>
      </x:c>
      <x:c r="O530" t="n">
        <x:v>391988</x:v>
      </x:c>
    </x:row>
    <x:row r="531">
      <x:c r="A531" t="str">
        <x:v>Uttarakhand</x:v>
      </x:c>
      <x:c r="B531" t="str">
        <x:v>All India except Central University</x:v>
      </x:c>
      <x:c r="C531" t="str">
        <x:v>200305</x:v>
      </x:c>
      <x:c r="D531" t="str">
        <x:v>Doon Medical College, Dehradun, Uttarakhand, Government Doon Medical College, Dehrakhas Patel Nagar, Dehradun 248001</x:v>
      </x:c>
      <x:c r="E531" t="str">
        <x:v>All India</x:v>
      </x:c>
      <x:c r="F531" t="str">
        <x:v>Open</x:v>
      </x:c>
      <x:c r="G531" t="n">
        <x:v>10</x:v>
      </x:c>
      <x:c r="H531" t="n">
        <x:v>10</x:v>
      </x:c>
      <x:c r="I531" t="n">
        <x:f>G531-H531</x:f>
        <x:v>0</x:v>
      </x:c>
      <x:c r="J531" s="20" t="n">
        <x:f>IFERROR(H531/G531,0)</x:f>
        <x:v>1</x:v>
      </x:c>
      <x:c r="K531" t="n">
        <x:v>3439</x:v>
      </x:c>
      <x:c r="L531" t="n">
        <x:v>4911</x:v>
      </x:c>
      <x:c r="M531" t="n">
        <x:v>5236.5</x:v>
      </x:c>
      <x:c r="N531" t="n">
        <x:v>5515.25</x:v>
      </x:c>
      <x:c r="O531" t="n">
        <x:v>5705</x:v>
      </x:c>
    </x:row>
    <x:row r="532">
      <x:c r="A532" t="str">
        <x:v>Uttarakhand</x:v>
      </x:c>
      <x:c r="B532" t="str">
        <x:v>All India except Central University</x:v>
      </x:c>
      <x:c r="C532" t="str">
        <x:v>200305</x:v>
      </x:c>
      <x:c r="D532" t="str">
        <x:v>Doon Medical College, Dehradun, Uttarakhand, Government Doon Medical College, Dehrakhas Patel Nagar, Dehradun 248001</x:v>
      </x:c>
      <x:c r="E532" t="str">
        <x:v>All India</x:v>
      </x:c>
      <x:c r="F532" t="str">
        <x:v>SC</x:v>
      </x:c>
      <x:c r="G532" t="n">
        <x:v>3</x:v>
      </x:c>
      <x:c r="H532" t="n">
        <x:v>3</x:v>
      </x:c>
      <x:c r="I532" t="n">
        <x:f>G532-H532</x:f>
        <x:v>0</x:v>
      </x:c>
      <x:c r="J532" s="20" t="n">
        <x:f>IFERROR(H532/G532,0)</x:f>
        <x:v>1</x:v>
      </x:c>
      <x:c r="K532" t="n">
        <x:v>25832</x:v>
      </x:c>
      <x:c r="L532" t="n">
        <x:v>28225</x:v>
      </x:c>
      <x:c r="M532" t="n">
        <x:v>30618</x:v>
      </x:c>
      <x:c r="N532" t="n">
        <x:v>31151</x:v>
      </x:c>
      <x:c r="O532" t="n">
        <x:v>31684</x:v>
      </x:c>
    </x:row>
    <x:row r="533">
      <x:c r="A533" t="str">
        <x:v>Uttarakhand</x:v>
      </x:c>
      <x:c r="B533" t="str">
        <x:v>All India except Central University</x:v>
      </x:c>
      <x:c r="C533" t="str">
        <x:v>200305</x:v>
      </x:c>
      <x:c r="D533" t="str">
        <x:v>Doon Medical College, Dehradun, Uttarakhand, Government Doon Medical College, Dehrakhas Patel Nagar, Dehradun 248001</x:v>
      </x:c>
      <x:c r="E533" t="str">
        <x:v>All India</x:v>
      </x:c>
      <x:c r="F533" t="str">
        <x:v>ST</x:v>
      </x:c>
      <x:c r="G533" t="n">
        <x:v>2</x:v>
      </x:c>
      <x:c r="H533" t="n">
        <x:v>2</x:v>
      </x:c>
      <x:c r="I533" t="n">
        <x:f>G533-H533</x:f>
        <x:v>0</x:v>
      </x:c>
      <x:c r="J533" s="20" t="n">
        <x:f>IFERROR(H533/G533,0)</x:f>
        <x:v>1</x:v>
      </x:c>
      <x:c r="K533" t="n">
        <x:v>39930</x:v>
      </x:c>
      <x:c r="L533" t="n">
        <x:v>42867.25</x:v>
      </x:c>
      <x:c r="M533" t="n">
        <x:v>45804.5</x:v>
      </x:c>
      <x:c r="N533" t="n">
        <x:v>48741.75</x:v>
      </x:c>
      <x:c r="O533" t="n">
        <x:v>51679</x:v>
      </x:c>
    </x:row>
    <x:row r="534">
      <x:c r="A534" t="str">
        <x:v>Punjab</x:v>
      </x:c>
      <x:c r="B534" t="str">
        <x:v>All India except Central University</x:v>
      </x:c>
      <x:c r="C534" t="str">
        <x:v>200572</x:v>
      </x:c>
      <x:c r="D534" t="str">
        <x:v>Dr B R Ambedkar State Institute of Medical Sciences, SAS Nagar , Mohali, Dr BR Ambedkar State Institute of Medical Sciences Sector 56 Phase- 6 S A S Nagar (Mohali) Punjab 16</x:v>
      </x:c>
      <x:c r="E534" t="str">
        <x:v>All India</x:v>
      </x:c>
      <x:c r="F534" t="str">
        <x:v>EWS</x:v>
      </x:c>
      <x:c r="G534" t="n">
        <x:v>1</x:v>
      </x:c>
      <x:c r="H534" t="n">
        <x:v>1</x:v>
      </x:c>
      <x:c r="I534" t="n">
        <x:f>G534-H534</x:f>
        <x:v>0</x:v>
      </x:c>
      <x:c r="J534" s="20" t="n">
        <x:f>IFERROR(H534/G534,0)</x:f>
        <x:v>1</x:v>
      </x:c>
      <x:c r="K534" t="n">
        <x:v>10274</x:v>
      </x:c>
      <x:c r="L534" t="n">
        <x:v>10274</x:v>
      </x:c>
      <x:c r="M534" t="n">
        <x:v>10274</x:v>
      </x:c>
      <x:c r="N534" t="n">
        <x:v>10274</x:v>
      </x:c>
      <x:c r="O534" t="n">
        <x:v>10274</x:v>
      </x:c>
    </x:row>
    <x:row r="535">
      <x:c r="A535" t="str">
        <x:v>Punjab</x:v>
      </x:c>
      <x:c r="B535" t="str">
        <x:v>All India except Central University</x:v>
      </x:c>
      <x:c r="C535" t="str">
        <x:v>200572</x:v>
      </x:c>
      <x:c r="D535" t="str">
        <x:v>Dr B R Ambedkar State Institute of Medical Sciences, SAS Nagar , Mohali, Dr BR Ambedkar State Institute of Medical Sciences Sector 56 Phase- 6 S A S Nagar (Mohali) Punjab 16</x:v>
      </x:c>
      <x:c r="E535" t="str">
        <x:v>All India</x:v>
      </x:c>
      <x:c r="F535" t="str">
        <x:v>OBC</x:v>
      </x:c>
      <x:c r="G535" t="n">
        <x:v>4</x:v>
      </x:c>
      <x:c r="H535" t="n">
        <x:v>4</x:v>
      </x:c>
      <x:c r="I535" t="n">
        <x:f>G535-H535</x:f>
        <x:v>0</x:v>
      </x:c>
      <x:c r="J535" s="20" t="n">
        <x:f>IFERROR(H535/G535,0)</x:f>
        <x:v>1</x:v>
      </x:c>
      <x:c r="K535" t="n">
        <x:v>7042</x:v>
      </x:c>
      <x:c r="L535" t="n">
        <x:v>7889.5</x:v>
      </x:c>
      <x:c r="M535" t="n">
        <x:v>8332.5</x:v>
      </x:c>
      <x:c r="N535" t="n">
        <x:v>8648</x:v>
      </x:c>
      <x:c r="O535" t="n">
        <x:v>9113</x:v>
      </x:c>
    </x:row>
    <x:row r="536">
      <x:c r="A536" t="str">
        <x:v>Punjab</x:v>
      </x:c>
      <x:c r="B536" t="str">
        <x:v>All India except Central University</x:v>
      </x:c>
      <x:c r="C536" t="str">
        <x:v>200572</x:v>
      </x:c>
      <x:c r="D536" t="str">
        <x:v>Dr B R Ambedkar State Institute of Medical Sciences, SAS Nagar , Mohali, Dr BR Ambedkar State Institute of Medical Sciences Sector 56 Phase- 6 S A S Nagar (Mohali) Punjab 16</x:v>
      </x:c>
      <x:c r="E536" t="str">
        <x:v>All India</x:v>
      </x:c>
      <x:c r="F536" t="str">
        <x:v>Open</x:v>
      </x:c>
      <x:c r="G536" t="n">
        <x:v>8</x:v>
      </x:c>
      <x:c r="H536" t="n">
        <x:v>8</x:v>
      </x:c>
      <x:c r="I536" t="n">
        <x:f>G536-H536</x:f>
        <x:v>0</x:v>
      </x:c>
      <x:c r="J536" s="20" t="n">
        <x:f>IFERROR(H536/G536,0)</x:f>
        <x:v>1</x:v>
      </x:c>
      <x:c r="K536" t="n">
        <x:v>3688</x:v>
      </x:c>
      <x:c r="L536" t="n">
        <x:v>6213.75</x:v>
      </x:c>
      <x:c r="M536" t="n">
        <x:v>6545.5</x:v>
      </x:c>
      <x:c r="N536" t="n">
        <x:v>6708.25</x:v>
      </x:c>
      <x:c r="O536" t="n">
        <x:v>6846</x:v>
      </x:c>
    </x:row>
    <x:row r="537">
      <x:c r="A537" t="str">
        <x:v>Punjab</x:v>
      </x:c>
      <x:c r="B537" t="str">
        <x:v>All India except Central University</x:v>
      </x:c>
      <x:c r="C537" t="str">
        <x:v>200572</x:v>
      </x:c>
      <x:c r="D537" t="str">
        <x:v>Dr B R Ambedkar State Institute of Medical Sciences, SAS Nagar , Mohali, Dr BR Ambedkar State Institute of Medical Sciences Sector 56 Phase- 6 S A S Nagar (Mohali) Punjab 16</x:v>
      </x:c>
      <x:c r="E537" t="str">
        <x:v>All India</x:v>
      </x:c>
      <x:c r="F537" t="str">
        <x:v>SC</x:v>
      </x:c>
      <x:c r="G537" t="n">
        <x:v>1</x:v>
      </x:c>
      <x:c r="H537" t="n">
        <x:v>1</x:v>
      </x:c>
      <x:c r="I537" t="n">
        <x:f>G537-H537</x:f>
        <x:v>0</x:v>
      </x:c>
      <x:c r="J537" s="20" t="n">
        <x:f>IFERROR(H537/G537,0)</x:f>
        <x:v>1</x:v>
      </x:c>
      <x:c r="K537" t="n">
        <x:v>29375</x:v>
      </x:c>
      <x:c r="L537" t="n">
        <x:v>29375</x:v>
      </x:c>
      <x:c r="M537" t="n">
        <x:v>29375</x:v>
      </x:c>
      <x:c r="N537" t="n">
        <x:v>29375</x:v>
      </x:c>
      <x:c r="O537" t="n">
        <x:v>29375</x:v>
      </x:c>
    </x:row>
    <x:row r="538">
      <x:c r="A538" t="str">
        <x:v>Punjab</x:v>
      </x:c>
      <x:c r="B538" t="str">
        <x:v>All India except Central University</x:v>
      </x:c>
      <x:c r="C538" t="str">
        <x:v>200572</x:v>
      </x:c>
      <x:c r="D538" t="str">
        <x:v>Dr B R Ambedkar State Institute of Medical Sciences, SAS Nagar , Mohali, Dr BR Ambedkar State Institute of Medical Sciences Sector 56 Phase- 6 S A S Nagar (Mohali) Punjab 16</x:v>
      </x:c>
      <x:c r="E538" t="str">
        <x:v>All India</x:v>
      </x:c>
      <x:c r="F538" t="str">
        <x:v>ST</x:v>
      </x:c>
      <x:c r="G538" t="n">
        <x:v>1</x:v>
      </x:c>
      <x:c r="H538" t="n">
        <x:v>1</x:v>
      </x:c>
      <x:c r="I538" t="n">
        <x:f>G538-H538</x:f>
        <x:v>0</x:v>
      </x:c>
      <x:c r="J538" s="20" t="n">
        <x:f>IFERROR(H538/G538,0)</x:f>
        <x:v>1</x:v>
      </x:c>
      <x:c r="K538" t="n">
        <x:v>63607</x:v>
      </x:c>
      <x:c r="L538" t="n">
        <x:v>63607</x:v>
      </x:c>
      <x:c r="M538" t="n">
        <x:v>63607</x:v>
      </x:c>
      <x:c r="N538" t="n">
        <x:v>63607</x:v>
      </x:c>
      <x:c r="O538" t="n">
        <x:v>63607</x:v>
      </x:c>
    </x:row>
    <x:row r="539">
      <x:c r="A539" t="str">
        <x:v>Rajasthan</x:v>
      </x:c>
      <x:c r="B539" t="str">
        <x:v>All India except Central University</x:v>
      </x:c>
      <x:c r="C539" t="str">
        <x:v>200249</x:v>
      </x:c>
      <x:c r="D539" t="str">
        <x:v>Dr SN Medical College, Jodhpur, RESIDENCY ROAD SHASTRI NAGAR JODHPUR RAJASTHAN 342003</x:v>
      </x:c>
      <x:c r="E539" t="str">
        <x:v>All India</x:v>
      </x:c>
      <x:c r="F539" t="str">
        <x:v>EWS</x:v>
      </x:c>
      <x:c r="G539" t="n">
        <x:v>4</x:v>
      </x:c>
      <x:c r="H539" t="n">
        <x:v>4</x:v>
      </x:c>
      <x:c r="I539" t="n">
        <x:f>G539-H539</x:f>
        <x:v>0</x:v>
      </x:c>
      <x:c r="J539" s="20" t="n">
        <x:f>IFERROR(H539/G539,0)</x:f>
        <x:v>1</x:v>
      </x:c>
      <x:c r="K539" t="n">
        <x:v>4359</x:v>
      </x:c>
      <x:c r="L539" t="n">
        <x:v>4793.25</x:v>
      </x:c>
      <x:c r="M539" t="n">
        <x:v>5036</x:v>
      </x:c>
      <x:c r="N539" t="n">
        <x:v>5138.5</x:v>
      </x:c>
      <x:c r="O539" t="n">
        <x:v>5152</x:v>
      </x:c>
    </x:row>
    <x:row r="540">
      <x:c r="A540" t="str">
        <x:v>Rajasthan</x:v>
      </x:c>
      <x:c r="B540" t="str">
        <x:v>All India except Central University</x:v>
      </x:c>
      <x:c r="C540" t="str">
        <x:v>200249</x:v>
      </x:c>
      <x:c r="D540" t="str">
        <x:v>Dr SN Medical College, Jodhpur, RESIDENCY ROAD SHASTRI NAGAR JODHPUR RAJASTHAN 342003</x:v>
      </x:c>
      <x:c r="E540" t="str">
        <x:v>All India</x:v>
      </x:c>
      <x:c r="F540" t="str">
        <x:v>OBC</x:v>
      </x:c>
      <x:c r="G540" t="n">
        <x:v>9</x:v>
      </x:c>
      <x:c r="H540" t="n">
        <x:v>9</x:v>
      </x:c>
      <x:c r="I540" t="n">
        <x:f>G540-H540</x:f>
        <x:v>0</x:v>
      </x:c>
      <x:c r="J540" s="20" t="n">
        <x:f>IFERROR(H540/G540,0)</x:f>
        <x:v>1</x:v>
      </x:c>
      <x:c r="K540" t="n">
        <x:v>3758</x:v>
      </x:c>
      <x:c r="L540" t="n">
        <x:v>3806</x:v>
      </x:c>
      <x:c r="M540" t="n">
        <x:v>3954</x:v>
      </x:c>
      <x:c r="N540" t="n">
        <x:v>3982</x:v>
      </x:c>
      <x:c r="O540" t="n">
        <x:v>4040</x:v>
      </x:c>
    </x:row>
    <x:row r="541">
      <x:c r="A541" t="str">
        <x:v>Rajasthan</x:v>
      </x:c>
      <x:c r="B541" t="str">
        <x:v>All India except Central University</x:v>
      </x:c>
      <x:c r="C541" t="str">
        <x:v>200249</x:v>
      </x:c>
      <x:c r="D541" t="str">
        <x:v>Dr SN Medical College, Jodhpur, RESIDENCY ROAD SHASTRI NAGAR JODHPUR RAJASTHAN 342003</x:v>
      </x:c>
      <x:c r="E541" t="str">
        <x:v>All India</x:v>
      </x:c>
      <x:c r="F541" t="str">
        <x:v>OBC PwD</x:v>
      </x:c>
      <x:c r="G541" t="n">
        <x:v>1</x:v>
      </x:c>
      <x:c r="H541" t="n">
        <x:v>1</x:v>
      </x:c>
      <x:c r="I541" t="n">
        <x:f>G541-H541</x:f>
        <x:v>0</x:v>
      </x:c>
      <x:c r="J541" s="20" t="n">
        <x:f>IFERROR(H541/G541,0)</x:f>
        <x:v>1</x:v>
      </x:c>
      <x:c r="K541" t="n">
        <x:v>362080</x:v>
      </x:c>
      <x:c r="L541" t="n">
        <x:v>362080</x:v>
      </x:c>
      <x:c r="M541" t="n">
        <x:v>362080</x:v>
      </x:c>
      <x:c r="N541" t="n">
        <x:v>362080</x:v>
      </x:c>
      <x:c r="O541" t="n">
        <x:v>362080</x:v>
      </x:c>
    </x:row>
    <x:row r="542">
      <x:c r="A542" t="str">
        <x:v>Rajasthan</x:v>
      </x:c>
      <x:c r="B542" t="str">
        <x:v>All India except Central University</x:v>
      </x:c>
      <x:c r="C542" t="str">
        <x:v>200249</x:v>
      </x:c>
      <x:c r="D542" t="str">
        <x:v>Dr SN Medical College, Jodhpur, RESIDENCY ROAD SHASTRI NAGAR JODHPUR RAJASTHAN 342003</x:v>
      </x:c>
      <x:c r="E542" t="str">
        <x:v>All India</x:v>
      </x:c>
      <x:c r="F542" t="str">
        <x:v>Open</x:v>
      </x:c>
      <x:c r="G542" t="n">
        <x:v>15</x:v>
      </x:c>
      <x:c r="H542" t="n">
        <x:v>15</x:v>
      </x:c>
      <x:c r="I542" t="n">
        <x:f>G542-H542</x:f>
        <x:v>0</x:v>
      </x:c>
      <x:c r="J542" s="20" t="n">
        <x:f>IFERROR(H542/G542,0)</x:f>
        <x:v>1</x:v>
      </x:c>
      <x:c r="K542" t="n">
        <x:v>1750</x:v>
      </x:c>
      <x:c r="L542" t="n">
        <x:v>3191</x:v>
      </x:c>
      <x:c r="M542" t="n">
        <x:v>3490</x:v>
      </x:c>
      <x:c r="N542" t="n">
        <x:v>3586</x:v>
      </x:c>
      <x:c r="O542" t="n">
        <x:v>3695</x:v>
      </x:c>
    </x:row>
    <x:row r="543">
      <x:c r="A543" t="str">
        <x:v>Rajasthan</x:v>
      </x:c>
      <x:c r="B543" t="str">
        <x:v>All India except Central University</x:v>
      </x:c>
      <x:c r="C543" t="str">
        <x:v>200249</x:v>
      </x:c>
      <x:c r="D543" t="str">
        <x:v>Dr SN Medical College, Jodhpur, RESIDENCY ROAD SHASTRI NAGAR JODHPUR RAJASTHAN 342003</x:v>
      </x:c>
      <x:c r="E543" t="str">
        <x:v>All India</x:v>
      </x:c>
      <x:c r="F543" t="str">
        <x:v>SC</x:v>
      </x:c>
      <x:c r="G543" t="n">
        <x:v>5</x:v>
      </x:c>
      <x:c r="H543" t="n">
        <x:v>5</x:v>
      </x:c>
      <x:c r="I543" t="n">
        <x:f>G543-H543</x:f>
        <x:v>0</x:v>
      </x:c>
      <x:c r="J543" s="20" t="n">
        <x:f>IFERROR(H543/G543,0)</x:f>
        <x:v>1</x:v>
      </x:c>
      <x:c r="K543" t="n">
        <x:v>18051</x:v>
      </x:c>
      <x:c r="L543" t="n">
        <x:v>21943</x:v>
      </x:c>
      <x:c r="M543" t="n">
        <x:v>23709</x:v>
      </x:c>
      <x:c r="N543" t="n">
        <x:v>25038</x:v>
      </x:c>
      <x:c r="O543" t="n">
        <x:v>25367</x:v>
      </x:c>
    </x:row>
    <x:row r="544">
      <x:c r="A544" t="str">
        <x:v>Rajasthan</x:v>
      </x:c>
      <x:c r="B544" t="str">
        <x:v>All India except Central University</x:v>
      </x:c>
      <x:c r="C544" t="str">
        <x:v>200249</x:v>
      </x:c>
      <x:c r="D544" t="str">
        <x:v>Dr SN Medical College, Jodhpur, RESIDENCY ROAD SHASTRI NAGAR JODHPUR RAJASTHAN 342003</x:v>
      </x:c>
      <x:c r="E544" t="str">
        <x:v>All India</x:v>
      </x:c>
      <x:c r="F544" t="str">
        <x:v>SC PwD</x:v>
      </x:c>
      <x:c r="G544" t="n">
        <x:v>1</x:v>
      </x:c>
      <x:c r="H544" t="n">
        <x:v>1</x:v>
      </x:c>
      <x:c r="I544" t="n">
        <x:f>G544-H544</x:f>
        <x:v>0</x:v>
      </x:c>
      <x:c r="J544" s="20" t="n">
        <x:f>IFERROR(H544/G544,0)</x:f>
        <x:v>1</x:v>
      </x:c>
      <x:c r="K544" t="n">
        <x:v>599903</x:v>
      </x:c>
      <x:c r="L544" t="n">
        <x:v>599903</x:v>
      </x:c>
      <x:c r="M544" t="n">
        <x:v>599903</x:v>
      </x:c>
      <x:c r="N544" t="n">
        <x:v>599903</x:v>
      </x:c>
      <x:c r="O544" t="n">
        <x:v>599903</x:v>
      </x:c>
    </x:row>
    <x:row r="545">
      <x:c r="A545" t="str">
        <x:v>Rajasthan</x:v>
      </x:c>
      <x:c r="B545" t="str">
        <x:v>All India except Central University</x:v>
      </x:c>
      <x:c r="C545" t="str">
        <x:v>200249</x:v>
      </x:c>
      <x:c r="D545" t="str">
        <x:v>Dr SN Medical College, Jodhpur, RESIDENCY ROAD SHASTRI NAGAR JODHPUR RAJASTHAN 342003</x:v>
      </x:c>
      <x:c r="E545" t="str">
        <x:v>All India</x:v>
      </x:c>
      <x:c r="F545" t="str">
        <x:v>ST</x:v>
      </x:c>
      <x:c r="G545" t="n">
        <x:v>2</x:v>
      </x:c>
      <x:c r="H545" t="n">
        <x:v>2</x:v>
      </x:c>
      <x:c r="I545" t="n">
        <x:f>G545-H545</x:f>
        <x:v>0</x:v>
      </x:c>
      <x:c r="J545" s="20" t="n">
        <x:f>IFERROR(H545/G545,0)</x:f>
        <x:v>1</x:v>
      </x:c>
      <x:c r="K545" t="n">
        <x:v>10984</x:v>
      </x:c>
      <x:c r="L545" t="n">
        <x:v>14246.75</x:v>
      </x:c>
      <x:c r="M545" t="n">
        <x:v>17509.5</x:v>
      </x:c>
      <x:c r="N545" t="n">
        <x:v>20772.25</x:v>
      </x:c>
      <x:c r="O545" t="n">
        <x:v>24035</x:v>
      </x:c>
    </x:row>
    <x:row r="546">
      <x:c r="A546" t="str">
        <x:v>Rajasthan</x:v>
      </x:c>
      <x:c r="B546" t="str">
        <x:v>All India except Central University</x:v>
      </x:c>
      <x:c r="C546" t="str">
        <x:v>200249</x:v>
      </x:c>
      <x:c r="D546" t="str">
        <x:v>Dr SN Medical College, Jodhpur, RESIDENCY ROAD SHASTRI NAGAR JODHPUR RAJASTHAN 342003</x:v>
      </x:c>
      <x:c r="E546" t="str">
        <x:v>All India</x:v>
      </x:c>
      <x:c r="F546" t="str">
        <x:v>ST PwD</x:v>
      </x:c>
      <x:c r="G546" t="n">
        <x:v>1</x:v>
      </x:c>
      <x:c r="H546" t="n">
        <x:v>1</x:v>
      </x:c>
      <x:c r="I546" t="n">
        <x:f>G546-H546</x:f>
        <x:v>0</x:v>
      </x:c>
      <x:c r="J546" s="20" t="n">
        <x:f>IFERROR(H546/G546,0)</x:f>
        <x:v>1</x:v>
      </x:c>
      <x:c r="K546" t="n">
        <x:v>693720</x:v>
      </x:c>
      <x:c r="L546" t="n">
        <x:v>693720</x:v>
      </x:c>
      <x:c r="M546" t="n">
        <x:v>693720</x:v>
      </x:c>
      <x:c r="N546" t="n">
        <x:v>693720</x:v>
      </x:c>
      <x:c r="O546" t="n">
        <x:v>693720</x:v>
      </x:c>
    </x:row>
    <x:row r="547">
      <x:c r="A547" t="str">
        <x:v>Maharashtra</x:v>
      </x:c>
      <x:c r="B547" t="str">
        <x:v>All India except Central University</x:v>
      </x:c>
      <x:c r="C547" t="str">
        <x:v>200207</x:v>
      </x:c>
      <x:c r="D547" t="str">
        <x:v>Dr Vaishampayan Memorial Medical College, Solapur, In Front of District Civil Court, Solapur.</x:v>
      </x:c>
      <x:c r="E547" t="str">
        <x:v>All India</x:v>
      </x:c>
      <x:c r="F547" t="str">
        <x:v>EWS</x:v>
      </x:c>
      <x:c r="G547" t="n">
        <x:v>3</x:v>
      </x:c>
      <x:c r="H547" t="n">
        <x:v>3</x:v>
      </x:c>
      <x:c r="I547" t="n">
        <x:f>G547-H547</x:f>
        <x:v>0</x:v>
      </x:c>
      <x:c r="J547" s="20" t="n">
        <x:f>IFERROR(H547/G547,0)</x:f>
        <x:v>1</x:v>
      </x:c>
      <x:c r="K547" t="n">
        <x:v>12150</x:v>
      </x:c>
      <x:c r="L547" t="n">
        <x:v>12929</x:v>
      </x:c>
      <x:c r="M547" t="n">
        <x:v>13708</x:v>
      </x:c>
      <x:c r="N547" t="n">
        <x:v>13830.5</x:v>
      </x:c>
      <x:c r="O547" t="n">
        <x:v>13953</x:v>
      </x:c>
    </x:row>
    <x:row r="548">
      <x:c r="A548" t="str">
        <x:v>Maharashtra</x:v>
      </x:c>
      <x:c r="B548" t="str">
        <x:v>All India except Central University</x:v>
      </x:c>
      <x:c r="C548" t="str">
        <x:v>200207</x:v>
      </x:c>
      <x:c r="D548" t="str">
        <x:v>Dr Vaishampayan Memorial Medical College, Solapur, In Front of District Civil Court, Solapur.</x:v>
      </x:c>
      <x:c r="E548" t="str">
        <x:v>All India</x:v>
      </x:c>
      <x:c r="F548" t="str">
        <x:v>OBC</x:v>
      </x:c>
      <x:c r="G548" t="n">
        <x:v>7</x:v>
      </x:c>
      <x:c r="H548" t="n">
        <x:v>7</x:v>
      </x:c>
      <x:c r="I548" t="n">
        <x:f>G548-H548</x:f>
        <x:v>0</x:v>
      </x:c>
      <x:c r="J548" s="20" t="n">
        <x:f>IFERROR(H548/G548,0)</x:f>
        <x:v>1</x:v>
      </x:c>
      <x:c r="K548" t="n">
        <x:v>11116</x:v>
      </x:c>
      <x:c r="L548" t="n">
        <x:v>11855.5</x:v>
      </x:c>
      <x:c r="M548" t="n">
        <x:v>12226</x:v>
      </x:c>
      <x:c r="N548" t="n">
        <x:v>12648</x:v>
      </x:c>
      <x:c r="O548" t="n">
        <x:v>12673</x:v>
      </x:c>
    </x:row>
    <x:row r="549">
      <x:c r="A549" t="str">
        <x:v>Maharashtra</x:v>
      </x:c>
      <x:c r="B549" t="str">
        <x:v>All India except Central University</x:v>
      </x:c>
      <x:c r="C549" t="str">
        <x:v>200207</x:v>
      </x:c>
      <x:c r="D549" t="str">
        <x:v>Dr Vaishampayan Memorial Medical College, Solapur, In Front of District Civil Court, Solapur.</x:v>
      </x:c>
      <x:c r="E549" t="str">
        <x:v>All India</x:v>
      </x:c>
      <x:c r="F549" t="str">
        <x:v>OBC PwD</x:v>
      </x:c>
      <x:c r="G549" t="n">
        <x:v>1</x:v>
      </x:c>
      <x:c r="H549" t="n">
        <x:v>1</x:v>
      </x:c>
      <x:c r="I549" t="n">
        <x:f>G549-H549</x:f>
        <x:v>0</x:v>
      </x:c>
      <x:c r="J549" s="20" t="n">
        <x:f>IFERROR(H549/G549,0)</x:f>
        <x:v>1</x:v>
      </x:c>
      <x:c r="K549" t="n">
        <x:v>441610</x:v>
      </x:c>
      <x:c r="L549" t="n">
        <x:v>441610</x:v>
      </x:c>
      <x:c r="M549" t="n">
        <x:v>441610</x:v>
      </x:c>
      <x:c r="N549" t="n">
        <x:v>441610</x:v>
      </x:c>
      <x:c r="O549" t="n">
        <x:v>441610</x:v>
      </x:c>
    </x:row>
    <x:row r="550">
      <x:c r="A550" t="str">
        <x:v>Maharashtra</x:v>
      </x:c>
      <x:c r="B550" t="str">
        <x:v>All India except Central University</x:v>
      </x:c>
      <x:c r="C550" t="str">
        <x:v>200207</x:v>
      </x:c>
      <x:c r="D550" t="str">
        <x:v>Dr Vaishampayan Memorial Medical College, Solapur, In Front of District Civil Court, Solapur.</x:v>
      </x:c>
      <x:c r="E550" t="str">
        <x:v>All India</x:v>
      </x:c>
      <x:c r="F550" t="str">
        <x:v>Open</x:v>
      </x:c>
      <x:c r="G550" t="n">
        <x:v>12</x:v>
      </x:c>
      <x:c r="H550" t="n">
        <x:v>12</x:v>
      </x:c>
      <x:c r="I550" t="n">
        <x:f>G550-H550</x:f>
        <x:v>0</x:v>
      </x:c>
      <x:c r="J550" s="20" t="n">
        <x:f>IFERROR(H550/G550,0)</x:f>
        <x:v>1</x:v>
      </x:c>
      <x:c r="K550" t="n">
        <x:v>7725</x:v>
      </x:c>
      <x:c r="L550" t="n">
        <x:v>9384.75</x:v>
      </x:c>
      <x:c r="M550" t="n">
        <x:v>10341.5</x:v>
      </x:c>
      <x:c r="N550" t="n">
        <x:v>10610.75</x:v>
      </x:c>
      <x:c r="O550" t="n">
        <x:v>10935</x:v>
      </x:c>
    </x:row>
    <x:row r="551">
      <x:c r="A551" t="str">
        <x:v>Maharashtra</x:v>
      </x:c>
      <x:c r="B551" t="str">
        <x:v>All India except Central University</x:v>
      </x:c>
      <x:c r="C551" t="str">
        <x:v>200207</x:v>
      </x:c>
      <x:c r="D551" t="str">
        <x:v>Dr Vaishampayan Memorial Medical College, Solapur, In Front of District Civil Court, Solapur.</x:v>
      </x:c>
      <x:c r="E551" t="str">
        <x:v>All India</x:v>
      </x:c>
      <x:c r="F551" t="str">
        <x:v>SC</x:v>
      </x:c>
      <x:c r="G551" t="n">
        <x:v>4</x:v>
      </x:c>
      <x:c r="H551" t="n">
        <x:v>4</x:v>
      </x:c>
      <x:c r="I551" t="n">
        <x:f>G551-H551</x:f>
        <x:v>0</x:v>
      </x:c>
      <x:c r="J551" s="20" t="n">
        <x:f>IFERROR(H551/G551,0)</x:f>
        <x:v>1</x:v>
      </x:c>
      <x:c r="K551" t="n">
        <x:v>45341</x:v>
      </x:c>
      <x:c r="L551" t="n">
        <x:v>53472.5</x:v>
      </x:c>
      <x:c r="M551" t="n">
        <x:v>57487</x:v>
      </x:c>
      <x:c r="N551" t="n">
        <x:v>60139</x:v>
      </x:c>
      <x:c r="O551" t="n">
        <x:v>64183</x:v>
      </x:c>
    </x:row>
    <x:row r="552">
      <x:c r="A552" t="str">
        <x:v>Maharashtra</x:v>
      </x:c>
      <x:c r="B552" t="str">
        <x:v>All India except Central University</x:v>
      </x:c>
      <x:c r="C552" t="str">
        <x:v>200207</x:v>
      </x:c>
      <x:c r="D552" t="str">
        <x:v>Dr Vaishampayan Memorial Medical College, Solapur, In Front of District Civil Court, Solapur.</x:v>
      </x:c>
      <x:c r="E552" t="str">
        <x:v>All India</x:v>
      </x:c>
      <x:c r="F552" t="str">
        <x:v>ST</x:v>
      </x:c>
      <x:c r="G552" t="n">
        <x:v>3</x:v>
      </x:c>
      <x:c r="H552" t="n">
        <x:v>3</x:v>
      </x:c>
      <x:c r="I552" t="n">
        <x:f>G552-H552</x:f>
        <x:v>0</x:v>
      </x:c>
      <x:c r="J552" s="20" t="n">
        <x:f>IFERROR(H552/G552,0)</x:f>
        <x:v>1</x:v>
      </x:c>
      <x:c r="K552" t="n">
        <x:v>91027</x:v>
      </x:c>
      <x:c r="L552" t="n">
        <x:v>91165</x:v>
      </x:c>
      <x:c r="M552" t="n">
        <x:v>91303</x:v>
      </x:c>
      <x:c r="N552" t="n">
        <x:v>93251</x:v>
      </x:c>
      <x:c r="O552" t="n">
        <x:v>95199</x:v>
      </x:c>
    </x:row>
    <x:row r="553">
      <x:c r="A553" t="str">
        <x:v>Delhi</x:v>
      </x:c>
      <x:c r="B553" t="str">
        <x:v>All India except Central University</x:v>
      </x:c>
      <x:c r="C553" t="str">
        <x:v>200127</x:v>
      </x:c>
      <x:c r="D553" t="str">
        <x:v>Dr. Baba Saheb Ambedkar Medical College, Rohini, Delhi, DR.BABA SAHEB AMBEDKAR MEDICAL COLLEGE AND HOSPITAL, ROHINI SEC-6, DELHI-110085</x:v>
      </x:c>
      <x:c r="E553" t="str">
        <x:v>All India</x:v>
      </x:c>
      <x:c r="F553" t="str">
        <x:v>EWS</x:v>
      </x:c>
      <x:c r="G553" t="n">
        <x:v>2</x:v>
      </x:c>
      <x:c r="H553" t="n">
        <x:v>2</x:v>
      </x:c>
      <x:c r="I553" t="n">
        <x:f>G553-H553</x:f>
        <x:v>0</x:v>
      </x:c>
      <x:c r="J553" s="20" t="n">
        <x:f>IFERROR(H553/G553,0)</x:f>
        <x:v>1</x:v>
      </x:c>
      <x:c r="K553" t="n">
        <x:v>2524</x:v>
      </x:c>
      <x:c r="L553" t="n">
        <x:v>2532</x:v>
      </x:c>
      <x:c r="M553" t="n">
        <x:v>2540</x:v>
      </x:c>
      <x:c r="N553" t="n">
        <x:v>2548</x:v>
      </x:c>
      <x:c r="O553" t="n">
        <x:v>2556</x:v>
      </x:c>
    </x:row>
    <x:row r="554">
      <x:c r="A554" t="str">
        <x:v>Delhi</x:v>
      </x:c>
      <x:c r="B554" t="str">
        <x:v>All India except Central University</x:v>
      </x:c>
      <x:c r="C554" t="str">
        <x:v>200127</x:v>
      </x:c>
      <x:c r="D554" t="str">
        <x:v>Dr. Baba Saheb Ambedkar Medical College, Rohini, Delhi, DR.BABA SAHEB AMBEDKAR MEDICAL COLLEGE AND HOSPITAL, ROHINI SEC-6, DELHI-110085</x:v>
      </x:c>
      <x:c r="E554" t="str">
        <x:v>All India</x:v>
      </x:c>
      <x:c r="F554" t="str">
        <x:v>OBC</x:v>
      </x:c>
      <x:c r="G554" t="n">
        <x:v>5</x:v>
      </x:c>
      <x:c r="H554" t="n">
        <x:v>5</x:v>
      </x:c>
      <x:c r="I554" t="n">
        <x:f>G554-H554</x:f>
        <x:v>0</x:v>
      </x:c>
      <x:c r="J554" s="20" t="n">
        <x:f>IFERROR(H554/G554,0)</x:f>
        <x:v>1</x:v>
      </x:c>
      <x:c r="K554" t="n">
        <x:v>1819</x:v>
      </x:c>
      <x:c r="L554" t="n">
        <x:v>1881</x:v>
      </x:c>
      <x:c r="M554" t="n">
        <x:v>2169</x:v>
      </x:c>
      <x:c r="N554" t="n">
        <x:v>2193</x:v>
      </x:c>
      <x:c r="O554" t="n">
        <x:v>2195</x:v>
      </x:c>
    </x:row>
    <x:row r="555">
      <x:c r="A555" t="str">
        <x:v>Delhi</x:v>
      </x:c>
      <x:c r="B555" t="str">
        <x:v>All India except Central University</x:v>
      </x:c>
      <x:c r="C555" t="str">
        <x:v>200127</x:v>
      </x:c>
      <x:c r="D555" t="str">
        <x:v>Dr. Baba Saheb Ambedkar Medical College, Rohini, Delhi, DR.BABA SAHEB AMBEDKAR MEDICAL COLLEGE AND HOSPITAL, ROHINI SEC-6, DELHI-110085</x:v>
      </x:c>
      <x:c r="E555" t="str">
        <x:v>All India</x:v>
      </x:c>
      <x:c r="F555" t="str">
        <x:v>Open</x:v>
      </x:c>
      <x:c r="G555" t="n">
        <x:v>7</x:v>
      </x:c>
      <x:c r="H555" t="n">
        <x:v>7</x:v>
      </x:c>
      <x:c r="I555" t="n">
        <x:f>G555-H555</x:f>
        <x:v>0</x:v>
      </x:c>
      <x:c r="J555" s="20" t="n">
        <x:f>IFERROR(H555/G555,0)</x:f>
        <x:v>1</x:v>
      </x:c>
      <x:c r="K555" t="n">
        <x:v>882</x:v>
      </x:c>
      <x:c r="L555" t="n">
        <x:v>1071.5</x:v>
      </x:c>
      <x:c r="M555" t="n">
        <x:v>1093</x:v>
      </x:c>
      <x:c r="N555" t="n">
        <x:v>1220.5</x:v>
      </x:c>
      <x:c r="O555" t="n">
        <x:v>1357</x:v>
      </x:c>
    </x:row>
    <x:row r="556">
      <x:c r="A556" t="str">
        <x:v>Delhi</x:v>
      </x:c>
      <x:c r="B556" t="str">
        <x:v>All India except Central University</x:v>
      </x:c>
      <x:c r="C556" t="str">
        <x:v>200127</x:v>
      </x:c>
      <x:c r="D556" t="str">
        <x:v>Dr. Baba Saheb Ambedkar Medical College, Rohini, Delhi, DR.BABA SAHEB AMBEDKAR MEDICAL COLLEGE AND HOSPITAL, ROHINI SEC-6, DELHI-110085</x:v>
      </x:c>
      <x:c r="E556" t="str">
        <x:v>All India</x:v>
      </x:c>
      <x:c r="F556" t="str">
        <x:v>SC</x:v>
      </x:c>
      <x:c r="G556" t="n">
        <x:v>3</x:v>
      </x:c>
      <x:c r="H556" t="n">
        <x:v>3</x:v>
      </x:c>
      <x:c r="I556" t="n">
        <x:f>G556-H556</x:f>
        <x:v>0</x:v>
      </x:c>
      <x:c r="J556" s="20" t="n">
        <x:f>IFERROR(H556/G556,0)</x:f>
        <x:v>1</x:v>
      </x:c>
      <x:c r="K556" t="n">
        <x:v>10289</x:v>
      </x:c>
      <x:c r="L556" t="n">
        <x:v>11769</x:v>
      </x:c>
      <x:c r="M556" t="n">
        <x:v>13249</x:v>
      </x:c>
      <x:c r="N556" t="n">
        <x:v>13391.5</x:v>
      </x:c>
      <x:c r="O556" t="n">
        <x:v>13534</x:v>
      </x:c>
    </x:row>
    <x:row r="557">
      <x:c r="A557" t="str">
        <x:v>Delhi</x:v>
      </x:c>
      <x:c r="B557" t="str">
        <x:v>All India except Central University</x:v>
      </x:c>
      <x:c r="C557" t="str">
        <x:v>200127</x:v>
      </x:c>
      <x:c r="D557" t="str">
        <x:v>Dr. Baba Saheb Ambedkar Medical College, Rohini, Delhi, DR.BABA SAHEB AMBEDKAR MEDICAL COLLEGE AND HOSPITAL, ROHINI SEC-6, DELHI-110085</x:v>
      </x:c>
      <x:c r="E557" t="str">
        <x:v>All India</x:v>
      </x:c>
      <x:c r="F557" t="str">
        <x:v>ST</x:v>
      </x:c>
      <x:c r="G557" t="n">
        <x:v>2</x:v>
      </x:c>
      <x:c r="H557" t="n">
        <x:v>2</x:v>
      </x:c>
      <x:c r="I557" t="n">
        <x:f>G557-H557</x:f>
        <x:v>0</x:v>
      </x:c>
      <x:c r="J557" s="20" t="n">
        <x:f>IFERROR(H557/G557,0)</x:f>
        <x:v>1</x:v>
      </x:c>
      <x:c r="K557" t="n">
        <x:v>22941</x:v>
      </x:c>
      <x:c r="L557" t="n">
        <x:v>24031</x:v>
      </x:c>
      <x:c r="M557" t="n">
        <x:v>25121</x:v>
      </x:c>
      <x:c r="N557" t="n">
        <x:v>26211</x:v>
      </x:c>
      <x:c r="O557" t="n">
        <x:v>27301</x:v>
      </x:c>
    </x:row>
    <x:row r="558">
      <x:c r="A558" t="str">
        <x:v>Uttar Pradesh</x:v>
      </x:c>
      <x:c r="B558" t="str">
        <x:v>All India except Central University</x:v>
      </x:c>
      <x:c r="C558" t="str">
        <x:v>200293</x:v>
      </x:c>
      <x:c r="D558" t="str">
        <x:v>Dr. Bhimrao Ramji Ambedkar, Government Medical College, Kannauj, U.P., Tirwa Road, Kannauj</x:v>
      </x:c>
      <x:c r="E558" t="str">
        <x:v>All India</x:v>
      </x:c>
      <x:c r="F558" t="str">
        <x:v>EWS</x:v>
      </x:c>
      <x:c r="G558" t="n">
        <x:v>1</x:v>
      </x:c>
      <x:c r="H558" t="n">
        <x:v>1</x:v>
      </x:c>
      <x:c r="I558" t="n">
        <x:f>G558-H558</x:f>
        <x:v>0</x:v>
      </x:c>
      <x:c r="J558" s="20" t="n">
        <x:f>IFERROR(H558/G558,0)</x:f>
        <x:v>1</x:v>
      </x:c>
      <x:c r="K558" t="n">
        <x:v>9351</x:v>
      </x:c>
      <x:c r="L558" t="n">
        <x:v>9351</x:v>
      </x:c>
      <x:c r="M558" t="n">
        <x:v>9351</x:v>
      </x:c>
      <x:c r="N558" t="n">
        <x:v>9351</x:v>
      </x:c>
      <x:c r="O558" t="n">
        <x:v>9351</x:v>
      </x:c>
    </x:row>
    <x:row r="559">
      <x:c r="A559" t="str">
        <x:v>Uttar Pradesh</x:v>
      </x:c>
      <x:c r="B559" t="str">
        <x:v>All India except Central University</x:v>
      </x:c>
      <x:c r="C559" t="str">
        <x:v>200293</x:v>
      </x:c>
      <x:c r="D559" t="str">
        <x:v>Dr. Bhimrao Ramji Ambedkar, Government Medical College, Kannauj, U.P., Tirwa Road, Kannauj</x:v>
      </x:c>
      <x:c r="E559" t="str">
        <x:v>All India</x:v>
      </x:c>
      <x:c r="F559" t="str">
        <x:v>OBC</x:v>
      </x:c>
      <x:c r="G559" t="n">
        <x:v>4</x:v>
      </x:c>
      <x:c r="H559" t="n">
        <x:v>4</x:v>
      </x:c>
      <x:c r="I559" t="n">
        <x:f>G559-H559</x:f>
        <x:v>0</x:v>
      </x:c>
      <x:c r="J559" s="20" t="n">
        <x:f>IFERROR(H559/G559,0)</x:f>
        <x:v>1</x:v>
      </x:c>
      <x:c r="K559" t="n">
        <x:v>9085</x:v>
      </x:c>
      <x:c r="L559" t="n">
        <x:v>9105.25</x:v>
      </x:c>
      <x:c r="M559" t="n">
        <x:v>9190.5</x:v>
      </x:c>
      <x:c r="N559" t="n">
        <x:v>9534.25</x:v>
      </x:c>
      <x:c r="O559" t="n">
        <x:v>10330</x:v>
      </x:c>
    </x:row>
    <x:row r="560">
      <x:c r="A560" t="str">
        <x:v>Uttar Pradesh</x:v>
      </x:c>
      <x:c r="B560" t="str">
        <x:v>All India except Central University</x:v>
      </x:c>
      <x:c r="C560" t="str">
        <x:v>200293</x:v>
      </x:c>
      <x:c r="D560" t="str">
        <x:v>Dr. Bhimrao Ramji Ambedkar, Government Medical College, Kannauj, U.P., Tirwa Road, Kannauj</x:v>
      </x:c>
      <x:c r="E560" t="str">
        <x:v>All India</x:v>
      </x:c>
      <x:c r="F560" t="str">
        <x:v>Open</x:v>
      </x:c>
      <x:c r="G560" t="n">
        <x:v>7</x:v>
      </x:c>
      <x:c r="H560" t="n">
        <x:v>7</x:v>
      </x:c>
      <x:c r="I560" t="n">
        <x:f>G560-H560</x:f>
        <x:v>0</x:v>
      </x:c>
      <x:c r="J560" s="20" t="n">
        <x:f>IFERROR(H560/G560,0)</x:f>
        <x:v>1</x:v>
      </x:c>
      <x:c r="K560" t="n">
        <x:v>7684</x:v>
      </x:c>
      <x:c r="L560" t="n">
        <x:v>8009</x:v>
      </x:c>
      <x:c r="M560" t="n">
        <x:v>8205</x:v>
      </x:c>
      <x:c r="N560" t="n">
        <x:v>8756.5</x:v>
      </x:c>
      <x:c r="O560" t="n">
        <x:v>9070</x:v>
      </x:c>
    </x:row>
    <x:row r="561">
      <x:c r="A561" t="str">
        <x:v>Uttar Pradesh</x:v>
      </x:c>
      <x:c r="B561" t="str">
        <x:v>All India except Central University</x:v>
      </x:c>
      <x:c r="C561" t="str">
        <x:v>200293</x:v>
      </x:c>
      <x:c r="D561" t="str">
        <x:v>Dr. Bhimrao Ramji Ambedkar, Government Medical College, Kannauj, U.P., Tirwa Road, Kannauj</x:v>
      </x:c>
      <x:c r="E561" t="str">
        <x:v>All India</x:v>
      </x:c>
      <x:c r="F561" t="str">
        <x:v>SC</x:v>
      </x:c>
      <x:c r="G561" t="n">
        <x:v>2</x:v>
      </x:c>
      <x:c r="H561" t="n">
        <x:v>2</x:v>
      </x:c>
      <x:c r="I561" t="n">
        <x:f>G561-H561</x:f>
        <x:v>0</x:v>
      </x:c>
      <x:c r="J561" s="20" t="n">
        <x:f>IFERROR(H561/G561,0)</x:f>
        <x:v>1</x:v>
      </x:c>
      <x:c r="K561" t="n">
        <x:v>64222</x:v>
      </x:c>
      <x:c r="L561" t="n">
        <x:v>64223.5</x:v>
      </x:c>
      <x:c r="M561" t="n">
        <x:v>64225</x:v>
      </x:c>
      <x:c r="N561" t="n">
        <x:v>64226.5</x:v>
      </x:c>
      <x:c r="O561" t="n">
        <x:v>64228</x:v>
      </x:c>
    </x:row>
    <x:row r="562">
      <x:c r="A562" t="str">
        <x:v>Uttar Pradesh</x:v>
      </x:c>
      <x:c r="B562" t="str">
        <x:v>All India except Central University</x:v>
      </x:c>
      <x:c r="C562" t="str">
        <x:v>200293</x:v>
      </x:c>
      <x:c r="D562" t="str">
        <x:v>Dr. Bhimrao Ramji Ambedkar, Government Medical College, Kannauj, U.P., Tirwa Road, Kannauj</x:v>
      </x:c>
      <x:c r="E562" t="str">
        <x:v>All India</x:v>
      </x:c>
      <x:c r="F562" t="str">
        <x:v>ST</x:v>
      </x:c>
      <x:c r="G562" t="n">
        <x:v>1</x:v>
      </x:c>
      <x:c r="H562" t="n">
        <x:v>1</x:v>
      </x:c>
      <x:c r="I562" t="n">
        <x:f>G562-H562</x:f>
        <x:v>0</x:v>
      </x:c>
      <x:c r="J562" s="20" t="n">
        <x:f>IFERROR(H562/G562,0)</x:f>
        <x:v>1</x:v>
      </x:c>
      <x:c r="K562" t="n">
        <x:v>75352</x:v>
      </x:c>
      <x:c r="L562" t="n">
        <x:v>75352</x:v>
      </x:c>
      <x:c r="M562" t="n">
        <x:v>75352</x:v>
      </x:c>
      <x:c r="N562" t="n">
        <x:v>75352</x:v>
      </x:c>
      <x:c r="O562" t="n">
        <x:v>75352</x:v>
      </x:c>
    </x:row>
    <x:row r="563">
      <x:c r="A563" t="str">
        <x:v>Maharashtra</x:v>
      </x:c>
      <x:c r="B563" t="str">
        <x:v>Deemed University</x:v>
      </x:c>
      <x:c r="C563" t="str">
        <x:v>200361</x:v>
      </x:c>
      <x:c r="D563" t="str">
        <x:v>Dr. D Y Patil Medical College, Hospital and Research Centre, Pimpri, Pune, Dr. D. Y. Patil Medical College, Hospital and Research Centre, Sant Tukaram Nagar, Pimpri, Pune.</x:v>
      </x:c>
      <x:c r="E563" t="str">
        <x:v>NRI</x:v>
      </x:c>
      <x:c r="F563" t="str">
        <x:v>Open</x:v>
      </x:c>
      <x:c r="G563" t="n">
        <x:v>38</x:v>
      </x:c>
      <x:c r="H563" t="n">
        <x:v>2</x:v>
      </x:c>
      <x:c r="I563" t="n">
        <x:f>G563-H563</x:f>
        <x:v>36</x:v>
      </x:c>
      <x:c r="J563" s="20" t="n">
        <x:f>IFERROR(H563/G563,0)</x:f>
        <x:v>0.05263157894736842</x:v>
      </x:c>
      <x:c r="K563" t="n">
        <x:v>892271</x:v>
      </x:c>
      <x:c r="L563" t="n">
        <x:v>896072.75</x:v>
      </x:c>
      <x:c r="M563" t="n">
        <x:v>899874.5</x:v>
      </x:c>
      <x:c r="N563" t="n">
        <x:v>903676.25</x:v>
      </x:c>
      <x:c r="O563" t="n">
        <x:v>907478</x:v>
      </x:c>
    </x:row>
    <x:row r="564">
      <x:c r="A564" t="str">
        <x:v>Maharashtra</x:v>
      </x:c>
      <x:c r="B564" t="str">
        <x:v>Deemed University</x:v>
      </x:c>
      <x:c r="C564" t="str">
        <x:v>200361</x:v>
      </x:c>
      <x:c r="D564" t="str">
        <x:v>Dr. D Y Patil Medical College, Hospital and Research Centre, Pimpri, Pune, Dr. D. Y. Patil Medical College, Hospital and Research Centre, Sant Tukaram Nagar, Pimpri, Pune.</x:v>
      </x:c>
      <x:c r="E564" t="str">
        <x:v>Self-Financed Merit</x:v>
      </x:c>
      <x:c r="F564" t="str">
        <x:v>Open</x:v>
      </x:c>
      <x:c r="G564" t="n">
        <x:v>212</x:v>
      </x:c>
      <x:c r="H564" t="n">
        <x:v>212</x:v>
      </x:c>
      <x:c r="I564" t="n">
        <x:f>G564-H564</x:f>
        <x:v>0</x:v>
      </x:c>
      <x:c r="J564" s="20" t="n">
        <x:f>IFERROR(H564/G564,0)</x:f>
        <x:v>1</x:v>
      </x:c>
      <x:c r="K564" t="n">
        <x:v>46920</x:v>
      </x:c>
      <x:c r="L564" t="n">
        <x:v>257375</x:v>
      </x:c>
      <x:c r="M564" t="n">
        <x:v>351031.5</x:v>
      </x:c>
      <x:c r="N564" t="n">
        <x:v>410869.5</x:v>
      </x:c>
      <x:c r="O564" t="n">
        <x:v>459613</x:v>
      </x:c>
    </x:row>
    <x:row r="565">
      <x:c r="A565" t="str">
        <x:v>Maharashtra</x:v>
      </x:c>
      <x:c r="B565" t="str">
        <x:v>Deemed University</x:v>
      </x:c>
      <x:c r="C565" t="str">
        <x:v>200363</x:v>
      </x:c>
      <x:c r="D565" t="str">
        <x:v>Dr. D Y Patil Medical College, Kolhapur, 869, E Ward, D. Y. Patil Vidyanagar, Kasaba Bavada, Kolhapur 416006</x:v>
      </x:c>
      <x:c r="E565" t="str">
        <x:v>NRI</x:v>
      </x:c>
      <x:c r="F565" t="str">
        <x:v>Open</x:v>
      </x:c>
      <x:c r="G565" t="n">
        <x:v>30</x:v>
      </x:c>
      <x:c r="H565" t="n">
        <x:v>0</x:v>
      </x:c>
      <x:c r="I565" t="n">
        <x:f>G565-H565</x:f>
        <x:v>30</x:v>
      </x:c>
      <x:c r="J565" s="20" t="n">
        <x:f>IFERROR(H565/G565,0)</x:f>
        <x:v>0</x:v>
      </x:c>
      <x:c r="K565"/>
      <x:c r="L565"/>
      <x:c r="M565"/>
      <x:c r="N565"/>
      <x:c r="O565"/>
    </x:row>
    <x:row r="566">
      <x:c r="A566" t="str">
        <x:v>Maharashtra</x:v>
      </x:c>
      <x:c r="B566" t="str">
        <x:v>Deemed University</x:v>
      </x:c>
      <x:c r="C566" t="str">
        <x:v>200363</x:v>
      </x:c>
      <x:c r="D566" t="str">
        <x:v>Dr. D Y Patil Medical College, Kolhapur, 869, E Ward, D. Y. Patil Vidyanagar, Kasaba Bavada, Kolhapur 416006</x:v>
      </x:c>
      <x:c r="E566" t="str">
        <x:v>Self-Financed Merit</x:v>
      </x:c>
      <x:c r="F566" t="str">
        <x:v>Open</x:v>
      </x:c>
      <x:c r="G566" t="n">
        <x:v>170</x:v>
      </x:c>
      <x:c r="H566" t="n">
        <x:v>170</x:v>
      </x:c>
      <x:c r="I566" t="n">
        <x:f>G566-H566</x:f>
        <x:v>0</x:v>
      </x:c>
      <x:c r="J566" s="20" t="n">
        <x:f>IFERROR(H566/G566,0)</x:f>
        <x:v>1</x:v>
      </x:c>
      <x:c r="K566" t="n">
        <x:v>64630</x:v>
      </x:c>
      <x:c r="L566" t="n">
        <x:v>305277.75</x:v>
      </x:c>
      <x:c r="M566" t="n">
        <x:v>370971</x:v>
      </x:c>
      <x:c r="N566" t="n">
        <x:v>422514.75</x:v>
      </x:c>
      <x:c r="O566" t="n">
        <x:v>466435</x:v>
      </x:c>
    </x:row>
    <x:row r="567">
      <x:c r="A567" t="str">
        <x:v>Madhya Pradesh</x:v>
      </x:c>
      <x:c r="B567" t="str">
        <x:v>All India except Central University</x:v>
      </x:c>
      <x:c r="C567" t="str">
        <x:v>200479</x:v>
      </x:c>
      <x:c r="D567" t="str">
        <x:v>Dr. LAXMINARAYAN PANDEY GOVT. MEDICAL COLLEGE, RATLAM, Gram Banjali, Sailana Road, NH927A, Madhya Pradesh 457001, India</x:v>
      </x:c>
      <x:c r="E567" t="str">
        <x:v>All India</x:v>
      </x:c>
      <x:c r="F567" t="str">
        <x:v>EWS</x:v>
      </x:c>
      <x:c r="G567" t="n">
        <x:v>4</x:v>
      </x:c>
      <x:c r="H567" t="n">
        <x:v>4</x:v>
      </x:c>
      <x:c r="I567" t="n">
        <x:f>G567-H567</x:f>
        <x:v>0</x:v>
      </x:c>
      <x:c r="J567" s="20" t="n">
        <x:f>IFERROR(H567/G567,0)</x:f>
        <x:v>1</x:v>
      </x:c>
      <x:c r="K567" t="n">
        <x:v>11319</x:v>
      </x:c>
      <x:c r="L567" t="n">
        <x:v>12273</x:v>
      </x:c>
      <x:c r="M567" t="n">
        <x:v>12593</x:v>
      </x:c>
      <x:c r="N567" t="n">
        <x:v>12628.75</x:v>
      </x:c>
      <x:c r="O567" t="n">
        <x:v>12730</x:v>
      </x:c>
    </x:row>
    <x:row r="568">
      <x:c r="A568" t="str">
        <x:v>Madhya Pradesh</x:v>
      </x:c>
      <x:c r="B568" t="str">
        <x:v>All India except Central University</x:v>
      </x:c>
      <x:c r="C568" t="str">
        <x:v>200479</x:v>
      </x:c>
      <x:c r="D568" t="str">
        <x:v>Dr. LAXMINARAYAN PANDEY GOVT. MEDICAL COLLEGE, RATLAM, Gram Banjali, Sailana Road, NH927A, Madhya Pradesh 457001, India</x:v>
      </x:c>
      <x:c r="E568" t="str">
        <x:v>All India</x:v>
      </x:c>
      <x:c r="F568" t="str">
        <x:v>OBC</x:v>
      </x:c>
      <x:c r="G568" t="n">
        <x:v>7</x:v>
      </x:c>
      <x:c r="H568" t="n">
        <x:v>7</x:v>
      </x:c>
      <x:c r="I568" t="n">
        <x:f>G568-H568</x:f>
        <x:v>0</x:v>
      </x:c>
      <x:c r="J568" s="20" t="n">
        <x:f>IFERROR(H568/G568,0)</x:f>
        <x:v>1</x:v>
      </x:c>
      <x:c r="K568" t="n">
        <x:v>10684</x:v>
      </x:c>
      <x:c r="L568" t="n">
        <x:v>11141.5</x:v>
      </x:c>
      <x:c r="M568" t="n">
        <x:v>11294</x:v>
      </x:c>
      <x:c r="N568" t="n">
        <x:v>11360.5</x:v>
      </x:c>
      <x:c r="O568" t="n">
        <x:v>11426</x:v>
      </x:c>
    </x:row>
    <x:row r="569">
      <x:c r="A569" t="str">
        <x:v>Madhya Pradesh</x:v>
      </x:c>
      <x:c r="B569" t="str">
        <x:v>All India except Central University</x:v>
      </x:c>
      <x:c r="C569" t="str">
        <x:v>200479</x:v>
      </x:c>
      <x:c r="D569" t="str">
        <x:v>Dr. LAXMINARAYAN PANDEY GOVT. MEDICAL COLLEGE, RATLAM, Gram Banjali, Sailana Road, NH927A, Madhya Pradesh 457001, India</x:v>
      </x:c>
      <x:c r="E569" t="str">
        <x:v>All India</x:v>
      </x:c>
      <x:c r="F569" t="str">
        <x:v>OBC PwD</x:v>
      </x:c>
      <x:c r="G569" t="n">
        <x:v>1</x:v>
      </x:c>
      <x:c r="H569" t="n">
        <x:v>1</x:v>
      </x:c>
      <x:c r="I569" t="n">
        <x:f>G569-H569</x:f>
        <x:v>0</x:v>
      </x:c>
      <x:c r="J569" s="20" t="n">
        <x:f>IFERROR(H569/G569,0)</x:f>
        <x:v>1</x:v>
      </x:c>
      <x:c r="K569" t="n">
        <x:v>636346</x:v>
      </x:c>
      <x:c r="L569" t="n">
        <x:v>636346</x:v>
      </x:c>
      <x:c r="M569" t="n">
        <x:v>636346</x:v>
      </x:c>
      <x:c r="N569" t="n">
        <x:v>636346</x:v>
      </x:c>
      <x:c r="O569" t="n">
        <x:v>636346</x:v>
      </x:c>
    </x:row>
    <x:row r="570">
      <x:c r="A570" t="str">
        <x:v>Madhya Pradesh</x:v>
      </x:c>
      <x:c r="B570" t="str">
        <x:v>All India except Central University</x:v>
      </x:c>
      <x:c r="C570" t="str">
        <x:v>200479</x:v>
      </x:c>
      <x:c r="D570" t="str">
        <x:v>Dr. LAXMINARAYAN PANDEY GOVT. MEDICAL COLLEGE, RATLAM, Gram Banjali, Sailana Road, NH927A, Madhya Pradesh 457001, India</x:v>
      </x:c>
      <x:c r="E570" t="str">
        <x:v>All India</x:v>
      </x:c>
      <x:c r="F570" t="str">
        <x:v>Open</x:v>
      </x:c>
      <x:c r="G570" t="n">
        <x:v>11</x:v>
      </x:c>
      <x:c r="H570" t="n">
        <x:v>11</x:v>
      </x:c>
      <x:c r="I570" t="n">
        <x:f>G570-H570</x:f>
        <x:v>0</x:v>
      </x:c>
      <x:c r="J570" s="20" t="n">
        <x:f>IFERROR(H570/G570,0)</x:f>
        <x:v>1</x:v>
      </x:c>
      <x:c r="K570" t="n">
        <x:v>8324</x:v>
      </x:c>
      <x:c r="L570" t="n">
        <x:v>9781.5</x:v>
      </x:c>
      <x:c r="M570" t="n">
        <x:v>10058</x:v>
      </x:c>
      <x:c r="N570" t="n">
        <x:v>10298</x:v>
      </x:c>
      <x:c r="O570" t="n">
        <x:v>10585</x:v>
      </x:c>
    </x:row>
    <x:row r="571">
      <x:c r="A571" t="str">
        <x:v>Madhya Pradesh</x:v>
      </x:c>
      <x:c r="B571" t="str">
        <x:v>All India except Central University</x:v>
      </x:c>
      <x:c r="C571" t="str">
        <x:v>200479</x:v>
      </x:c>
      <x:c r="D571" t="str">
        <x:v>Dr. LAXMINARAYAN PANDEY GOVT. MEDICAL COLLEGE, RATLAM, Gram Banjali, Sailana Road, NH927A, Madhya Pradesh 457001, India</x:v>
      </x:c>
      <x:c r="E571" t="str">
        <x:v>All India</x:v>
      </x:c>
      <x:c r="F571" t="str">
        <x:v>Open PwD</x:v>
      </x:c>
      <x:c r="G571" t="n">
        <x:v>1</x:v>
      </x:c>
      <x:c r="H571" t="n">
        <x:v>1</x:v>
      </x:c>
      <x:c r="I571" t="n">
        <x:f>G571-H571</x:f>
        <x:v>0</x:v>
      </x:c>
      <x:c r="J571" s="20" t="n">
        <x:f>IFERROR(H571/G571,0)</x:f>
        <x:v>1</x:v>
      </x:c>
      <x:c r="K571" t="n">
        <x:v>513821</x:v>
      </x:c>
      <x:c r="L571" t="n">
        <x:v>513821</x:v>
      </x:c>
      <x:c r="M571" t="n">
        <x:v>513821</x:v>
      </x:c>
      <x:c r="N571" t="n">
        <x:v>513821</x:v>
      </x:c>
      <x:c r="O571" t="n">
        <x:v>513821</x:v>
      </x:c>
    </x:row>
    <x:row r="572">
      <x:c r="A572" t="str">
        <x:v>Madhya Pradesh</x:v>
      </x:c>
      <x:c r="B572" t="str">
        <x:v>All India except Central University</x:v>
      </x:c>
      <x:c r="C572" t="str">
        <x:v>200479</x:v>
      </x:c>
      <x:c r="D572" t="str">
        <x:v>Dr. LAXMINARAYAN PANDEY GOVT. MEDICAL COLLEGE, RATLAM, Gram Banjali, Sailana Road, NH927A, Madhya Pradesh 457001, India</x:v>
      </x:c>
      <x:c r="E572" t="str">
        <x:v>All India</x:v>
      </x:c>
      <x:c r="F572" t="str">
        <x:v>SC</x:v>
      </x:c>
      <x:c r="G572" t="n">
        <x:v>3</x:v>
      </x:c>
      <x:c r="H572" t="n">
        <x:v>3</x:v>
      </x:c>
      <x:c r="I572" t="n">
        <x:f>G572-H572</x:f>
        <x:v>0</x:v>
      </x:c>
      <x:c r="J572" s="20" t="n">
        <x:f>IFERROR(H572/G572,0)</x:f>
        <x:v>1</x:v>
      </x:c>
      <x:c r="K572" t="n">
        <x:v>60886</x:v>
      </x:c>
      <x:c r="L572" t="n">
        <x:v>61706</x:v>
      </x:c>
      <x:c r="M572" t="n">
        <x:v>62526</x:v>
      </x:c>
      <x:c r="N572" t="n">
        <x:v>63485</x:v>
      </x:c>
      <x:c r="O572" t="n">
        <x:v>64444</x:v>
      </x:c>
    </x:row>
    <x:row r="573">
      <x:c r="A573" t="str">
        <x:v>Madhya Pradesh</x:v>
      </x:c>
      <x:c r="B573" t="str">
        <x:v>All India except Central University</x:v>
      </x:c>
      <x:c r="C573" t="str">
        <x:v>200479</x:v>
      </x:c>
      <x:c r="D573" t="str">
        <x:v>Dr. LAXMINARAYAN PANDEY GOVT. MEDICAL COLLEGE, RATLAM, Gram Banjali, Sailana Road, NH927A, Madhya Pradesh 457001, India</x:v>
      </x:c>
      <x:c r="E573" t="str">
        <x:v>All India</x:v>
      </x:c>
      <x:c r="F573" t="str">
        <x:v>SC PwD</x:v>
      </x:c>
      <x:c r="G573" t="n">
        <x:v>1</x:v>
      </x:c>
      <x:c r="H573" t="n">
        <x:v>1</x:v>
      </x:c>
      <x:c r="I573" t="n">
        <x:f>G573-H573</x:f>
        <x:v>0</x:v>
      </x:c>
      <x:c r="J573" s="20" t="n">
        <x:f>IFERROR(H573/G573,0)</x:f>
        <x:v>1</x:v>
      </x:c>
      <x:c r="K573" t="n">
        <x:v>1006662</x:v>
      </x:c>
      <x:c r="L573" t="n">
        <x:v>1006662</x:v>
      </x:c>
      <x:c r="M573" t="n">
        <x:v>1006662</x:v>
      </x:c>
      <x:c r="N573" t="n">
        <x:v>1006662</x:v>
      </x:c>
      <x:c r="O573" t="n">
        <x:v>1006662</x:v>
      </x:c>
    </x:row>
    <x:row r="574">
      <x:c r="A574" t="str">
        <x:v>Madhya Pradesh</x:v>
      </x:c>
      <x:c r="B574" t="str">
        <x:v>All India except Central University</x:v>
      </x:c>
      <x:c r="C574" t="str">
        <x:v>200479</x:v>
      </x:c>
      <x:c r="D574" t="str">
        <x:v>Dr. LAXMINARAYAN PANDEY GOVT. MEDICAL COLLEGE, RATLAM, Gram Banjali, Sailana Road, NH927A, Madhya Pradesh 457001, India</x:v>
      </x:c>
      <x:c r="E574" t="str">
        <x:v>All India</x:v>
      </x:c>
      <x:c r="F574" t="str">
        <x:v>ST</x:v>
      </x:c>
      <x:c r="G574" t="n">
        <x:v>1</x:v>
      </x:c>
      <x:c r="H574" t="n">
        <x:v>1</x:v>
      </x:c>
      <x:c r="I574" t="n">
        <x:f>G574-H574</x:f>
        <x:v>0</x:v>
      </x:c>
      <x:c r="J574" s="20" t="n">
        <x:f>IFERROR(H574/G574,0)</x:f>
        <x:v>1</x:v>
      </x:c>
      <x:c r="K574" t="n">
        <x:v>74995</x:v>
      </x:c>
      <x:c r="L574" t="n">
        <x:v>74995</x:v>
      </x:c>
      <x:c r="M574" t="n">
        <x:v>74995</x:v>
      </x:c>
      <x:c r="N574" t="n">
        <x:v>74995</x:v>
      </x:c>
      <x:c r="O574" t="n">
        <x:v>74995</x:v>
      </x:c>
    </x:row>
    <x:row r="575">
      <x:c r="A575" t="str">
        <x:v>Madhya Pradesh</x:v>
      </x:c>
      <x:c r="B575" t="str">
        <x:v>All India except Central University</x:v>
      </x:c>
      <x:c r="C575" t="str">
        <x:v>200479</x:v>
      </x:c>
      <x:c r="D575" t="str">
        <x:v>Dr. LAXMINARAYAN PANDEY GOVT. MEDICAL COLLEGE, RATLAM, Gram Banjali, Sailana Road, NH927A, Madhya Pradesh 457001, India</x:v>
      </x:c>
      <x:c r="E575" t="str">
        <x:v>All India</x:v>
      </x:c>
      <x:c r="F575" t="str">
        <x:v>ST PwD</x:v>
      </x:c>
      <x:c r="G575" t="n">
        <x:v>1</x:v>
      </x:c>
      <x:c r="H575" t="n">
        <x:v>1</x:v>
      </x:c>
      <x:c r="I575" t="n">
        <x:f>G575-H575</x:f>
        <x:v>0</x:v>
      </x:c>
      <x:c r="J575" s="20" t="n">
        <x:f>IFERROR(H575/G575,0)</x:f>
        <x:v>1</x:v>
      </x:c>
      <x:c r="K575" t="n">
        <x:v>529600</x:v>
      </x:c>
      <x:c r="L575" t="n">
        <x:v>529600</x:v>
      </x:c>
      <x:c r="M575" t="n">
        <x:v>529600</x:v>
      </x:c>
      <x:c r="N575" t="n">
        <x:v>529600</x:v>
      </x:c>
      <x:c r="O575" t="n">
        <x:v>529600</x:v>
      </x:c>
    </x:row>
    <x:row r="576">
      <x:c r="A576" t="str">
        <x:v>Himachal Pradesh</x:v>
      </x:c>
      <x:c r="B576" t="str">
        <x:v>All India except Central University</x:v>
      </x:c>
      <x:c r="C576" t="str">
        <x:v>200461</x:v>
      </x:c>
      <x:c r="D576" t="str">
        <x:v>Dr. Radhakrishnan Government Medical College, Hamirpur, H.P, Dr. Radhakrishnan Government Medical College,Hamirpur, Himachal Pradesh-177001</x:v>
      </x:c>
      <x:c r="E576" t="str">
        <x:v>All India</x:v>
      </x:c>
      <x:c r="F576" t="str">
        <x:v>EWS</x:v>
      </x:c>
      <x:c r="G576" t="n">
        <x:v>2</x:v>
      </x:c>
      <x:c r="H576" t="n">
        <x:v>2</x:v>
      </x:c>
      <x:c r="I576" t="n">
        <x:f>G576-H576</x:f>
        <x:v>0</x:v>
      </x:c>
      <x:c r="J576" s="20" t="n">
        <x:f>IFERROR(H576/G576,0)</x:f>
        <x:v>1</x:v>
      </x:c>
      <x:c r="K576" t="n">
        <x:v>9248</x:v>
      </x:c>
      <x:c r="L576" t="n">
        <x:v>9489.25</x:v>
      </x:c>
      <x:c r="M576" t="n">
        <x:v>9730.5</x:v>
      </x:c>
      <x:c r="N576" t="n">
        <x:v>9971.75</x:v>
      </x:c>
      <x:c r="O576" t="n">
        <x:v>10213</x:v>
      </x:c>
    </x:row>
    <x:row r="577">
      <x:c r="A577" t="str">
        <x:v>Himachal Pradesh</x:v>
      </x:c>
      <x:c r="B577" t="str">
        <x:v>All India except Central University</x:v>
      </x:c>
      <x:c r="C577" t="str">
        <x:v>200461</x:v>
      </x:c>
      <x:c r="D577" t="str">
        <x:v>Dr. Radhakrishnan Government Medical College, Hamirpur, H.P, Dr. Radhakrishnan Government Medical College,Hamirpur, Himachal Pradesh-177001</x:v>
      </x:c>
      <x:c r="E577" t="str">
        <x:v>All India</x:v>
      </x:c>
      <x:c r="F577" t="str">
        <x:v>OBC</x:v>
      </x:c>
      <x:c r="G577" t="n">
        <x:v>5</x:v>
      </x:c>
      <x:c r="H577" t="n">
        <x:v>5</x:v>
      </x:c>
      <x:c r="I577" t="n">
        <x:f>G577-H577</x:f>
        <x:v>0</x:v>
      </x:c>
      <x:c r="J577" s="20" t="n">
        <x:f>IFERROR(H577/G577,0)</x:f>
        <x:v>1</x:v>
      </x:c>
      <x:c r="K577" t="n">
        <x:v>8474</x:v>
      </x:c>
      <x:c r="L577" t="n">
        <x:v>9343</x:v>
      </x:c>
      <x:c r="M577" t="n">
        <x:v>9512</x:v>
      </x:c>
      <x:c r="N577" t="n">
        <x:v>9524</x:v>
      </x:c>
      <x:c r="O577" t="n">
        <x:v>9658</x:v>
      </x:c>
    </x:row>
    <x:row r="578">
      <x:c r="A578" t="str">
        <x:v>Himachal Pradesh</x:v>
      </x:c>
      <x:c r="B578" t="str">
        <x:v>All India except Central University</x:v>
      </x:c>
      <x:c r="C578" t="str">
        <x:v>200461</x:v>
      </x:c>
      <x:c r="D578" t="str">
        <x:v>Dr. Radhakrishnan Government Medical College, Hamirpur, H.P, Dr. Radhakrishnan Government Medical College,Hamirpur, Himachal Pradesh-177001</x:v>
      </x:c>
      <x:c r="E578" t="str">
        <x:v>All India</x:v>
      </x:c>
      <x:c r="F578" t="str">
        <x:v>Open</x:v>
      </x:c>
      <x:c r="G578" t="n">
        <x:v>7</x:v>
      </x:c>
      <x:c r="H578" t="n">
        <x:v>7</x:v>
      </x:c>
      <x:c r="I578" t="n">
        <x:f>G578-H578</x:f>
        <x:v>0</x:v>
      </x:c>
      <x:c r="J578" s="20" t="n">
        <x:f>IFERROR(H578/G578,0)</x:f>
        <x:v>1</x:v>
      </x:c>
      <x:c r="K578" t="n">
        <x:v>6158</x:v>
      </x:c>
      <x:c r="L578" t="n">
        <x:v>7074.5</x:v>
      </x:c>
      <x:c r="M578" t="n">
        <x:v>7309</x:v>
      </x:c>
      <x:c r="N578" t="n">
        <x:v>7454</x:v>
      </x:c>
      <x:c r="O578" t="n">
        <x:v>8145</x:v>
      </x:c>
    </x:row>
    <x:row r="579">
      <x:c r="A579" t="str">
        <x:v>Himachal Pradesh</x:v>
      </x:c>
      <x:c r="B579" t="str">
        <x:v>All India except Central University</x:v>
      </x:c>
      <x:c r="C579" t="str">
        <x:v>200461</x:v>
      </x:c>
      <x:c r="D579" t="str">
        <x:v>Dr. Radhakrishnan Government Medical College, Hamirpur, H.P, Dr. Radhakrishnan Government Medical College,Hamirpur, Himachal Pradesh-177001</x:v>
      </x:c>
      <x:c r="E579" t="str">
        <x:v>All India</x:v>
      </x:c>
      <x:c r="F579" t="str">
        <x:v>SC</x:v>
      </x:c>
      <x:c r="G579" t="n">
        <x:v>3</x:v>
      </x:c>
      <x:c r="H579" t="n">
        <x:v>3</x:v>
      </x:c>
      <x:c r="I579" t="n">
        <x:f>G579-H579</x:f>
        <x:v>0</x:v>
      </x:c>
      <x:c r="J579" s="20" t="n">
        <x:f>IFERROR(H579/G579,0)</x:f>
        <x:v>1</x:v>
      </x:c>
      <x:c r="K579" t="n">
        <x:v>46491</x:v>
      </x:c>
      <x:c r="L579" t="n">
        <x:v>48875</x:v>
      </x:c>
      <x:c r="M579" t="n">
        <x:v>51259</x:v>
      </x:c>
      <x:c r="N579" t="n">
        <x:v>51615</x:v>
      </x:c>
      <x:c r="O579" t="n">
        <x:v>51971</x:v>
      </x:c>
    </x:row>
    <x:row r="580">
      <x:c r="A580" t="str">
        <x:v>Himachal Pradesh</x:v>
      </x:c>
      <x:c r="B580" t="str">
        <x:v>All India except Central University</x:v>
      </x:c>
      <x:c r="C580" t="str">
        <x:v>200461</x:v>
      </x:c>
      <x:c r="D580" t="str">
        <x:v>Dr. Radhakrishnan Government Medical College, Hamirpur, H.P, Dr. Radhakrishnan Government Medical College,Hamirpur, Himachal Pradesh-177001</x:v>
      </x:c>
      <x:c r="E580" t="str">
        <x:v>All India</x:v>
      </x:c>
      <x:c r="F580" t="str">
        <x:v>ST</x:v>
      </x:c>
      <x:c r="G580" t="n">
        <x:v>1</x:v>
      </x:c>
      <x:c r="H580" t="n">
        <x:v>1</x:v>
      </x:c>
      <x:c r="I580" t="n">
        <x:f>G580-H580</x:f>
        <x:v>0</x:v>
      </x:c>
      <x:c r="J580" s="20" t="n">
        <x:f>IFERROR(H580/G580,0)</x:f>
        <x:v>1</x:v>
      </x:c>
      <x:c r="K580" t="n">
        <x:v>46510</x:v>
      </x:c>
      <x:c r="L580" t="n">
        <x:v>46510</x:v>
      </x:c>
      <x:c r="M580" t="n">
        <x:v>46510</x:v>
      </x:c>
      <x:c r="N580" t="n">
        <x:v>46510</x:v>
      </x:c>
      <x:c r="O580" t="n">
        <x:v>46510</x:v>
      </x:c>
    </x:row>
    <x:row r="581">
      <x:c r="A581" t="str">
        <x:v>Himachal Pradesh</x:v>
      </x:c>
      <x:c r="B581" t="str">
        <x:v>All India except Central University</x:v>
      </x:c>
      <x:c r="C581" t="str">
        <x:v>200152</x:v>
      </x:c>
      <x:c r="D581" t="str">
        <x:v>Dr. Rajendar Prasad Government Medical College, Tanda, H.P, Dr.Rajendra Prasad Govt.Medical College Kangra at Tanda, H.P.</x:v>
      </x:c>
      <x:c r="E581" t="str">
        <x:v>All India</x:v>
      </x:c>
      <x:c r="F581" t="str">
        <x:v>EWS</x:v>
      </x:c>
      <x:c r="G581" t="n">
        <x:v>1</x:v>
      </x:c>
      <x:c r="H581" t="n">
        <x:v>1</x:v>
      </x:c>
      <x:c r="I581" t="n">
        <x:f>G581-H581</x:f>
        <x:v>0</x:v>
      </x:c>
      <x:c r="J581" s="20" t="n">
        <x:f>IFERROR(H581/G581,0)</x:f>
        <x:v>1</x:v>
      </x:c>
      <x:c r="K581" t="n">
        <x:v>5029</x:v>
      </x:c>
      <x:c r="L581" t="n">
        <x:v>5029</x:v>
      </x:c>
      <x:c r="M581" t="n">
        <x:v>5029</x:v>
      </x:c>
      <x:c r="N581" t="n">
        <x:v>5029</x:v>
      </x:c>
      <x:c r="O581" t="n">
        <x:v>5029</x:v>
      </x:c>
    </x:row>
    <x:row r="582">
      <x:c r="A582" t="str">
        <x:v>Himachal Pradesh</x:v>
      </x:c>
      <x:c r="B582" t="str">
        <x:v>All India except Central University</x:v>
      </x:c>
      <x:c r="C582" t="str">
        <x:v>200152</x:v>
      </x:c>
      <x:c r="D582" t="str">
        <x:v>Dr. Rajendar Prasad Government Medical College, Tanda, H.P, Dr.Rajendra Prasad Govt.Medical College Kangra at Tanda, H.P.</x:v>
      </x:c>
      <x:c r="E582" t="str">
        <x:v>All India</x:v>
      </x:c>
      <x:c r="F582" t="str">
        <x:v>OBC</x:v>
      </x:c>
      <x:c r="G582" t="n">
        <x:v>5</x:v>
      </x:c>
      <x:c r="H582" t="n">
        <x:v>5</x:v>
      </x:c>
      <x:c r="I582" t="n">
        <x:f>G582-H582</x:f>
        <x:v>0</x:v>
      </x:c>
      <x:c r="J582" s="20" t="n">
        <x:f>IFERROR(H582/G582,0)</x:f>
        <x:v>1</x:v>
      </x:c>
      <x:c r="K582" t="n">
        <x:v>4770</x:v>
      </x:c>
      <x:c r="L582" t="n">
        <x:v>5032</x:v>
      </x:c>
      <x:c r="M582" t="n">
        <x:v>5548</x:v>
      </x:c>
      <x:c r="N582" t="n">
        <x:v>5899</x:v>
      </x:c>
      <x:c r="O582" t="n">
        <x:v>6045</x:v>
      </x:c>
    </x:row>
    <x:row r="583">
      <x:c r="A583" t="str">
        <x:v>Himachal Pradesh</x:v>
      </x:c>
      <x:c r="B583" t="str">
        <x:v>All India except Central University</x:v>
      </x:c>
      <x:c r="C583" t="str">
        <x:v>200152</x:v>
      </x:c>
      <x:c r="D583" t="str">
        <x:v>Dr. Rajendar Prasad Government Medical College, Tanda, H.P, Dr.Rajendra Prasad Govt.Medical College Kangra at Tanda, H.P.</x:v>
      </x:c>
      <x:c r="E583" t="str">
        <x:v>All India</x:v>
      </x:c>
      <x:c r="F583" t="str">
        <x:v>Open</x:v>
      </x:c>
      <x:c r="G583" t="n">
        <x:v>8</x:v>
      </x:c>
      <x:c r="H583" t="n">
        <x:v>8</x:v>
      </x:c>
      <x:c r="I583" t="n">
        <x:f>G583-H583</x:f>
        <x:v>0</x:v>
      </x:c>
      <x:c r="J583" s="20" t="n">
        <x:f>IFERROR(H583/G583,0)</x:f>
        <x:v>1</x:v>
      </x:c>
      <x:c r="K583" t="n">
        <x:v>3961</x:v>
      </x:c>
      <x:c r="L583" t="n">
        <x:v>4011.5</x:v>
      </x:c>
      <x:c r="M583" t="n">
        <x:v>4312</x:v>
      </x:c>
      <x:c r="N583" t="n">
        <x:v>4362</x:v>
      </x:c>
      <x:c r="O583" t="n">
        <x:v>4619</x:v>
      </x:c>
    </x:row>
    <x:row r="584">
      <x:c r="A584" t="str">
        <x:v>Himachal Pradesh</x:v>
      </x:c>
      <x:c r="B584" t="str">
        <x:v>All India except Central University</x:v>
      </x:c>
      <x:c r="C584" t="str">
        <x:v>200152</x:v>
      </x:c>
      <x:c r="D584" t="str">
        <x:v>Dr. Rajendar Prasad Government Medical College, Tanda, H.P, Dr.Rajendra Prasad Govt.Medical College Kangra at Tanda, H.P.</x:v>
      </x:c>
      <x:c r="E584" t="str">
        <x:v>All India</x:v>
      </x:c>
      <x:c r="F584" t="str">
        <x:v>Open PwD</x:v>
      </x:c>
      <x:c r="G584" t="n">
        <x:v>1</x:v>
      </x:c>
      <x:c r="H584" t="n">
        <x:v>1</x:v>
      </x:c>
      <x:c r="I584" t="n">
        <x:f>G584-H584</x:f>
        <x:v>0</x:v>
      </x:c>
      <x:c r="J584" s="20" t="n">
        <x:f>IFERROR(H584/G584,0)</x:f>
        <x:v>1</x:v>
      </x:c>
      <x:c r="K584" t="n">
        <x:v>210804</x:v>
      </x:c>
      <x:c r="L584" t="n">
        <x:v>210804</x:v>
      </x:c>
      <x:c r="M584" t="n">
        <x:v>210804</x:v>
      </x:c>
      <x:c r="N584" t="n">
        <x:v>210804</x:v>
      </x:c>
      <x:c r="O584" t="n">
        <x:v>210804</x:v>
      </x:c>
    </x:row>
    <x:row r="585">
      <x:c r="A585" t="str">
        <x:v>Himachal Pradesh</x:v>
      </x:c>
      <x:c r="B585" t="str">
        <x:v>All India except Central University</x:v>
      </x:c>
      <x:c r="C585" t="str">
        <x:v>200152</x:v>
      </x:c>
      <x:c r="D585" t="str">
        <x:v>Dr. Rajendar Prasad Government Medical College, Tanda, H.P, Dr.Rajendra Prasad Govt.Medical College Kangra at Tanda, H.P.</x:v>
      </x:c>
      <x:c r="E585" t="str">
        <x:v>All India</x:v>
      </x:c>
      <x:c r="F585" t="str">
        <x:v>SC</x:v>
      </x:c>
      <x:c r="G585" t="n">
        <x:v>2</x:v>
      </x:c>
      <x:c r="H585" t="n">
        <x:v>2</x:v>
      </x:c>
      <x:c r="I585" t="n">
        <x:f>G585-H585</x:f>
        <x:v>0</x:v>
      </x:c>
      <x:c r="J585" s="20" t="n">
        <x:f>IFERROR(H585/G585,0)</x:f>
        <x:v>1</x:v>
      </x:c>
      <x:c r="K585" t="n">
        <x:v>29797</x:v>
      </x:c>
      <x:c r="L585" t="n">
        <x:v>30103.25</x:v>
      </x:c>
      <x:c r="M585" t="n">
        <x:v>30409.5</x:v>
      </x:c>
      <x:c r="N585" t="n">
        <x:v>30715.75</x:v>
      </x:c>
      <x:c r="O585" t="n">
        <x:v>31022</x:v>
      </x:c>
    </x:row>
    <x:row r="586">
      <x:c r="A586" t="str">
        <x:v>Himachal Pradesh</x:v>
      </x:c>
      <x:c r="B586" t="str">
        <x:v>All India except Central University</x:v>
      </x:c>
      <x:c r="C586" t="str">
        <x:v>200152</x:v>
      </x:c>
      <x:c r="D586" t="str">
        <x:v>Dr. Rajendar Prasad Government Medical College, Tanda, H.P, Dr.Rajendra Prasad Govt.Medical College Kangra at Tanda, H.P.</x:v>
      </x:c>
      <x:c r="E586" t="str">
        <x:v>All India</x:v>
      </x:c>
      <x:c r="F586" t="str">
        <x:v>ST</x:v>
      </x:c>
      <x:c r="G586" t="n">
        <x:v>1</x:v>
      </x:c>
      <x:c r="H586" t="n">
        <x:v>1</x:v>
      </x:c>
      <x:c r="I586" t="n">
        <x:f>G586-H586</x:f>
        <x:v>0</x:v>
      </x:c>
      <x:c r="J586" s="20" t="n">
        <x:f>IFERROR(H586/G586,0)</x:f>
        <x:v>1</x:v>
      </x:c>
      <x:c r="K586" t="n">
        <x:v>45688</x:v>
      </x:c>
      <x:c r="L586" t="n">
        <x:v>45688</x:v>
      </x:c>
      <x:c r="M586" t="n">
        <x:v>45688</x:v>
      </x:c>
      <x:c r="N586" t="n">
        <x:v>45688</x:v>
      </x:c>
      <x:c r="O586" t="n">
        <x:v>45688</x:v>
      </x:c>
    </x:row>
    <x:row r="587">
      <x:c r="A587" t="str">
        <x:v>Uttar Pradesh</x:v>
      </x:c>
      <x:c r="B587" t="str">
        <x:v>All India except Central University</x:v>
      </x:c>
      <x:c r="C587" t="str">
        <x:v>200287</x:v>
      </x:c>
      <x:c r="D587" t="str">
        <x:v>Dr. Ram Manohar Lohia Institute of Medical Sciences,Lucknow, Vibhuti Khand Gomti Nagar Lucknow</x:v>
      </x:c>
      <x:c r="E587" t="str">
        <x:v>All India</x:v>
      </x:c>
      <x:c r="F587" t="str">
        <x:v>EWS</x:v>
      </x:c>
      <x:c r="G587" t="n">
        <x:v>2</x:v>
      </x:c>
      <x:c r="H587" t="n">
        <x:v>2</x:v>
      </x:c>
      <x:c r="I587" t="n">
        <x:f>G587-H587</x:f>
        <x:v>0</x:v>
      </x:c>
      <x:c r="J587" s="20" t="n">
        <x:f>IFERROR(H587/G587,0)</x:f>
        <x:v>1</x:v>
      </x:c>
      <x:c r="K587" t="n">
        <x:v>3328</x:v>
      </x:c>
      <x:c r="L587" t="n">
        <x:v>3393</x:v>
      </x:c>
      <x:c r="M587" t="n">
        <x:v>3458</x:v>
      </x:c>
      <x:c r="N587" t="n">
        <x:v>3523</x:v>
      </x:c>
      <x:c r="O587" t="n">
        <x:v>3588</x:v>
      </x:c>
    </x:row>
    <x:row r="588">
      <x:c r="A588" t="str">
        <x:v>Uttar Pradesh</x:v>
      </x:c>
      <x:c r="B588" t="str">
        <x:v>All India except Central University</x:v>
      </x:c>
      <x:c r="C588" t="str">
        <x:v>200287</x:v>
      </x:c>
      <x:c r="D588" t="str">
        <x:v>Dr. Ram Manohar Lohia Institute of Medical Sciences,Lucknow, Vibhuti Khand Gomti Nagar Lucknow</x:v>
      </x:c>
      <x:c r="E588" t="str">
        <x:v>All India</x:v>
      </x:c>
      <x:c r="F588" t="str">
        <x:v>EWS PwD</x:v>
      </x:c>
      <x:c r="G588" t="n">
        <x:v>1</x:v>
      </x:c>
      <x:c r="H588" t="n">
        <x:v>1</x:v>
      </x:c>
      <x:c r="I588" t="n">
        <x:f>G588-H588</x:f>
        <x:v>0</x:v>
      </x:c>
      <x:c r="J588" s="20" t="n">
        <x:f>IFERROR(H588/G588,0)</x:f>
        <x:v>1</x:v>
      </x:c>
      <x:c r="K588" t="n">
        <x:v>395523</x:v>
      </x:c>
      <x:c r="L588" t="n">
        <x:v>395523</x:v>
      </x:c>
      <x:c r="M588" t="n">
        <x:v>395523</x:v>
      </x:c>
      <x:c r="N588" t="n">
        <x:v>395523</x:v>
      </x:c>
      <x:c r="O588" t="n">
        <x:v>395523</x:v>
      </x:c>
    </x:row>
    <x:row r="589">
      <x:c r="A589" t="str">
        <x:v>Uttar Pradesh</x:v>
      </x:c>
      <x:c r="B589" t="str">
        <x:v>All India except Central University</x:v>
      </x:c>
      <x:c r="C589" t="str">
        <x:v>200287</x:v>
      </x:c>
      <x:c r="D589" t="str">
        <x:v>Dr. Ram Manohar Lohia Institute of Medical Sciences,Lucknow, Vibhuti Khand Gomti Nagar Lucknow</x:v>
      </x:c>
      <x:c r="E589" t="str">
        <x:v>All India</x:v>
      </x:c>
      <x:c r="F589" t="str">
        <x:v>OBC</x:v>
      </x:c>
      <x:c r="G589" t="n">
        <x:v>7</x:v>
      </x:c>
      <x:c r="H589" t="n">
        <x:v>7</x:v>
      </x:c>
      <x:c r="I589" t="n">
        <x:f>G589-H589</x:f>
        <x:v>0</x:v>
      </x:c>
      <x:c r="J589" s="20" t="n">
        <x:f>IFERROR(H589/G589,0)</x:f>
        <x:v>1</x:v>
      </x:c>
      <x:c r="K589" t="n">
        <x:v>2687</x:v>
      </x:c>
      <x:c r="L589" t="n">
        <x:v>2888.5</x:v>
      </x:c>
      <x:c r="M589" t="n">
        <x:v>3115</x:v>
      </x:c>
      <x:c r="N589" t="n">
        <x:v>3271</x:v>
      </x:c>
      <x:c r="O589" t="n">
        <x:v>3362</x:v>
      </x:c>
    </x:row>
    <x:row r="590">
      <x:c r="A590" t="str">
        <x:v>Uttar Pradesh</x:v>
      </x:c>
      <x:c r="B590" t="str">
        <x:v>All India except Central University</x:v>
      </x:c>
      <x:c r="C590" t="str">
        <x:v>200287</x:v>
      </x:c>
      <x:c r="D590" t="str">
        <x:v>Dr. Ram Manohar Lohia Institute of Medical Sciences,Lucknow, Vibhuti Khand Gomti Nagar Lucknow</x:v>
      </x:c>
      <x:c r="E590" t="str">
        <x:v>All India</x:v>
      </x:c>
      <x:c r="F590" t="str">
        <x:v>OBC PwD</x:v>
      </x:c>
      <x:c r="G590" t="n">
        <x:v>1</x:v>
      </x:c>
      <x:c r="H590" t="n">
        <x:v>1</x:v>
      </x:c>
      <x:c r="I590" t="n">
        <x:f>G590-H590</x:f>
        <x:v>0</x:v>
      </x:c>
      <x:c r="J590" s="20" t="n">
        <x:f>IFERROR(H590/G590,0)</x:f>
        <x:v>1</x:v>
      </x:c>
      <x:c r="K590" t="n">
        <x:v>308394</x:v>
      </x:c>
      <x:c r="L590" t="n">
        <x:v>308394</x:v>
      </x:c>
      <x:c r="M590" t="n">
        <x:v>308394</x:v>
      </x:c>
      <x:c r="N590" t="n">
        <x:v>308394</x:v>
      </x:c>
      <x:c r="O590" t="n">
        <x:v>308394</x:v>
      </x:c>
    </x:row>
    <x:row r="591">
      <x:c r="A591" t="str">
        <x:v>Uttar Pradesh</x:v>
      </x:c>
      <x:c r="B591" t="str">
        <x:v>All India except Central University</x:v>
      </x:c>
      <x:c r="C591" t="str">
        <x:v>200287</x:v>
      </x:c>
      <x:c r="D591" t="str">
        <x:v>Dr. Ram Manohar Lohia Institute of Medical Sciences,Lucknow, Vibhuti Khand Gomti Nagar Lucknow</x:v>
      </x:c>
      <x:c r="E591" t="str">
        <x:v>All India</x:v>
      </x:c>
      <x:c r="F591" t="str">
        <x:v>Open</x:v>
      </x:c>
      <x:c r="G591" t="n">
        <x:v>10</x:v>
      </x:c>
      <x:c r="H591" t="n">
        <x:v>10</x:v>
      </x:c>
      <x:c r="I591" t="n">
        <x:f>G591-H591</x:f>
        <x:v>0</x:v>
      </x:c>
      <x:c r="J591" s="20" t="n">
        <x:f>IFERROR(H591/G591,0)</x:f>
        <x:v>1</x:v>
      </x:c>
      <x:c r="K591" t="n">
        <x:v>1890</x:v>
      </x:c>
      <x:c r="L591" t="n">
        <x:v>2221.75</x:v>
      </x:c>
      <x:c r="M591" t="n">
        <x:v>2408</x:v>
      </x:c>
      <x:c r="N591" t="n">
        <x:v>2563.5</x:v>
      </x:c>
      <x:c r="O591" t="n">
        <x:v>2673</x:v>
      </x:c>
    </x:row>
    <x:row r="592">
      <x:c r="A592" t="str">
        <x:v>Uttar Pradesh</x:v>
      </x:c>
      <x:c r="B592" t="str">
        <x:v>All India except Central University</x:v>
      </x:c>
      <x:c r="C592" t="str">
        <x:v>200287</x:v>
      </x:c>
      <x:c r="D592" t="str">
        <x:v>Dr. Ram Manohar Lohia Institute of Medical Sciences,Lucknow, Vibhuti Khand Gomti Nagar Lucknow</x:v>
      </x:c>
      <x:c r="E592" t="str">
        <x:v>All India</x:v>
      </x:c>
      <x:c r="F592" t="str">
        <x:v>Open PwD</x:v>
      </x:c>
      <x:c r="G592" t="n">
        <x:v>1</x:v>
      </x:c>
      <x:c r="H592" t="n">
        <x:v>1</x:v>
      </x:c>
      <x:c r="I592" t="n">
        <x:f>G592-H592</x:f>
        <x:v>0</x:v>
      </x:c>
      <x:c r="J592" s="20" t="n">
        <x:f>IFERROR(H592/G592,0)</x:f>
        <x:v>1</x:v>
      </x:c>
      <x:c r="K592" t="n">
        <x:v>39374</x:v>
      </x:c>
      <x:c r="L592" t="n">
        <x:v>39374</x:v>
      </x:c>
      <x:c r="M592" t="n">
        <x:v>39374</x:v>
      </x:c>
      <x:c r="N592" t="n">
        <x:v>39374</x:v>
      </x:c>
      <x:c r="O592" t="n">
        <x:v>39374</x:v>
      </x:c>
    </x:row>
    <x:row r="593">
      <x:c r="A593" t="str">
        <x:v>Uttar Pradesh</x:v>
      </x:c>
      <x:c r="B593" t="str">
        <x:v>All India except Central University</x:v>
      </x:c>
      <x:c r="C593" t="str">
        <x:v>200287</x:v>
      </x:c>
      <x:c r="D593" t="str">
        <x:v>Dr. Ram Manohar Lohia Institute of Medical Sciences,Lucknow, Vibhuti Khand Gomti Nagar Lucknow</x:v>
      </x:c>
      <x:c r="E593" t="str">
        <x:v>All India</x:v>
      </x:c>
      <x:c r="F593" t="str">
        <x:v>SC</x:v>
      </x:c>
      <x:c r="G593" t="n">
        <x:v>5</x:v>
      </x:c>
      <x:c r="H593" t="n">
        <x:v>5</x:v>
      </x:c>
      <x:c r="I593" t="n">
        <x:f>G593-H593</x:f>
        <x:v>0</x:v>
      </x:c>
      <x:c r="J593" s="20" t="n">
        <x:f>IFERROR(H593/G593,0)</x:f>
        <x:v>1</x:v>
      </x:c>
      <x:c r="K593" t="n">
        <x:v>18512</x:v>
      </x:c>
      <x:c r="L593" t="n">
        <x:v>24500</x:v>
      </x:c>
      <x:c r="M593" t="n">
        <x:v>24700</x:v>
      </x:c>
      <x:c r="N593" t="n">
        <x:v>27492</x:v>
      </x:c>
      <x:c r="O593" t="n">
        <x:v>28117</x:v>
      </x:c>
    </x:row>
    <x:row r="594">
      <x:c r="A594" t="str">
        <x:v>Uttar Pradesh</x:v>
      </x:c>
      <x:c r="B594" t="str">
        <x:v>All India except Central University</x:v>
      </x:c>
      <x:c r="C594" t="str">
        <x:v>200287</x:v>
      </x:c>
      <x:c r="D594" t="str">
        <x:v>Dr. Ram Manohar Lohia Institute of Medical Sciences,Lucknow, Vibhuti Khand Gomti Nagar Lucknow</x:v>
      </x:c>
      <x:c r="E594" t="str">
        <x:v>All India</x:v>
      </x:c>
      <x:c r="F594" t="str">
        <x:v>ST</x:v>
      </x:c>
      <x:c r="G594" t="n">
        <x:v>3</x:v>
      </x:c>
      <x:c r="H594" t="n">
        <x:v>3</x:v>
      </x:c>
      <x:c r="I594" t="n">
        <x:f>G594-H594</x:f>
        <x:v>0</x:v>
      </x:c>
      <x:c r="J594" s="20" t="n">
        <x:f>IFERROR(H594/G594,0)</x:f>
        <x:v>1</x:v>
      </x:c>
      <x:c r="K594" t="n">
        <x:v>44803</x:v>
      </x:c>
      <x:c r="L594" t="n">
        <x:v>48811</x:v>
      </x:c>
      <x:c r="M594" t="n">
        <x:v>52819</x:v>
      </x:c>
      <x:c r="N594" t="n">
        <x:v>53382.5</x:v>
      </x:c>
      <x:c r="O594" t="n">
        <x:v>53946</x:v>
      </x:c>
    </x:row>
    <x:row r="595">
      <x:c r="A595" t="str">
        <x:v>Maharashtra</x:v>
      </x:c>
      <x:c r="B595" t="str">
        <x:v>All India except Central University</x:v>
      </x:c>
      <x:c r="C595" t="str">
        <x:v>200208</x:v>
      </x:c>
      <x:c r="D595" t="str">
        <x:v>Dr. Shankarrao Chavan Govt. Medical College, Nanded, VISHNUPURI NANDED MAHARASHTRA 431606</x:v>
      </x:c>
      <x:c r="E595" t="str">
        <x:v>All India</x:v>
      </x:c>
      <x:c r="F595" t="str">
        <x:v>EWS</x:v>
      </x:c>
      <x:c r="G595" t="n">
        <x:v>2</x:v>
      </x:c>
      <x:c r="H595" t="n">
        <x:v>2</x:v>
      </x:c>
      <x:c r="I595" t="n">
        <x:f>G595-H595</x:f>
        <x:v>0</x:v>
      </x:c>
      <x:c r="J595" s="20" t="n">
        <x:f>IFERROR(H595/G595,0)</x:f>
        <x:v>1</x:v>
      </x:c>
      <x:c r="K595" t="n">
        <x:v>13692</x:v>
      </x:c>
      <x:c r="L595" t="n">
        <x:v>14117.5</x:v>
      </x:c>
      <x:c r="M595" t="n">
        <x:v>14543</x:v>
      </x:c>
      <x:c r="N595" t="n">
        <x:v>14968.5</x:v>
      </x:c>
      <x:c r="O595" t="n">
        <x:v>15394</x:v>
      </x:c>
    </x:row>
    <x:row r="596">
      <x:c r="A596" t="str">
        <x:v>Maharashtra</x:v>
      </x:c>
      <x:c r="B596" t="str">
        <x:v>All India except Central University</x:v>
      </x:c>
      <x:c r="C596" t="str">
        <x:v>200208</x:v>
      </x:c>
      <x:c r="D596" t="str">
        <x:v>Dr. Shankarrao Chavan Govt. Medical College, Nanded, VISHNUPURI NANDED MAHARASHTRA 431606</x:v>
      </x:c>
      <x:c r="E596" t="str">
        <x:v>All India</x:v>
      </x:c>
      <x:c r="F596" t="str">
        <x:v>OBC</x:v>
      </x:c>
      <x:c r="G596" t="n">
        <x:v>6</x:v>
      </x:c>
      <x:c r="H596" t="n">
        <x:v>6</x:v>
      </x:c>
      <x:c r="I596" t="n">
        <x:f>G596-H596</x:f>
        <x:v>0</x:v>
      </x:c>
      <x:c r="J596" s="20" t="n">
        <x:f>IFERROR(H596/G596,0)</x:f>
        <x:v>1</x:v>
      </x:c>
      <x:c r="K596" t="n">
        <x:v>13355</x:v>
      </x:c>
      <x:c r="L596" t="n">
        <x:v>13653.25</x:v>
      </x:c>
      <x:c r="M596" t="n">
        <x:v>13790</x:v>
      </x:c>
      <x:c r="N596" t="n">
        <x:v>13893</x:v>
      </x:c>
      <x:c r="O596" t="n">
        <x:v>14035</x:v>
      </x:c>
    </x:row>
    <x:row r="597">
      <x:c r="A597" t="str">
        <x:v>Maharashtra</x:v>
      </x:c>
      <x:c r="B597" t="str">
        <x:v>All India except Central University</x:v>
      </x:c>
      <x:c r="C597" t="str">
        <x:v>200208</x:v>
      </x:c>
      <x:c r="D597" t="str">
        <x:v>Dr. Shankarrao Chavan Govt. Medical College, Nanded, VISHNUPURI NANDED MAHARASHTRA 431606</x:v>
      </x:c>
      <x:c r="E597" t="str">
        <x:v>All India</x:v>
      </x:c>
      <x:c r="F597" t="str">
        <x:v>Open</x:v>
      </x:c>
      <x:c r="G597" t="n">
        <x:v>9</x:v>
      </x:c>
      <x:c r="H597" t="n">
        <x:v>9</x:v>
      </x:c>
      <x:c r="I597" t="n">
        <x:f>G597-H597</x:f>
        <x:v>0</x:v>
      </x:c>
      <x:c r="J597" s="20" t="n">
        <x:f>IFERROR(H597/G597,0)</x:f>
        <x:v>1</x:v>
      </x:c>
      <x:c r="K597" t="n">
        <x:v>7605</x:v>
      </x:c>
      <x:c r="L597" t="n">
        <x:v>8189</x:v>
      </x:c>
      <x:c r="M597" t="n">
        <x:v>10618</x:v>
      </x:c>
      <x:c r="N597" t="n">
        <x:v>11551</x:v>
      </x:c>
      <x:c r="O597" t="n">
        <x:v>12136</x:v>
      </x:c>
    </x:row>
    <x:row r="598">
      <x:c r="A598" t="str">
        <x:v>Maharashtra</x:v>
      </x:c>
      <x:c r="B598" t="str">
        <x:v>All India except Central University</x:v>
      </x:c>
      <x:c r="C598" t="str">
        <x:v>200208</x:v>
      </x:c>
      <x:c r="D598" t="str">
        <x:v>Dr. Shankarrao Chavan Govt. Medical College, Nanded, VISHNUPURI NANDED MAHARASHTRA 431606</x:v>
      </x:c>
      <x:c r="E598" t="str">
        <x:v>All India</x:v>
      </x:c>
      <x:c r="F598" t="str">
        <x:v>Open PwD</x:v>
      </x:c>
      <x:c r="G598" t="n">
        <x:v>1</x:v>
      </x:c>
      <x:c r="H598" t="n">
        <x:v>1</x:v>
      </x:c>
      <x:c r="I598" t="n">
        <x:f>G598-H598</x:f>
        <x:v>0</x:v>
      </x:c>
      <x:c r="J598" s="20" t="n">
        <x:f>IFERROR(H598/G598,0)</x:f>
        <x:v>1</x:v>
      </x:c>
      <x:c r="K598" t="n">
        <x:v>385089</x:v>
      </x:c>
      <x:c r="L598" t="n">
        <x:v>385089</x:v>
      </x:c>
      <x:c r="M598" t="n">
        <x:v>385089</x:v>
      </x:c>
      <x:c r="N598" t="n">
        <x:v>385089</x:v>
      </x:c>
      <x:c r="O598" t="n">
        <x:v>385089</x:v>
      </x:c>
    </x:row>
    <x:row r="599">
      <x:c r="A599" t="str">
        <x:v>Maharashtra</x:v>
      </x:c>
      <x:c r="B599" t="str">
        <x:v>All India except Central University</x:v>
      </x:c>
      <x:c r="C599" t="str">
        <x:v>200208</x:v>
      </x:c>
      <x:c r="D599" t="str">
        <x:v>Dr. Shankarrao Chavan Govt. Medical College, Nanded, VISHNUPURI NANDED MAHARASHTRA 431606</x:v>
      </x:c>
      <x:c r="E599" t="str">
        <x:v>All India</x:v>
      </x:c>
      <x:c r="F599" t="str">
        <x:v>SC</x:v>
      </x:c>
      <x:c r="G599" t="n">
        <x:v>4</x:v>
      </x:c>
      <x:c r="H599" t="n">
        <x:v>4</x:v>
      </x:c>
      <x:c r="I599" t="n">
        <x:f>G599-H599</x:f>
        <x:v>0</x:v>
      </x:c>
      <x:c r="J599" s="20" t="n">
        <x:f>IFERROR(H599/G599,0)</x:f>
        <x:v>1</x:v>
      </x:c>
      <x:c r="K599" t="n">
        <x:v>69685</x:v>
      </x:c>
      <x:c r="L599" t="n">
        <x:v>71956.75</x:v>
      </x:c>
      <x:c r="M599" t="n">
        <x:v>72759</x:v>
      </x:c>
      <x:c r="N599" t="n">
        <x:v>73341.5</x:v>
      </x:c>
      <x:c r="O599" t="n">
        <x:v>74954</x:v>
      </x:c>
    </x:row>
    <x:row r="600">
      <x:c r="A600" t="str">
        <x:v>Maharashtra</x:v>
      </x:c>
      <x:c r="B600" t="str">
        <x:v>All India except Central University</x:v>
      </x:c>
      <x:c r="C600" t="str">
        <x:v>200208</x:v>
      </x:c>
      <x:c r="D600" t="str">
        <x:v>Dr. Shankarrao Chavan Govt. Medical College, Nanded, VISHNUPURI NANDED MAHARASHTRA 431606</x:v>
      </x:c>
      <x:c r="E600" t="str">
        <x:v>All India</x:v>
      </x:c>
      <x:c r="F600" t="str">
        <x:v>ST</x:v>
      </x:c>
      <x:c r="G600" t="n">
        <x:v>1</x:v>
      </x:c>
      <x:c r="H600" t="n">
        <x:v>1</x:v>
      </x:c>
      <x:c r="I600" t="n">
        <x:f>G600-H600</x:f>
        <x:v>0</x:v>
      </x:c>
      <x:c r="J600" s="20" t="n">
        <x:f>IFERROR(H600/G600,0)</x:f>
        <x:v>1</x:v>
      </x:c>
      <x:c r="K600" t="n">
        <x:v>97544</x:v>
      </x:c>
      <x:c r="L600" t="n">
        <x:v>97544</x:v>
      </x:c>
      <x:c r="M600" t="n">
        <x:v>97544</x:v>
      </x:c>
      <x:c r="N600" t="n">
        <x:v>97544</x:v>
      </x:c>
      <x:c r="O600" t="n">
        <x:v>97544</x:v>
      </x:c>
    </x:row>
    <x:row r="601">
      <x:c r="A601" t="str">
        <x:v>Jharkhand</x:v>
      </x:c>
      <x:c r="B601" t="str">
        <x:v>All India except Central University</x:v>
      </x:c>
      <x:c r="C601" t="str">
        <x:v>200583</x:v>
      </x:c>
      <x:c r="D601" t="str">
        <x:v>Dumka Medical College, Dighi Dumka, PHULO JHANO MEDICAL COLLEGE DUMKA, PO- Teliya Chak, PS- Dighi Dumka Jharkhand 814110, Email ID- prin</x:v>
      </x:c>
      <x:c r="E601" t="str">
        <x:v>All India</x:v>
      </x:c>
      <x:c r="F601" t="str">
        <x:v>EWS</x:v>
      </x:c>
      <x:c r="G601" t="n">
        <x:v>2</x:v>
      </x:c>
      <x:c r="H601" t="n">
        <x:v>2</x:v>
      </x:c>
      <x:c r="I601" t="n">
        <x:f>G601-H601</x:f>
        <x:v>0</x:v>
      </x:c>
      <x:c r="J601" s="20" t="n">
        <x:f>IFERROR(H601/G601,0)</x:f>
        <x:v>1</x:v>
      </x:c>
      <x:c r="K601" t="n">
        <x:v>18306</x:v>
      </x:c>
      <x:c r="L601" t="n">
        <x:v>18510</x:v>
      </x:c>
      <x:c r="M601" t="n">
        <x:v>18714</x:v>
      </x:c>
      <x:c r="N601" t="n">
        <x:v>18918</x:v>
      </x:c>
      <x:c r="O601" t="n">
        <x:v>19122</x:v>
      </x:c>
    </x:row>
    <x:row r="602">
      <x:c r="A602" t="str">
        <x:v>Jharkhand</x:v>
      </x:c>
      <x:c r="B602" t="str">
        <x:v>All India except Central University</x:v>
      </x:c>
      <x:c r="C602" t="str">
        <x:v>200583</x:v>
      </x:c>
      <x:c r="D602" t="str">
        <x:v>Dumka Medical College, Dighi Dumka, PHULO JHANO MEDICAL COLLEGE DUMKA, PO- Teliya Chak, PS- Dighi Dumka Jharkhand 814110, Email ID- prin</x:v>
      </x:c>
      <x:c r="E602" t="str">
        <x:v>All India</x:v>
      </x:c>
      <x:c r="F602" t="str">
        <x:v>OBC</x:v>
      </x:c>
      <x:c r="G602" t="n">
        <x:v>3</x:v>
      </x:c>
      <x:c r="H602" t="n">
        <x:v>3</x:v>
      </x:c>
      <x:c r="I602" t="n">
        <x:f>G602-H602</x:f>
        <x:v>0</x:v>
      </x:c>
      <x:c r="J602" s="20" t="n">
        <x:f>IFERROR(H602/G602,0)</x:f>
        <x:v>1</x:v>
      </x:c>
      <x:c r="K602" t="n">
        <x:v>16545</x:v>
      </x:c>
      <x:c r="L602" t="n">
        <x:v>16725.5</x:v>
      </x:c>
      <x:c r="M602" t="n">
        <x:v>16906</x:v>
      </x:c>
      <x:c r="N602" t="n">
        <x:v>16961</x:v>
      </x:c>
      <x:c r="O602" t="n">
        <x:v>17016</x:v>
      </x:c>
    </x:row>
    <x:row r="603">
      <x:c r="A603" t="str">
        <x:v>Jharkhand</x:v>
      </x:c>
      <x:c r="B603" t="str">
        <x:v>All India except Central University</x:v>
      </x:c>
      <x:c r="C603" t="str">
        <x:v>200583</x:v>
      </x:c>
      <x:c r="D603" t="str">
        <x:v>Dumka Medical College, Dighi Dumka, PHULO JHANO MEDICAL COLLEGE DUMKA, PO- Teliya Chak, PS- Dighi Dumka Jharkhand 814110, Email ID- prin</x:v>
      </x:c>
      <x:c r="E603" t="str">
        <x:v>All India</x:v>
      </x:c>
      <x:c r="F603" t="str">
        <x:v>OBC PwD</x:v>
      </x:c>
      <x:c r="G603" t="n">
        <x:v>1</x:v>
      </x:c>
      <x:c r="H603" t="n">
        <x:v>1</x:v>
      </x:c>
      <x:c r="I603" t="n">
        <x:f>G603-H603</x:f>
        <x:v>0</x:v>
      </x:c>
      <x:c r="J603" s="20" t="n">
        <x:f>IFERROR(H603/G603,0)</x:f>
        <x:v>1</x:v>
      </x:c>
      <x:c r="K603" t="n">
        <x:v>426181</x:v>
      </x:c>
      <x:c r="L603" t="n">
        <x:v>426181</x:v>
      </x:c>
      <x:c r="M603" t="n">
        <x:v>426181</x:v>
      </x:c>
      <x:c r="N603" t="n">
        <x:v>426181</x:v>
      </x:c>
      <x:c r="O603" t="n">
        <x:v>426181</x:v>
      </x:c>
    </x:row>
    <x:row r="604">
      <x:c r="A604" t="str">
        <x:v>Jharkhand</x:v>
      </x:c>
      <x:c r="B604" t="str">
        <x:v>All India except Central University</x:v>
      </x:c>
      <x:c r="C604" t="str">
        <x:v>200583</x:v>
      </x:c>
      <x:c r="D604" t="str">
        <x:v>Dumka Medical College, Dighi Dumka, PHULO JHANO MEDICAL COLLEGE DUMKA, PO- Teliya Chak, PS- Dighi Dumka Jharkhand 814110, Email ID- prin</x:v>
      </x:c>
      <x:c r="E604" t="str">
        <x:v>All India</x:v>
      </x:c>
      <x:c r="F604" t="str">
        <x:v>Open</x:v>
      </x:c>
      <x:c r="G604" t="n">
        <x:v>6</x:v>
      </x:c>
      <x:c r="H604" t="n">
        <x:v>6</x:v>
      </x:c>
      <x:c r="I604" t="n">
        <x:f>G604-H604</x:f>
        <x:v>0</x:v>
      </x:c>
      <x:c r="J604" s="20" t="n">
        <x:f>IFERROR(H604/G604,0)</x:f>
        <x:v>1</x:v>
      </x:c>
      <x:c r="K604" t="n">
        <x:v>14782</x:v>
      </x:c>
      <x:c r="L604" t="n">
        <x:v>15483.5</x:v>
      </x:c>
      <x:c r="M604" t="n">
        <x:v>15615</x:v>
      </x:c>
      <x:c r="N604" t="n">
        <x:v>16254.25</x:v>
      </x:c>
      <x:c r="O604" t="n">
        <x:v>16532</x:v>
      </x:c>
    </x:row>
    <x:row r="605">
      <x:c r="A605" t="str">
        <x:v>Jharkhand</x:v>
      </x:c>
      <x:c r="B605" t="str">
        <x:v>All India except Central University</x:v>
      </x:c>
      <x:c r="C605" t="str">
        <x:v>200583</x:v>
      </x:c>
      <x:c r="D605" t="str">
        <x:v>Dumka Medical College, Dighi Dumka, PHULO JHANO MEDICAL COLLEGE DUMKA, PO- Teliya Chak, PS- Dighi Dumka Jharkhand 814110, Email ID- prin</x:v>
      </x:c>
      <x:c r="E605" t="str">
        <x:v>All India</x:v>
      </x:c>
      <x:c r="F605" t="str">
        <x:v>SC</x:v>
      </x:c>
      <x:c r="G605" t="n">
        <x:v>2</x:v>
      </x:c>
      <x:c r="H605" t="n">
        <x:v>2</x:v>
      </x:c>
      <x:c r="I605" t="n">
        <x:f>G605-H605</x:f>
        <x:v>0</x:v>
      </x:c>
      <x:c r="J605" s="20" t="n">
        <x:f>IFERROR(H605/G605,0)</x:f>
        <x:v>1</x:v>
      </x:c>
      <x:c r="K605" t="n">
        <x:v>94597</x:v>
      </x:c>
      <x:c r="L605" t="n">
        <x:v>94708.75</x:v>
      </x:c>
      <x:c r="M605" t="n">
        <x:v>94820.5</x:v>
      </x:c>
      <x:c r="N605" t="n">
        <x:v>94932.25</x:v>
      </x:c>
      <x:c r="O605" t="n">
        <x:v>95044</x:v>
      </x:c>
    </x:row>
    <x:row r="606">
      <x:c r="A606" t="str">
        <x:v>Jharkhand</x:v>
      </x:c>
      <x:c r="B606" t="str">
        <x:v>All India except Central University</x:v>
      </x:c>
      <x:c r="C606" t="str">
        <x:v>200583</x:v>
      </x:c>
      <x:c r="D606" t="str">
        <x:v>Dumka Medical College, Dighi Dumka, PHULO JHANO MEDICAL COLLEGE DUMKA, PO- Teliya Chak, PS- Dighi Dumka Jharkhand 814110, Email ID- prin</x:v>
      </x:c>
      <x:c r="E606" t="str">
        <x:v>All India</x:v>
      </x:c>
      <x:c r="F606" t="str">
        <x:v>ST</x:v>
      </x:c>
      <x:c r="G606" t="n">
        <x:v>1</x:v>
      </x:c>
      <x:c r="H606" t="n">
        <x:v>1</x:v>
      </x:c>
      <x:c r="I606" t="n">
        <x:f>G606-H606</x:f>
        <x:v>0</x:v>
      </x:c>
      <x:c r="J606" s="20" t="n">
        <x:f>IFERROR(H606/G606,0)</x:f>
        <x:v>1</x:v>
      </x:c>
      <x:c r="K606" t="n">
        <x:v>113535</x:v>
      </x:c>
      <x:c r="L606" t="n">
        <x:v>113535</x:v>
      </x:c>
      <x:c r="M606" t="n">
        <x:v>113535</x:v>
      </x:c>
      <x:c r="N606" t="n">
        <x:v>113535</x:v>
      </x:c>
      <x:c r="O606" t="n">
        <x:v>113535</x:v>
      </x:c>
    </x:row>
    <x:row r="607">
      <x:c r="A607" t="str">
        <x:v>Maharashtra</x:v>
      </x:c>
      <x:c r="B607" t="str">
        <x:v>All India except Central University</x:v>
      </x:c>
      <x:c r="C607" t="str">
        <x:v>904357</x:v>
      </x:c>
      <x:c r="D607" t="str">
        <x:v>ESIC MEDICAL COLLEGE AND HOSPITAL, ANDHERI, CENTRAL ROAD, MIDC, ANDHERI (EAST) MUMBAI</x:v>
      </x:c>
      <x:c r="E607" t="str">
        <x:v>All India</x:v>
      </x:c>
      <x:c r="F607" t="str">
        <x:v>EWS</x:v>
      </x:c>
      <x:c r="G607" t="n">
        <x:v>1</x:v>
      </x:c>
      <x:c r="H607" t="n">
        <x:v>1</x:v>
      </x:c>
      <x:c r="I607" t="n">
        <x:f>G607-H607</x:f>
        <x:v>0</x:v>
      </x:c>
      <x:c r="J607" s="20" t="n">
        <x:f>IFERROR(H607/G607,0)</x:f>
        <x:v>1</x:v>
      </x:c>
      <x:c r="K607" t="n">
        <x:v>12836</x:v>
      </x:c>
      <x:c r="L607" t="n">
        <x:v>12836</x:v>
      </x:c>
      <x:c r="M607" t="n">
        <x:v>12836</x:v>
      </x:c>
      <x:c r="N607" t="n">
        <x:v>12836</x:v>
      </x:c>
      <x:c r="O607" t="n">
        <x:v>12836</x:v>
      </x:c>
    </x:row>
    <x:row r="608">
      <x:c r="A608" t="str">
        <x:v>Maharashtra</x:v>
      </x:c>
      <x:c r="B608" t="str">
        <x:v>All India except Central University</x:v>
      </x:c>
      <x:c r="C608" t="str">
        <x:v>904357</x:v>
      </x:c>
      <x:c r="D608" t="str">
        <x:v>ESIC MEDICAL COLLEGE AND HOSPITAL, ANDHERI, CENTRAL ROAD, MIDC, ANDHERI (EAST) MUMBAI</x:v>
      </x:c>
      <x:c r="E608" t="str">
        <x:v>All India</x:v>
      </x:c>
      <x:c r="F608" t="str">
        <x:v>OBC</x:v>
      </x:c>
      <x:c r="G608" t="n">
        <x:v>2</x:v>
      </x:c>
      <x:c r="H608" t="n">
        <x:v>2</x:v>
      </x:c>
      <x:c r="I608" t="n">
        <x:f>G608-H608</x:f>
        <x:v>0</x:v>
      </x:c>
      <x:c r="J608" s="20" t="n">
        <x:f>IFERROR(H608/G608,0)</x:f>
        <x:v>1</x:v>
      </x:c>
      <x:c r="K608" t="n">
        <x:v>8434</x:v>
      </x:c>
      <x:c r="L608" t="n">
        <x:v>8555</x:v>
      </x:c>
      <x:c r="M608" t="n">
        <x:v>8676</x:v>
      </x:c>
      <x:c r="N608" t="n">
        <x:v>8797</x:v>
      </x:c>
      <x:c r="O608" t="n">
        <x:v>8918</x:v>
      </x:c>
    </x:row>
    <x:row r="609">
      <x:c r="A609" t="str">
        <x:v>Maharashtra</x:v>
      </x:c>
      <x:c r="B609" t="str">
        <x:v>All India except Central University</x:v>
      </x:c>
      <x:c r="C609" t="str">
        <x:v>904357</x:v>
      </x:c>
      <x:c r="D609" t="str">
        <x:v>ESIC MEDICAL COLLEGE AND HOSPITAL, ANDHERI, CENTRAL ROAD, MIDC, ANDHERI (EAST) MUMBAI</x:v>
      </x:c>
      <x:c r="E609" t="str">
        <x:v>All India</x:v>
      </x:c>
      <x:c r="F609" t="str">
        <x:v>Open</x:v>
      </x:c>
      <x:c r="G609" t="n">
        <x:v>2</x:v>
      </x:c>
      <x:c r="H609" t="n">
        <x:v>2</x:v>
      </x:c>
      <x:c r="I609" t="n">
        <x:f>G609-H609</x:f>
        <x:v>0</x:v>
      </x:c>
      <x:c r="J609" s="20" t="n">
        <x:f>IFERROR(H609/G609,0)</x:f>
        <x:v>1</x:v>
      </x:c>
      <x:c r="K609" t="n">
        <x:v>4623</x:v>
      </x:c>
      <x:c r="L609" t="n">
        <x:v>5204.75</x:v>
      </x:c>
      <x:c r="M609" t="n">
        <x:v>5786.5</x:v>
      </x:c>
      <x:c r="N609" t="n">
        <x:v>6368.25</x:v>
      </x:c>
      <x:c r="O609" t="n">
        <x:v>6950</x:v>
      </x:c>
    </x:row>
    <x:row r="610">
      <x:c r="A610" t="str">
        <x:v>Maharashtra</x:v>
      </x:c>
      <x:c r="B610" t="str">
        <x:v>All India except Central University</x:v>
      </x:c>
      <x:c r="C610" t="str">
        <x:v>904357</x:v>
      </x:c>
      <x:c r="D610" t="str">
        <x:v>ESIC MEDICAL COLLEGE AND HOSPITAL, ANDHERI, CENTRAL ROAD, MIDC, ANDHERI (EAST) MUMBAI</x:v>
      </x:c>
      <x:c r="E610" t="str">
        <x:v>All India</x:v>
      </x:c>
      <x:c r="F610" t="str">
        <x:v>SC</x:v>
      </x:c>
      <x:c r="G610" t="n">
        <x:v>1</x:v>
      </x:c>
      <x:c r="H610" t="n">
        <x:v>1</x:v>
      </x:c>
      <x:c r="I610" t="n">
        <x:f>G610-H610</x:f>
        <x:v>0</x:v>
      </x:c>
      <x:c r="J610" s="20" t="n">
        <x:f>IFERROR(H610/G610,0)</x:f>
        <x:v>1</x:v>
      </x:c>
      <x:c r="K610" t="n">
        <x:v>55061</x:v>
      </x:c>
      <x:c r="L610" t="n">
        <x:v>55061</x:v>
      </x:c>
      <x:c r="M610" t="n">
        <x:v>55061</x:v>
      </x:c>
      <x:c r="N610" t="n">
        <x:v>55061</x:v>
      </x:c>
      <x:c r="O610" t="n">
        <x:v>55061</x:v>
      </x:c>
    </x:row>
    <x:row r="611">
      <x:c r="A611" t="str">
        <x:v>Maharashtra</x:v>
      </x:c>
      <x:c r="B611" t="str">
        <x:v>All India except Central University</x:v>
      </x:c>
      <x:c r="C611" t="str">
        <x:v>904357</x:v>
      </x:c>
      <x:c r="D611" t="str">
        <x:v>ESIC MEDICAL COLLEGE AND HOSPITAL, ANDHERI, CENTRAL ROAD, MIDC, ANDHERI (EAST) MUMBAI</x:v>
      </x:c>
      <x:c r="E611" t="str">
        <x:v>All India</x:v>
      </x:c>
      <x:c r="F611" t="str">
        <x:v>ST</x:v>
      </x:c>
      <x:c r="G611" t="n">
        <x:v>1</x:v>
      </x:c>
      <x:c r="H611" t="n">
        <x:v>1</x:v>
      </x:c>
      <x:c r="I611" t="n">
        <x:f>G611-H611</x:f>
        <x:v>0</x:v>
      </x:c>
      <x:c r="J611" s="20" t="n">
        <x:f>IFERROR(H611/G611,0)</x:f>
        <x:v>1</x:v>
      </x:c>
      <x:c r="K611" t="n">
        <x:v>82939</x:v>
      </x:c>
      <x:c r="L611" t="n">
        <x:v>82939</x:v>
      </x:c>
      <x:c r="M611" t="n">
        <x:v>82939</x:v>
      </x:c>
      <x:c r="N611" t="n">
        <x:v>82939</x:v>
      </x:c>
      <x:c r="O611" t="n">
        <x:v>82939</x:v>
      </x:c>
    </x:row>
    <x:row r="612">
      <x:c r="A612" t="str">
        <x:v>Maharashtra</x:v>
      </x:c>
      <x:c r="B612" t="str">
        <x:v>All India except Central University</x:v>
      </x:c>
      <x:c r="C612" t="str">
        <x:v>904357</x:v>
      </x:c>
      <x:c r="D612" t="str">
        <x:v>ESIC MEDICAL COLLEGE AND HOSPITAL, ANDHERI, CENTRAL ROAD, MIDC, ANDHERI (EAST) MUMBAI</x:v>
      </x:c>
      <x:c r="E612" t="str">
        <x:v>ESI</x:v>
      </x:c>
      <x:c r="F612" t="str">
        <x:v>EWS</x:v>
      </x:c>
      <x:c r="G612" t="n">
        <x:v>2</x:v>
      </x:c>
      <x:c r="H612" t="n">
        <x:v>2</x:v>
      </x:c>
      <x:c r="I612" t="n">
        <x:f>G612-H612</x:f>
        <x:v>0</x:v>
      </x:c>
      <x:c r="J612" s="20" t="n">
        <x:f>IFERROR(H612/G612,0)</x:f>
        <x:v>1</x:v>
      </x:c>
      <x:c r="K612" t="n">
        <x:v>39937</x:v>
      </x:c>
      <x:c r="L612" t="n">
        <x:v>40072</x:v>
      </x:c>
      <x:c r="M612" t="n">
        <x:v>40207</x:v>
      </x:c>
      <x:c r="N612" t="n">
        <x:v>40342</x:v>
      </x:c>
      <x:c r="O612" t="n">
        <x:v>40477</x:v>
      </x:c>
    </x:row>
    <x:row r="613">
      <x:c r="A613" t="str">
        <x:v>Maharashtra</x:v>
      </x:c>
      <x:c r="B613" t="str">
        <x:v>All India except Central University</x:v>
      </x:c>
      <x:c r="C613" t="str">
        <x:v>904357</x:v>
      </x:c>
      <x:c r="D613" t="str">
        <x:v>ESIC MEDICAL COLLEGE AND HOSPITAL, ANDHERI, CENTRAL ROAD, MIDC, ANDHERI (EAST) MUMBAI</x:v>
      </x:c>
      <x:c r="E613" t="str">
        <x:v>ESI</x:v>
      </x:c>
      <x:c r="F613" t="str">
        <x:v>OBC</x:v>
      </x:c>
      <x:c r="G613" t="n">
        <x:v>7</x:v>
      </x:c>
      <x:c r="H613" t="n">
        <x:v>7</x:v>
      </x:c>
      <x:c r="I613" t="n">
        <x:f>G613-H613</x:f>
        <x:v>0</x:v>
      </x:c>
      <x:c r="J613" s="20" t="n">
        <x:f>IFERROR(H613/G613,0)</x:f>
        <x:v>1</x:v>
      </x:c>
      <x:c r="K613" t="n">
        <x:v>38309</x:v>
      </x:c>
      <x:c r="L613" t="n">
        <x:v>38439.5</x:v>
      </x:c>
      <x:c r="M613" t="n">
        <x:v>38817</x:v>
      </x:c>
      <x:c r="N613" t="n">
        <x:v>39632.5</x:v>
      </x:c>
      <x:c r="O613" t="n">
        <x:v>39990</x:v>
      </x:c>
    </x:row>
    <x:row r="614">
      <x:c r="A614" t="str">
        <x:v>Maharashtra</x:v>
      </x:c>
      <x:c r="B614" t="str">
        <x:v>All India except Central University</x:v>
      </x:c>
      <x:c r="C614" t="str">
        <x:v>904357</x:v>
      </x:c>
      <x:c r="D614" t="str">
        <x:v>ESIC MEDICAL COLLEGE AND HOSPITAL, ANDHERI, CENTRAL ROAD, MIDC, ANDHERI (EAST) MUMBAI</x:v>
      </x:c>
      <x:c r="E614" t="str">
        <x:v>ESI</x:v>
      </x:c>
      <x:c r="F614" t="str">
        <x:v>Open</x:v>
      </x:c>
      <x:c r="G614" t="n">
        <x:v>10</x:v>
      </x:c>
      <x:c r="H614" t="n">
        <x:v>10</x:v>
      </x:c>
      <x:c r="I614" t="n">
        <x:f>G614-H614</x:f>
        <x:v>0</x:v>
      </x:c>
      <x:c r="J614" s="20" t="n">
        <x:f>IFERROR(H614/G614,0)</x:f>
        <x:v>1</x:v>
      </x:c>
      <x:c r="K614" t="n">
        <x:v>26471</x:v>
      </x:c>
      <x:c r="L614" t="n">
        <x:v>30521</x:v>
      </x:c>
      <x:c r="M614" t="n">
        <x:v>32354</x:v>
      </x:c>
      <x:c r="N614" t="n">
        <x:v>34861.5</x:v>
      </x:c>
      <x:c r="O614" t="n">
        <x:v>37871</x:v>
      </x:c>
    </x:row>
    <x:row r="615">
      <x:c r="A615" t="str">
        <x:v>Maharashtra</x:v>
      </x:c>
      <x:c r="B615" t="str">
        <x:v>All India except Central University</x:v>
      </x:c>
      <x:c r="C615" t="str">
        <x:v>904357</x:v>
      </x:c>
      <x:c r="D615" t="str">
        <x:v>ESIC MEDICAL COLLEGE AND HOSPITAL, ANDHERI, CENTRAL ROAD, MIDC, ANDHERI (EAST) MUMBAI</x:v>
      </x:c>
      <x:c r="E615" t="str">
        <x:v>ESI</x:v>
      </x:c>
      <x:c r="F615" t="str">
        <x:v>Open PwD</x:v>
      </x:c>
      <x:c r="G615" t="n">
        <x:v>1</x:v>
      </x:c>
      <x:c r="H615" t="n">
        <x:v>0</x:v>
      </x:c>
      <x:c r="I615" t="n">
        <x:f>G615-H615</x:f>
        <x:v>1</x:v>
      </x:c>
      <x:c r="J615" s="20" t="n">
        <x:f>IFERROR(H615/G615,0)</x:f>
        <x:v>0</x:v>
      </x:c>
      <x:c r="K615"/>
      <x:c r="L615"/>
      <x:c r="M615"/>
      <x:c r="N615"/>
      <x:c r="O615"/>
    </x:row>
    <x:row r="616">
      <x:c r="A616" t="str">
        <x:v>Maharashtra</x:v>
      </x:c>
      <x:c r="B616" t="str">
        <x:v>All India except Central University</x:v>
      </x:c>
      <x:c r="C616" t="str">
        <x:v>904357</x:v>
      </x:c>
      <x:c r="D616" t="str">
        <x:v>ESIC MEDICAL COLLEGE AND HOSPITAL, ANDHERI, CENTRAL ROAD, MIDC, ANDHERI (EAST) MUMBAI</x:v>
      </x:c>
      <x:c r="E616" t="str">
        <x:v>ESI</x:v>
      </x:c>
      <x:c r="F616" t="str">
        <x:v>SC</x:v>
      </x:c>
      <x:c r="G616" t="n">
        <x:v>4</x:v>
      </x:c>
      <x:c r="H616" t="n">
        <x:v>4</x:v>
      </x:c>
      <x:c r="I616" t="n">
        <x:f>G616-H616</x:f>
        <x:v>0</x:v>
      </x:c>
      <x:c r="J616" s="20" t="n">
        <x:f>IFERROR(H616/G616,0)</x:f>
        <x:v>1</x:v>
      </x:c>
      <x:c r="K616" t="n">
        <x:v>133681</x:v>
      </x:c>
      <x:c r="L616" t="n">
        <x:v>156621.25</x:v>
      </x:c>
      <x:c r="M616" t="n">
        <x:v>171610</x:v>
      </x:c>
      <x:c r="N616" t="n">
        <x:v>180666</x:v>
      </x:c>
      <x:c r="O616" t="n">
        <x:v>185808</x:v>
      </x:c>
    </x:row>
    <x:row r="617">
      <x:c r="A617" t="str">
        <x:v>Maharashtra</x:v>
      </x:c>
      <x:c r="B617" t="str">
        <x:v>All India except Central University</x:v>
      </x:c>
      <x:c r="C617" t="str">
        <x:v>904357</x:v>
      </x:c>
      <x:c r="D617" t="str">
        <x:v>ESIC MEDICAL COLLEGE AND HOSPITAL, ANDHERI, CENTRAL ROAD, MIDC, ANDHERI (EAST) MUMBAI</x:v>
      </x:c>
      <x:c r="E617" t="str">
        <x:v>ESI</x:v>
      </x:c>
      <x:c r="F617" t="str">
        <x:v>ST</x:v>
      </x:c>
      <x:c r="G617" t="n">
        <x:v>1</x:v>
      </x:c>
      <x:c r="H617" t="n">
        <x:v>1</x:v>
      </x:c>
      <x:c r="I617" t="n">
        <x:f>G617-H617</x:f>
        <x:v>0</x:v>
      </x:c>
      <x:c r="J617" s="20" t="n">
        <x:f>IFERROR(H617/G617,0)</x:f>
        <x:v>1</x:v>
      </x:c>
      <x:c r="K617" t="n">
        <x:v>281146</x:v>
      </x:c>
      <x:c r="L617" t="n">
        <x:v>281146</x:v>
      </x:c>
      <x:c r="M617" t="n">
        <x:v>281146</x:v>
      </x:c>
      <x:c r="N617" t="n">
        <x:v>281146</x:v>
      </x:c>
      <x:c r="O617" t="n">
        <x:v>281146</x:v>
      </x:c>
    </x:row>
    <x:row r="618">
      <x:c r="A618" t="str">
        <x:v>Rajasthan</x:v>
      </x:c>
      <x:c r="B618" t="str">
        <x:v>All India except Central University</x:v>
      </x:c>
      <x:c r="C618" t="str">
        <x:v>904549</x:v>
      </x:c>
      <x:c r="D618" t="str">
        <x:v>ESIC MEDICAL COLLEGE AND HOSPITAL, JAIPUR, LAXMI NAGAR AJMER ROAD SODALA JAIPUR RAJASTHAN</x:v>
      </x:c>
      <x:c r="E618" t="str">
        <x:v>All India</x:v>
      </x:c>
      <x:c r="F618" t="str">
        <x:v>EWS</x:v>
      </x:c>
      <x:c r="G618" t="n">
        <x:v>1</x:v>
      </x:c>
      <x:c r="H618" t="n">
        <x:v>1</x:v>
      </x:c>
      <x:c r="I618" t="n">
        <x:f>G618-H618</x:f>
        <x:v>0</x:v>
      </x:c>
      <x:c r="J618" s="20" t="n">
        <x:f>IFERROR(H618/G618,0)</x:f>
        <x:v>1</x:v>
      </x:c>
      <x:c r="K618" t="n">
        <x:v>5968</x:v>
      </x:c>
      <x:c r="L618" t="n">
        <x:v>5968</x:v>
      </x:c>
      <x:c r="M618" t="n">
        <x:v>5968</x:v>
      </x:c>
      <x:c r="N618" t="n">
        <x:v>5968</x:v>
      </x:c>
      <x:c r="O618" t="n">
        <x:v>5968</x:v>
      </x:c>
    </x:row>
    <x:row r="619">
      <x:c r="A619" t="str">
        <x:v>Rajasthan</x:v>
      </x:c>
      <x:c r="B619" t="str">
        <x:v>All India except Central University</x:v>
      </x:c>
      <x:c r="C619" t="str">
        <x:v>904549</x:v>
      </x:c>
      <x:c r="D619" t="str">
        <x:v>ESIC MEDICAL COLLEGE AND HOSPITAL, JAIPUR, LAXMI NAGAR AJMER ROAD SODALA JAIPUR RAJASTHAN</x:v>
      </x:c>
      <x:c r="E619" t="str">
        <x:v>All India</x:v>
      </x:c>
      <x:c r="F619" t="str">
        <x:v>OBC</x:v>
      </x:c>
      <x:c r="G619" t="n">
        <x:v>2</x:v>
      </x:c>
      <x:c r="H619" t="n">
        <x:v>2</x:v>
      </x:c>
      <x:c r="I619" t="n">
        <x:f>G619-H619</x:f>
        <x:v>0</x:v>
      </x:c>
      <x:c r="J619" s="20" t="n">
        <x:f>IFERROR(H619/G619,0)</x:f>
        <x:v>1</x:v>
      </x:c>
      <x:c r="K619" t="n">
        <x:v>5299</x:v>
      </x:c>
      <x:c r="L619" t="n">
        <x:v>5348.5</x:v>
      </x:c>
      <x:c r="M619" t="n">
        <x:v>5398</x:v>
      </x:c>
      <x:c r="N619" t="n">
        <x:v>5447.5</x:v>
      </x:c>
      <x:c r="O619" t="n">
        <x:v>5497</x:v>
      </x:c>
    </x:row>
    <x:row r="620">
      <x:c r="A620" t="str">
        <x:v>Rajasthan</x:v>
      </x:c>
      <x:c r="B620" t="str">
        <x:v>All India except Central University</x:v>
      </x:c>
      <x:c r="C620" t="str">
        <x:v>904549</x:v>
      </x:c>
      <x:c r="D620" t="str">
        <x:v>ESIC MEDICAL COLLEGE AND HOSPITAL, JAIPUR, LAXMI NAGAR AJMER ROAD SODALA JAIPUR RAJASTHAN</x:v>
      </x:c>
      <x:c r="E620" t="str">
        <x:v>All India</x:v>
      </x:c>
      <x:c r="F620" t="str">
        <x:v>Open</x:v>
      </x:c>
      <x:c r="G620" t="n">
        <x:v>2</x:v>
      </x:c>
      <x:c r="H620" t="n">
        <x:v>2</x:v>
      </x:c>
      <x:c r="I620" t="n">
        <x:f>G620-H620</x:f>
        <x:v>0</x:v>
      </x:c>
      <x:c r="J620" s="20" t="n">
        <x:f>IFERROR(H620/G620,0)</x:f>
        <x:v>1</x:v>
      </x:c>
      <x:c r="K620" t="n">
        <x:v>5082</x:v>
      </x:c>
      <x:c r="L620" t="n">
        <x:v>5114.25</x:v>
      </x:c>
      <x:c r="M620" t="n">
        <x:v>5146.5</x:v>
      </x:c>
      <x:c r="N620" t="n">
        <x:v>5178.75</x:v>
      </x:c>
      <x:c r="O620" t="n">
        <x:v>5211</x:v>
      </x:c>
    </x:row>
    <x:row r="621">
      <x:c r="A621" t="str">
        <x:v>Rajasthan</x:v>
      </x:c>
      <x:c r="B621" t="str">
        <x:v>All India except Central University</x:v>
      </x:c>
      <x:c r="C621" t="str">
        <x:v>904549</x:v>
      </x:c>
      <x:c r="D621" t="str">
        <x:v>ESIC MEDICAL COLLEGE AND HOSPITAL, JAIPUR, LAXMI NAGAR AJMER ROAD SODALA JAIPUR RAJASTHAN</x:v>
      </x:c>
      <x:c r="E621" t="str">
        <x:v>All India</x:v>
      </x:c>
      <x:c r="F621" t="str">
        <x:v>SC</x:v>
      </x:c>
      <x:c r="G621" t="n">
        <x:v>1</x:v>
      </x:c>
      <x:c r="H621" t="n">
        <x:v>1</x:v>
      </x:c>
      <x:c r="I621" t="n">
        <x:f>G621-H621</x:f>
        <x:v>0</x:v>
      </x:c>
      <x:c r="J621" s="20" t="n">
        <x:f>IFERROR(H621/G621,0)</x:f>
        <x:v>1</x:v>
      </x:c>
      <x:c r="K621" t="n">
        <x:v>27368</x:v>
      </x:c>
      <x:c r="L621" t="n">
        <x:v>27368</x:v>
      </x:c>
      <x:c r="M621" t="n">
        <x:v>27368</x:v>
      </x:c>
      <x:c r="N621" t="n">
        <x:v>27368</x:v>
      </x:c>
      <x:c r="O621" t="n">
        <x:v>27368</x:v>
      </x:c>
    </x:row>
    <x:row r="622">
      <x:c r="A622" t="str">
        <x:v>Rajasthan</x:v>
      </x:c>
      <x:c r="B622" t="str">
        <x:v>All India except Central University</x:v>
      </x:c>
      <x:c r="C622" t="str">
        <x:v>904549</x:v>
      </x:c>
      <x:c r="D622" t="str">
        <x:v>ESIC MEDICAL COLLEGE AND HOSPITAL, JAIPUR, LAXMI NAGAR AJMER ROAD SODALA JAIPUR RAJASTHAN</x:v>
      </x:c>
      <x:c r="E622" t="str">
        <x:v>All India</x:v>
      </x:c>
      <x:c r="F622" t="str">
        <x:v>ST</x:v>
      </x:c>
      <x:c r="G622" t="n">
        <x:v>1</x:v>
      </x:c>
      <x:c r="H622" t="n">
        <x:v>1</x:v>
      </x:c>
      <x:c r="I622" t="n">
        <x:f>G622-H622</x:f>
        <x:v>0</x:v>
      </x:c>
      <x:c r="J622" s="20" t="n">
        <x:f>IFERROR(H622/G622,0)</x:f>
        <x:v>1</x:v>
      </x:c>
      <x:c r="K622" t="n">
        <x:v>41767</x:v>
      </x:c>
      <x:c r="L622" t="n">
        <x:v>41767</x:v>
      </x:c>
      <x:c r="M622" t="n">
        <x:v>41767</x:v>
      </x:c>
      <x:c r="N622" t="n">
        <x:v>41767</x:v>
      </x:c>
      <x:c r="O622" t="n">
        <x:v>41767</x:v>
      </x:c>
    </x:row>
    <x:row r="623">
      <x:c r="A623" t="str">
        <x:v>Rajasthan</x:v>
      </x:c>
      <x:c r="B623" t="str">
        <x:v>All India except Central University</x:v>
      </x:c>
      <x:c r="C623" t="str">
        <x:v>904549</x:v>
      </x:c>
      <x:c r="D623" t="str">
        <x:v>ESIC MEDICAL COLLEGE AND HOSPITAL, JAIPUR, LAXMI NAGAR AJMER ROAD SODALA JAIPUR RAJASTHAN</x:v>
      </x:c>
      <x:c r="E623" t="str">
        <x:v>ESI</x:v>
      </x:c>
      <x:c r="F623" t="str">
        <x:v>EWS</x:v>
      </x:c>
      <x:c r="G623" t="n">
        <x:v>2</x:v>
      </x:c>
      <x:c r="H623" t="n">
        <x:v>2</x:v>
      </x:c>
      <x:c r="I623" t="n">
        <x:f>G623-H623</x:f>
        <x:v>0</x:v>
      </x:c>
      <x:c r="J623" s="20" t="n">
        <x:f>IFERROR(H623/G623,0)</x:f>
        <x:v>1</x:v>
      </x:c>
      <x:c r="K623" t="n">
        <x:v>15112</x:v>
      </x:c>
      <x:c r="L623" t="n">
        <x:v>15984.5</x:v>
      </x:c>
      <x:c r="M623" t="n">
        <x:v>16857</x:v>
      </x:c>
      <x:c r="N623" t="n">
        <x:v>17729.5</x:v>
      </x:c>
      <x:c r="O623" t="n">
        <x:v>18602</x:v>
      </x:c>
    </x:row>
    <x:row r="624">
      <x:c r="A624" t="str">
        <x:v>Rajasthan</x:v>
      </x:c>
      <x:c r="B624" t="str">
        <x:v>All India except Central University</x:v>
      </x:c>
      <x:c r="C624" t="str">
        <x:v>904549</x:v>
      </x:c>
      <x:c r="D624" t="str">
        <x:v>ESIC MEDICAL COLLEGE AND HOSPITAL, JAIPUR, LAXMI NAGAR AJMER ROAD SODALA JAIPUR RAJASTHAN</x:v>
      </x:c>
      <x:c r="E624" t="str">
        <x:v>ESI</x:v>
      </x:c>
      <x:c r="F624" t="str">
        <x:v>OBC</x:v>
      </x:c>
      <x:c r="G624" t="n">
        <x:v>5</x:v>
      </x:c>
      <x:c r="H624" t="n">
        <x:v>5</x:v>
      </x:c>
      <x:c r="I624" t="n">
        <x:f>G624-H624</x:f>
        <x:v>0</x:v>
      </x:c>
      <x:c r="J624" s="20" t="n">
        <x:f>IFERROR(H624/G624,0)</x:f>
        <x:v>1</x:v>
      </x:c>
      <x:c r="K624" t="n">
        <x:v>14475</x:v>
      </x:c>
      <x:c r="L624" t="n">
        <x:v>14809</x:v>
      </x:c>
      <x:c r="M624" t="n">
        <x:v>15165</x:v>
      </x:c>
      <x:c r="N624" t="n">
        <x:v>15329</x:v>
      </x:c>
      <x:c r="O624" t="n">
        <x:v>15504</x:v>
      </x:c>
    </x:row>
    <x:row r="625">
      <x:c r="A625" t="str">
        <x:v>Rajasthan</x:v>
      </x:c>
      <x:c r="B625" t="str">
        <x:v>All India except Central University</x:v>
      </x:c>
      <x:c r="C625" t="str">
        <x:v>904549</x:v>
      </x:c>
      <x:c r="D625" t="str">
        <x:v>ESIC MEDICAL COLLEGE AND HOSPITAL, JAIPUR, LAXMI NAGAR AJMER ROAD SODALA JAIPUR RAJASTHAN</x:v>
      </x:c>
      <x:c r="E625" t="str">
        <x:v>ESI</x:v>
      </x:c>
      <x:c r="F625" t="str">
        <x:v>Open</x:v>
      </x:c>
      <x:c r="G625" t="n">
        <x:v>8</x:v>
      </x:c>
      <x:c r="H625" t="n">
        <x:v>8</x:v>
      </x:c>
      <x:c r="I625" t="n">
        <x:f>G625-H625</x:f>
        <x:v>0</x:v>
      </x:c>
      <x:c r="J625" s="20" t="n">
        <x:f>IFERROR(H625/G625,0)</x:f>
        <x:v>1</x:v>
      </x:c>
      <x:c r="K625" t="n">
        <x:v>8628</x:v>
      </x:c>
      <x:c r="L625" t="n">
        <x:v>10565.25</x:v>
      </x:c>
      <x:c r="M625" t="n">
        <x:v>11338.5</x:v>
      </x:c>
      <x:c r="N625" t="n">
        <x:v>12722</x:v>
      </x:c>
      <x:c r="O625" t="n">
        <x:v>14200</x:v>
      </x:c>
    </x:row>
    <x:row r="626">
      <x:c r="A626" t="str">
        <x:v>Rajasthan</x:v>
      </x:c>
      <x:c r="B626" t="str">
        <x:v>All India except Central University</x:v>
      </x:c>
      <x:c r="C626" t="str">
        <x:v>904549</x:v>
      </x:c>
      <x:c r="D626" t="str">
        <x:v>ESIC MEDICAL COLLEGE AND HOSPITAL, JAIPUR, LAXMI NAGAR AJMER ROAD SODALA JAIPUR RAJASTHAN</x:v>
      </x:c>
      <x:c r="E626" t="str">
        <x:v>ESI</x:v>
      </x:c>
      <x:c r="F626" t="str">
        <x:v>SC</x:v>
      </x:c>
      <x:c r="G626" t="n">
        <x:v>1</x:v>
      </x:c>
      <x:c r="H626" t="n">
        <x:v>1</x:v>
      </x:c>
      <x:c r="I626" t="n">
        <x:f>G626-H626</x:f>
        <x:v>0</x:v>
      </x:c>
      <x:c r="J626" s="20" t="n">
        <x:f>IFERROR(H626/G626,0)</x:f>
        <x:v>1</x:v>
      </x:c>
      <x:c r="K626" t="n">
        <x:v>70838</x:v>
      </x:c>
      <x:c r="L626" t="n">
        <x:v>70838</x:v>
      </x:c>
      <x:c r="M626" t="n">
        <x:v>70838</x:v>
      </x:c>
      <x:c r="N626" t="n">
        <x:v>70838</x:v>
      </x:c>
      <x:c r="O626" t="n">
        <x:v>70838</x:v>
      </x:c>
    </x:row>
    <x:row r="627">
      <x:c r="A627" t="str">
        <x:v>Rajasthan</x:v>
      </x:c>
      <x:c r="B627" t="str">
        <x:v>All India except Central University</x:v>
      </x:c>
      <x:c r="C627" t="str">
        <x:v>904549</x:v>
      </x:c>
      <x:c r="D627" t="str">
        <x:v>ESIC MEDICAL COLLEGE AND HOSPITAL, JAIPUR, LAXMI NAGAR AJMER ROAD SODALA JAIPUR RAJASTHAN</x:v>
      </x:c>
      <x:c r="E627" t="str">
        <x:v>ESI</x:v>
      </x:c>
      <x:c r="F627" t="str">
        <x:v>SC PwD</x:v>
      </x:c>
      <x:c r="G627" t="n">
        <x:v>1</x:v>
      </x:c>
      <x:c r="H627" t="n">
        <x:v>0</x:v>
      </x:c>
      <x:c r="I627" t="n">
        <x:f>G627-H627</x:f>
        <x:v>1</x:v>
      </x:c>
      <x:c r="J627" s="20" t="n">
        <x:f>IFERROR(H627/G627,0)</x:f>
        <x:v>0</x:v>
      </x:c>
      <x:c r="K627"/>
      <x:c r="L627"/>
      <x:c r="M627"/>
      <x:c r="N627"/>
      <x:c r="O627"/>
    </x:row>
    <x:row r="628">
      <x:c r="A628" t="str">
        <x:v>Rajasthan</x:v>
      </x:c>
      <x:c r="B628" t="str">
        <x:v>All India except Central University</x:v>
      </x:c>
      <x:c r="C628" t="str">
        <x:v>904549</x:v>
      </x:c>
      <x:c r="D628" t="str">
        <x:v>ESIC MEDICAL COLLEGE AND HOSPITAL, JAIPUR, LAXMI NAGAR AJMER ROAD SODALA JAIPUR RAJASTHAN</x:v>
      </x:c>
      <x:c r="E628" t="str">
        <x:v>ESI</x:v>
      </x:c>
      <x:c r="F628" t="str">
        <x:v>ST PwD</x:v>
      </x:c>
      <x:c r="G628" t="n">
        <x:v>1</x:v>
      </x:c>
      <x:c r="H628" t="n">
        <x:v>0</x:v>
      </x:c>
      <x:c r="I628" t="n">
        <x:f>G628-H628</x:f>
        <x:v>1</x:v>
      </x:c>
      <x:c r="J628" s="20" t="n">
        <x:f>IFERROR(H628/G628,0)</x:f>
        <x:v>0</x:v>
      </x:c>
      <x:c r="K628"/>
      <x:c r="L628"/>
      <x:c r="M628"/>
      <x:c r="N628"/>
      <x:c r="O628"/>
    </x:row>
    <x:row r="629">
      <x:c r="A629" t="str">
        <x:v>Uttar Pradesh</x:v>
      </x:c>
      <x:c r="B629" t="str">
        <x:v>All India except Central University</x:v>
      </x:c>
      <x:c r="C629" t="str">
        <x:v>904362</x:v>
      </x:c>
      <x:c r="D629" t="str">
        <x:v>ESIC MEDICAL COLLEGE AND HOSPITAL, NOIDA, A-3, Tulsi Marg, Sector-24, Noida</x:v>
      </x:c>
      <x:c r="E629" t="str">
        <x:v>All India</x:v>
      </x:c>
      <x:c r="F629" t="str">
        <x:v>EWS</x:v>
      </x:c>
      <x:c r="G629" t="n">
        <x:v>1</x:v>
      </x:c>
      <x:c r="H629" t="n">
        <x:v>1</x:v>
      </x:c>
      <x:c r="I629" t="n">
        <x:f>G629-H629</x:f>
        <x:v>0</x:v>
      </x:c>
      <x:c r="J629" s="20" t="n">
        <x:f>IFERROR(H629/G629,0)</x:f>
        <x:v>1</x:v>
      </x:c>
      <x:c r="K629" t="n">
        <x:v>7229</x:v>
      </x:c>
      <x:c r="L629" t="n">
        <x:v>7229</x:v>
      </x:c>
      <x:c r="M629" t="n">
        <x:v>7229</x:v>
      </x:c>
      <x:c r="N629" t="n">
        <x:v>7229</x:v>
      </x:c>
      <x:c r="O629" t="n">
        <x:v>7229</x:v>
      </x:c>
    </x:row>
    <x:row r="630">
      <x:c r="A630" t="str">
        <x:v>Uttar Pradesh</x:v>
      </x:c>
      <x:c r="B630" t="str">
        <x:v>All India except Central University</x:v>
      </x:c>
      <x:c r="C630" t="str">
        <x:v>904362</x:v>
      </x:c>
      <x:c r="D630" t="str">
        <x:v>ESIC MEDICAL COLLEGE AND HOSPITAL, NOIDA, A-3, Tulsi Marg, Sector-24, Noida</x:v>
      </x:c>
      <x:c r="E630" t="str">
        <x:v>All India</x:v>
      </x:c>
      <x:c r="F630" t="str">
        <x:v>OBC</x:v>
      </x:c>
      <x:c r="G630" t="n">
        <x:v>2</x:v>
      </x:c>
      <x:c r="H630" t="n">
        <x:v>2</x:v>
      </x:c>
      <x:c r="I630" t="n">
        <x:f>G630-H630</x:f>
        <x:v>0</x:v>
      </x:c>
      <x:c r="J630" s="20" t="n">
        <x:f>IFERROR(H630/G630,0)</x:f>
        <x:v>1</x:v>
      </x:c>
      <x:c r="K630" t="n">
        <x:v>6209</x:v>
      </x:c>
      <x:c r="L630" t="n">
        <x:v>6447.75</x:v>
      </x:c>
      <x:c r="M630" t="n">
        <x:v>6686.5</x:v>
      </x:c>
      <x:c r="N630" t="n">
        <x:v>6925.25</x:v>
      </x:c>
      <x:c r="O630" t="n">
        <x:v>7164</x:v>
      </x:c>
    </x:row>
    <x:row r="631">
      <x:c r="A631" t="str">
        <x:v>Uttar Pradesh</x:v>
      </x:c>
      <x:c r="B631" t="str">
        <x:v>All India except Central University</x:v>
      </x:c>
      <x:c r="C631" t="str">
        <x:v>904362</x:v>
      </x:c>
      <x:c r="D631" t="str">
        <x:v>ESIC MEDICAL COLLEGE AND HOSPITAL, NOIDA, A-3, Tulsi Marg, Sector-24, Noida</x:v>
      </x:c>
      <x:c r="E631" t="str">
        <x:v>All India</x:v>
      </x:c>
      <x:c r="F631" t="str">
        <x:v>Open</x:v>
      </x:c>
      <x:c r="G631" t="n">
        <x:v>3</x:v>
      </x:c>
      <x:c r="H631" t="n">
        <x:v>3</x:v>
      </x:c>
      <x:c r="I631" t="n">
        <x:f>G631-H631</x:f>
        <x:v>0</x:v>
      </x:c>
      <x:c r="J631" s="20" t="n">
        <x:f>IFERROR(H631/G631,0)</x:f>
        <x:v>1</x:v>
      </x:c>
      <x:c r="K631" t="n">
        <x:v>5243</x:v>
      </x:c>
      <x:c r="L631" t="n">
        <x:v>5252.5</x:v>
      </x:c>
      <x:c r="M631" t="n">
        <x:v>5262</x:v>
      </x:c>
      <x:c r="N631" t="n">
        <x:v>5556</x:v>
      </x:c>
      <x:c r="O631" t="n">
        <x:v>5850</x:v>
      </x:c>
    </x:row>
    <x:row r="632">
      <x:c r="A632" t="str">
        <x:v>Uttar Pradesh</x:v>
      </x:c>
      <x:c r="B632" t="str">
        <x:v>All India except Central University</x:v>
      </x:c>
      <x:c r="C632" t="str">
        <x:v>904362</x:v>
      </x:c>
      <x:c r="D632" t="str">
        <x:v>ESIC MEDICAL COLLEGE AND HOSPITAL, NOIDA, A-3, Tulsi Marg, Sector-24, Noida</x:v>
      </x:c>
      <x:c r="E632" t="str">
        <x:v>All India</x:v>
      </x:c>
      <x:c r="F632" t="str">
        <x:v>SC</x:v>
      </x:c>
      <x:c r="G632" t="n">
        <x:v>1</x:v>
      </x:c>
      <x:c r="H632" t="n">
        <x:v>1</x:v>
      </x:c>
      <x:c r="I632" t="n">
        <x:f>G632-H632</x:f>
        <x:v>0</x:v>
      </x:c>
      <x:c r="J632" s="20" t="n">
        <x:f>IFERROR(H632/G632,0)</x:f>
        <x:v>1</x:v>
      </x:c>
      <x:c r="K632" t="n">
        <x:v>43322</x:v>
      </x:c>
      <x:c r="L632" t="n">
        <x:v>43322</x:v>
      </x:c>
      <x:c r="M632" t="n">
        <x:v>43322</x:v>
      </x:c>
      <x:c r="N632" t="n">
        <x:v>43322</x:v>
      </x:c>
      <x:c r="O632" t="n">
        <x:v>43322</x:v>
      </x:c>
    </x:row>
    <x:row r="633">
      <x:c r="A633" t="str">
        <x:v>Uttar Pradesh</x:v>
      </x:c>
      <x:c r="B633" t="str">
        <x:v>All India except Central University</x:v>
      </x:c>
      <x:c r="C633" t="str">
        <x:v>904362</x:v>
      </x:c>
      <x:c r="D633" t="str">
        <x:v>ESIC MEDICAL COLLEGE AND HOSPITAL, NOIDA, A-3, Tulsi Marg, Sector-24, Noida</x:v>
      </x:c>
      <x:c r="E633" t="str">
        <x:v>ESI</x:v>
      </x:c>
      <x:c r="F633" t="str">
        <x:v>EWS</x:v>
      </x:c>
      <x:c r="G633" t="n">
        <x:v>3</x:v>
      </x:c>
      <x:c r="H633" t="n">
        <x:v>3</x:v>
      </x:c>
      <x:c r="I633" t="n">
        <x:f>G633-H633</x:f>
        <x:v>0</x:v>
      </x:c>
      <x:c r="J633" s="20" t="n">
        <x:f>IFERROR(H633/G633,0)</x:f>
        <x:v>1</x:v>
      </x:c>
      <x:c r="K633" t="n">
        <x:v>20103</x:v>
      </x:c>
      <x:c r="L633" t="n">
        <x:v>21565</x:v>
      </x:c>
      <x:c r="M633" t="n">
        <x:v>23027</x:v>
      </x:c>
      <x:c r="N633" t="n">
        <x:v>24356.5</x:v>
      </x:c>
      <x:c r="O633" t="n">
        <x:v>25686</x:v>
      </x:c>
    </x:row>
    <x:row r="634">
      <x:c r="A634" t="str">
        <x:v>Uttar Pradesh</x:v>
      </x:c>
      <x:c r="B634" t="str">
        <x:v>All India except Central University</x:v>
      </x:c>
      <x:c r="C634" t="str">
        <x:v>904362</x:v>
      </x:c>
      <x:c r="D634" t="str">
        <x:v>ESIC MEDICAL COLLEGE AND HOSPITAL, NOIDA, A-3, Tulsi Marg, Sector-24, Noida</x:v>
      </x:c>
      <x:c r="E634" t="str">
        <x:v>ESI</x:v>
      </x:c>
      <x:c r="F634" t="str">
        <x:v>OBC</x:v>
      </x:c>
      <x:c r="G634" t="n">
        <x:v>6</x:v>
      </x:c>
      <x:c r="H634" t="n">
        <x:v>6</x:v>
      </x:c>
      <x:c r="I634" t="n">
        <x:f>G634-H634</x:f>
        <x:v>0</x:v>
      </x:c>
      <x:c r="J634" s="20" t="n">
        <x:f>IFERROR(H634/G634,0)</x:f>
        <x:v>1</x:v>
      </x:c>
      <x:c r="K634" t="n">
        <x:v>20496</x:v>
      </x:c>
      <x:c r="L634" t="n">
        <x:v>20982.5</x:v>
      </x:c>
      <x:c r="M634" t="n">
        <x:v>21540.5</x:v>
      </x:c>
      <x:c r="N634" t="n">
        <x:v>21652.25</x:v>
      </x:c>
      <x:c r="O634" t="n">
        <x:v>21712</x:v>
      </x:c>
    </x:row>
    <x:row r="635">
      <x:c r="A635" t="str">
        <x:v>Uttar Pradesh</x:v>
      </x:c>
      <x:c r="B635" t="str">
        <x:v>All India except Central University</x:v>
      </x:c>
      <x:c r="C635" t="str">
        <x:v>904362</x:v>
      </x:c>
      <x:c r="D635" t="str">
        <x:v>ESIC MEDICAL COLLEGE AND HOSPITAL, NOIDA, A-3, Tulsi Marg, Sector-24, Noida</x:v>
      </x:c>
      <x:c r="E635" t="str">
        <x:v>ESI</x:v>
      </x:c>
      <x:c r="F635" t="str">
        <x:v>Open</x:v>
      </x:c>
      <x:c r="G635" t="n">
        <x:v>9</x:v>
      </x:c>
      <x:c r="H635" t="n">
        <x:v>9</x:v>
      </x:c>
      <x:c r="I635" t="n">
        <x:f>G635-H635</x:f>
        <x:v>0</x:v>
      </x:c>
      <x:c r="J635" s="20" t="n">
        <x:f>IFERROR(H635/G635,0)</x:f>
        <x:v>1</x:v>
      </x:c>
      <x:c r="K635" t="n">
        <x:v>12031</x:v>
      </x:c>
      <x:c r="L635" t="n">
        <x:v>14625</x:v>
      </x:c>
      <x:c r="M635" t="n">
        <x:v>17717</x:v>
      </x:c>
      <x:c r="N635" t="n">
        <x:v>19035</x:v>
      </x:c>
      <x:c r="O635" t="n">
        <x:v>19880</x:v>
      </x:c>
    </x:row>
    <x:row r="636">
      <x:c r="A636" t="str">
        <x:v>Uttar Pradesh</x:v>
      </x:c>
      <x:c r="B636" t="str">
        <x:v>All India except Central University</x:v>
      </x:c>
      <x:c r="C636" t="str">
        <x:v>904362</x:v>
      </x:c>
      <x:c r="D636" t="str">
        <x:v>ESIC MEDICAL COLLEGE AND HOSPITAL, NOIDA, A-3, Tulsi Marg, Sector-24, Noida</x:v>
      </x:c>
      <x:c r="E636" t="str">
        <x:v>ESI</x:v>
      </x:c>
      <x:c r="F636" t="str">
        <x:v>Open PwD</x:v>
      </x:c>
      <x:c r="G636" t="n">
        <x:v>1</x:v>
      </x:c>
      <x:c r="H636" t="n">
        <x:v>1</x:v>
      </x:c>
      <x:c r="I636" t="n">
        <x:f>G636-H636</x:f>
        <x:v>0</x:v>
      </x:c>
      <x:c r="J636" s="20" t="n">
        <x:f>IFERROR(H636/G636,0)</x:f>
        <x:v>1</x:v>
      </x:c>
      <x:c r="K636" t="n">
        <x:v>993428</x:v>
      </x:c>
      <x:c r="L636" t="n">
        <x:v>993428</x:v>
      </x:c>
      <x:c r="M636" t="n">
        <x:v>993428</x:v>
      </x:c>
      <x:c r="N636" t="n">
        <x:v>993428</x:v>
      </x:c>
      <x:c r="O636" t="n">
        <x:v>993428</x:v>
      </x:c>
    </x:row>
    <x:row r="637">
      <x:c r="A637" t="str">
        <x:v>Uttar Pradesh</x:v>
      </x:c>
      <x:c r="B637" t="str">
        <x:v>All India except Central University</x:v>
      </x:c>
      <x:c r="C637" t="str">
        <x:v>904362</x:v>
      </x:c>
      <x:c r="D637" t="str">
        <x:v>ESIC MEDICAL COLLEGE AND HOSPITAL, NOIDA, A-3, Tulsi Marg, Sector-24, Noida</x:v>
      </x:c>
      <x:c r="E637" t="str">
        <x:v>ESI</x:v>
      </x:c>
      <x:c r="F637" t="str">
        <x:v>SC</x:v>
      </x:c>
      <x:c r="G637" t="n">
        <x:v>3</x:v>
      </x:c>
      <x:c r="H637" t="n">
        <x:v>3</x:v>
      </x:c>
      <x:c r="I637" t="n">
        <x:f>G637-H637</x:f>
        <x:v>0</x:v>
      </x:c>
      <x:c r="J637" s="20" t="n">
        <x:f>IFERROR(H637/G637,0)</x:f>
        <x:v>1</x:v>
      </x:c>
      <x:c r="K637" t="n">
        <x:v>124639</x:v>
      </x:c>
      <x:c r="L637" t="n">
        <x:v>127523.5</x:v>
      </x:c>
      <x:c r="M637" t="n">
        <x:v>130408</x:v>
      </x:c>
      <x:c r="N637" t="n">
        <x:v>130857</x:v>
      </x:c>
      <x:c r="O637" t="n">
        <x:v>131306</x:v>
      </x:c>
    </x:row>
    <x:row r="638">
      <x:c r="A638" t="str">
        <x:v>Uttar Pradesh</x:v>
      </x:c>
      <x:c r="B638" t="str">
        <x:v>All India except Central University</x:v>
      </x:c>
      <x:c r="C638" t="str">
        <x:v>904362</x:v>
      </x:c>
      <x:c r="D638" t="str">
        <x:v>ESIC MEDICAL COLLEGE AND HOSPITAL, NOIDA, A-3, Tulsi Marg, Sector-24, Noida</x:v>
      </x:c>
      <x:c r="E638" t="str">
        <x:v>ESI</x:v>
      </x:c>
      <x:c r="F638" t="str">
        <x:v>SC PwD</x:v>
      </x:c>
      <x:c r="G638" t="n">
        <x:v>1</x:v>
      </x:c>
      <x:c r="H638" t="n">
        <x:v>0</x:v>
      </x:c>
      <x:c r="I638" t="n">
        <x:f>G638-H638</x:f>
        <x:v>1</x:v>
      </x:c>
      <x:c r="J638" s="20" t="n">
        <x:f>IFERROR(H638/G638,0)</x:f>
        <x:v>0</x:v>
      </x:c>
      <x:c r="K638"/>
      <x:c r="L638"/>
      <x:c r="M638"/>
      <x:c r="N638"/>
      <x:c r="O638"/>
    </x:row>
    <x:row r="639">
      <x:c r="A639" t="str">
        <x:v>Uttar Pradesh</x:v>
      </x:c>
      <x:c r="B639" t="str">
        <x:v>All India except Central University</x:v>
      </x:c>
      <x:c r="C639" t="str">
        <x:v>904362</x:v>
      </x:c>
      <x:c r="D639" t="str">
        <x:v>ESIC MEDICAL COLLEGE AND HOSPITAL, NOIDA, A-3, Tulsi Marg, Sector-24, Noida</x:v>
      </x:c>
      <x:c r="E639" t="str">
        <x:v>ESI</x:v>
      </x:c>
      <x:c r="F639" t="str">
        <x:v>ST</x:v>
      </x:c>
      <x:c r="G639" t="n">
        <x:v>2</x:v>
      </x:c>
      <x:c r="H639" t="n">
        <x:v>2</x:v>
      </x:c>
      <x:c r="I639" t="n">
        <x:f>G639-H639</x:f>
        <x:v>0</x:v>
      </x:c>
      <x:c r="J639" s="20" t="n">
        <x:f>IFERROR(H639/G639,0)</x:f>
        <x:v>1</x:v>
      </x:c>
      <x:c r="K639" t="n">
        <x:v>179965</x:v>
      </x:c>
      <x:c r="L639" t="n">
        <x:v>184842</x:v>
      </x:c>
      <x:c r="M639" t="n">
        <x:v>189719</x:v>
      </x:c>
      <x:c r="N639" t="n">
        <x:v>194596</x:v>
      </x:c>
      <x:c r="O639" t="n">
        <x:v>199473</x:v>
      </x:c>
    </x:row>
    <x:row r="640">
      <x:c r="A640" t="str">
        <x:v>Madhya Pradesh</x:v>
      </x:c>
      <x:c r="B640" t="str">
        <x:v>All India except Central University</x:v>
      </x:c>
      <x:c r="C640" t="str">
        <x:v>904548</x:v>
      </x:c>
      <x:c r="D640" t="str">
        <x:v>ESIC MEDICAL COLLEGE AND HOSPITAL,INDORE, ESIC Medical College and Hospital, Nanda Nagar, Indore</x:v>
      </x:c>
      <x:c r="E640" t="str">
        <x:v>All India</x:v>
      </x:c>
      <x:c r="F640" t="str">
        <x:v>OBC</x:v>
      </x:c>
      <x:c r="G640" t="n">
        <x:v>2</x:v>
      </x:c>
      <x:c r="H640" t="n">
        <x:v>2</x:v>
      </x:c>
      <x:c r="I640" t="n">
        <x:f>G640-H640</x:f>
        <x:v>0</x:v>
      </x:c>
      <x:c r="J640" s="20" t="n">
        <x:f>IFERROR(H640/G640,0)</x:f>
        <x:v>1</x:v>
      </x:c>
      <x:c r="K640" t="n">
        <x:v>7991</x:v>
      </x:c>
      <x:c r="L640" t="n">
        <x:v>8183.5</x:v>
      </x:c>
      <x:c r="M640" t="n">
        <x:v>8376</x:v>
      </x:c>
      <x:c r="N640" t="n">
        <x:v>8568.5</x:v>
      </x:c>
      <x:c r="O640" t="n">
        <x:v>8761</x:v>
      </x:c>
    </x:row>
    <x:row r="641">
      <x:c r="A641" t="str">
        <x:v>Madhya Pradesh</x:v>
      </x:c>
      <x:c r="B641" t="str">
        <x:v>All India except Central University</x:v>
      </x:c>
      <x:c r="C641" t="str">
        <x:v>904548</x:v>
      </x:c>
      <x:c r="D641" t="str">
        <x:v>ESIC MEDICAL COLLEGE AND HOSPITAL,INDORE, ESIC Medical College and Hospital, Nanda Nagar, Indore</x:v>
      </x:c>
      <x:c r="E641" t="str">
        <x:v>All India</x:v>
      </x:c>
      <x:c r="F641" t="str">
        <x:v>Open</x:v>
      </x:c>
      <x:c r="G641" t="n">
        <x:v>4</x:v>
      </x:c>
      <x:c r="H641" t="n">
        <x:v>4</x:v>
      </x:c>
      <x:c r="I641" t="n">
        <x:f>G641-H641</x:f>
        <x:v>0</x:v>
      </x:c>
      <x:c r="J641" s="20" t="n">
        <x:f>IFERROR(H641/G641,0)</x:f>
        <x:v>1</x:v>
      </x:c>
      <x:c r="K641" t="n">
        <x:v>6382</x:v>
      </x:c>
      <x:c r="L641" t="n">
        <x:v>6789.25</x:v>
      </x:c>
      <x:c r="M641" t="n">
        <x:v>7180.5</x:v>
      </x:c>
      <x:c r="N641" t="n">
        <x:v>7453.25</x:v>
      </x:c>
      <x:c r="O641" t="n">
        <x:v>7505</x:v>
      </x:c>
    </x:row>
    <x:row r="642">
      <x:c r="A642" t="str">
        <x:v>Madhya Pradesh</x:v>
      </x:c>
      <x:c r="B642" t="str">
        <x:v>All India except Central University</x:v>
      </x:c>
      <x:c r="C642" t="str">
        <x:v>904548</x:v>
      </x:c>
      <x:c r="D642" t="str">
        <x:v>ESIC MEDICAL COLLEGE AND HOSPITAL,INDORE, ESIC Medical College and Hospital, Nanda Nagar, Indore</x:v>
      </x:c>
      <x:c r="E642" t="str">
        <x:v>All India</x:v>
      </x:c>
      <x:c r="F642" t="str">
        <x:v>SC</x:v>
      </x:c>
      <x:c r="G642" t="n">
        <x:v>1</x:v>
      </x:c>
      <x:c r="H642" t="n">
        <x:v>1</x:v>
      </x:c>
      <x:c r="I642" t="n">
        <x:f>G642-H642</x:f>
        <x:v>0</x:v>
      </x:c>
      <x:c r="J642" s="20" t="n">
        <x:f>IFERROR(H642/G642,0)</x:f>
        <x:v>1</x:v>
      </x:c>
      <x:c r="K642" t="n">
        <x:v>56675</x:v>
      </x:c>
      <x:c r="L642" t="n">
        <x:v>56675</x:v>
      </x:c>
      <x:c r="M642" t="n">
        <x:v>56675</x:v>
      </x:c>
      <x:c r="N642" t="n">
        <x:v>56675</x:v>
      </x:c>
      <x:c r="O642" t="n">
        <x:v>56675</x:v>
      </x:c>
    </x:row>
    <x:row r="643">
      <x:c r="A643" t="str">
        <x:v>Madhya Pradesh</x:v>
      </x:c>
      <x:c r="B643" t="str">
        <x:v>All India except Central University</x:v>
      </x:c>
      <x:c r="C643" t="str">
        <x:v>904548</x:v>
      </x:c>
      <x:c r="D643" t="str">
        <x:v>ESIC MEDICAL COLLEGE AND HOSPITAL,INDORE, ESIC Medical College and Hospital, Nanda Nagar, Indore</x:v>
      </x:c>
      <x:c r="E643" t="str">
        <x:v>ESI</x:v>
      </x:c>
      <x:c r="F643" t="str">
        <x:v>EWS</x:v>
      </x:c>
      <x:c r="G643" t="n">
        <x:v>2</x:v>
      </x:c>
      <x:c r="H643" t="n">
        <x:v>2</x:v>
      </x:c>
      <x:c r="I643" t="n">
        <x:f>G643-H643</x:f>
        <x:v>0</x:v>
      </x:c>
      <x:c r="J643" s="20" t="n">
        <x:f>IFERROR(H643/G643,0)</x:f>
        <x:v>1</x:v>
      </x:c>
      <x:c r="K643" t="n">
        <x:v>26820</x:v>
      </x:c>
      <x:c r="L643" t="n">
        <x:v>27175</x:v>
      </x:c>
      <x:c r="M643" t="n">
        <x:v>27530</x:v>
      </x:c>
      <x:c r="N643" t="n">
        <x:v>27885</x:v>
      </x:c>
      <x:c r="O643" t="n">
        <x:v>28240</x:v>
      </x:c>
    </x:row>
    <x:row r="644">
      <x:c r="A644" t="str">
        <x:v>Madhya Pradesh</x:v>
      </x:c>
      <x:c r="B644" t="str">
        <x:v>All India except Central University</x:v>
      </x:c>
      <x:c r="C644" t="str">
        <x:v>904548</x:v>
      </x:c>
      <x:c r="D644" t="str">
        <x:v>ESIC MEDICAL COLLEGE AND HOSPITAL,INDORE, ESIC Medical College and Hospital, Nanda Nagar, Indore</x:v>
      </x:c>
      <x:c r="E644" t="str">
        <x:v>ESI</x:v>
      </x:c>
      <x:c r="F644" t="str">
        <x:v>OBC</x:v>
      </x:c>
      <x:c r="G644" t="n">
        <x:v>5</x:v>
      </x:c>
      <x:c r="H644" t="n">
        <x:v>5</x:v>
      </x:c>
      <x:c r="I644" t="n">
        <x:f>G644-H644</x:f>
        <x:v>0</x:v>
      </x:c>
      <x:c r="J644" s="20" t="n">
        <x:f>IFERROR(H644/G644,0)</x:f>
        <x:v>1</x:v>
      </x:c>
      <x:c r="K644" t="n">
        <x:v>25156</x:v>
      </x:c>
      <x:c r="L644" t="n">
        <x:v>25727</x:v>
      </x:c>
      <x:c r="M644" t="n">
        <x:v>25987</x:v>
      </x:c>
      <x:c r="N644" t="n">
        <x:v>25998</x:v>
      </x:c>
      <x:c r="O644" t="n">
        <x:v>26466</x:v>
      </x:c>
    </x:row>
    <x:row r="645">
      <x:c r="A645" t="str">
        <x:v>Madhya Pradesh</x:v>
      </x:c>
      <x:c r="B645" t="str">
        <x:v>All India except Central University</x:v>
      </x:c>
      <x:c r="C645" t="str">
        <x:v>904548</x:v>
      </x:c>
      <x:c r="D645" t="str">
        <x:v>ESIC MEDICAL COLLEGE AND HOSPITAL,INDORE, ESIC Medical College and Hospital, Nanda Nagar, Indore</x:v>
      </x:c>
      <x:c r="E645" t="str">
        <x:v>ESI</x:v>
      </x:c>
      <x:c r="F645" t="str">
        <x:v>Open</x:v>
      </x:c>
      <x:c r="G645" t="n">
        <x:v>6</x:v>
      </x:c>
      <x:c r="H645" t="n">
        <x:v>6</x:v>
      </x:c>
      <x:c r="I645" t="n">
        <x:f>G645-H645</x:f>
        <x:v>0</x:v>
      </x:c>
      <x:c r="J645" s="20" t="n">
        <x:f>IFERROR(H645/G645,0)</x:f>
        <x:v>1</x:v>
      </x:c>
      <x:c r="K645" t="n">
        <x:v>11688</x:v>
      </x:c>
      <x:c r="L645" t="n">
        <x:v>19396.5</x:v>
      </x:c>
      <x:c r="M645" t="n">
        <x:v>23464.5</x:v>
      </x:c>
      <x:c r="N645" t="n">
        <x:v>24354.75</x:v>
      </x:c>
      <x:c r="O645" t="n">
        <x:v>24742</x:v>
      </x:c>
    </x:row>
    <x:row r="646">
      <x:c r="A646" t="str">
        <x:v>Madhya Pradesh</x:v>
      </x:c>
      <x:c r="B646" t="str">
        <x:v>All India except Central University</x:v>
      </x:c>
      <x:c r="C646" t="str">
        <x:v>904548</x:v>
      </x:c>
      <x:c r="D646" t="str">
        <x:v>ESIC MEDICAL COLLEGE AND HOSPITAL,INDORE, ESIC Medical College and Hospital, Nanda Nagar, Indore</x:v>
      </x:c>
      <x:c r="E646" t="str">
        <x:v>ESI</x:v>
      </x:c>
      <x:c r="F646" t="str">
        <x:v>SC</x:v>
      </x:c>
      <x:c r="G646" t="n">
        <x:v>3</x:v>
      </x:c>
      <x:c r="H646" t="n">
        <x:v>3</x:v>
      </x:c>
      <x:c r="I646" t="n">
        <x:f>G646-H646</x:f>
        <x:v>0</x:v>
      </x:c>
      <x:c r="J646" s="20" t="n">
        <x:f>IFERROR(H646/G646,0)</x:f>
        <x:v>1</x:v>
      </x:c>
      <x:c r="K646" t="n">
        <x:v>142401</x:v>
      </x:c>
      <x:c r="L646" t="n">
        <x:v>154297</x:v>
      </x:c>
      <x:c r="M646" t="n">
        <x:v>166193</x:v>
      </x:c>
      <x:c r="N646" t="n">
        <x:v>169372.5</x:v>
      </x:c>
      <x:c r="O646" t="n">
        <x:v>172552</x:v>
      </x:c>
    </x:row>
    <x:row r="647">
      <x:c r="A647" t="str">
        <x:v>Madhya Pradesh</x:v>
      </x:c>
      <x:c r="B647" t="str">
        <x:v>All India except Central University</x:v>
      </x:c>
      <x:c r="C647" t="str">
        <x:v>904548</x:v>
      </x:c>
      <x:c r="D647" t="str">
        <x:v>ESIC MEDICAL COLLEGE AND HOSPITAL,INDORE, ESIC Medical College and Hospital, Nanda Nagar, Indore</x:v>
      </x:c>
      <x:c r="E647" t="str">
        <x:v>ESI</x:v>
      </x:c>
      <x:c r="F647" t="str">
        <x:v>ST</x:v>
      </x:c>
      <x:c r="G647" t="n">
        <x:v>2</x:v>
      </x:c>
      <x:c r="H647" t="n">
        <x:v>2</x:v>
      </x:c>
      <x:c r="I647" t="n">
        <x:f>G647-H647</x:f>
        <x:v>0</x:v>
      </x:c>
      <x:c r="J647" s="20" t="n">
        <x:f>IFERROR(H647/G647,0)</x:f>
        <x:v>1</x:v>
      </x:c>
      <x:c r="K647" t="n">
        <x:v>173246</x:v>
      </x:c>
      <x:c r="L647" t="n">
        <x:v>181818.75</x:v>
      </x:c>
      <x:c r="M647" t="n">
        <x:v>190391.5</x:v>
      </x:c>
      <x:c r="N647" t="n">
        <x:v>198964.25</x:v>
      </x:c>
      <x:c r="O647" t="n">
        <x:v>207537</x:v>
      </x:c>
    </x:row>
    <x:row r="648">
      <x:c r="A648" t="str">
        <x:v>Gujarat</x:v>
      </x:c>
      <x:c r="B648" t="str">
        <x:v>All India except Central University</x:v>
      </x:c>
      <x:c r="C648" t="str">
        <x:v>904366</x:v>
      </x:c>
      <x:c r="D648" t="str">
        <x:v>ESIC MEDICAL COLLEGE NARODA BAPUNAGAR, AHMEDABAD , D 34,Balbhavan Road,Opposite Khokhra Municipal Swimming Pool, Khokhra Maninagar East, Ahmedabad – 38</x:v>
      </x:c>
      <x:c r="E648" t="str">
        <x:v>All India</x:v>
      </x:c>
      <x:c r="F648" t="str">
        <x:v>EWS PwD</x:v>
      </x:c>
      <x:c r="G648" t="n">
        <x:v>1</x:v>
      </x:c>
      <x:c r="H648" t="n">
        <x:v>1</x:v>
      </x:c>
      <x:c r="I648" t="n">
        <x:f>G648-H648</x:f>
        <x:v>0</x:v>
      </x:c>
      <x:c r="J648" s="20" t="n">
        <x:f>IFERROR(H648/G648,0)</x:f>
        <x:v>1</x:v>
      </x:c>
      <x:c r="K648" t="n">
        <x:v>514232</x:v>
      </x:c>
      <x:c r="L648" t="n">
        <x:v>514232</x:v>
      </x:c>
      <x:c r="M648" t="n">
        <x:v>514232</x:v>
      </x:c>
      <x:c r="N648" t="n">
        <x:v>514232</x:v>
      </x:c>
      <x:c r="O648" t="n">
        <x:v>514232</x:v>
      </x:c>
    </x:row>
    <x:row r="649">
      <x:c r="A649" t="str">
        <x:v>Gujarat</x:v>
      </x:c>
      <x:c r="B649" t="str">
        <x:v>All India except Central University</x:v>
      </x:c>
      <x:c r="C649" t="str">
        <x:v>904366</x:v>
      </x:c>
      <x:c r="D649" t="str">
        <x:v>ESIC MEDICAL COLLEGE NARODA BAPUNAGAR, AHMEDABAD , D 34,Balbhavan Road,Opposite Khokhra Municipal Swimming Pool, Khokhra Maninagar East, Ahmedabad – 38</x:v>
      </x:c>
      <x:c r="E649" t="str">
        <x:v>All India</x:v>
      </x:c>
      <x:c r="F649" t="str">
        <x:v>OBC</x:v>
      </x:c>
      <x:c r="G649" t="n">
        <x:v>2</x:v>
      </x:c>
      <x:c r="H649" t="n">
        <x:v>2</x:v>
      </x:c>
      <x:c r="I649" t="n">
        <x:f>G649-H649</x:f>
        <x:v>0</x:v>
      </x:c>
      <x:c r="J649" s="20" t="n">
        <x:f>IFERROR(H649/G649,0)</x:f>
        <x:v>1</x:v>
      </x:c>
      <x:c r="K649" t="n">
        <x:v>7728</x:v>
      </x:c>
      <x:c r="L649" t="n">
        <x:v>7875</x:v>
      </x:c>
      <x:c r="M649" t="n">
        <x:v>8022</x:v>
      </x:c>
      <x:c r="N649" t="n">
        <x:v>8169</x:v>
      </x:c>
      <x:c r="O649" t="n">
        <x:v>8316</x:v>
      </x:c>
    </x:row>
    <x:row r="650">
      <x:c r="A650" t="str">
        <x:v>Gujarat</x:v>
      </x:c>
      <x:c r="B650" t="str">
        <x:v>All India except Central University</x:v>
      </x:c>
      <x:c r="C650" t="str">
        <x:v>904366</x:v>
      </x:c>
      <x:c r="D650" t="str">
        <x:v>ESIC MEDICAL COLLEGE NARODA BAPUNAGAR, AHMEDABAD , D 34,Balbhavan Road,Opposite Khokhra Municipal Swimming Pool, Khokhra Maninagar East, Ahmedabad – 38</x:v>
      </x:c>
      <x:c r="E650" t="str">
        <x:v>All India</x:v>
      </x:c>
      <x:c r="F650" t="str">
        <x:v>Open</x:v>
      </x:c>
      <x:c r="G650" t="n">
        <x:v>2</x:v>
      </x:c>
      <x:c r="H650" t="n">
        <x:v>2</x:v>
      </x:c>
      <x:c r="I650" t="n">
        <x:f>G650-H650</x:f>
        <x:v>0</x:v>
      </x:c>
      <x:c r="J650" s="20" t="n">
        <x:f>IFERROR(H650/G650,0)</x:f>
        <x:v>1</x:v>
      </x:c>
      <x:c r="K650" t="n">
        <x:v>5487</x:v>
      </x:c>
      <x:c r="L650" t="n">
        <x:v>5650.5</x:v>
      </x:c>
      <x:c r="M650" t="n">
        <x:v>5814</x:v>
      </x:c>
      <x:c r="N650" t="n">
        <x:v>5977.5</x:v>
      </x:c>
      <x:c r="O650" t="n">
        <x:v>6141</x:v>
      </x:c>
    </x:row>
    <x:row r="651">
      <x:c r="A651" t="str">
        <x:v>Gujarat</x:v>
      </x:c>
      <x:c r="B651" t="str">
        <x:v>All India except Central University</x:v>
      </x:c>
      <x:c r="C651" t="str">
        <x:v>904366</x:v>
      </x:c>
      <x:c r="D651" t="str">
        <x:v>ESIC MEDICAL COLLEGE NARODA BAPUNAGAR, AHMEDABAD , D 34,Balbhavan Road,Opposite Khokhra Municipal Swimming Pool, Khokhra Maninagar East, Ahmedabad – 38</x:v>
      </x:c>
      <x:c r="E651" t="str">
        <x:v>All India</x:v>
      </x:c>
      <x:c r="F651" t="str">
        <x:v>Open PwD</x:v>
      </x:c>
      <x:c r="G651" t="n">
        <x:v>1</x:v>
      </x:c>
      <x:c r="H651" t="n">
        <x:v>1</x:v>
      </x:c>
      <x:c r="I651" t="n">
        <x:f>G651-H651</x:f>
        <x:v>0</x:v>
      </x:c>
      <x:c r="J651" s="20" t="n">
        <x:f>IFERROR(H651/G651,0)</x:f>
        <x:v>1</x:v>
      </x:c>
      <x:c r="K651" t="n">
        <x:v>224491</x:v>
      </x:c>
      <x:c r="L651" t="n">
        <x:v>224491</x:v>
      </x:c>
      <x:c r="M651" t="n">
        <x:v>224491</x:v>
      </x:c>
      <x:c r="N651" t="n">
        <x:v>224491</x:v>
      </x:c>
      <x:c r="O651" t="n">
        <x:v>224491</x:v>
      </x:c>
    </x:row>
    <x:row r="652">
      <x:c r="A652" t="str">
        <x:v>Gujarat</x:v>
      </x:c>
      <x:c r="B652" t="str">
        <x:v>All India except Central University</x:v>
      </x:c>
      <x:c r="C652" t="str">
        <x:v>904366</x:v>
      </x:c>
      <x:c r="D652" t="str">
        <x:v>ESIC MEDICAL COLLEGE NARODA BAPUNAGAR, AHMEDABAD , D 34,Balbhavan Road,Opposite Khokhra Municipal Swimming Pool, Khokhra Maninagar East, Ahmedabad – 38</x:v>
      </x:c>
      <x:c r="E652" t="str">
        <x:v>All India</x:v>
      </x:c>
      <x:c r="F652" t="str">
        <x:v>SC</x:v>
      </x:c>
      <x:c r="G652" t="n">
        <x:v>1</x:v>
      </x:c>
      <x:c r="H652" t="n">
        <x:v>1</x:v>
      </x:c>
      <x:c r="I652" t="n">
        <x:f>G652-H652</x:f>
        <x:v>0</x:v>
      </x:c>
      <x:c r="J652" s="20" t="n">
        <x:f>IFERROR(H652/G652,0)</x:f>
        <x:v>1</x:v>
      </x:c>
      <x:c r="K652" t="n">
        <x:v>49287</x:v>
      </x:c>
      <x:c r="L652" t="n">
        <x:v>49287</x:v>
      </x:c>
      <x:c r="M652" t="n">
        <x:v>49287</x:v>
      </x:c>
      <x:c r="N652" t="n">
        <x:v>49287</x:v>
      </x:c>
      <x:c r="O652" t="n">
        <x:v>49287</x:v>
      </x:c>
    </x:row>
    <x:row r="653">
      <x:c r="A653" t="str">
        <x:v>Gujarat</x:v>
      </x:c>
      <x:c r="B653" t="str">
        <x:v>All India except Central University</x:v>
      </x:c>
      <x:c r="C653" t="str">
        <x:v>904366</x:v>
      </x:c>
      <x:c r="D653" t="str">
        <x:v>ESIC MEDICAL COLLEGE NARODA BAPUNAGAR, AHMEDABAD , D 34,Balbhavan Road,Opposite Khokhra Municipal Swimming Pool, Khokhra Maninagar East, Ahmedabad – 38</x:v>
      </x:c>
      <x:c r="E653" t="str">
        <x:v>ESI</x:v>
      </x:c>
      <x:c r="F653" t="str">
        <x:v>EWS</x:v>
      </x:c>
      <x:c r="G653" t="n">
        <x:v>2</x:v>
      </x:c>
      <x:c r="H653" t="n">
        <x:v>2</x:v>
      </x:c>
      <x:c r="I653" t="n">
        <x:f>G653-H653</x:f>
        <x:v>0</x:v>
      </x:c>
      <x:c r="J653" s="20" t="n">
        <x:f>IFERROR(H653/G653,0)</x:f>
        <x:v>1</x:v>
      </x:c>
      <x:c r="K653" t="n">
        <x:v>33709</x:v>
      </x:c>
      <x:c r="L653" t="n">
        <x:v>34204.5</x:v>
      </x:c>
      <x:c r="M653" t="n">
        <x:v>34700</x:v>
      </x:c>
      <x:c r="N653" t="n">
        <x:v>35195.5</x:v>
      </x:c>
      <x:c r="O653" t="n">
        <x:v>35691</x:v>
      </x:c>
    </x:row>
    <x:row r="654">
      <x:c r="A654" t="str">
        <x:v>Gujarat</x:v>
      </x:c>
      <x:c r="B654" t="str">
        <x:v>All India except Central University</x:v>
      </x:c>
      <x:c r="C654" t="str">
        <x:v>904366</x:v>
      </x:c>
      <x:c r="D654" t="str">
        <x:v>ESIC MEDICAL COLLEGE NARODA BAPUNAGAR, AHMEDABAD , D 34,Balbhavan Road,Opposite Khokhra Municipal Swimming Pool, Khokhra Maninagar East, Ahmedabad – 38</x:v>
      </x:c>
      <x:c r="E654" t="str">
        <x:v>ESI</x:v>
      </x:c>
      <x:c r="F654" t="str">
        <x:v>OBC</x:v>
      </x:c>
      <x:c r="G654" t="n">
        <x:v>7</x:v>
      </x:c>
      <x:c r="H654" t="n">
        <x:v>7</x:v>
      </x:c>
      <x:c r="I654" t="n">
        <x:f>G654-H654</x:f>
        <x:v>0</x:v>
      </x:c>
      <x:c r="J654" s="20" t="n">
        <x:f>IFERROR(H654/G654,0)</x:f>
        <x:v>1</x:v>
      </x:c>
      <x:c r="K654" t="n">
        <x:v>28772</x:v>
      </x:c>
      <x:c r="L654" t="n">
        <x:v>30499.5</x:v>
      </x:c>
      <x:c r="M654" t="n">
        <x:v>30658</x:v>
      </x:c>
      <x:c r="N654" t="n">
        <x:v>32263</x:v>
      </x:c>
      <x:c r="O654" t="n">
        <x:v>33470</x:v>
      </x:c>
    </x:row>
    <x:row r="655">
      <x:c r="A655" t="str">
        <x:v>Gujarat</x:v>
      </x:c>
      <x:c r="B655" t="str">
        <x:v>All India except Central University</x:v>
      </x:c>
      <x:c r="C655" t="str">
        <x:v>904366</x:v>
      </x:c>
      <x:c r="D655" t="str">
        <x:v>ESIC MEDICAL COLLEGE NARODA BAPUNAGAR, AHMEDABAD , D 34,Balbhavan Road,Opposite Khokhra Municipal Swimming Pool, Khokhra Maninagar East, Ahmedabad – 38</x:v>
      </x:c>
      <x:c r="E655" t="str">
        <x:v>ESI</x:v>
      </x:c>
      <x:c r="F655" t="str">
        <x:v>Open</x:v>
      </x:c>
      <x:c r="G655" t="n">
        <x:v>10</x:v>
      </x:c>
      <x:c r="H655" t="n">
        <x:v>10</x:v>
      </x:c>
      <x:c r="I655" t="n">
        <x:f>G655-H655</x:f>
        <x:v>0</x:v>
      </x:c>
      <x:c r="J655" s="20" t="n">
        <x:f>IFERROR(H655/G655,0)</x:f>
        <x:v>1</x:v>
      </x:c>
      <x:c r="K655" t="n">
        <x:v>19953</x:v>
      </x:c>
      <x:c r="L655" t="n">
        <x:v>25275.5</x:v>
      </x:c>
      <x:c r="M655" t="n">
        <x:v>26551.5</x:v>
      </x:c>
      <x:c r="N655" t="n">
        <x:v>28025.25</x:v>
      </x:c>
      <x:c r="O655" t="n">
        <x:v>28735</x:v>
      </x:c>
    </x:row>
    <x:row r="656">
      <x:c r="A656" t="str">
        <x:v>Gujarat</x:v>
      </x:c>
      <x:c r="B656" t="str">
        <x:v>All India except Central University</x:v>
      </x:c>
      <x:c r="C656" t="str">
        <x:v>904366</x:v>
      </x:c>
      <x:c r="D656" t="str">
        <x:v>ESIC MEDICAL COLLEGE NARODA BAPUNAGAR, AHMEDABAD , D 34,Balbhavan Road,Opposite Khokhra Municipal Swimming Pool, Khokhra Maninagar East, Ahmedabad – 38</x:v>
      </x:c>
      <x:c r="E656" t="str">
        <x:v>ESI</x:v>
      </x:c>
      <x:c r="F656" t="str">
        <x:v>Open PwD</x:v>
      </x:c>
      <x:c r="G656" t="n">
        <x:v>1</x:v>
      </x:c>
      <x:c r="H656" t="n">
        <x:v>0</x:v>
      </x:c>
      <x:c r="I656" t="n">
        <x:f>G656-H656</x:f>
        <x:v>1</x:v>
      </x:c>
      <x:c r="J656" s="20" t="n">
        <x:f>IFERROR(H656/G656,0)</x:f>
        <x:v>0</x:v>
      </x:c>
      <x:c r="K656"/>
      <x:c r="L656"/>
      <x:c r="M656"/>
      <x:c r="N656"/>
      <x:c r="O656"/>
    </x:row>
    <x:row r="657">
      <x:c r="A657" t="str">
        <x:v>Gujarat</x:v>
      </x:c>
      <x:c r="B657" t="str">
        <x:v>All India except Central University</x:v>
      </x:c>
      <x:c r="C657" t="str">
        <x:v>904366</x:v>
      </x:c>
      <x:c r="D657" t="str">
        <x:v>ESIC MEDICAL COLLEGE NARODA BAPUNAGAR, AHMEDABAD , D 34,Balbhavan Road,Opposite Khokhra Municipal Swimming Pool, Khokhra Maninagar East, Ahmedabad – 38</x:v>
      </x:c>
      <x:c r="E657" t="str">
        <x:v>ESI</x:v>
      </x:c>
      <x:c r="F657" t="str">
        <x:v>SC</x:v>
      </x:c>
      <x:c r="G657" t="n">
        <x:v>4</x:v>
      </x:c>
      <x:c r="H657" t="n">
        <x:v>4</x:v>
      </x:c>
      <x:c r="I657" t="n">
        <x:f>G657-H657</x:f>
        <x:v>0</x:v>
      </x:c>
      <x:c r="J657" s="20" t="n">
        <x:f>IFERROR(H657/G657,0)</x:f>
        <x:v>1</x:v>
      </x:c>
      <x:c r="K657" t="n">
        <x:v>131875</x:v>
      </x:c>
      <x:c r="L657" t="n">
        <x:v>137465.5</x:v>
      </x:c>
      <x:c r="M657" t="n">
        <x:v>144851.5</x:v>
      </x:c>
      <x:c r="N657" t="n">
        <x:v>156898</x:v>
      </x:c>
      <x:c r="O657" t="n">
        <x:v>176470</x:v>
      </x:c>
    </x:row>
    <x:row r="658">
      <x:c r="A658" t="str">
        <x:v>Gujarat</x:v>
      </x:c>
      <x:c r="B658" t="str">
        <x:v>All India except Central University</x:v>
      </x:c>
      <x:c r="C658" t="str">
        <x:v>904366</x:v>
      </x:c>
      <x:c r="D658" t="str">
        <x:v>ESIC MEDICAL COLLEGE NARODA BAPUNAGAR, AHMEDABAD , D 34,Balbhavan Road,Opposite Khokhra Municipal Swimming Pool, Khokhra Maninagar East, Ahmedabad – 38</x:v>
      </x:c>
      <x:c r="E658" t="str">
        <x:v>ESI</x:v>
      </x:c>
      <x:c r="F658" t="str">
        <x:v>ST</x:v>
      </x:c>
      <x:c r="G658" t="n">
        <x:v>1</x:v>
      </x:c>
      <x:c r="H658" t="n">
        <x:v>1</x:v>
      </x:c>
      <x:c r="I658" t="n">
        <x:f>G658-H658</x:f>
        <x:v>0</x:v>
      </x:c>
      <x:c r="J658" s="20" t="n">
        <x:f>IFERROR(H658/G658,0)</x:f>
        <x:v>1</x:v>
      </x:c>
      <x:c r="K658" t="n">
        <x:v>263932</x:v>
      </x:c>
      <x:c r="L658" t="n">
        <x:v>263932</x:v>
      </x:c>
      <x:c r="M658" t="n">
        <x:v>263932</x:v>
      </x:c>
      <x:c r="N658" t="n">
        <x:v>263932</x:v>
      </x:c>
      <x:c r="O658" t="n">
        <x:v>263932</x:v>
      </x:c>
    </x:row>
    <x:row r="659">
      <x:c r="A659" t="str">
        <x:v>Delhi</x:v>
      </x:c>
      <x:c r="B659" t="str">
        <x:v>All India except Central University</x:v>
      </x:c>
      <x:c r="C659" t="str">
        <x:v>904361</x:v>
      </x:c>
      <x:c r="D659" t="str">
        <x:v>ESIC Medical College &amp; Hospital, Basaidarapur, New Delhi, BASAIDARAPUR, NEW DELHI</x:v>
      </x:c>
      <x:c r="E659" t="str">
        <x:v>All India</x:v>
      </x:c>
      <x:c r="F659" t="str">
        <x:v>EWS</x:v>
      </x:c>
      <x:c r="G659" t="n">
        <x:v>1</x:v>
      </x:c>
      <x:c r="H659" t="n">
        <x:v>1</x:v>
      </x:c>
      <x:c r="I659" t="n">
        <x:f>G659-H659</x:f>
        <x:v>0</x:v>
      </x:c>
      <x:c r="J659" s="20" t="n">
        <x:f>IFERROR(H659/G659,0)</x:f>
        <x:v>1</x:v>
      </x:c>
      <x:c r="K659" t="n">
        <x:v>4442</x:v>
      </x:c>
      <x:c r="L659" t="n">
        <x:v>4442</x:v>
      </x:c>
      <x:c r="M659" t="n">
        <x:v>4442</x:v>
      </x:c>
      <x:c r="N659" t="n">
        <x:v>4442</x:v>
      </x:c>
      <x:c r="O659" t="n">
        <x:v>4442</x:v>
      </x:c>
    </x:row>
    <x:row r="660">
      <x:c r="A660" t="str">
        <x:v>Delhi</x:v>
      </x:c>
      <x:c r="B660" t="str">
        <x:v>All India except Central University</x:v>
      </x:c>
      <x:c r="C660" t="str">
        <x:v>904361</x:v>
      </x:c>
      <x:c r="D660" t="str">
        <x:v>ESIC Medical College &amp; Hospital, Basaidarapur, New Delhi, BASAIDARAPUR, NEW DELHI</x:v>
      </x:c>
      <x:c r="E660" t="str">
        <x:v>All India</x:v>
      </x:c>
      <x:c r="F660" t="str">
        <x:v>OBC</x:v>
      </x:c>
      <x:c r="G660" t="n">
        <x:v>2</x:v>
      </x:c>
      <x:c r="H660" t="n">
        <x:v>2</x:v>
      </x:c>
      <x:c r="I660" t="n">
        <x:f>G660-H660</x:f>
        <x:v>0</x:v>
      </x:c>
      <x:c r="J660" s="20" t="n">
        <x:f>IFERROR(H660/G660,0)</x:f>
        <x:v>1</x:v>
      </x:c>
      <x:c r="K660" t="n">
        <x:v>4482</x:v>
      </x:c>
      <x:c r="L660" t="n">
        <x:v>4525</x:v>
      </x:c>
      <x:c r="M660" t="n">
        <x:v>4568</x:v>
      </x:c>
      <x:c r="N660" t="n">
        <x:v>4611</x:v>
      </x:c>
      <x:c r="O660" t="n">
        <x:v>4654</x:v>
      </x:c>
    </x:row>
    <x:row r="661">
      <x:c r="A661" t="str">
        <x:v>Delhi</x:v>
      </x:c>
      <x:c r="B661" t="str">
        <x:v>All India except Central University</x:v>
      </x:c>
      <x:c r="C661" t="str">
        <x:v>904361</x:v>
      </x:c>
      <x:c r="D661" t="str">
        <x:v>ESIC Medical College &amp; Hospital, Basaidarapur, New Delhi, BASAIDARAPUR, NEW DELHI</x:v>
      </x:c>
      <x:c r="E661" t="str">
        <x:v>All India</x:v>
      </x:c>
      <x:c r="F661" t="str">
        <x:v>Open</x:v>
      </x:c>
      <x:c r="G661" t="n">
        <x:v>3</x:v>
      </x:c>
      <x:c r="H661" t="n">
        <x:v>3</x:v>
      </x:c>
      <x:c r="I661" t="n">
        <x:f>G661-H661</x:f>
        <x:v>0</x:v>
      </x:c>
      <x:c r="J661" s="20" t="n">
        <x:f>IFERROR(H661/G661,0)</x:f>
        <x:v>1</x:v>
      </x:c>
      <x:c r="K661" t="n">
        <x:v>2623</x:v>
      </x:c>
      <x:c r="L661" t="n">
        <x:v>2735</x:v>
      </x:c>
      <x:c r="M661" t="n">
        <x:v>2847</x:v>
      </x:c>
      <x:c r="N661" t="n">
        <x:v>3123</x:v>
      </x:c>
      <x:c r="O661" t="n">
        <x:v>3399</x:v>
      </x:c>
    </x:row>
    <x:row r="662">
      <x:c r="A662" t="str">
        <x:v>Delhi</x:v>
      </x:c>
      <x:c r="B662" t="str">
        <x:v>All India except Central University</x:v>
      </x:c>
      <x:c r="C662" t="str">
        <x:v>904361</x:v>
      </x:c>
      <x:c r="D662" t="str">
        <x:v>ESIC Medical College &amp; Hospital, Basaidarapur, New Delhi, BASAIDARAPUR, NEW DELHI</x:v>
      </x:c>
      <x:c r="E662" t="str">
        <x:v>All India</x:v>
      </x:c>
      <x:c r="F662" t="str">
        <x:v>SC</x:v>
      </x:c>
      <x:c r="G662" t="n">
        <x:v>1</x:v>
      </x:c>
      <x:c r="H662" t="n">
        <x:v>1</x:v>
      </x:c>
      <x:c r="I662" t="n">
        <x:f>G662-H662</x:f>
        <x:v>0</x:v>
      </x:c>
      <x:c r="J662" s="20" t="n">
        <x:f>IFERROR(H662/G662,0)</x:f>
        <x:v>1</x:v>
      </x:c>
      <x:c r="K662" t="n">
        <x:v>27496</x:v>
      </x:c>
      <x:c r="L662" t="n">
        <x:v>27496</x:v>
      </x:c>
      <x:c r="M662" t="n">
        <x:v>27496</x:v>
      </x:c>
      <x:c r="N662" t="n">
        <x:v>27496</x:v>
      </x:c>
      <x:c r="O662" t="n">
        <x:v>27496</x:v>
      </x:c>
    </x:row>
    <x:row r="663">
      <x:c r="A663" t="str">
        <x:v>Delhi</x:v>
      </x:c>
      <x:c r="B663" t="str">
        <x:v>All India except Central University</x:v>
      </x:c>
      <x:c r="C663" t="str">
        <x:v>904361</x:v>
      </x:c>
      <x:c r="D663" t="str">
        <x:v>ESIC Medical College &amp; Hospital, Basaidarapur, New Delhi, BASAIDARAPUR, NEW DELHI</x:v>
      </x:c>
      <x:c r="E663" t="str">
        <x:v>Delhi NCR CW</x:v>
      </x:c>
      <x:c r="F663" t="str">
        <x:v>OBC</x:v>
      </x:c>
      <x:c r="G663" t="n">
        <x:v>1</x:v>
      </x:c>
      <x:c r="H663" t="n">
        <x:v>1</x:v>
      </x:c>
      <x:c r="I663" t="n">
        <x:f>G663-H663</x:f>
        <x:v>0</x:v>
      </x:c>
      <x:c r="J663" s="20" t="n">
        <x:f>IFERROR(H663/G663,0)</x:f>
        <x:v>1</x:v>
      </x:c>
      <x:c r="K663" t="n">
        <x:v>13512</x:v>
      </x:c>
      <x:c r="L663" t="n">
        <x:v>13512</x:v>
      </x:c>
      <x:c r="M663" t="n">
        <x:v>13512</x:v>
      </x:c>
      <x:c r="N663" t="n">
        <x:v>13512</x:v>
      </x:c>
      <x:c r="O663" t="n">
        <x:v>13512</x:v>
      </x:c>
    </x:row>
    <x:row r="664">
      <x:c r="A664" t="str">
        <x:v>Delhi</x:v>
      </x:c>
      <x:c r="B664" t="str">
        <x:v>All India except Central University</x:v>
      </x:c>
      <x:c r="C664" t="str">
        <x:v>904361</x:v>
      </x:c>
      <x:c r="D664" t="str">
        <x:v>ESIC Medical College &amp; Hospital, Basaidarapur, New Delhi, BASAIDARAPUR, NEW DELHI</x:v>
      </x:c>
      <x:c r="E664" t="str">
        <x:v>Delhi NCR CW</x:v>
      </x:c>
      <x:c r="F664" t="str">
        <x:v>Open</x:v>
      </x:c>
      <x:c r="G664" t="n">
        <x:v>1</x:v>
      </x:c>
      <x:c r="H664" t="n">
        <x:v>1</x:v>
      </x:c>
      <x:c r="I664" t="n">
        <x:f>G664-H664</x:f>
        <x:v>0</x:v>
      </x:c>
      <x:c r="J664" s="20" t="n">
        <x:f>IFERROR(H664/G664,0)</x:f>
        <x:v>1</x:v>
      </x:c>
      <x:c r="K664" t="n">
        <x:v>397393</x:v>
      </x:c>
      <x:c r="L664" t="n">
        <x:v>397393</x:v>
      </x:c>
      <x:c r="M664" t="n">
        <x:v>397393</x:v>
      </x:c>
      <x:c r="N664" t="n">
        <x:v>397393</x:v>
      </x:c>
      <x:c r="O664" t="n">
        <x:v>397393</x:v>
      </x:c>
    </x:row>
    <x:row r="665">
      <x:c r="A665" t="str">
        <x:v>Delhi</x:v>
      </x:c>
      <x:c r="B665" t="str">
        <x:v>All India except Central University</x:v>
      </x:c>
      <x:c r="C665" t="str">
        <x:v>904361</x:v>
      </x:c>
      <x:c r="D665" t="str">
        <x:v>ESIC Medical College &amp; Hospital, Basaidarapur, New Delhi, BASAIDARAPUR, NEW DELHI</x:v>
      </x:c>
      <x:c r="E665" t="str">
        <x:v>Delhi NCR CW</x:v>
      </x:c>
      <x:c r="F665" t="str">
        <x:v>SC</x:v>
      </x:c>
      <x:c r="G665" t="n">
        <x:v>1</x:v>
      </x:c>
      <x:c r="H665" t="n">
        <x:v>1</x:v>
      </x:c>
      <x:c r="I665" t="n">
        <x:f>G665-H665</x:f>
        <x:v>0</x:v>
      </x:c>
      <x:c r="J665" s="20" t="n">
        <x:f>IFERROR(H665/G665,0)</x:f>
        <x:v>1</x:v>
      </x:c>
      <x:c r="K665" t="n">
        <x:v>255252</x:v>
      </x:c>
      <x:c r="L665" t="n">
        <x:v>255252</x:v>
      </x:c>
      <x:c r="M665" t="n">
        <x:v>255252</x:v>
      </x:c>
      <x:c r="N665" t="n">
        <x:v>255252</x:v>
      </x:c>
      <x:c r="O665" t="n">
        <x:v>255252</x:v>
      </x:c>
    </x:row>
    <x:row r="666">
      <x:c r="A666" t="str">
        <x:v>Delhi</x:v>
      </x:c>
      <x:c r="B666" t="str">
        <x:v>All India except Central University</x:v>
      </x:c>
      <x:c r="C666" t="str">
        <x:v>904361</x:v>
      </x:c>
      <x:c r="D666" t="str">
        <x:v>ESIC Medical College &amp; Hospital, Basaidarapur, New Delhi, BASAIDARAPUR, NEW DELHI</x:v>
      </x:c>
      <x:c r="E666" t="str">
        <x:v>IP University Quota</x:v>
      </x:c>
      <x:c r="F666" t="str">
        <x:v>EWS</x:v>
      </x:c>
      <x:c r="G666" t="n">
        <x:v>4</x:v>
      </x:c>
      <x:c r="H666" t="n">
        <x:v>4</x:v>
      </x:c>
      <x:c r="I666" t="n">
        <x:f>G666-H666</x:f>
        <x:v>0</x:v>
      </x:c>
      <x:c r="J666" s="20" t="n">
        <x:f>IFERROR(H666/G666,0)</x:f>
        <x:v>1</x:v>
      </x:c>
      <x:c r="K666" t="n">
        <x:v>7601</x:v>
      </x:c>
      <x:c r="L666" t="n">
        <x:v>7958</x:v>
      </x:c>
      <x:c r="M666" t="n">
        <x:v>8890</x:v>
      </x:c>
      <x:c r="N666" t="n">
        <x:v>9752.75</x:v>
      </x:c>
      <x:c r="O666" t="n">
        <x:v>9902</x:v>
      </x:c>
    </x:row>
    <x:row r="667">
      <x:c r="A667" t="str">
        <x:v>Delhi</x:v>
      </x:c>
      <x:c r="B667" t="str">
        <x:v>All India except Central University</x:v>
      </x:c>
      <x:c r="C667" t="str">
        <x:v>904361</x:v>
      </x:c>
      <x:c r="D667" t="str">
        <x:v>ESIC Medical College &amp; Hospital, Basaidarapur, New Delhi, BASAIDARAPUR, NEW DELHI</x:v>
      </x:c>
      <x:c r="E667" t="str">
        <x:v>IP University Quota</x:v>
      </x:c>
      <x:c r="F667" t="str">
        <x:v>OBC</x:v>
      </x:c>
      <x:c r="G667" t="n">
        <x:v>9</x:v>
      </x:c>
      <x:c r="H667" t="n">
        <x:v>9</x:v>
      </x:c>
      <x:c r="I667" t="n">
        <x:f>G667-H667</x:f>
        <x:v>0</x:v>
      </x:c>
      <x:c r="J667" s="20" t="n">
        <x:f>IFERROR(H667/G667,0)</x:f>
        <x:v>1</x:v>
      </x:c>
      <x:c r="K667" t="n">
        <x:v>11325</x:v>
      </x:c>
      <x:c r="L667" t="n">
        <x:v>11812</x:v>
      </x:c>
      <x:c r="M667" t="n">
        <x:v>11978</x:v>
      </x:c>
      <x:c r="N667" t="n">
        <x:v>12253</x:v>
      </x:c>
      <x:c r="O667" t="n">
        <x:v>12527</x:v>
      </x:c>
    </x:row>
    <x:row r="668">
      <x:c r="A668" t="str">
        <x:v>Delhi</x:v>
      </x:c>
      <x:c r="B668" t="str">
        <x:v>All India except Central University</x:v>
      </x:c>
      <x:c r="C668" t="str">
        <x:v>904361</x:v>
      </x:c>
      <x:c r="D668" t="str">
        <x:v>ESIC Medical College &amp; Hospital, Basaidarapur, New Delhi, BASAIDARAPUR, NEW DELHI</x:v>
      </x:c>
      <x:c r="E668" t="str">
        <x:v>IP University Quota</x:v>
      </x:c>
      <x:c r="F668" t="str">
        <x:v>OBC PwD</x:v>
      </x:c>
      <x:c r="G668" t="n">
        <x:v>1</x:v>
      </x:c>
      <x:c r="H668" t="n">
        <x:v>0</x:v>
      </x:c>
      <x:c r="I668" t="n">
        <x:f>G668-H668</x:f>
        <x:v>1</x:v>
      </x:c>
      <x:c r="J668" s="20" t="n">
        <x:f>IFERROR(H668/G668,0)</x:f>
        <x:v>0</x:v>
      </x:c>
      <x:c r="K668"/>
      <x:c r="L668"/>
      <x:c r="M668"/>
      <x:c r="N668"/>
      <x:c r="O668"/>
    </x:row>
    <x:row r="669">
      <x:c r="A669" t="str">
        <x:v>Delhi</x:v>
      </x:c>
      <x:c r="B669" t="str">
        <x:v>All India except Central University</x:v>
      </x:c>
      <x:c r="C669" t="str">
        <x:v>904361</x:v>
      </x:c>
      <x:c r="D669" t="str">
        <x:v>ESIC Medical College &amp; Hospital, Basaidarapur, New Delhi, BASAIDARAPUR, NEW DELHI</x:v>
      </x:c>
      <x:c r="E669" t="str">
        <x:v>IP University Quota</x:v>
      </x:c>
      <x:c r="F669" t="str">
        <x:v>Open</x:v>
      </x:c>
      <x:c r="G669" t="n">
        <x:v>16</x:v>
      </x:c>
      <x:c r="H669" t="n">
        <x:v>16</x:v>
      </x:c>
      <x:c r="I669" t="n">
        <x:f>G669-H669</x:f>
        <x:v>0</x:v>
      </x:c>
      <x:c r="J669" s="20" t="n">
        <x:f>IFERROR(H669/G669,0)</x:f>
        <x:v>1</x:v>
      </x:c>
      <x:c r="K669" t="n">
        <x:v>3804</x:v>
      </x:c>
      <x:c r="L669" t="n">
        <x:v>5258.75</x:v>
      </x:c>
      <x:c r="M669" t="n">
        <x:v>5573.5</x:v>
      </x:c>
      <x:c r="N669" t="n">
        <x:v>6208.25</x:v>
      </x:c>
      <x:c r="O669" t="n">
        <x:v>6717</x:v>
      </x:c>
    </x:row>
    <x:row r="670">
      <x:c r="A670" t="str">
        <x:v>Delhi</x:v>
      </x:c>
      <x:c r="B670" t="str">
        <x:v>All India except Central University</x:v>
      </x:c>
      <x:c r="C670" t="str">
        <x:v>904361</x:v>
      </x:c>
      <x:c r="D670" t="str">
        <x:v>ESIC Medical College &amp; Hospital, Basaidarapur, New Delhi, BASAIDARAPUR, NEW DELHI</x:v>
      </x:c>
      <x:c r="E670" t="str">
        <x:v>IP University Quota</x:v>
      </x:c>
      <x:c r="F670" t="str">
        <x:v>Open PwD</x:v>
      </x:c>
      <x:c r="G670" t="n">
        <x:v>1</x:v>
      </x:c>
      <x:c r="H670" t="n">
        <x:v>1</x:v>
      </x:c>
      <x:c r="I670" t="n">
        <x:f>G670-H670</x:f>
        <x:v>0</x:v>
      </x:c>
      <x:c r="J670" s="20" t="n">
        <x:f>IFERROR(H670/G670,0)</x:f>
        <x:v>1</x:v>
      </x:c>
      <x:c r="K670" t="n">
        <x:v>423816</x:v>
      </x:c>
      <x:c r="L670" t="n">
        <x:v>423816</x:v>
      </x:c>
      <x:c r="M670" t="n">
        <x:v>423816</x:v>
      </x:c>
      <x:c r="N670" t="n">
        <x:v>423816</x:v>
      </x:c>
      <x:c r="O670" t="n">
        <x:v>423816</x:v>
      </x:c>
    </x:row>
    <x:row r="671">
      <x:c r="A671" t="str">
        <x:v>Delhi</x:v>
      </x:c>
      <x:c r="B671" t="str">
        <x:v>All India except Central University</x:v>
      </x:c>
      <x:c r="C671" t="str">
        <x:v>904361</x:v>
      </x:c>
      <x:c r="D671" t="str">
        <x:v>ESIC Medical College &amp; Hospital, Basaidarapur, New Delhi, BASAIDARAPUR, NEW DELHI</x:v>
      </x:c>
      <x:c r="E671" t="str">
        <x:v>IP University Quota</x:v>
      </x:c>
      <x:c r="F671" t="str">
        <x:v>SC</x:v>
      </x:c>
      <x:c r="G671" t="n">
        <x:v>5</x:v>
      </x:c>
      <x:c r="H671" t="n">
        <x:v>5</x:v>
      </x:c>
      <x:c r="I671" t="n">
        <x:f>G671-H671</x:f>
        <x:v>0</x:v>
      </x:c>
      <x:c r="J671" s="20" t="n">
        <x:f>IFERROR(H671/G671,0)</x:f>
        <x:v>1</x:v>
      </x:c>
      <x:c r="K671" t="n">
        <x:v>53677</x:v>
      </x:c>
      <x:c r="L671" t="n">
        <x:v>58726</x:v>
      </x:c>
      <x:c r="M671" t="n">
        <x:v>59793</x:v>
      </x:c>
      <x:c r="N671" t="n">
        <x:v>61017</x:v>
      </x:c>
      <x:c r="O671" t="n">
        <x:v>61656</x:v>
      </x:c>
    </x:row>
    <x:row r="672">
      <x:c r="A672" t="str">
        <x:v>Delhi</x:v>
      </x:c>
      <x:c r="B672" t="str">
        <x:v>All India except Central University</x:v>
      </x:c>
      <x:c r="C672" t="str">
        <x:v>904361</x:v>
      </x:c>
      <x:c r="D672" t="str">
        <x:v>ESIC Medical College &amp; Hospital, Basaidarapur, New Delhi, BASAIDARAPUR, NEW DELHI</x:v>
      </x:c>
      <x:c r="E672" t="str">
        <x:v>IP University Quota</x:v>
      </x:c>
      <x:c r="F672" t="str">
        <x:v>SC PwD</x:v>
      </x:c>
      <x:c r="G672" t="n">
        <x:v>1</x:v>
      </x:c>
      <x:c r="H672" t="n">
        <x:v>0</x:v>
      </x:c>
      <x:c r="I672" t="n">
        <x:f>G672-H672</x:f>
        <x:v>1</x:v>
      </x:c>
      <x:c r="J672" s="20" t="n">
        <x:f>IFERROR(H672/G672,0)</x:f>
        <x:v>0</x:v>
      </x:c>
      <x:c r="K672"/>
      <x:c r="L672"/>
      <x:c r="M672"/>
      <x:c r="N672"/>
      <x:c r="O672"/>
    </x:row>
    <x:row r="673">
      <x:c r="A673" t="str">
        <x:v>Delhi</x:v>
      </x:c>
      <x:c r="B673" t="str">
        <x:v>All India except Central University</x:v>
      </x:c>
      <x:c r="C673" t="str">
        <x:v>904361</x:v>
      </x:c>
      <x:c r="D673" t="str">
        <x:v>ESIC Medical College &amp; Hospital, Basaidarapur, New Delhi, BASAIDARAPUR, NEW DELHI</x:v>
      </x:c>
      <x:c r="E673" t="str">
        <x:v>IP University Quota</x:v>
      </x:c>
      <x:c r="F673" t="str">
        <x:v>ST</x:v>
      </x:c>
      <x:c r="G673" t="n">
        <x:v>3</x:v>
      </x:c>
      <x:c r="H673" t="n">
        <x:v>3</x:v>
      </x:c>
      <x:c r="I673" t="n">
        <x:f>G673-H673</x:f>
        <x:v>0</x:v>
      </x:c>
      <x:c r="J673" s="20" t="n">
        <x:f>IFERROR(H673/G673,0)</x:f>
        <x:v>1</x:v>
      </x:c>
      <x:c r="K673" t="n">
        <x:v>117111</x:v>
      </x:c>
      <x:c r="L673" t="n">
        <x:v>119975</x:v>
      </x:c>
      <x:c r="M673" t="n">
        <x:v>122839</x:v>
      </x:c>
      <x:c r="N673" t="n">
        <x:v>123799</x:v>
      </x:c>
      <x:c r="O673" t="n">
        <x:v>124759</x:v>
      </x:c>
    </x:row>
    <x:row r="674">
      <x:c r="A674" t="str">
        <x:v>Tamil Nadu</x:v>
      </x:c>
      <x:c r="B674" t="str">
        <x:v>Employees State Insurance Scheme</x:v>
      </x:c>
      <x:c r="C674" t="str">
        <x:v>200415</x:v>
      </x:c>
      <x:c r="D674" t="str">
        <x:v>ESIC Medical College &amp; PGIMSR, K.K Nagar, Chennai, ASHOK PILLAR ROAD, KK NAGAR, CHENNAI</x:v>
      </x:c>
      <x:c r="E674" t="str">
        <x:v>All India</x:v>
      </x:c>
      <x:c r="F674" t="str">
        <x:v>EWS</x:v>
      </x:c>
      <x:c r="G674" t="n">
        <x:v>2</x:v>
      </x:c>
      <x:c r="H674" t="n">
        <x:v>2</x:v>
      </x:c>
      <x:c r="I674" t="n">
        <x:f>G674-H674</x:f>
        <x:v>0</x:v>
      </x:c>
      <x:c r="J674" s="20" t="n">
        <x:f>IFERROR(H674/G674,0)</x:f>
        <x:v>1</x:v>
      </x:c>
      <x:c r="K674" t="n">
        <x:v>11248</x:v>
      </x:c>
      <x:c r="L674" t="n">
        <x:v>11337</x:v>
      </x:c>
      <x:c r="M674" t="n">
        <x:v>11426</x:v>
      </x:c>
      <x:c r="N674" t="n">
        <x:v>11515</x:v>
      </x:c>
      <x:c r="O674" t="n">
        <x:v>11604</x:v>
      </x:c>
    </x:row>
    <x:row r="675">
      <x:c r="A675" t="str">
        <x:v>Tamil Nadu</x:v>
      </x:c>
      <x:c r="B675" t="str">
        <x:v>Employees State Insurance Scheme</x:v>
      </x:c>
      <x:c r="C675" t="str">
        <x:v>200415</x:v>
      </x:c>
      <x:c r="D675" t="str">
        <x:v>ESIC Medical College &amp; PGIMSR, K.K Nagar, Chennai, ASHOK PILLAR ROAD, KK NAGAR, CHENNAI</x:v>
      </x:c>
      <x:c r="E675" t="str">
        <x:v>All India</x:v>
      </x:c>
      <x:c r="F675" t="str">
        <x:v>OBC</x:v>
      </x:c>
      <x:c r="G675" t="n">
        <x:v>5</x:v>
      </x:c>
      <x:c r="H675" t="n">
        <x:v>5</x:v>
      </x:c>
      <x:c r="I675" t="n">
        <x:f>G675-H675</x:f>
        <x:v>0</x:v>
      </x:c>
      <x:c r="J675" s="20" t="n">
        <x:f>IFERROR(H675/G675,0)</x:f>
        <x:v>1</x:v>
      </x:c>
      <x:c r="K675" t="n">
        <x:v>5724</x:v>
      </x:c>
      <x:c r="L675" t="n">
        <x:v>6765</x:v>
      </x:c>
      <x:c r="M675" t="n">
        <x:v>7276</x:v>
      </x:c>
      <x:c r="N675" t="n">
        <x:v>7481</x:v>
      </x:c>
      <x:c r="O675" t="n">
        <x:v>7804</x:v>
      </x:c>
    </x:row>
    <x:row r="676">
      <x:c r="A676" t="str">
        <x:v>Tamil Nadu</x:v>
      </x:c>
      <x:c r="B676" t="str">
        <x:v>Employees State Insurance Scheme</x:v>
      </x:c>
      <x:c r="C676" t="str">
        <x:v>200415</x:v>
      </x:c>
      <x:c r="D676" t="str">
        <x:v>ESIC Medical College &amp; PGIMSR, K.K Nagar, Chennai, ASHOK PILLAR ROAD, KK NAGAR, CHENNAI</x:v>
      </x:c>
      <x:c r="E676" t="str">
        <x:v>All India</x:v>
      </x:c>
      <x:c r="F676" t="str">
        <x:v>OBC PwD</x:v>
      </x:c>
      <x:c r="G676" t="n">
        <x:v>1</x:v>
      </x:c>
      <x:c r="H676" t="n">
        <x:v>1</x:v>
      </x:c>
      <x:c r="I676" t="n">
        <x:f>G676-H676</x:f>
        <x:v>0</x:v>
      </x:c>
      <x:c r="J676" s="20" t="n">
        <x:f>IFERROR(H676/G676,0)</x:f>
        <x:v>1</x:v>
      </x:c>
      <x:c r="K676" t="n">
        <x:v>449067</x:v>
      </x:c>
      <x:c r="L676" t="n">
        <x:v>449067</x:v>
      </x:c>
      <x:c r="M676" t="n">
        <x:v>449067</x:v>
      </x:c>
      <x:c r="N676" t="n">
        <x:v>449067</x:v>
      </x:c>
      <x:c r="O676" t="n">
        <x:v>449067</x:v>
      </x:c>
    </x:row>
    <x:row r="677">
      <x:c r="A677" t="str">
        <x:v>Tamil Nadu</x:v>
      </x:c>
      <x:c r="B677" t="str">
        <x:v>Employees State Insurance Scheme</x:v>
      </x:c>
      <x:c r="C677" t="str">
        <x:v>200415</x:v>
      </x:c>
      <x:c r="D677" t="str">
        <x:v>ESIC Medical College &amp; PGIMSR, K.K Nagar, Chennai, ASHOK PILLAR ROAD, KK NAGAR, CHENNAI</x:v>
      </x:c>
      <x:c r="E677" t="str">
        <x:v>All India</x:v>
      </x:c>
      <x:c r="F677" t="str">
        <x:v>Open</x:v>
      </x:c>
      <x:c r="G677" t="n">
        <x:v>8</x:v>
      </x:c>
      <x:c r="H677" t="n">
        <x:v>8</x:v>
      </x:c>
      <x:c r="I677" t="n">
        <x:f>G677-H677</x:f>
        <x:v>0</x:v>
      </x:c>
      <x:c r="J677" s="20" t="n">
        <x:f>IFERROR(H677/G677,0)</x:f>
        <x:v>1</x:v>
      </x:c>
      <x:c r="K677" t="n">
        <x:v>2050</x:v>
      </x:c>
      <x:c r="L677" t="n">
        <x:v>2405.5</x:v>
      </x:c>
      <x:c r="M677" t="n">
        <x:v>3070.5</x:v>
      </x:c>
      <x:c r="N677" t="n">
        <x:v>4552</x:v>
      </x:c>
      <x:c r="O677" t="n">
        <x:v>4971</x:v>
      </x:c>
    </x:row>
    <x:row r="678">
      <x:c r="A678" t="str">
        <x:v>Tamil Nadu</x:v>
      </x:c>
      <x:c r="B678" t="str">
        <x:v>Employees State Insurance Scheme</x:v>
      </x:c>
      <x:c r="C678" t="str">
        <x:v>200415</x:v>
      </x:c>
      <x:c r="D678" t="str">
        <x:v>ESIC Medical College &amp; PGIMSR, K.K Nagar, Chennai, ASHOK PILLAR ROAD, KK NAGAR, CHENNAI</x:v>
      </x:c>
      <x:c r="E678" t="str">
        <x:v>All India</x:v>
      </x:c>
      <x:c r="F678" t="str">
        <x:v>Open PwD</x:v>
      </x:c>
      <x:c r="G678" t="n">
        <x:v>1</x:v>
      </x:c>
      <x:c r="H678" t="n">
        <x:v>1</x:v>
      </x:c>
      <x:c r="I678" t="n">
        <x:f>G678-H678</x:f>
        <x:v>0</x:v>
      </x:c>
      <x:c r="J678" s="20" t="n">
        <x:f>IFERROR(H678/G678,0)</x:f>
        <x:v>1</x:v>
      </x:c>
      <x:c r="K678" t="n">
        <x:v>447369</x:v>
      </x:c>
      <x:c r="L678" t="n">
        <x:v>447369</x:v>
      </x:c>
      <x:c r="M678" t="n">
        <x:v>447369</x:v>
      </x:c>
      <x:c r="N678" t="n">
        <x:v>447369</x:v>
      </x:c>
      <x:c r="O678" t="n">
        <x:v>447369</x:v>
      </x:c>
    </x:row>
    <x:row r="679">
      <x:c r="A679" t="str">
        <x:v>Tamil Nadu</x:v>
      </x:c>
      <x:c r="B679" t="str">
        <x:v>Employees State Insurance Scheme</x:v>
      </x:c>
      <x:c r="C679" t="str">
        <x:v>200415</x:v>
      </x:c>
      <x:c r="D679" t="str">
        <x:v>ESIC Medical College &amp; PGIMSR, K.K Nagar, Chennai, ASHOK PILLAR ROAD, KK NAGAR, CHENNAI</x:v>
      </x:c>
      <x:c r="E679" t="str">
        <x:v>All India</x:v>
      </x:c>
      <x:c r="F679" t="str">
        <x:v>SC</x:v>
      </x:c>
      <x:c r="G679" t="n">
        <x:v>3</x:v>
      </x:c>
      <x:c r="H679" t="n">
        <x:v>3</x:v>
      </x:c>
      <x:c r="I679" t="n">
        <x:f>G679-H679</x:f>
        <x:v>0</x:v>
      </x:c>
      <x:c r="J679" s="20" t="n">
        <x:f>IFERROR(H679/G679,0)</x:f>
        <x:v>1</x:v>
      </x:c>
      <x:c r="K679" t="n">
        <x:v>28192</x:v>
      </x:c>
      <x:c r="L679" t="n">
        <x:v>30842.5</x:v>
      </x:c>
      <x:c r="M679" t="n">
        <x:v>33493</x:v>
      </x:c>
      <x:c r="N679" t="n">
        <x:v>36414</x:v>
      </x:c>
      <x:c r="O679" t="n">
        <x:v>39335</x:v>
      </x:c>
    </x:row>
    <x:row r="680">
      <x:c r="A680" t="str">
        <x:v>Tamil Nadu</x:v>
      </x:c>
      <x:c r="B680" t="str">
        <x:v>Employees State Insurance Scheme</x:v>
      </x:c>
      <x:c r="C680" t="str">
        <x:v>200415</x:v>
      </x:c>
      <x:c r="D680" t="str">
        <x:v>ESIC Medical College &amp; PGIMSR, K.K Nagar, Chennai, ASHOK PILLAR ROAD, KK NAGAR, CHENNAI</x:v>
      </x:c>
      <x:c r="E680" t="str">
        <x:v>All India</x:v>
      </x:c>
      <x:c r="F680" t="str">
        <x:v>ST</x:v>
      </x:c>
      <x:c r="G680" t="n">
        <x:v>2</x:v>
      </x:c>
      <x:c r="H680" t="n">
        <x:v>2</x:v>
      </x:c>
      <x:c r="I680" t="n">
        <x:f>G680-H680</x:f>
        <x:v>0</x:v>
      </x:c>
      <x:c r="J680" s="20" t="n">
        <x:f>IFERROR(H680/G680,0)</x:f>
        <x:v>1</x:v>
      </x:c>
      <x:c r="K680" t="n">
        <x:v>76027</x:v>
      </x:c>
      <x:c r="L680" t="n">
        <x:v>81119.25</x:v>
      </x:c>
      <x:c r="M680" t="n">
        <x:v>86211.5</x:v>
      </x:c>
      <x:c r="N680" t="n">
        <x:v>91303.75</x:v>
      </x:c>
      <x:c r="O680" t="n">
        <x:v>96396</x:v>
      </x:c>
    </x:row>
    <x:row r="681">
      <x:c r="A681" t="str">
        <x:v>Tamil Nadu</x:v>
      </x:c>
      <x:c r="B681" t="str">
        <x:v>Employees State Insurance Scheme</x:v>
      </x:c>
      <x:c r="C681" t="str">
        <x:v>200415</x:v>
      </x:c>
      <x:c r="D681" t="str">
        <x:v>ESIC Medical College &amp; PGIMSR, K.K Nagar, Chennai, ASHOK PILLAR ROAD, KK NAGAR, CHENNAI</x:v>
      </x:c>
      <x:c r="E681" t="str">
        <x:v>ESI</x:v>
      </x:c>
      <x:c r="F681" t="str">
        <x:v>EWS</x:v>
      </x:c>
      <x:c r="G681" t="n">
        <x:v>3</x:v>
      </x:c>
      <x:c r="H681" t="n">
        <x:v>3</x:v>
      </x:c>
      <x:c r="I681" t="n">
        <x:f>G681-H681</x:f>
        <x:v>0</x:v>
      </x:c>
      <x:c r="J681" s="20" t="n">
        <x:f>IFERROR(H681/G681,0)</x:f>
        <x:v>1</x:v>
      </x:c>
      <x:c r="K681" t="n">
        <x:v>44994</x:v>
      </x:c>
      <x:c r="L681" t="n">
        <x:v>46368</x:v>
      </x:c>
      <x:c r="M681" t="n">
        <x:v>47742</x:v>
      </x:c>
      <x:c r="N681" t="n">
        <x:v>47914</x:v>
      </x:c>
      <x:c r="O681" t="n">
        <x:v>48086</x:v>
      </x:c>
    </x:row>
    <x:row r="682">
      <x:c r="A682" t="str">
        <x:v>Tamil Nadu</x:v>
      </x:c>
      <x:c r="B682" t="str">
        <x:v>Employees State Insurance Scheme</x:v>
      </x:c>
      <x:c r="C682" t="str">
        <x:v>200415</x:v>
      </x:c>
      <x:c r="D682" t="str">
        <x:v>ESIC Medical College &amp; PGIMSR, K.K Nagar, Chennai, ASHOK PILLAR ROAD, KK NAGAR, CHENNAI</x:v>
      </x:c>
      <x:c r="E682" t="str">
        <x:v>ESI</x:v>
      </x:c>
      <x:c r="F682" t="str">
        <x:v>OBC</x:v>
      </x:c>
      <x:c r="G682" t="n">
        <x:v>7</x:v>
      </x:c>
      <x:c r="H682" t="n">
        <x:v>7</x:v>
      </x:c>
      <x:c r="I682" t="n">
        <x:f>G682-H682</x:f>
        <x:v>0</x:v>
      </x:c>
      <x:c r="J682" s="20" t="n">
        <x:f>IFERROR(H682/G682,0)</x:f>
        <x:v>1</x:v>
      </x:c>
      <x:c r="K682" t="n">
        <x:v>25103</x:v>
      </x:c>
      <x:c r="L682" t="n">
        <x:v>28359.5</x:v>
      </x:c>
      <x:c r="M682" t="n">
        <x:v>33257</x:v>
      </x:c>
      <x:c r="N682" t="n">
        <x:v>33787</x:v>
      </x:c>
      <x:c r="O682" t="n">
        <x:v>34471</x:v>
      </x:c>
    </x:row>
    <x:row r="683">
      <x:c r="A683" t="str">
        <x:v>Tamil Nadu</x:v>
      </x:c>
      <x:c r="B683" t="str">
        <x:v>Employees State Insurance Scheme</x:v>
      </x:c>
      <x:c r="C683" t="str">
        <x:v>200415</x:v>
      </x:c>
      <x:c r="D683" t="str">
        <x:v>ESIC Medical College &amp; PGIMSR, K.K Nagar, Chennai, ASHOK PILLAR ROAD, KK NAGAR, CHENNAI</x:v>
      </x:c>
      <x:c r="E683" t="str">
        <x:v>ESI</x:v>
      </x:c>
      <x:c r="F683" t="str">
        <x:v>OBC PwD</x:v>
      </x:c>
      <x:c r="G683" t="n">
        <x:v>1</x:v>
      </x:c>
      <x:c r="H683" t="n">
        <x:v>0</x:v>
      </x:c>
      <x:c r="I683" t="n">
        <x:f>G683-H683</x:f>
        <x:v>1</x:v>
      </x:c>
      <x:c r="J683" s="20" t="n">
        <x:f>IFERROR(H683/G683,0)</x:f>
        <x:v>0</x:v>
      </x:c>
      <x:c r="K683"/>
      <x:c r="L683"/>
      <x:c r="M683"/>
      <x:c r="N683"/>
      <x:c r="O683"/>
    </x:row>
    <x:row r="684">
      <x:c r="A684" t="str">
        <x:v>Tamil Nadu</x:v>
      </x:c>
      <x:c r="B684" t="str">
        <x:v>Employees State Insurance Scheme</x:v>
      </x:c>
      <x:c r="C684" t="str">
        <x:v>200415</x:v>
      </x:c>
      <x:c r="D684" t="str">
        <x:v>ESIC Medical College &amp; PGIMSR, K.K Nagar, Chennai, ASHOK PILLAR ROAD, KK NAGAR, CHENNAI</x:v>
      </x:c>
      <x:c r="E684" t="str">
        <x:v>ESI</x:v>
      </x:c>
      <x:c r="F684" t="str">
        <x:v>Open</x:v>
      </x:c>
      <x:c r="G684" t="n">
        <x:v>10</x:v>
      </x:c>
      <x:c r="H684" t="n">
        <x:v>10</x:v>
      </x:c>
      <x:c r="I684" t="n">
        <x:f>G684-H684</x:f>
        <x:v>0</x:v>
      </x:c>
      <x:c r="J684" s="20" t="n">
        <x:f>IFERROR(H684/G684,0)</x:f>
        <x:v>1</x:v>
      </x:c>
      <x:c r="K684" t="n">
        <x:v>9081</x:v>
      </x:c>
      <x:c r="L684" t="n">
        <x:v>20316.75</x:v>
      </x:c>
      <x:c r="M684" t="n">
        <x:v>21143</x:v>
      </x:c>
      <x:c r="N684" t="n">
        <x:v>23064.25</x:v>
      </x:c>
      <x:c r="O684" t="n">
        <x:v>24615</x:v>
      </x:c>
    </x:row>
    <x:row r="685">
      <x:c r="A685" t="str">
        <x:v>Tamil Nadu</x:v>
      </x:c>
      <x:c r="B685" t="str">
        <x:v>Employees State Insurance Scheme</x:v>
      </x:c>
      <x:c r="C685" t="str">
        <x:v>200415</x:v>
      </x:c>
      <x:c r="D685" t="str">
        <x:v>ESIC Medical College &amp; PGIMSR, K.K Nagar, Chennai, ASHOK PILLAR ROAD, KK NAGAR, CHENNAI</x:v>
      </x:c>
      <x:c r="E685" t="str">
        <x:v>ESI</x:v>
      </x:c>
      <x:c r="F685" t="str">
        <x:v>Open PwD</x:v>
      </x:c>
      <x:c r="G685" t="n">
        <x:v>1</x:v>
      </x:c>
      <x:c r="H685" t="n">
        <x:v>1</x:v>
      </x:c>
      <x:c r="I685" t="n">
        <x:f>G685-H685</x:f>
        <x:v>0</x:v>
      </x:c>
      <x:c r="J685" s="20" t="n">
        <x:f>IFERROR(H685/G685,0)</x:f>
        <x:v>1</x:v>
      </x:c>
      <x:c r="K685" t="n">
        <x:v>497300</x:v>
      </x:c>
      <x:c r="L685" t="n">
        <x:v>497300</x:v>
      </x:c>
      <x:c r="M685" t="n">
        <x:v>497300</x:v>
      </x:c>
      <x:c r="N685" t="n">
        <x:v>497300</x:v>
      </x:c>
      <x:c r="O685" t="n">
        <x:v>497300</x:v>
      </x:c>
    </x:row>
    <x:row r="686">
      <x:c r="A686" t="str">
        <x:v>Tamil Nadu</x:v>
      </x:c>
      <x:c r="B686" t="str">
        <x:v>Employees State Insurance Scheme</x:v>
      </x:c>
      <x:c r="C686" t="str">
        <x:v>200415</x:v>
      </x:c>
      <x:c r="D686" t="str">
        <x:v>ESIC Medical College &amp; PGIMSR, K.K Nagar, Chennai, ASHOK PILLAR ROAD, KK NAGAR, CHENNAI</x:v>
      </x:c>
      <x:c r="E686" t="str">
        <x:v>ESI</x:v>
      </x:c>
      <x:c r="F686" t="str">
        <x:v>SC</x:v>
      </x:c>
      <x:c r="G686" t="n">
        <x:v>5</x:v>
      </x:c>
      <x:c r="H686" t="n">
        <x:v>5</x:v>
      </x:c>
      <x:c r="I686" t="n">
        <x:f>G686-H686</x:f>
        <x:v>0</x:v>
      </x:c>
      <x:c r="J686" s="20" t="n">
        <x:f>IFERROR(H686/G686,0)</x:f>
        <x:v>1</x:v>
      </x:c>
      <x:c r="K686" t="n">
        <x:v>140419</x:v>
      </x:c>
      <x:c r="L686" t="n">
        <x:v>145936</x:v>
      </x:c>
      <x:c r="M686" t="n">
        <x:v>150713</x:v>
      </x:c>
      <x:c r="N686" t="n">
        <x:v>161788</x:v>
      </x:c>
      <x:c r="O686" t="n">
        <x:v>165662</x:v>
      </x:c>
    </x:row>
    <x:row r="687">
      <x:c r="A687" t="str">
        <x:v>Tamil Nadu</x:v>
      </x:c>
      <x:c r="B687" t="str">
        <x:v>Employees State Insurance Scheme</x:v>
      </x:c>
      <x:c r="C687" t="str">
        <x:v>200415</x:v>
      </x:c>
      <x:c r="D687" t="str">
        <x:v>ESIC Medical College &amp; PGIMSR, K.K Nagar, Chennai, ASHOK PILLAR ROAD, KK NAGAR, CHENNAI</x:v>
      </x:c>
      <x:c r="E687" t="str">
        <x:v>ESI</x:v>
      </x:c>
      <x:c r="F687" t="str">
        <x:v>ST</x:v>
      </x:c>
      <x:c r="G687" t="n">
        <x:v>3</x:v>
      </x:c>
      <x:c r="H687" t="n">
        <x:v>3</x:v>
      </x:c>
      <x:c r="I687" t="n">
        <x:f>G687-H687</x:f>
        <x:v>0</x:v>
      </x:c>
      <x:c r="J687" s="20" t="n">
        <x:f>IFERROR(H687/G687,0)</x:f>
        <x:v>1</x:v>
      </x:c>
      <x:c r="K687" t="n">
        <x:v>145549</x:v>
      </x:c>
      <x:c r="L687" t="n">
        <x:v>213901</x:v>
      </x:c>
      <x:c r="M687" t="n">
        <x:v>282253</x:v>
      </x:c>
      <x:c r="N687" t="n">
        <x:v>299779</x:v>
      </x:c>
      <x:c r="O687" t="n">
        <x:v>317305</x:v>
      </x:c>
    </x:row>
    <x:row r="688">
      <x:c r="A688" t="str">
        <x:v>Punjab</x:v>
      </x:c>
      <x:c r="B688" t="str">
        <x:v>All India except Central University</x:v>
      </x:c>
      <x:c r="C688" t="str">
        <x:v>904354</x:v>
      </x:c>
      <x:c r="D688" t="str">
        <x:v>ESIC Medical College Ludhiana, ESI CO ORPORATION , BHARAT NAGAR CHOWK LUDHIANA</x:v>
      </x:c>
      <x:c r="E688" t="str">
        <x:v>All India</x:v>
      </x:c>
      <x:c r="F688" t="str">
        <x:v>OBC</x:v>
      </x:c>
      <x:c r="G688" t="n">
        <x:v>2</x:v>
      </x:c>
      <x:c r="H688" t="n">
        <x:v>2</x:v>
      </x:c>
      <x:c r="I688" t="n">
        <x:f>G688-H688</x:f>
        <x:v>0</x:v>
      </x:c>
      <x:c r="J688" s="20" t="n">
        <x:f>IFERROR(H688/G688,0)</x:f>
        <x:v>1</x:v>
      </x:c>
      <x:c r="K688" t="n">
        <x:v>8404</x:v>
      </x:c>
      <x:c r="L688" t="n">
        <x:v>8706.75</x:v>
      </x:c>
      <x:c r="M688" t="n">
        <x:v>9009.5</x:v>
      </x:c>
      <x:c r="N688" t="n">
        <x:v>9312.25</x:v>
      </x:c>
      <x:c r="O688" t="n">
        <x:v>9615</x:v>
      </x:c>
    </x:row>
    <x:row r="689">
      <x:c r="A689" t="str">
        <x:v>Punjab</x:v>
      </x:c>
      <x:c r="B689" t="str">
        <x:v>All India except Central University</x:v>
      </x:c>
      <x:c r="C689" t="str">
        <x:v>904354</x:v>
      </x:c>
      <x:c r="D689" t="str">
        <x:v>ESIC Medical College Ludhiana, ESI CO ORPORATION , BHARAT NAGAR CHOWK LUDHIANA</x:v>
      </x:c>
      <x:c r="E689" t="str">
        <x:v>All India</x:v>
      </x:c>
      <x:c r="F689" t="str">
        <x:v>Open</x:v>
      </x:c>
      <x:c r="G689" t="n">
        <x:v>2</x:v>
      </x:c>
      <x:c r="H689" t="n">
        <x:v>2</x:v>
      </x:c>
      <x:c r="I689" t="n">
        <x:f>G689-H689</x:f>
        <x:v>0</x:v>
      </x:c>
      <x:c r="J689" s="20" t="n">
        <x:f>IFERROR(H689/G689,0)</x:f>
        <x:v>1</x:v>
      </x:c>
      <x:c r="K689" t="n">
        <x:v>6552</x:v>
      </x:c>
      <x:c r="L689" t="n">
        <x:v>6866.75</x:v>
      </x:c>
      <x:c r="M689" t="n">
        <x:v>7181.5</x:v>
      </x:c>
      <x:c r="N689" t="n">
        <x:v>7496.25</x:v>
      </x:c>
      <x:c r="O689" t="n">
        <x:v>7811</x:v>
      </x:c>
    </x:row>
    <x:row r="690">
      <x:c r="A690" t="str">
        <x:v>Punjab</x:v>
      </x:c>
      <x:c r="B690" t="str">
        <x:v>All India except Central University</x:v>
      </x:c>
      <x:c r="C690" t="str">
        <x:v>904354</x:v>
      </x:c>
      <x:c r="D690" t="str">
        <x:v>ESIC Medical College Ludhiana, ESI CO ORPORATION , BHARAT NAGAR CHOWK LUDHIANA</x:v>
      </x:c>
      <x:c r="E690" t="str">
        <x:v>All India</x:v>
      </x:c>
      <x:c r="F690" t="str">
        <x:v>SC</x:v>
      </x:c>
      <x:c r="G690" t="n">
        <x:v>2</x:v>
      </x:c>
      <x:c r="H690" t="n">
        <x:v>2</x:v>
      </x:c>
      <x:c r="I690" t="n">
        <x:f>G690-H690</x:f>
        <x:v>0</x:v>
      </x:c>
      <x:c r="J690" s="20" t="n">
        <x:f>IFERROR(H690/G690,0)</x:f>
        <x:v>1</x:v>
      </x:c>
      <x:c r="K690" t="n">
        <x:v>47791</x:v>
      </x:c>
      <x:c r="L690" t="n">
        <x:v>50100.75</x:v>
      </x:c>
      <x:c r="M690" t="n">
        <x:v>52410.5</x:v>
      </x:c>
      <x:c r="N690" t="n">
        <x:v>54720.25</x:v>
      </x:c>
      <x:c r="O690" t="n">
        <x:v>57030</x:v>
      </x:c>
    </x:row>
    <x:row r="691">
      <x:c r="A691" t="str">
        <x:v>Punjab</x:v>
      </x:c>
      <x:c r="B691" t="str">
        <x:v>All India except Central University</x:v>
      </x:c>
      <x:c r="C691" t="str">
        <x:v>904354</x:v>
      </x:c>
      <x:c r="D691" t="str">
        <x:v>ESIC Medical College Ludhiana, ESI CO ORPORATION , BHARAT NAGAR CHOWK LUDHIANA</x:v>
      </x:c>
      <x:c r="E691" t="str">
        <x:v>All India</x:v>
      </x:c>
      <x:c r="F691" t="str">
        <x:v>ST</x:v>
      </x:c>
      <x:c r="G691" t="n">
        <x:v>1</x:v>
      </x:c>
      <x:c r="H691" t="n">
        <x:v>1</x:v>
      </x:c>
      <x:c r="I691" t="n">
        <x:f>G691-H691</x:f>
        <x:v>0</x:v>
      </x:c>
      <x:c r="J691" s="20" t="n">
        <x:f>IFERROR(H691/G691,0)</x:f>
        <x:v>1</x:v>
      </x:c>
      <x:c r="K691" t="n">
        <x:v>84222</x:v>
      </x:c>
      <x:c r="L691" t="n">
        <x:v>84222</x:v>
      </x:c>
      <x:c r="M691" t="n">
        <x:v>84222</x:v>
      </x:c>
      <x:c r="N691" t="n">
        <x:v>84222</x:v>
      </x:c>
      <x:c r="O691" t="n">
        <x:v>84222</x:v>
      </x:c>
    </x:row>
    <x:row r="692">
      <x:c r="A692" t="str">
        <x:v>Punjab</x:v>
      </x:c>
      <x:c r="B692" t="str">
        <x:v>All India except Central University</x:v>
      </x:c>
      <x:c r="C692" t="str">
        <x:v>904354</x:v>
      </x:c>
      <x:c r="D692" t="str">
        <x:v>ESIC Medical College Ludhiana, ESI CO ORPORATION , BHARAT NAGAR CHOWK LUDHIANA</x:v>
      </x:c>
      <x:c r="E692" t="str">
        <x:v>ESI</x:v>
      </x:c>
      <x:c r="F692" t="str">
        <x:v>EWS</x:v>
      </x:c>
      <x:c r="G692" t="n">
        <x:v>3</x:v>
      </x:c>
      <x:c r="H692" t="n">
        <x:v>3</x:v>
      </x:c>
      <x:c r="I692" t="n">
        <x:f>G692-H692</x:f>
        <x:v>0</x:v>
      </x:c>
      <x:c r="J692" s="20" t="n">
        <x:f>IFERROR(H692/G692,0)</x:f>
        <x:v>1</x:v>
      </x:c>
      <x:c r="K692" t="n">
        <x:v>37381</x:v>
      </x:c>
      <x:c r="L692" t="n">
        <x:v>37821.5</x:v>
      </x:c>
      <x:c r="M692" t="n">
        <x:v>38262</x:v>
      </x:c>
      <x:c r="N692" t="n">
        <x:v>39023</x:v>
      </x:c>
      <x:c r="O692" t="n">
        <x:v>39784</x:v>
      </x:c>
    </x:row>
    <x:row r="693">
      <x:c r="A693" t="str">
        <x:v>Punjab</x:v>
      </x:c>
      <x:c r="B693" t="str">
        <x:v>All India except Central University</x:v>
      </x:c>
      <x:c r="C693" t="str">
        <x:v>904354</x:v>
      </x:c>
      <x:c r="D693" t="str">
        <x:v>ESIC Medical College Ludhiana, ESI CO ORPORATION , BHARAT NAGAR CHOWK LUDHIANA</x:v>
      </x:c>
      <x:c r="E693" t="str">
        <x:v>ESI</x:v>
      </x:c>
      <x:c r="F693" t="str">
        <x:v>OBC</x:v>
      </x:c>
      <x:c r="G693" t="n">
        <x:v>6</x:v>
      </x:c>
      <x:c r="H693" t="n">
        <x:v>6</x:v>
      </x:c>
      <x:c r="I693" t="n">
        <x:f>G693-H693</x:f>
        <x:v>0</x:v>
      </x:c>
      <x:c r="J693" s="20" t="n">
        <x:f>IFERROR(H693/G693,0)</x:f>
        <x:v>1</x:v>
      </x:c>
      <x:c r="K693" t="n">
        <x:v>30074</x:v>
      </x:c>
      <x:c r="L693" t="n">
        <x:v>31108</x:v>
      </x:c>
      <x:c r="M693" t="n">
        <x:v>33005.5</x:v>
      </x:c>
      <x:c r="N693" t="n">
        <x:v>35211.25</x:v>
      </x:c>
      <x:c r="O693" t="n">
        <x:v>36437</x:v>
      </x:c>
    </x:row>
    <x:row r="694">
      <x:c r="A694" t="str">
        <x:v>Punjab</x:v>
      </x:c>
      <x:c r="B694" t="str">
        <x:v>All India except Central University</x:v>
      </x:c>
      <x:c r="C694" t="str">
        <x:v>904354</x:v>
      </x:c>
      <x:c r="D694" t="str">
        <x:v>ESIC Medical College Ludhiana, ESI CO ORPORATION , BHARAT NAGAR CHOWK LUDHIANA</x:v>
      </x:c>
      <x:c r="E694" t="str">
        <x:v>ESI</x:v>
      </x:c>
      <x:c r="F694" t="str">
        <x:v>OBC PwD</x:v>
      </x:c>
      <x:c r="G694" t="n">
        <x:v>1</x:v>
      </x:c>
      <x:c r="H694" t="n">
        <x:v>0</x:v>
      </x:c>
      <x:c r="I694" t="n">
        <x:f>G694-H694</x:f>
        <x:v>1</x:v>
      </x:c>
      <x:c r="J694" s="20" t="n">
        <x:f>IFERROR(H694/G694,0)</x:f>
        <x:v>0</x:v>
      </x:c>
      <x:c r="K694"/>
      <x:c r="L694"/>
      <x:c r="M694"/>
      <x:c r="N694"/>
      <x:c r="O694"/>
    </x:row>
    <x:row r="695">
      <x:c r="A695" t="str">
        <x:v>Punjab</x:v>
      </x:c>
      <x:c r="B695" t="str">
        <x:v>All India except Central University</x:v>
      </x:c>
      <x:c r="C695" t="str">
        <x:v>904354</x:v>
      </x:c>
      <x:c r="D695" t="str">
        <x:v>ESIC Medical College Ludhiana, ESI CO ORPORATION , BHARAT NAGAR CHOWK LUDHIANA</x:v>
      </x:c>
      <x:c r="E695" t="str">
        <x:v>ESI</x:v>
      </x:c>
      <x:c r="F695" t="str">
        <x:v>Open</x:v>
      </x:c>
      <x:c r="G695" t="n">
        <x:v>10</x:v>
      </x:c>
      <x:c r="H695" t="n">
        <x:v>10</x:v>
      </x:c>
      <x:c r="I695" t="n">
        <x:f>G695-H695</x:f>
        <x:v>0</x:v>
      </x:c>
      <x:c r="J695" s="20" t="n">
        <x:f>IFERROR(H695/G695,0)</x:f>
        <x:v>1</x:v>
      </x:c>
      <x:c r="K695" t="n">
        <x:v>19012</x:v>
      </x:c>
      <x:c r="L695" t="n">
        <x:v>24314</x:v>
      </x:c>
      <x:c r="M695" t="n">
        <x:v>25411</x:v>
      </x:c>
      <x:c r="N695" t="n">
        <x:v>26991</x:v>
      </x:c>
      <x:c r="O695" t="n">
        <x:v>29629</x:v>
      </x:c>
    </x:row>
    <x:row r="696">
      <x:c r="A696" t="str">
        <x:v>Punjab</x:v>
      </x:c>
      <x:c r="B696" t="str">
        <x:v>All India except Central University</x:v>
      </x:c>
      <x:c r="C696" t="str">
        <x:v>904354</x:v>
      </x:c>
      <x:c r="D696" t="str">
        <x:v>ESIC Medical College Ludhiana, ESI CO ORPORATION , BHARAT NAGAR CHOWK LUDHIANA</x:v>
      </x:c>
      <x:c r="E696" t="str">
        <x:v>ESI</x:v>
      </x:c>
      <x:c r="F696" t="str">
        <x:v>SC</x:v>
      </x:c>
      <x:c r="G696" t="n">
        <x:v>3</x:v>
      </x:c>
      <x:c r="H696" t="n">
        <x:v>3</x:v>
      </x:c>
      <x:c r="I696" t="n">
        <x:f>G696-H696</x:f>
        <x:v>0</x:v>
      </x:c>
      <x:c r="J696" s="20" t="n">
        <x:f>IFERROR(H696/G696,0)</x:f>
        <x:v>1</x:v>
      </x:c>
      <x:c r="K696" t="n">
        <x:v>142240</x:v>
      </x:c>
      <x:c r="L696" t="n">
        <x:v>148178</x:v>
      </x:c>
      <x:c r="M696" t="n">
        <x:v>154116</x:v>
      </x:c>
      <x:c r="N696" t="n">
        <x:v>156362.5</x:v>
      </x:c>
      <x:c r="O696" t="n">
        <x:v>158609</x:v>
      </x:c>
    </x:row>
    <x:row r="697">
      <x:c r="A697" t="str">
        <x:v>Punjab</x:v>
      </x:c>
      <x:c r="B697" t="str">
        <x:v>All India except Central University</x:v>
      </x:c>
      <x:c r="C697" t="str">
        <x:v>904354</x:v>
      </x:c>
      <x:c r="D697" t="str">
        <x:v>ESIC Medical College Ludhiana, ESI CO ORPORATION , BHARAT NAGAR CHOWK LUDHIANA</x:v>
      </x:c>
      <x:c r="E697" t="str">
        <x:v>ESI</x:v>
      </x:c>
      <x:c r="F697" t="str">
        <x:v>ST</x:v>
      </x:c>
      <x:c r="G697" t="n">
        <x:v>2</x:v>
      </x:c>
      <x:c r="H697" t="n">
        <x:v>2</x:v>
      </x:c>
      <x:c r="I697" t="n">
        <x:f>G697-H697</x:f>
        <x:v>0</x:v>
      </x:c>
      <x:c r="J697" s="20" t="n">
        <x:f>IFERROR(H697/G697,0)</x:f>
        <x:v>1</x:v>
      </x:c>
      <x:c r="K697" t="n">
        <x:v>202163</x:v>
      </x:c>
      <x:c r="L697" t="n">
        <x:v>214326</x:v>
      </x:c>
      <x:c r="M697" t="n">
        <x:v>226489</x:v>
      </x:c>
      <x:c r="N697" t="n">
        <x:v>238652</x:v>
      </x:c>
      <x:c r="O697" t="n">
        <x:v>250815</x:v>
      </x:c>
    </x:row>
    <x:row r="698">
      <x:c r="A698" t="str">
        <x:v>Assam</x:v>
      </x:c>
      <x:c r="B698" t="str">
        <x:v>All India except Central University</x:v>
      </x:c>
      <x:c r="C698" t="str">
        <x:v>904552</x:v>
      </x:c>
      <x:c r="D698" t="str">
        <x:v>ESIC Medical College and Hospital, Beltola, No. 242, Pir Ajan Fakir Road, Beltola, Guwahati, Assam-781022</x:v>
      </x:c>
      <x:c r="E698" t="str">
        <x:v>All India</x:v>
      </x:c>
      <x:c r="F698" t="str">
        <x:v>OBC</x:v>
      </x:c>
      <x:c r="G698" t="n">
        <x:v>1</x:v>
      </x:c>
      <x:c r="H698" t="n">
        <x:v>1</x:v>
      </x:c>
      <x:c r="I698" t="n">
        <x:f>G698-H698</x:f>
        <x:v>0</x:v>
      </x:c>
      <x:c r="J698" s="20" t="n">
        <x:f>IFERROR(H698/G698,0)</x:f>
        <x:v>1</x:v>
      </x:c>
      <x:c r="K698" t="n">
        <x:v>14434</x:v>
      </x:c>
      <x:c r="L698" t="n">
        <x:v>14434</x:v>
      </x:c>
      <x:c r="M698" t="n">
        <x:v>14434</x:v>
      </x:c>
      <x:c r="N698" t="n">
        <x:v>14434</x:v>
      </x:c>
      <x:c r="O698" t="n">
        <x:v>14434</x:v>
      </x:c>
    </x:row>
    <x:row r="699">
      <x:c r="A699" t="str">
        <x:v>Assam</x:v>
      </x:c>
      <x:c r="B699" t="str">
        <x:v>All India except Central University</x:v>
      </x:c>
      <x:c r="C699" t="str">
        <x:v>904552</x:v>
      </x:c>
      <x:c r="D699" t="str">
        <x:v>ESIC Medical College and Hospital, Beltola, No. 242, Pir Ajan Fakir Road, Beltola, Guwahati, Assam-781022</x:v>
      </x:c>
      <x:c r="E699" t="str">
        <x:v>All India</x:v>
      </x:c>
      <x:c r="F699" t="str">
        <x:v>OBC PwD</x:v>
      </x:c>
      <x:c r="G699" t="n">
        <x:v>1</x:v>
      </x:c>
      <x:c r="H699" t="n">
        <x:v>1</x:v>
      </x:c>
      <x:c r="I699" t="n">
        <x:f>G699-H699</x:f>
        <x:v>0</x:v>
      </x:c>
      <x:c r="J699" s="20" t="n">
        <x:f>IFERROR(H699/G699,0)</x:f>
        <x:v>1</x:v>
      </x:c>
      <x:c r="K699" t="n">
        <x:v>550784</x:v>
      </x:c>
      <x:c r="L699" t="n">
        <x:v>550784</x:v>
      </x:c>
      <x:c r="M699" t="n">
        <x:v>550784</x:v>
      </x:c>
      <x:c r="N699" t="n">
        <x:v>550784</x:v>
      </x:c>
      <x:c r="O699" t="n">
        <x:v>550784</x:v>
      </x:c>
    </x:row>
    <x:row r="700">
      <x:c r="A700" t="str">
        <x:v>Assam</x:v>
      </x:c>
      <x:c r="B700" t="str">
        <x:v>All India except Central University</x:v>
      </x:c>
      <x:c r="C700" t="str">
        <x:v>904552</x:v>
      </x:c>
      <x:c r="D700" t="str">
        <x:v>ESIC Medical College and Hospital, Beltola, No. 242, Pir Ajan Fakir Road, Beltola, Guwahati, Assam-781022</x:v>
      </x:c>
      <x:c r="E700" t="str">
        <x:v>All India</x:v>
      </x:c>
      <x:c r="F700" t="str">
        <x:v>Open</x:v>
      </x:c>
      <x:c r="G700" t="n">
        <x:v>3</x:v>
      </x:c>
      <x:c r="H700" t="n">
        <x:v>3</x:v>
      </x:c>
      <x:c r="I700" t="n">
        <x:f>G700-H700</x:f>
        <x:v>0</x:v>
      </x:c>
      <x:c r="J700" s="20" t="n">
        <x:f>IFERROR(H700/G700,0)</x:f>
        <x:v>1</x:v>
      </x:c>
      <x:c r="K700" t="n">
        <x:v>6508</x:v>
      </x:c>
      <x:c r="L700" t="n">
        <x:v>9130.5</x:v>
      </x:c>
      <x:c r="M700" t="n">
        <x:v>11753</x:v>
      </x:c>
      <x:c r="N700" t="n">
        <x:v>11780.5</x:v>
      </x:c>
      <x:c r="O700" t="n">
        <x:v>11808</x:v>
      </x:c>
    </x:row>
    <x:row r="701">
      <x:c r="A701" t="str">
        <x:v>Assam</x:v>
      </x:c>
      <x:c r="B701" t="str">
        <x:v>All India except Central University</x:v>
      </x:c>
      <x:c r="C701" t="str">
        <x:v>904552</x:v>
      </x:c>
      <x:c r="D701" t="str">
        <x:v>ESIC Medical College and Hospital, Beltola, No. 242, Pir Ajan Fakir Road, Beltola, Guwahati, Assam-781022</x:v>
      </x:c>
      <x:c r="E701" t="str">
        <x:v>All India</x:v>
      </x:c>
      <x:c r="F701" t="str">
        <x:v>SC</x:v>
      </x:c>
      <x:c r="G701" t="n">
        <x:v>1</x:v>
      </x:c>
      <x:c r="H701" t="n">
        <x:v>1</x:v>
      </x:c>
      <x:c r="I701" t="n">
        <x:f>G701-H701</x:f>
        <x:v>0</x:v>
      </x:c>
      <x:c r="J701" s="20" t="n">
        <x:f>IFERROR(H701/G701,0)</x:f>
        <x:v>1</x:v>
      </x:c>
      <x:c r="K701" t="n">
        <x:v>80819</x:v>
      </x:c>
      <x:c r="L701" t="n">
        <x:v>80819</x:v>
      </x:c>
      <x:c r="M701" t="n">
        <x:v>80819</x:v>
      </x:c>
      <x:c r="N701" t="n">
        <x:v>80819</x:v>
      </x:c>
      <x:c r="O701" t="n">
        <x:v>80819</x:v>
      </x:c>
    </x:row>
    <x:row r="702">
      <x:c r="A702" t="str">
        <x:v>Assam</x:v>
      </x:c>
      <x:c r="B702" t="str">
        <x:v>All India except Central University</x:v>
      </x:c>
      <x:c r="C702" t="str">
        <x:v>904552</x:v>
      </x:c>
      <x:c r="D702" t="str">
        <x:v>ESIC Medical College and Hospital, Beltola, No. 242, Pir Ajan Fakir Road, Beltola, Guwahati, Assam-781022</x:v>
      </x:c>
      <x:c r="E702" t="str">
        <x:v>All India</x:v>
      </x:c>
      <x:c r="F702" t="str">
        <x:v>ST</x:v>
      </x:c>
      <x:c r="G702" t="n">
        <x:v>1</x:v>
      </x:c>
      <x:c r="H702" t="n">
        <x:v>1</x:v>
      </x:c>
      <x:c r="I702" t="n">
        <x:f>G702-H702</x:f>
        <x:v>0</x:v>
      </x:c>
      <x:c r="J702" s="20" t="n">
        <x:f>IFERROR(H702/G702,0)</x:f>
        <x:v>1</x:v>
      </x:c>
      <x:c r="K702" t="n">
        <x:v>104476</x:v>
      </x:c>
      <x:c r="L702" t="n">
        <x:v>104476</x:v>
      </x:c>
      <x:c r="M702" t="n">
        <x:v>104476</x:v>
      </x:c>
      <x:c r="N702" t="n">
        <x:v>104476</x:v>
      </x:c>
      <x:c r="O702" t="n">
        <x:v>104476</x:v>
      </x:c>
    </x:row>
    <x:row r="703">
      <x:c r="A703" t="str">
        <x:v>Assam</x:v>
      </x:c>
      <x:c r="B703" t="str">
        <x:v>All India except Central University</x:v>
      </x:c>
      <x:c r="C703" t="str">
        <x:v>904552</x:v>
      </x:c>
      <x:c r="D703" t="str">
        <x:v>ESIC Medical College and Hospital, Beltola, No. 242, Pir Ajan Fakir Road, Beltola, Guwahati, Assam-781022</x:v>
      </x:c>
      <x:c r="E703" t="str">
        <x:v>ESI</x:v>
      </x:c>
      <x:c r="F703" t="str">
        <x:v>EWS</x:v>
      </x:c>
      <x:c r="G703" t="n">
        <x:v>3</x:v>
      </x:c>
      <x:c r="H703" t="n">
        <x:v>3</x:v>
      </x:c>
      <x:c r="I703" t="n">
        <x:f>G703-H703</x:f>
        <x:v>0</x:v>
      </x:c>
      <x:c r="J703" s="20" t="n">
        <x:f>IFERROR(H703/G703,0)</x:f>
        <x:v>1</x:v>
      </x:c>
      <x:c r="K703" t="n">
        <x:v>49621</x:v>
      </x:c>
      <x:c r="L703" t="n">
        <x:v>49816.5</x:v>
      </x:c>
      <x:c r="M703" t="n">
        <x:v>50012</x:v>
      </x:c>
      <x:c r="N703" t="n">
        <x:v>50274</x:v>
      </x:c>
      <x:c r="O703" t="n">
        <x:v>50536</x:v>
      </x:c>
    </x:row>
    <x:row r="704">
      <x:c r="A704" t="str">
        <x:v>Assam</x:v>
      </x:c>
      <x:c r="B704" t="str">
        <x:v>All India except Central University</x:v>
      </x:c>
      <x:c r="C704" t="str">
        <x:v>904552</x:v>
      </x:c>
      <x:c r="D704" t="str">
        <x:v>ESIC Medical College and Hospital, Beltola, No. 242, Pir Ajan Fakir Road, Beltola, Guwahati, Assam-781022</x:v>
      </x:c>
      <x:c r="E704" t="str">
        <x:v>ESI</x:v>
      </x:c>
      <x:c r="F704" t="str">
        <x:v>OBC</x:v>
      </x:c>
      <x:c r="G704" t="n">
        <x:v>7</x:v>
      </x:c>
      <x:c r="H704" t="n">
        <x:v>7</x:v>
      </x:c>
      <x:c r="I704" t="n">
        <x:f>G704-H704</x:f>
        <x:v>0</x:v>
      </x:c>
      <x:c r="J704" s="20" t="n">
        <x:f>IFERROR(H704/G704,0)</x:f>
        <x:v>1</x:v>
      </x:c>
      <x:c r="K704" t="n">
        <x:v>50011</x:v>
      </x:c>
      <x:c r="L704" t="n">
        <x:v>50146.5</x:v>
      </x:c>
      <x:c r="M704" t="n">
        <x:v>50459</x:v>
      </x:c>
      <x:c r="N704" t="n">
        <x:v>50597.5</x:v>
      </x:c>
      <x:c r="O704" t="n">
        <x:v>50728</x:v>
      </x:c>
    </x:row>
    <x:row r="705">
      <x:c r="A705" t="str">
        <x:v>Assam</x:v>
      </x:c>
      <x:c r="B705" t="str">
        <x:v>All India except Central University</x:v>
      </x:c>
      <x:c r="C705" t="str">
        <x:v>904552</x:v>
      </x:c>
      <x:c r="D705" t="str">
        <x:v>ESIC Medical College and Hospital, Beltola, No. 242, Pir Ajan Fakir Road, Beltola, Guwahati, Assam-781022</x:v>
      </x:c>
      <x:c r="E705" t="str">
        <x:v>ESI</x:v>
      </x:c>
      <x:c r="F705" t="str">
        <x:v>Open</x:v>
      </x:c>
      <x:c r="G705" t="n">
        <x:v>9</x:v>
      </x:c>
      <x:c r="H705" t="n">
        <x:v>9</x:v>
      </x:c>
      <x:c r="I705" t="n">
        <x:f>G705-H705</x:f>
        <x:v>0</x:v>
      </x:c>
      <x:c r="J705" s="20" t="n">
        <x:f>IFERROR(H705/G705,0)</x:f>
        <x:v>1</x:v>
      </x:c>
      <x:c r="K705" t="n">
        <x:v>37348</x:v>
      </x:c>
      <x:c r="L705" t="n">
        <x:v>42845</x:v>
      </x:c>
      <x:c r="M705" t="n">
        <x:v>46563</x:v>
      </x:c>
      <x:c r="N705" t="n">
        <x:v>47179</x:v>
      </x:c>
      <x:c r="O705" t="n">
        <x:v>47374</x:v>
      </x:c>
    </x:row>
    <x:row r="706">
      <x:c r="A706" t="str">
        <x:v>Assam</x:v>
      </x:c>
      <x:c r="B706" t="str">
        <x:v>All India except Central University</x:v>
      </x:c>
      <x:c r="C706" t="str">
        <x:v>904552</x:v>
      </x:c>
      <x:c r="D706" t="str">
        <x:v>ESIC Medical College and Hospital, Beltola, No. 242, Pir Ajan Fakir Road, Beltola, Guwahati, Assam-781022</x:v>
      </x:c>
      <x:c r="E706" t="str">
        <x:v>ESI</x:v>
      </x:c>
      <x:c r="F706" t="str">
        <x:v>SC</x:v>
      </x:c>
      <x:c r="G706" t="n">
        <x:v>4</x:v>
      </x:c>
      <x:c r="H706" t="n">
        <x:v>4</x:v>
      </x:c>
      <x:c r="I706" t="n">
        <x:f>G706-H706</x:f>
        <x:v>0</x:v>
      </x:c>
      <x:c r="J706" s="20" t="n">
        <x:f>IFERROR(H706/G706,0)</x:f>
        <x:v>1</x:v>
      </x:c>
      <x:c r="K706" t="n">
        <x:v>196076</x:v>
      </x:c>
      <x:c r="L706" t="n">
        <x:v>196889.75</x:v>
      </x:c>
      <x:c r="M706" t="n">
        <x:v>197278</x:v>
      </x:c>
      <x:c r="N706" t="n">
        <x:v>197418.75</x:v>
      </x:c>
      <x:c r="O706" t="n">
        <x:v>197490</x:v>
      </x:c>
    </x:row>
    <x:row r="707">
      <x:c r="A707" t="str">
        <x:v>Assam</x:v>
      </x:c>
      <x:c r="B707" t="str">
        <x:v>All India except Central University</x:v>
      </x:c>
      <x:c r="C707" t="str">
        <x:v>904552</x:v>
      </x:c>
      <x:c r="D707" t="str">
        <x:v>ESIC Medical College and Hospital, Beltola, No. 242, Pir Ajan Fakir Road, Beltola, Guwahati, Assam-781022</x:v>
      </x:c>
      <x:c r="E707" t="str">
        <x:v>ESI</x:v>
      </x:c>
      <x:c r="F707" t="str">
        <x:v>ST</x:v>
      </x:c>
      <x:c r="G707" t="n">
        <x:v>2</x:v>
      </x:c>
      <x:c r="H707" t="n">
        <x:v>2</x:v>
      </x:c>
      <x:c r="I707" t="n">
        <x:f>G707-H707</x:f>
        <x:v>0</x:v>
      </x:c>
      <x:c r="J707" s="20" t="n">
        <x:f>IFERROR(H707/G707,0)</x:f>
        <x:v>1</x:v>
      </x:c>
      <x:c r="K707" t="n">
        <x:v>330540</x:v>
      </x:c>
      <x:c r="L707" t="n">
        <x:v>341483.5</x:v>
      </x:c>
      <x:c r="M707" t="n">
        <x:v>352427</x:v>
      </x:c>
      <x:c r="N707" t="n">
        <x:v>363370.5</x:v>
      </x:c>
      <x:c r="O707" t="n">
        <x:v>374314</x:v>
      </x:c>
    </x:row>
    <x:row r="708">
      <x:c r="A708" t="str">
        <x:v>Uttar Pradesh</x:v>
      </x:c>
      <x:c r="B708" t="str">
        <x:v>All India except Central University</x:v>
      </x:c>
      <x:c r="C708" t="str">
        <x:v>904551</x:v>
      </x:c>
      <x:c r="D708" t="str">
        <x:v>ESIC Medical College and Hospital, VARANASI, ESIC MEDICAL COLLEGE AND HOSPITAL, PANDEYPUR,VARANASI U. P. 221002</x:v>
      </x:c>
      <x:c r="E708" t="str">
        <x:v>All India</x:v>
      </x:c>
      <x:c r="F708" t="str">
        <x:v>OBC</x:v>
      </x:c>
      <x:c r="G708" t="n">
        <x:v>2</x:v>
      </x:c>
      <x:c r="H708" t="n">
        <x:v>2</x:v>
      </x:c>
      <x:c r="I708" t="n">
        <x:f>G708-H708</x:f>
        <x:v>0</x:v>
      </x:c>
      <x:c r="J708" s="20" t="n">
        <x:f>IFERROR(H708/G708,0)</x:f>
        <x:v>1</x:v>
      </x:c>
      <x:c r="K708" t="n">
        <x:v>8769</x:v>
      </x:c>
      <x:c r="L708" t="n">
        <x:v>9037.25</x:v>
      </x:c>
      <x:c r="M708" t="n">
        <x:v>9305.5</x:v>
      </x:c>
      <x:c r="N708" t="n">
        <x:v>9573.75</x:v>
      </x:c>
      <x:c r="O708" t="n">
        <x:v>9842</x:v>
      </x:c>
    </x:row>
    <x:row r="709">
      <x:c r="A709" t="str">
        <x:v>Uttar Pradesh</x:v>
      </x:c>
      <x:c r="B709" t="str">
        <x:v>All India except Central University</x:v>
      </x:c>
      <x:c r="C709" t="str">
        <x:v>904551</x:v>
      </x:c>
      <x:c r="D709" t="str">
        <x:v>ESIC Medical College and Hospital, VARANASI, ESIC MEDICAL COLLEGE AND HOSPITAL, PANDEYPUR,VARANASI U. P. 221002</x:v>
      </x:c>
      <x:c r="E709" t="str">
        <x:v>All India</x:v>
      </x:c>
      <x:c r="F709" t="str">
        <x:v>Open</x:v>
      </x:c>
      <x:c r="G709" t="n">
        <x:v>3</x:v>
      </x:c>
      <x:c r="H709" t="n">
        <x:v>3</x:v>
      </x:c>
      <x:c r="I709" t="n">
        <x:f>G709-H709</x:f>
        <x:v>0</x:v>
      </x:c>
      <x:c r="J709" s="20" t="n">
        <x:f>IFERROR(H709/G709,0)</x:f>
        <x:v>1</x:v>
      </x:c>
      <x:c r="K709" t="n">
        <x:v>5788</x:v>
      </x:c>
      <x:c r="L709" t="n">
        <x:v>6435</x:v>
      </x:c>
      <x:c r="M709" t="n">
        <x:v>7082</x:v>
      </x:c>
      <x:c r="N709" t="n">
        <x:v>7691.5</x:v>
      </x:c>
      <x:c r="O709" t="n">
        <x:v>8301</x:v>
      </x:c>
    </x:row>
    <x:row r="710">
      <x:c r="A710" t="str">
        <x:v>Uttar Pradesh</x:v>
      </x:c>
      <x:c r="B710" t="str">
        <x:v>All India except Central University</x:v>
      </x:c>
      <x:c r="C710" t="str">
        <x:v>904551</x:v>
      </x:c>
      <x:c r="D710" t="str">
        <x:v>ESIC Medical College and Hospital, VARANASI, ESIC MEDICAL COLLEGE AND HOSPITAL, PANDEYPUR,VARANASI U. P. 221002</x:v>
      </x:c>
      <x:c r="E710" t="str">
        <x:v>All India</x:v>
      </x:c>
      <x:c r="F710" t="str">
        <x:v>SC</x:v>
      </x:c>
      <x:c r="G710" t="n">
        <x:v>1</x:v>
      </x:c>
      <x:c r="H710" t="n">
        <x:v>1</x:v>
      </x:c>
      <x:c r="I710" t="n">
        <x:f>G710-H710</x:f>
        <x:v>0</x:v>
      </x:c>
      <x:c r="J710" s="20" t="n">
        <x:f>IFERROR(H710/G710,0)</x:f>
        <x:v>1</x:v>
      </x:c>
      <x:c r="K710" t="n">
        <x:v>47575</x:v>
      </x:c>
      <x:c r="L710" t="n">
        <x:v>47575</x:v>
      </x:c>
      <x:c r="M710" t="n">
        <x:v>47575</x:v>
      </x:c>
      <x:c r="N710" t="n">
        <x:v>47575</x:v>
      </x:c>
      <x:c r="O710" t="n">
        <x:v>47575</x:v>
      </x:c>
    </x:row>
    <x:row r="711">
      <x:c r="A711" t="str">
        <x:v>Uttar Pradesh</x:v>
      </x:c>
      <x:c r="B711" t="str">
        <x:v>All India except Central University</x:v>
      </x:c>
      <x:c r="C711" t="str">
        <x:v>904551</x:v>
      </x:c>
      <x:c r="D711" t="str">
        <x:v>ESIC Medical College and Hospital, VARANASI, ESIC MEDICAL COLLEGE AND HOSPITAL, PANDEYPUR,VARANASI U. P. 221002</x:v>
      </x:c>
      <x:c r="E711" t="str">
        <x:v>All India</x:v>
      </x:c>
      <x:c r="F711" t="str">
        <x:v>ST</x:v>
      </x:c>
      <x:c r="G711" t="n">
        <x:v>1</x:v>
      </x:c>
      <x:c r="H711" t="n">
        <x:v>1</x:v>
      </x:c>
      <x:c r="I711" t="n">
        <x:f>G711-H711</x:f>
        <x:v>0</x:v>
      </x:c>
      <x:c r="J711" s="20" t="n">
        <x:f>IFERROR(H711/G711,0)</x:f>
        <x:v>1</x:v>
      </x:c>
      <x:c r="K711" t="n">
        <x:v>69462</x:v>
      </x:c>
      <x:c r="L711" t="n">
        <x:v>69462</x:v>
      </x:c>
      <x:c r="M711" t="n">
        <x:v>69462</x:v>
      </x:c>
      <x:c r="N711" t="n">
        <x:v>69462</x:v>
      </x:c>
      <x:c r="O711" t="n">
        <x:v>69462</x:v>
      </x:c>
    </x:row>
    <x:row r="712">
      <x:c r="A712" t="str">
        <x:v>Uttar Pradesh</x:v>
      </x:c>
      <x:c r="B712" t="str">
        <x:v>All India except Central University</x:v>
      </x:c>
      <x:c r="C712" t="str">
        <x:v>904551</x:v>
      </x:c>
      <x:c r="D712" t="str">
        <x:v>ESIC Medical College and Hospital, VARANASI, ESIC MEDICAL COLLEGE AND HOSPITAL, PANDEYPUR,VARANASI U. P. 221002</x:v>
      </x:c>
      <x:c r="E712" t="str">
        <x:v>ESI</x:v>
      </x:c>
      <x:c r="F712" t="str">
        <x:v>EWS</x:v>
      </x:c>
      <x:c r="G712" t="n">
        <x:v>3</x:v>
      </x:c>
      <x:c r="H712" t="n">
        <x:v>3</x:v>
      </x:c>
      <x:c r="I712" t="n">
        <x:f>G712-H712</x:f>
        <x:v>0</x:v>
      </x:c>
      <x:c r="J712" s="20" t="n">
        <x:f>IFERROR(H712/G712,0)</x:f>
        <x:v>1</x:v>
      </x:c>
      <x:c r="K712" t="n">
        <x:v>27517</x:v>
      </x:c>
      <x:c r="L712" t="n">
        <x:v>28595</x:v>
      </x:c>
      <x:c r="M712" t="n">
        <x:v>29673</x:v>
      </x:c>
      <x:c r="N712" t="n">
        <x:v>30067</x:v>
      </x:c>
      <x:c r="O712" t="n">
        <x:v>30461</x:v>
      </x:c>
    </x:row>
    <x:row r="713">
      <x:c r="A713" t="str">
        <x:v>Uttar Pradesh</x:v>
      </x:c>
      <x:c r="B713" t="str">
        <x:v>All India except Central University</x:v>
      </x:c>
      <x:c r="C713" t="str">
        <x:v>904551</x:v>
      </x:c>
      <x:c r="D713" t="str">
        <x:v>ESIC Medical College and Hospital, VARANASI, ESIC MEDICAL COLLEGE AND HOSPITAL, PANDEYPUR,VARANASI U. P. 221002</x:v>
      </x:c>
      <x:c r="E713" t="str">
        <x:v>ESI</x:v>
      </x:c>
      <x:c r="F713" t="str">
        <x:v>OBC</x:v>
      </x:c>
      <x:c r="G713" t="n">
        <x:v>7</x:v>
      </x:c>
      <x:c r="H713" t="n">
        <x:v>7</x:v>
      </x:c>
      <x:c r="I713" t="n">
        <x:f>G713-H713</x:f>
        <x:v>0</x:v>
      </x:c>
      <x:c r="J713" s="20" t="n">
        <x:f>IFERROR(H713/G713,0)</x:f>
        <x:v>1</x:v>
      </x:c>
      <x:c r="K713" t="n">
        <x:v>27693</x:v>
      </x:c>
      <x:c r="L713" t="n">
        <x:v>28105</x:v>
      </x:c>
      <x:c r="M713" t="n">
        <x:v>30702</x:v>
      </x:c>
      <x:c r="N713" t="n">
        <x:v>32273</x:v>
      </x:c>
      <x:c r="O713" t="n">
        <x:v>32927</x:v>
      </x:c>
    </x:row>
    <x:row r="714">
      <x:c r="A714" t="str">
        <x:v>Uttar Pradesh</x:v>
      </x:c>
      <x:c r="B714" t="str">
        <x:v>All India except Central University</x:v>
      </x:c>
      <x:c r="C714" t="str">
        <x:v>904551</x:v>
      </x:c>
      <x:c r="D714" t="str">
        <x:v>ESIC Medical College and Hospital, VARANASI, ESIC MEDICAL COLLEGE AND HOSPITAL, PANDEYPUR,VARANASI U. P. 221002</x:v>
      </x:c>
      <x:c r="E714" t="str">
        <x:v>ESI</x:v>
      </x:c>
      <x:c r="F714" t="str">
        <x:v>Open</x:v>
      </x:c>
      <x:c r="G714" t="n">
        <x:v>9</x:v>
      </x:c>
      <x:c r="H714" t="n">
        <x:v>9</x:v>
      </x:c>
      <x:c r="I714" t="n">
        <x:f>G714-H714</x:f>
        <x:v>0</x:v>
      </x:c>
      <x:c r="J714" s="20" t="n">
        <x:f>IFERROR(H714/G714,0)</x:f>
        <x:v>1</x:v>
      </x:c>
      <x:c r="K714" t="n">
        <x:v>17844</x:v>
      </x:c>
      <x:c r="L714" t="n">
        <x:v>23759</x:v>
      </x:c>
      <x:c r="M714" t="n">
        <x:v>24174</x:v>
      </x:c>
      <x:c r="N714" t="n">
        <x:v>25801</x:v>
      </x:c>
      <x:c r="O714" t="n">
        <x:v>27155</x:v>
      </x:c>
    </x:row>
    <x:row r="715">
      <x:c r="A715" t="str">
        <x:v>Uttar Pradesh</x:v>
      </x:c>
      <x:c r="B715" t="str">
        <x:v>All India except Central University</x:v>
      </x:c>
      <x:c r="C715" t="str">
        <x:v>904551</x:v>
      </x:c>
      <x:c r="D715" t="str">
        <x:v>ESIC Medical College and Hospital, VARANASI, ESIC MEDICAL COLLEGE AND HOSPITAL, PANDEYPUR,VARANASI U. P. 221002</x:v>
      </x:c>
      <x:c r="E715" t="str">
        <x:v>ESI</x:v>
      </x:c>
      <x:c r="F715" t="str">
        <x:v>SC</x:v>
      </x:c>
      <x:c r="G715" t="n">
        <x:v>4</x:v>
      </x:c>
      <x:c r="H715" t="n">
        <x:v>4</x:v>
      </x:c>
      <x:c r="I715" t="n">
        <x:f>G715-H715</x:f>
        <x:v>0</x:v>
      </x:c>
      <x:c r="J715" s="20" t="n">
        <x:f>IFERROR(H715/G715,0)</x:f>
        <x:v>1</x:v>
      </x:c>
      <x:c r="K715" t="n">
        <x:v>161530</x:v>
      </x:c>
      <x:c r="L715" t="n">
        <x:v>167790.25</x:v>
      </x:c>
      <x:c r="M715" t="n">
        <x:v>176657.5</x:v>
      </x:c>
      <x:c r="N715" t="n">
        <x:v>184135.25</x:v>
      </x:c>
      <x:c r="O715" t="n">
        <x:v>186227</x:v>
      </x:c>
    </x:row>
    <x:row r="716">
      <x:c r="A716" t="str">
        <x:v>Uttar Pradesh</x:v>
      </x:c>
      <x:c r="B716" t="str">
        <x:v>All India except Central University</x:v>
      </x:c>
      <x:c r="C716" t="str">
        <x:v>904551</x:v>
      </x:c>
      <x:c r="D716" t="str">
        <x:v>ESIC Medical College and Hospital, VARANASI, ESIC MEDICAL COLLEGE AND HOSPITAL, PANDEYPUR,VARANASI U. P. 221002</x:v>
      </x:c>
      <x:c r="E716" t="str">
        <x:v>ESI</x:v>
      </x:c>
      <x:c r="F716" t="str">
        <x:v>ST</x:v>
      </x:c>
      <x:c r="G716" t="n">
        <x:v>2</x:v>
      </x:c>
      <x:c r="H716" t="n">
        <x:v>2</x:v>
      </x:c>
      <x:c r="I716" t="n">
        <x:f>G716-H716</x:f>
        <x:v>0</x:v>
      </x:c>
      <x:c r="J716" s="20" t="n">
        <x:f>IFERROR(H716/G716,0)</x:f>
        <x:v>1</x:v>
      </x:c>
      <x:c r="K716" t="n">
        <x:v>267543</x:v>
      </x:c>
      <x:c r="L716" t="n">
        <x:v>271822.5</x:v>
      </x:c>
      <x:c r="M716" t="n">
        <x:v>276102</x:v>
      </x:c>
      <x:c r="N716" t="n">
        <x:v>280381.5</x:v>
      </x:c>
      <x:c r="O716" t="n">
        <x:v>284661</x:v>
      </x:c>
    </x:row>
    <x:row r="717">
      <x:c r="A717" t="str">
        <x:v>Telangana</x:v>
      </x:c>
      <x:c r="B717" t="str">
        <x:v>Employees State Insurance Scheme</x:v>
      </x:c>
      <x:c r="C717" t="str">
        <x:v>200418</x:v>
      </x:c>
      <x:c r="D717" t="str">
        <x:v>Employees State Insurance Coporation Medical College, Sanath Nagar, Hyderabad, Sanathnagar, Hyderabad</x:v>
      </x:c>
      <x:c r="E717" t="str">
        <x:v>All India</x:v>
      </x:c>
      <x:c r="F717" t="str">
        <x:v>EWS</x:v>
      </x:c>
      <x:c r="G717" t="n">
        <x:v>2</x:v>
      </x:c>
      <x:c r="H717" t="n">
        <x:v>2</x:v>
      </x:c>
      <x:c r="I717" t="n">
        <x:f>G717-H717</x:f>
        <x:v>0</x:v>
      </x:c>
      <x:c r="J717" s="20" t="n">
        <x:f>IFERROR(H717/G717,0)</x:f>
        <x:v>1</x:v>
      </x:c>
      <x:c r="K717" t="n">
        <x:v>8097</x:v>
      </x:c>
      <x:c r="L717" t="n">
        <x:v>8141.75</x:v>
      </x:c>
      <x:c r="M717" t="n">
        <x:v>8186.5</x:v>
      </x:c>
      <x:c r="N717" t="n">
        <x:v>8231.25</x:v>
      </x:c>
      <x:c r="O717" t="n">
        <x:v>8276</x:v>
      </x:c>
    </x:row>
    <x:row r="718">
      <x:c r="A718" t="str">
        <x:v>Telangana</x:v>
      </x:c>
      <x:c r="B718" t="str">
        <x:v>Employees State Insurance Scheme</x:v>
      </x:c>
      <x:c r="C718" t="str">
        <x:v>200418</x:v>
      </x:c>
      <x:c r="D718" t="str">
        <x:v>Employees State Insurance Coporation Medical College, Sanath Nagar, Hyderabad, Sanathnagar, Hyderabad</x:v>
      </x:c>
      <x:c r="E718" t="str">
        <x:v>All India</x:v>
      </x:c>
      <x:c r="F718" t="str">
        <x:v>OBC</x:v>
      </x:c>
      <x:c r="G718" t="n">
        <x:v>5</x:v>
      </x:c>
      <x:c r="H718" t="n">
        <x:v>5</x:v>
      </x:c>
      <x:c r="I718" t="n">
        <x:f>G718-H718</x:f>
        <x:v>0</x:v>
      </x:c>
      <x:c r="J718" s="20" t="n">
        <x:f>IFERROR(H718/G718,0)</x:f>
        <x:v>1</x:v>
      </x:c>
      <x:c r="K718" t="n">
        <x:v>5415</x:v>
      </x:c>
      <x:c r="L718" t="n">
        <x:v>5460</x:v>
      </x:c>
      <x:c r="M718" t="n">
        <x:v>6427</x:v>
      </x:c>
      <x:c r="N718" t="n">
        <x:v>6826</x:v>
      </x:c>
      <x:c r="O718" t="n">
        <x:v>7369</x:v>
      </x:c>
    </x:row>
    <x:row r="719">
      <x:c r="A719" t="str">
        <x:v>Telangana</x:v>
      </x:c>
      <x:c r="B719" t="str">
        <x:v>Employees State Insurance Scheme</x:v>
      </x:c>
      <x:c r="C719" t="str">
        <x:v>200418</x:v>
      </x:c>
      <x:c r="D719" t="str">
        <x:v>Employees State Insurance Coporation Medical College, Sanath Nagar, Hyderabad, Sanathnagar, Hyderabad</x:v>
      </x:c>
      <x:c r="E719" t="str">
        <x:v>All India</x:v>
      </x:c>
      <x:c r="F719" t="str">
        <x:v>OBC PwD</x:v>
      </x:c>
      <x:c r="G719" t="n">
        <x:v>1</x:v>
      </x:c>
      <x:c r="H719" t="n">
        <x:v>1</x:v>
      </x:c>
      <x:c r="I719" t="n">
        <x:f>G719-H719</x:f>
        <x:v>0</x:v>
      </x:c>
      <x:c r="J719" s="20" t="n">
        <x:f>IFERROR(H719/G719,0)</x:f>
        <x:v>1</x:v>
      </x:c>
      <x:c r="K719" t="n">
        <x:v>378543</x:v>
      </x:c>
      <x:c r="L719" t="n">
        <x:v>378543</x:v>
      </x:c>
      <x:c r="M719" t="n">
        <x:v>378543</x:v>
      </x:c>
      <x:c r="N719" t="n">
        <x:v>378543</x:v>
      </x:c>
      <x:c r="O719" t="n">
        <x:v>378543</x:v>
      </x:c>
    </x:row>
    <x:row r="720">
      <x:c r="A720" t="str">
        <x:v>Telangana</x:v>
      </x:c>
      <x:c r="B720" t="str">
        <x:v>Employees State Insurance Scheme</x:v>
      </x:c>
      <x:c r="C720" t="str">
        <x:v>200418</x:v>
      </x:c>
      <x:c r="D720" t="str">
        <x:v>Employees State Insurance Coporation Medical College, Sanath Nagar, Hyderabad, Sanathnagar, Hyderabad</x:v>
      </x:c>
      <x:c r="E720" t="str">
        <x:v>All India</x:v>
      </x:c>
      <x:c r="F720" t="str">
        <x:v>Open</x:v>
      </x:c>
      <x:c r="G720" t="n">
        <x:v>8</x:v>
      </x:c>
      <x:c r="H720" t="n">
        <x:v>8</x:v>
      </x:c>
      <x:c r="I720" t="n">
        <x:f>G720-H720</x:f>
        <x:v>0</x:v>
      </x:c>
      <x:c r="J720" s="20" t="n">
        <x:f>IFERROR(H720/G720,0)</x:f>
        <x:v>1</x:v>
      </x:c>
      <x:c r="K720" t="n">
        <x:v>2663</x:v>
      </x:c>
      <x:c r="L720" t="n">
        <x:v>3376.25</x:v>
      </x:c>
      <x:c r="M720" t="n">
        <x:v>3606.5</x:v>
      </x:c>
      <x:c r="N720" t="n">
        <x:v>4116.5</x:v>
      </x:c>
      <x:c r="O720" t="n">
        <x:v>4381</x:v>
      </x:c>
    </x:row>
    <x:row r="721">
      <x:c r="A721" t="str">
        <x:v>Telangana</x:v>
      </x:c>
      <x:c r="B721" t="str">
        <x:v>Employees State Insurance Scheme</x:v>
      </x:c>
      <x:c r="C721" t="str">
        <x:v>200418</x:v>
      </x:c>
      <x:c r="D721" t="str">
        <x:v>Employees State Insurance Coporation Medical College, Sanath Nagar, Hyderabad, Sanathnagar, Hyderabad</x:v>
      </x:c>
      <x:c r="E721" t="str">
        <x:v>All India</x:v>
      </x:c>
      <x:c r="F721" t="str">
        <x:v>SC</x:v>
      </x:c>
      <x:c r="G721" t="n">
        <x:v>4</x:v>
      </x:c>
      <x:c r="H721" t="n">
        <x:v>4</x:v>
      </x:c>
      <x:c r="I721" t="n">
        <x:f>G721-H721</x:f>
        <x:v>0</x:v>
      </x:c>
      <x:c r="J721" s="20" t="n">
        <x:f>IFERROR(H721/G721,0)</x:f>
        <x:v>1</x:v>
      </x:c>
      <x:c r="K721" t="n">
        <x:v>36168</x:v>
      </x:c>
      <x:c r="L721" t="n">
        <x:v>41642.25</x:v>
      </x:c>
      <x:c r="M721" t="n">
        <x:v>44004.5</x:v>
      </x:c>
      <x:c r="N721" t="n">
        <x:v>44686.5</x:v>
      </x:c>
      <x:c r="O721" t="n">
        <x:v>45120</x:v>
      </x:c>
    </x:row>
    <x:row r="722">
      <x:c r="A722" t="str">
        <x:v>Telangana</x:v>
      </x:c>
      <x:c r="B722" t="str">
        <x:v>Employees State Insurance Scheme</x:v>
      </x:c>
      <x:c r="C722" t="str">
        <x:v>200418</x:v>
      </x:c>
      <x:c r="D722" t="str">
        <x:v>Employees State Insurance Coporation Medical College, Sanath Nagar, Hyderabad, Sanathnagar, Hyderabad</x:v>
      </x:c>
      <x:c r="E722" t="str">
        <x:v>All India</x:v>
      </x:c>
      <x:c r="F722" t="str">
        <x:v>ST</x:v>
      </x:c>
      <x:c r="G722" t="n">
        <x:v>2</x:v>
      </x:c>
      <x:c r="H722" t="n">
        <x:v>2</x:v>
      </x:c>
      <x:c r="I722" t="n">
        <x:f>G722-H722</x:f>
        <x:v>0</x:v>
      </x:c>
      <x:c r="J722" s="20" t="n">
        <x:f>IFERROR(H722/G722,0)</x:f>
        <x:v>1</x:v>
      </x:c>
      <x:c r="K722" t="n">
        <x:v>45319</x:v>
      </x:c>
      <x:c r="L722" t="n">
        <x:v>48849.75</x:v>
      </x:c>
      <x:c r="M722" t="n">
        <x:v>52380.5</x:v>
      </x:c>
      <x:c r="N722" t="n">
        <x:v>55911.25</x:v>
      </x:c>
      <x:c r="O722" t="n">
        <x:v>59442</x:v>
      </x:c>
    </x:row>
    <x:row r="723">
      <x:c r="A723" t="str">
        <x:v>Telangana</x:v>
      </x:c>
      <x:c r="B723" t="str">
        <x:v>Employees State Insurance Scheme</x:v>
      </x:c>
      <x:c r="C723" t="str">
        <x:v>200418</x:v>
      </x:c>
      <x:c r="D723" t="str">
        <x:v>Employees State Insurance Coporation Medical College, Sanath Nagar, Hyderabad, Sanathnagar, Hyderabad</x:v>
      </x:c>
      <x:c r="E723" t="str">
        <x:v>ESI</x:v>
      </x:c>
      <x:c r="F723" t="str">
        <x:v>EWS</x:v>
      </x:c>
      <x:c r="G723" t="n">
        <x:v>4</x:v>
      </x:c>
      <x:c r="H723" t="n">
        <x:v>4</x:v>
      </x:c>
      <x:c r="I723" t="n">
        <x:f>G723-H723</x:f>
        <x:v>0</x:v>
      </x:c>
      <x:c r="J723" s="20" t="n">
        <x:f>IFERROR(H723/G723,0)</x:f>
        <x:v>1</x:v>
      </x:c>
      <x:c r="K723" t="n">
        <x:v>34052</x:v>
      </x:c>
      <x:c r="L723" t="n">
        <x:v>34427</x:v>
      </x:c>
      <x:c r="M723" t="n">
        <x:v>34770.5</x:v>
      </x:c>
      <x:c r="N723" t="n">
        <x:v>36028.5</x:v>
      </x:c>
      <x:c r="O723" t="n">
        <x:v>39147</x:v>
      </x:c>
    </x:row>
    <x:row r="724">
      <x:c r="A724" t="str">
        <x:v>Telangana</x:v>
      </x:c>
      <x:c r="B724" t="str">
        <x:v>Employees State Insurance Scheme</x:v>
      </x:c>
      <x:c r="C724" t="str">
        <x:v>200418</x:v>
      </x:c>
      <x:c r="D724" t="str">
        <x:v>Employees State Insurance Coporation Medical College, Sanath Nagar, Hyderabad, Sanathnagar, Hyderabad</x:v>
      </x:c>
      <x:c r="E724" t="str">
        <x:v>ESI</x:v>
      </x:c>
      <x:c r="F724" t="str">
        <x:v>OBC</x:v>
      </x:c>
      <x:c r="G724" t="n">
        <x:v>14</x:v>
      </x:c>
      <x:c r="H724" t="n">
        <x:v>14</x:v>
      </x:c>
      <x:c r="I724" t="n">
        <x:f>G724-H724</x:f>
        <x:v>0</x:v>
      </x:c>
      <x:c r="J724" s="20" t="n">
        <x:f>IFERROR(H724/G724,0)</x:f>
        <x:v>1</x:v>
      </x:c>
      <x:c r="K724" t="n">
        <x:v>31324</x:v>
      </x:c>
      <x:c r="L724" t="n">
        <x:v>32656.5</x:v>
      </x:c>
      <x:c r="M724" t="n">
        <x:v>34371</x:v>
      </x:c>
      <x:c r="N724" t="n">
        <x:v>36847.75</x:v>
      </x:c>
      <x:c r="O724" t="n">
        <x:v>37481</x:v>
      </x:c>
    </x:row>
    <x:row r="725">
      <x:c r="A725" t="str">
        <x:v>Telangana</x:v>
      </x:c>
      <x:c r="B725" t="str">
        <x:v>Employees State Insurance Scheme</x:v>
      </x:c>
      <x:c r="C725" t="str">
        <x:v>200418</x:v>
      </x:c>
      <x:c r="D725" t="str">
        <x:v>Employees State Insurance Coporation Medical College, Sanath Nagar, Hyderabad, Sanathnagar, Hyderabad</x:v>
      </x:c>
      <x:c r="E725" t="str">
        <x:v>ESI</x:v>
      </x:c>
      <x:c r="F725" t="str">
        <x:v>OBC PwD</x:v>
      </x:c>
      <x:c r="G725" t="n">
        <x:v>1</x:v>
      </x:c>
      <x:c r="H725" t="n">
        <x:v>0</x:v>
      </x:c>
      <x:c r="I725" t="n">
        <x:f>G725-H725</x:f>
        <x:v>1</x:v>
      </x:c>
      <x:c r="J725" s="20" t="n">
        <x:f>IFERROR(H725/G725,0)</x:f>
        <x:v>0</x:v>
      </x:c>
      <x:c r="K725"/>
      <x:c r="L725"/>
      <x:c r="M725"/>
      <x:c r="N725"/>
      <x:c r="O725"/>
    </x:row>
    <x:row r="726">
      <x:c r="A726" t="str">
        <x:v>Telangana</x:v>
      </x:c>
      <x:c r="B726" t="str">
        <x:v>Employees State Insurance Scheme</x:v>
      </x:c>
      <x:c r="C726" t="str">
        <x:v>200418</x:v>
      </x:c>
      <x:c r="D726" t="str">
        <x:v>Employees State Insurance Coporation Medical College, Sanath Nagar, Hyderabad, Sanathnagar, Hyderabad</x:v>
      </x:c>
      <x:c r="E726" t="str">
        <x:v>ESI</x:v>
      </x:c>
      <x:c r="F726" t="str">
        <x:v>Open</x:v>
      </x:c>
      <x:c r="G726" t="n">
        <x:v>21</x:v>
      </x:c>
      <x:c r="H726" t="n">
        <x:v>21</x:v>
      </x:c>
      <x:c r="I726" t="n">
        <x:f>G726-H726</x:f>
        <x:v>0</x:v>
      </x:c>
      <x:c r="J726" s="20" t="n">
        <x:f>IFERROR(H726/G726,0)</x:f>
        <x:v>1</x:v>
      </x:c>
      <x:c r="K726" t="n">
        <x:v>8698</x:v>
      </x:c>
      <x:c r="L726" t="n">
        <x:v>24334</x:v>
      </x:c>
      <x:c r="M726" t="n">
        <x:v>28003</x:v>
      </x:c>
      <x:c r="N726" t="n">
        <x:v>29257</x:v>
      </x:c>
      <x:c r="O726" t="n">
        <x:v>30383</x:v>
      </x:c>
    </x:row>
    <x:row r="727">
      <x:c r="A727" t="str">
        <x:v>Telangana</x:v>
      </x:c>
      <x:c r="B727" t="str">
        <x:v>Employees State Insurance Scheme</x:v>
      </x:c>
      <x:c r="C727" t="str">
        <x:v>200418</x:v>
      </x:c>
      <x:c r="D727" t="str">
        <x:v>Employees State Insurance Coporation Medical College, Sanath Nagar, Hyderabad, Sanathnagar, Hyderabad</x:v>
      </x:c>
      <x:c r="E727" t="str">
        <x:v>ESI</x:v>
      </x:c>
      <x:c r="F727" t="str">
        <x:v>Open PwD</x:v>
      </x:c>
      <x:c r="G727" t="n">
        <x:v>1</x:v>
      </x:c>
      <x:c r="H727" t="n">
        <x:v>1</x:v>
      </x:c>
      <x:c r="I727" t="n">
        <x:f>G727-H727</x:f>
        <x:v>0</x:v>
      </x:c>
      <x:c r="J727" s="20" t="n">
        <x:f>IFERROR(H727/G727,0)</x:f>
        <x:v>1</x:v>
      </x:c>
      <x:c r="K727" t="n">
        <x:v>973513</x:v>
      </x:c>
      <x:c r="L727" t="n">
        <x:v>973513</x:v>
      </x:c>
      <x:c r="M727" t="n">
        <x:v>973513</x:v>
      </x:c>
      <x:c r="N727" t="n">
        <x:v>973513</x:v>
      </x:c>
      <x:c r="O727" t="n">
        <x:v>973513</x:v>
      </x:c>
    </x:row>
    <x:row r="728">
      <x:c r="A728" t="str">
        <x:v>Telangana</x:v>
      </x:c>
      <x:c r="B728" t="str">
        <x:v>Employees State Insurance Scheme</x:v>
      </x:c>
      <x:c r="C728" t="str">
        <x:v>200418</x:v>
      </x:c>
      <x:c r="D728" t="str">
        <x:v>Employees State Insurance Coporation Medical College, Sanath Nagar, Hyderabad, Sanathnagar, Hyderabad</x:v>
      </x:c>
      <x:c r="E728" t="str">
        <x:v>ESI</x:v>
      </x:c>
      <x:c r="F728" t="str">
        <x:v>SC</x:v>
      </x:c>
      <x:c r="G728" t="n">
        <x:v>8</x:v>
      </x:c>
      <x:c r="H728" t="n">
        <x:v>8</x:v>
      </x:c>
      <x:c r="I728" t="n">
        <x:f>G728-H728</x:f>
        <x:v>0</x:v>
      </x:c>
      <x:c r="J728" s="20" t="n">
        <x:f>IFERROR(H728/G728,0)</x:f>
        <x:v>1</x:v>
      </x:c>
      <x:c r="K728" t="n">
        <x:v>97021</x:v>
      </x:c>
      <x:c r="L728" t="n">
        <x:v>125865.25</x:v>
      </x:c>
      <x:c r="M728" t="n">
        <x:v>139713.5</x:v>
      </x:c>
      <x:c r="N728" t="n">
        <x:v>141633</x:v>
      </x:c>
      <x:c r="O728" t="n">
        <x:v>149055</x:v>
      </x:c>
    </x:row>
    <x:row r="729">
      <x:c r="A729" t="str">
        <x:v>Telangana</x:v>
      </x:c>
      <x:c r="B729" t="str">
        <x:v>Employees State Insurance Scheme</x:v>
      </x:c>
      <x:c r="C729" t="str">
        <x:v>200418</x:v>
      </x:c>
      <x:c r="D729" t="str">
        <x:v>Employees State Insurance Coporation Medical College, Sanath Nagar, Hyderabad, Sanathnagar, Hyderabad</x:v>
      </x:c>
      <x:c r="E729" t="str">
        <x:v>ESI</x:v>
      </x:c>
      <x:c r="F729" t="str">
        <x:v>ST</x:v>
      </x:c>
      <x:c r="G729" t="n">
        <x:v>4</x:v>
      </x:c>
      <x:c r="H729" t="n">
        <x:v>4</x:v>
      </x:c>
      <x:c r="I729" t="n">
        <x:f>G729-H729</x:f>
        <x:v>0</x:v>
      </x:c>
      <x:c r="J729" s="20" t="n">
        <x:f>IFERROR(H729/G729,0)</x:f>
        <x:v>1</x:v>
      </x:c>
      <x:c r="K729" t="n">
        <x:v>163608</x:v>
      </x:c>
      <x:c r="L729" t="n">
        <x:v>221253.75</x:v>
      </x:c>
      <x:c r="M729" t="n">
        <x:v>249291.5</x:v>
      </x:c>
      <x:c r="N729" t="n">
        <x:v>263025.75</x:v>
      </x:c>
      <x:c r="O729" t="n">
        <x:v>277761</x:v>
      </x:c>
    </x:row>
    <x:row r="730">
      <x:c r="A730" t="str">
        <x:v>Karnataka</x:v>
      </x:c>
      <x:c r="B730" t="str">
        <x:v>Employees State Insurance Scheme</x:v>
      </x:c>
      <x:c r="C730" t="str">
        <x:v>200165</x:v>
      </x:c>
      <x:c r="D730" t="str">
        <x:v>Employees State Insurance Corporation Medical College, Bangalore, ESIC Medical College and Hospital, Rajajinagar, Bengaluru-560010</x:v>
      </x:c>
      <x:c r="E730" t="str">
        <x:v>All India</x:v>
      </x:c>
      <x:c r="F730" t="str">
        <x:v>EWS</x:v>
      </x:c>
      <x:c r="G730" t="n">
        <x:v>2</x:v>
      </x:c>
      <x:c r="H730" t="n">
        <x:v>2</x:v>
      </x:c>
      <x:c r="I730" t="n">
        <x:f>G730-H730</x:f>
        <x:v>0</x:v>
      </x:c>
      <x:c r="J730" s="20" t="n">
        <x:f>IFERROR(H730/G730,0)</x:f>
        <x:v>1</x:v>
      </x:c>
      <x:c r="K730" t="n">
        <x:v>8312</x:v>
      </x:c>
      <x:c r="L730" t="n">
        <x:v>8499.75</x:v>
      </x:c>
      <x:c r="M730" t="n">
        <x:v>8687.5</x:v>
      </x:c>
      <x:c r="N730" t="n">
        <x:v>8875.25</x:v>
      </x:c>
      <x:c r="O730" t="n">
        <x:v>9063</x:v>
      </x:c>
    </x:row>
    <x:row r="731">
      <x:c r="A731" t="str">
        <x:v>Karnataka</x:v>
      </x:c>
      <x:c r="B731" t="str">
        <x:v>Employees State Insurance Scheme</x:v>
      </x:c>
      <x:c r="C731" t="str">
        <x:v>200165</x:v>
      </x:c>
      <x:c r="D731" t="str">
        <x:v>Employees State Insurance Corporation Medical College, Bangalore, ESIC Medical College and Hospital, Rajajinagar, Bengaluru-560010</x:v>
      </x:c>
      <x:c r="E731" t="str">
        <x:v>All India</x:v>
      </x:c>
      <x:c r="F731" t="str">
        <x:v>OBC</x:v>
      </x:c>
      <x:c r="G731" t="n">
        <x:v>6</x:v>
      </x:c>
      <x:c r="H731" t="n">
        <x:v>6</x:v>
      </x:c>
      <x:c r="I731" t="n">
        <x:f>G731-H731</x:f>
        <x:v>0</x:v>
      </x:c>
      <x:c r="J731" s="20" t="n">
        <x:f>IFERROR(H731/G731,0)</x:f>
        <x:v>1</x:v>
      </x:c>
      <x:c r="K731" t="n">
        <x:v>5598</x:v>
      </x:c>
      <x:c r="L731" t="n">
        <x:v>6215.75</x:v>
      </x:c>
      <x:c r="M731" t="n">
        <x:v>6939</x:v>
      </x:c>
      <x:c r="N731" t="n">
        <x:v>7459.75</x:v>
      </x:c>
      <x:c r="O731" t="n">
        <x:v>8241</x:v>
      </x:c>
    </x:row>
    <x:row r="732">
      <x:c r="A732" t="str">
        <x:v>Karnataka</x:v>
      </x:c>
      <x:c r="B732" t="str">
        <x:v>Employees State Insurance Scheme</x:v>
      </x:c>
      <x:c r="C732" t="str">
        <x:v>200165</x:v>
      </x:c>
      <x:c r="D732" t="str">
        <x:v>Employees State Insurance Corporation Medical College, Bangalore, ESIC Medical College and Hospital, Rajajinagar, Bengaluru-560010</x:v>
      </x:c>
      <x:c r="E732" t="str">
        <x:v>All India</x:v>
      </x:c>
      <x:c r="F732" t="str">
        <x:v>Open</x:v>
      </x:c>
      <x:c r="G732" t="n">
        <x:v>8</x:v>
      </x:c>
      <x:c r="H732" t="n">
        <x:v>8</x:v>
      </x:c>
      <x:c r="I732" t="n">
        <x:f>G732-H732</x:f>
        <x:v>0</x:v>
      </x:c>
      <x:c r="J732" s="20" t="n">
        <x:f>IFERROR(H732/G732,0)</x:f>
        <x:v>1</x:v>
      </x:c>
      <x:c r="K732" t="n">
        <x:v>2496</x:v>
      </x:c>
      <x:c r="L732" t="n">
        <x:v>4448.5</x:v>
      </x:c>
      <x:c r="M732" t="n">
        <x:v>4842</x:v>
      </x:c>
      <x:c r="N732" t="n">
        <x:v>5100.5</x:v>
      </x:c>
      <x:c r="O732" t="n">
        <x:v>5115</x:v>
      </x:c>
    </x:row>
    <x:row r="733">
      <x:c r="A733" t="str">
        <x:v>Karnataka</x:v>
      </x:c>
      <x:c r="B733" t="str">
        <x:v>Employees State Insurance Scheme</x:v>
      </x:c>
      <x:c r="C733" t="str">
        <x:v>200165</x:v>
      </x:c>
      <x:c r="D733" t="str">
        <x:v>Employees State Insurance Corporation Medical College, Bangalore, ESIC Medical College and Hospital, Rajajinagar, Bengaluru-560010</x:v>
      </x:c>
      <x:c r="E733" t="str">
        <x:v>All India</x:v>
      </x:c>
      <x:c r="F733" t="str">
        <x:v>SC</x:v>
      </x:c>
      <x:c r="G733" t="n">
        <x:v>4</x:v>
      </x:c>
      <x:c r="H733" t="n">
        <x:v>4</x:v>
      </x:c>
      <x:c r="I733" t="n">
        <x:f>G733-H733</x:f>
        <x:v>0</x:v>
      </x:c>
      <x:c r="J733" s="20" t="n">
        <x:f>IFERROR(H733/G733,0)</x:f>
        <x:v>1</x:v>
      </x:c>
      <x:c r="K733" t="n">
        <x:v>47316</x:v>
      </x:c>
      <x:c r="L733" t="n">
        <x:v>48148.5</x:v>
      </x:c>
      <x:c r="M733" t="n">
        <x:v>49206.5</x:v>
      </x:c>
      <x:c r="N733" t="n">
        <x:v>50157.75</x:v>
      </x:c>
      <x:c r="O733" t="n">
        <x:v>50670</x:v>
      </x:c>
    </x:row>
    <x:row r="734">
      <x:c r="A734" t="str">
        <x:v>Karnataka</x:v>
      </x:c>
      <x:c r="B734" t="str">
        <x:v>Employees State Insurance Scheme</x:v>
      </x:c>
      <x:c r="C734" t="str">
        <x:v>200165</x:v>
      </x:c>
      <x:c r="D734" t="str">
        <x:v>Employees State Insurance Corporation Medical College, Bangalore, ESIC Medical College and Hospital, Rajajinagar, Bengaluru-560010</x:v>
      </x:c>
      <x:c r="E734" t="str">
        <x:v>All India</x:v>
      </x:c>
      <x:c r="F734" t="str">
        <x:v>ST</x:v>
      </x:c>
      <x:c r="G734" t="n">
        <x:v>2</x:v>
      </x:c>
      <x:c r="H734" t="n">
        <x:v>2</x:v>
      </x:c>
      <x:c r="I734" t="n">
        <x:f>G734-H734</x:f>
        <x:v>0</x:v>
      </x:c>
      <x:c r="J734" s="20" t="n">
        <x:f>IFERROR(H734/G734,0)</x:f>
        <x:v>1</x:v>
      </x:c>
      <x:c r="K734" t="n">
        <x:v>65818</x:v>
      </x:c>
      <x:c r="L734" t="n">
        <x:v>66204</x:v>
      </x:c>
      <x:c r="M734" t="n">
        <x:v>66590</x:v>
      </x:c>
      <x:c r="N734" t="n">
        <x:v>66976</x:v>
      </x:c>
      <x:c r="O734" t="n">
        <x:v>67362</x:v>
      </x:c>
    </x:row>
    <x:row r="735">
      <x:c r="A735" t="str">
        <x:v>Karnataka</x:v>
      </x:c>
      <x:c r="B735" t="str">
        <x:v>Employees State Insurance Scheme</x:v>
      </x:c>
      <x:c r="C735" t="str">
        <x:v>200165</x:v>
      </x:c>
      <x:c r="D735" t="str">
        <x:v>Employees State Insurance Corporation Medical College, Bangalore, ESIC Medical College and Hospital, Rajajinagar, Bengaluru-560010</x:v>
      </x:c>
      <x:c r="E735" t="str">
        <x:v>ESI</x:v>
      </x:c>
      <x:c r="F735" t="str">
        <x:v>EWS</x:v>
      </x:c>
      <x:c r="G735" t="n">
        <x:v>6</x:v>
      </x:c>
      <x:c r="H735" t="n">
        <x:v>6</x:v>
      </x:c>
      <x:c r="I735" t="n">
        <x:f>G735-H735</x:f>
        <x:v>0</x:v>
      </x:c>
      <x:c r="J735" s="20" t="n">
        <x:f>IFERROR(H735/G735,0)</x:f>
        <x:v>1</x:v>
      </x:c>
      <x:c r="K735" t="n">
        <x:v>27843</x:v>
      </x:c>
      <x:c r="L735" t="n">
        <x:v>29518.5</x:v>
      </x:c>
      <x:c r="M735" t="n">
        <x:v>30469</x:v>
      </x:c>
      <x:c r="N735" t="n">
        <x:v>31994</x:v>
      </x:c>
      <x:c r="O735" t="n">
        <x:v>33077</x:v>
      </x:c>
    </x:row>
    <x:row r="736">
      <x:c r="A736" t="str">
        <x:v>Karnataka</x:v>
      </x:c>
      <x:c r="B736" t="str">
        <x:v>Employees State Insurance Scheme</x:v>
      </x:c>
      <x:c r="C736" t="str">
        <x:v>200165</x:v>
      </x:c>
      <x:c r="D736" t="str">
        <x:v>Employees State Insurance Corporation Medical College, Bangalore, ESIC Medical College and Hospital, Rajajinagar, Bengaluru-560010</x:v>
      </x:c>
      <x:c r="E736" t="str">
        <x:v>ESI</x:v>
      </x:c>
      <x:c r="F736" t="str">
        <x:v>OBC</x:v>
      </x:c>
      <x:c r="G736" t="n">
        <x:v>17</x:v>
      </x:c>
      <x:c r="H736" t="n">
        <x:v>17</x:v>
      </x:c>
      <x:c r="I736" t="n">
        <x:f>G736-H736</x:f>
        <x:v>0</x:v>
      </x:c>
      <x:c r="J736" s="20" t="n">
        <x:f>IFERROR(H736/G736,0)</x:f>
        <x:v>1</x:v>
      </x:c>
      <x:c r="K736" t="n">
        <x:v>28828</x:v>
      </x:c>
      <x:c r="L736" t="n">
        <x:v>31373</x:v>
      </x:c>
      <x:c r="M736" t="n">
        <x:v>32749</x:v>
      </x:c>
      <x:c r="N736" t="n">
        <x:v>34129</x:v>
      </x:c>
      <x:c r="O736" t="n">
        <x:v>35552</x:v>
      </x:c>
    </x:row>
    <x:row r="737">
      <x:c r="A737" t="str">
        <x:v>Karnataka</x:v>
      </x:c>
      <x:c r="B737" t="str">
        <x:v>Employees State Insurance Scheme</x:v>
      </x:c>
      <x:c r="C737" t="str">
        <x:v>200165</x:v>
      </x:c>
      <x:c r="D737" t="str">
        <x:v>Employees State Insurance Corporation Medical College, Bangalore, ESIC Medical College and Hospital, Rajajinagar, Bengaluru-560010</x:v>
      </x:c>
      <x:c r="E737" t="str">
        <x:v>ESI</x:v>
      </x:c>
      <x:c r="F737" t="str">
        <x:v>OBC PwD</x:v>
      </x:c>
      <x:c r="G737" t="n">
        <x:v>1</x:v>
      </x:c>
      <x:c r="H737" t="n">
        <x:v>0</x:v>
      </x:c>
      <x:c r="I737" t="n">
        <x:f>G737-H737</x:f>
        <x:v>1</x:v>
      </x:c>
      <x:c r="J737" s="20" t="n">
        <x:f>IFERROR(H737/G737,0)</x:f>
        <x:v>0</x:v>
      </x:c>
      <x:c r="K737"/>
      <x:c r="L737"/>
      <x:c r="M737"/>
      <x:c r="N737"/>
      <x:c r="O737"/>
    </x:row>
    <x:row r="738">
      <x:c r="A738" t="str">
        <x:v>Karnataka</x:v>
      </x:c>
      <x:c r="B738" t="str">
        <x:v>Employees State Insurance Scheme</x:v>
      </x:c>
      <x:c r="C738" t="str">
        <x:v>200165</x:v>
      </x:c>
      <x:c r="D738" t="str">
        <x:v>Employees State Insurance Corporation Medical College, Bangalore, ESIC Medical College and Hospital, Rajajinagar, Bengaluru-560010</x:v>
      </x:c>
      <x:c r="E738" t="str">
        <x:v>ESI</x:v>
      </x:c>
      <x:c r="F738" t="str">
        <x:v>Open</x:v>
      </x:c>
      <x:c r="G738" t="n">
        <x:v>27</x:v>
      </x:c>
      <x:c r="H738" t="n">
        <x:v>27</x:v>
      </x:c>
      <x:c r="I738" t="n">
        <x:f>G738-H738</x:f>
        <x:v>0</x:v>
      </x:c>
      <x:c r="J738" s="20" t="n">
        <x:f>IFERROR(H738/G738,0)</x:f>
        <x:v>1</x:v>
      </x:c>
      <x:c r="K738" t="n">
        <x:v>4733</x:v>
      </x:c>
      <x:c r="L738" t="n">
        <x:v>18037.5</x:v>
      </x:c>
      <x:c r="M738" t="n">
        <x:v>21966</x:v>
      </x:c>
      <x:c r="N738" t="n">
        <x:v>24938.5</x:v>
      </x:c>
      <x:c r="O738" t="n">
        <x:v>27537</x:v>
      </x:c>
    </x:row>
    <x:row r="739">
      <x:c r="A739" t="str">
        <x:v>Karnataka</x:v>
      </x:c>
      <x:c r="B739" t="str">
        <x:v>Employees State Insurance Scheme</x:v>
      </x:c>
      <x:c r="C739" t="str">
        <x:v>200165</x:v>
      </x:c>
      <x:c r="D739" t="str">
        <x:v>Employees State Insurance Corporation Medical College, Bangalore, ESIC Medical College and Hospital, Rajajinagar, Bengaluru-560010</x:v>
      </x:c>
      <x:c r="E739" t="str">
        <x:v>ESI</x:v>
      </x:c>
      <x:c r="F739" t="str">
        <x:v>Open PwD</x:v>
      </x:c>
      <x:c r="G739" t="n">
        <x:v>2</x:v>
      </x:c>
      <x:c r="H739" t="n">
        <x:v>1</x:v>
      </x:c>
      <x:c r="I739" t="n">
        <x:f>G739-H739</x:f>
        <x:v>1</x:v>
      </x:c>
      <x:c r="J739" s="20" t="n">
        <x:f>IFERROR(H739/G739,0)</x:f>
        <x:v>0.5</x:v>
      </x:c>
      <x:c r="K739" t="n">
        <x:v>1039035</x:v>
      </x:c>
      <x:c r="L739" t="n">
        <x:v>1039035</x:v>
      </x:c>
      <x:c r="M739" t="n">
        <x:v>1039035</x:v>
      </x:c>
      <x:c r="N739" t="n">
        <x:v>1039035</x:v>
      </x:c>
      <x:c r="O739" t="n">
        <x:v>1039035</x:v>
      </x:c>
    </x:row>
    <x:row r="740">
      <x:c r="A740" t="str">
        <x:v>Karnataka</x:v>
      </x:c>
      <x:c r="B740" t="str">
        <x:v>Employees State Insurance Scheme</x:v>
      </x:c>
      <x:c r="C740" t="str">
        <x:v>200165</x:v>
      </x:c>
      <x:c r="D740" t="str">
        <x:v>Employees State Insurance Corporation Medical College, Bangalore, ESIC Medical College and Hospital, Rajajinagar, Bengaluru-560010</x:v>
      </x:c>
      <x:c r="E740" t="str">
        <x:v>ESI</x:v>
      </x:c>
      <x:c r="F740" t="str">
        <x:v>SC</x:v>
      </x:c>
      <x:c r="G740" t="n">
        <x:v>9</x:v>
      </x:c>
      <x:c r="H740" t="n">
        <x:v>9</x:v>
      </x:c>
      <x:c r="I740" t="n">
        <x:f>G740-H740</x:f>
        <x:v>0</x:v>
      </x:c>
      <x:c r="J740" s="20" t="n">
        <x:f>IFERROR(H740/G740,0)</x:f>
        <x:v>1</x:v>
      </x:c>
      <x:c r="K740" t="n">
        <x:v>129175</x:v>
      </x:c>
      <x:c r="L740" t="n">
        <x:v>135740</x:v>
      </x:c>
      <x:c r="M740" t="n">
        <x:v>164593</x:v>
      </x:c>
      <x:c r="N740" t="n">
        <x:v>175382</x:v>
      </x:c>
      <x:c r="O740" t="n">
        <x:v>183364</x:v>
      </x:c>
    </x:row>
    <x:row r="741">
      <x:c r="A741" t="str">
        <x:v>Karnataka</x:v>
      </x:c>
      <x:c r="B741" t="str">
        <x:v>Employees State Insurance Scheme</x:v>
      </x:c>
      <x:c r="C741" t="str">
        <x:v>200165</x:v>
      </x:c>
      <x:c r="D741" t="str">
        <x:v>Employees State Insurance Corporation Medical College, Bangalore, ESIC Medical College and Hospital, Rajajinagar, Bengaluru-560010</x:v>
      </x:c>
      <x:c r="E741" t="str">
        <x:v>ESI</x:v>
      </x:c>
      <x:c r="F741" t="str">
        <x:v>SC PwD</x:v>
      </x:c>
      <x:c r="G741" t="n">
        <x:v>1</x:v>
      </x:c>
      <x:c r="H741" t="n">
        <x:v>0</x:v>
      </x:c>
      <x:c r="I741" t="n">
        <x:f>G741-H741</x:f>
        <x:v>1</x:v>
      </x:c>
      <x:c r="J741" s="20" t="n">
        <x:f>IFERROR(H741/G741,0)</x:f>
        <x:v>0</x:v>
      </x:c>
      <x:c r="K741"/>
      <x:c r="L741"/>
      <x:c r="M741"/>
      <x:c r="N741"/>
      <x:c r="O741"/>
    </x:row>
    <x:row r="742">
      <x:c r="A742" t="str">
        <x:v>Karnataka</x:v>
      </x:c>
      <x:c r="B742" t="str">
        <x:v>Employees State Insurance Scheme</x:v>
      </x:c>
      <x:c r="C742" t="str">
        <x:v>200165</x:v>
      </x:c>
      <x:c r="D742" t="str">
        <x:v>Employees State Insurance Corporation Medical College, Bangalore, ESIC Medical College and Hospital, Rajajinagar, Bengaluru-560010</x:v>
      </x:c>
      <x:c r="E742" t="str">
        <x:v>ESI</x:v>
      </x:c>
      <x:c r="F742" t="str">
        <x:v>ST</x:v>
      </x:c>
      <x:c r="G742" t="n">
        <x:v>4</x:v>
      </x:c>
      <x:c r="H742" t="n">
        <x:v>4</x:v>
      </x:c>
      <x:c r="I742" t="n">
        <x:f>G742-H742</x:f>
        <x:v>0</x:v>
      </x:c>
      <x:c r="J742" s="20" t="n">
        <x:f>IFERROR(H742/G742,0)</x:f>
        <x:v>1</x:v>
      </x:c>
      <x:c r="K742" t="n">
        <x:v>137078</x:v>
      </x:c>
      <x:c r="L742" t="n">
        <x:v>145375.25</x:v>
      </x:c>
      <x:c r="M742" t="n">
        <x:v>165957.5</x:v>
      </x:c>
      <x:c r="N742" t="n">
        <x:v>196443.5</x:v>
      </x:c>
      <x:c r="O742" t="n">
        <x:v>234452</x:v>
      </x:c>
    </x:row>
    <x:row r="743">
      <x:c r="A743" t="str">
        <x:v>Karnataka</x:v>
      </x:c>
      <x:c r="B743" t="str">
        <x:v>Employees State Insurance Scheme</x:v>
      </x:c>
      <x:c r="C743" t="str">
        <x:v>200165</x:v>
      </x:c>
      <x:c r="D743" t="str">
        <x:v>Employees State Insurance Corporation Medical College, Bangalore, ESIC Medical College and Hospital, Rajajinagar, Bengaluru-560010</x:v>
      </x:c>
      <x:c r="E743" t="str">
        <x:v>ESI</x:v>
      </x:c>
      <x:c r="F743" t="str">
        <x:v>ST PwD</x:v>
      </x:c>
      <x:c r="G743" t="n">
        <x:v>1</x:v>
      </x:c>
      <x:c r="H743" t="n">
        <x:v>0</x:v>
      </x:c>
      <x:c r="I743" t="n">
        <x:f>G743-H743</x:f>
        <x:v>1</x:v>
      </x:c>
      <x:c r="J743" s="20" t="n">
        <x:f>IFERROR(H743/G743,0)</x:f>
        <x:v>0</x:v>
      </x:c>
      <x:c r="K743"/>
      <x:c r="L743"/>
      <x:c r="M743"/>
      <x:c r="N743"/>
      <x:c r="O743"/>
    </x:row>
    <x:row r="744">
      <x:c r="A744" t="str">
        <x:v>Haryana</x:v>
      </x:c>
      <x:c r="B744" t="str">
        <x:v>Employees State Insurance Scheme</x:v>
      </x:c>
      <x:c r="C744" t="str">
        <x:v>200409</x:v>
      </x:c>
      <x:c r="D744" t="str">
        <x:v>Employees State Insurance Corporation Medical College, Faridabad, NH 3 NIT FARIDABAD, Haryana, 121001</x:v>
      </x:c>
      <x:c r="E744" t="str">
        <x:v>All India</x:v>
      </x:c>
      <x:c r="F744" t="str">
        <x:v>EWS</x:v>
      </x:c>
      <x:c r="G744" t="n">
        <x:v>2</x:v>
      </x:c>
      <x:c r="H744" t="n">
        <x:v>2</x:v>
      </x:c>
      <x:c r="I744" t="n">
        <x:f>G744-H744</x:f>
        <x:v>0</x:v>
      </x:c>
      <x:c r="J744" s="20" t="n">
        <x:f>IFERROR(H744/G744,0)</x:f>
        <x:v>1</x:v>
      </x:c>
      <x:c r="K744" t="n">
        <x:v>5779</x:v>
      </x:c>
      <x:c r="L744" t="n">
        <x:v>5901.25</x:v>
      </x:c>
      <x:c r="M744" t="n">
        <x:v>6023.5</x:v>
      </x:c>
      <x:c r="N744" t="n">
        <x:v>6145.75</x:v>
      </x:c>
      <x:c r="O744" t="n">
        <x:v>6268</x:v>
      </x:c>
    </x:row>
    <x:row r="745">
      <x:c r="A745" t="str">
        <x:v>Haryana</x:v>
      </x:c>
      <x:c r="B745" t="str">
        <x:v>Employees State Insurance Scheme</x:v>
      </x:c>
      <x:c r="C745" t="str">
        <x:v>200409</x:v>
      </x:c>
      <x:c r="D745" t="str">
        <x:v>Employees State Insurance Corporation Medical College, Faridabad, NH 3 NIT FARIDABAD, Haryana, 121001</x:v>
      </x:c>
      <x:c r="E745" t="str">
        <x:v>All India</x:v>
      </x:c>
      <x:c r="F745" t="str">
        <x:v>OBC</x:v>
      </x:c>
      <x:c r="G745" t="n">
        <x:v>5</x:v>
      </x:c>
      <x:c r="H745" t="n">
        <x:v>5</x:v>
      </x:c>
      <x:c r="I745" t="n">
        <x:f>G745-H745</x:f>
        <x:v>0</x:v>
      </x:c>
      <x:c r="J745" s="20" t="n">
        <x:f>IFERROR(H745/G745,0)</x:f>
        <x:v>1</x:v>
      </x:c>
      <x:c r="K745" t="n">
        <x:v>4255</x:v>
      </x:c>
      <x:c r="L745" t="n">
        <x:v>4275</x:v>
      </x:c>
      <x:c r="M745" t="n">
        <x:v>4609</x:v>
      </x:c>
      <x:c r="N745" t="n">
        <x:v>4768</x:v>
      </x:c>
      <x:c r="O745" t="n">
        <x:v>4933</x:v>
      </x:c>
    </x:row>
    <x:row r="746">
      <x:c r="A746" t="str">
        <x:v>Haryana</x:v>
      </x:c>
      <x:c r="B746" t="str">
        <x:v>Employees State Insurance Scheme</x:v>
      </x:c>
      <x:c r="C746" t="str">
        <x:v>200409</x:v>
      </x:c>
      <x:c r="D746" t="str">
        <x:v>Employees State Insurance Corporation Medical College, Faridabad, NH 3 NIT FARIDABAD, Haryana, 121001</x:v>
      </x:c>
      <x:c r="E746" t="str">
        <x:v>All India</x:v>
      </x:c>
      <x:c r="F746" t="str">
        <x:v>Open</x:v>
      </x:c>
      <x:c r="G746" t="n">
        <x:v>10</x:v>
      </x:c>
      <x:c r="H746" t="n">
        <x:v>10</x:v>
      </x:c>
      <x:c r="I746" t="n">
        <x:f>G746-H746</x:f>
        <x:v>0</x:v>
      </x:c>
      <x:c r="J746" s="20" t="n">
        <x:f>IFERROR(H746/G746,0)</x:f>
        <x:v>1</x:v>
      </x:c>
      <x:c r="K746" t="n">
        <x:v>2798</x:v>
      </x:c>
      <x:c r="L746" t="n">
        <x:v>3389.5</x:v>
      </x:c>
      <x:c r="M746" t="n">
        <x:v>3582.5</x:v>
      </x:c>
      <x:c r="N746" t="n">
        <x:v>3951.5</x:v>
      </x:c>
      <x:c r="O746" t="n">
        <x:v>4166</x:v>
      </x:c>
    </x:row>
    <x:row r="747">
      <x:c r="A747" t="str">
        <x:v>Haryana</x:v>
      </x:c>
      <x:c r="B747" t="str">
        <x:v>Employees State Insurance Scheme</x:v>
      </x:c>
      <x:c r="C747" t="str">
        <x:v>200409</x:v>
      </x:c>
      <x:c r="D747" t="str">
        <x:v>Employees State Insurance Corporation Medical College, Faridabad, NH 3 NIT FARIDABAD, Haryana, 121001</x:v>
      </x:c>
      <x:c r="E747" t="str">
        <x:v>All India</x:v>
      </x:c>
      <x:c r="F747" t="str">
        <x:v>SC</x:v>
      </x:c>
      <x:c r="G747" t="n">
        <x:v>2</x:v>
      </x:c>
      <x:c r="H747" t="n">
        <x:v>2</x:v>
      </x:c>
      <x:c r="I747" t="n">
        <x:f>G747-H747</x:f>
        <x:v>0</x:v>
      </x:c>
      <x:c r="J747" s="20" t="n">
        <x:f>IFERROR(H747/G747,0)</x:f>
        <x:v>1</x:v>
      </x:c>
      <x:c r="K747" t="n">
        <x:v>21674</x:v>
      </x:c>
      <x:c r="L747" t="n">
        <x:v>21903.25</x:v>
      </x:c>
      <x:c r="M747" t="n">
        <x:v>22132.5</x:v>
      </x:c>
      <x:c r="N747" t="n">
        <x:v>22361.75</x:v>
      </x:c>
      <x:c r="O747" t="n">
        <x:v>22591</x:v>
      </x:c>
    </x:row>
    <x:row r="748">
      <x:c r="A748" t="str">
        <x:v>Haryana</x:v>
      </x:c>
      <x:c r="B748" t="str">
        <x:v>Employees State Insurance Scheme</x:v>
      </x:c>
      <x:c r="C748" t="str">
        <x:v>200409</x:v>
      </x:c>
      <x:c r="D748" t="str">
        <x:v>Employees State Insurance Corporation Medical College, Faridabad, NH 3 NIT FARIDABAD, Haryana, 121001</x:v>
      </x:c>
      <x:c r="E748" t="str">
        <x:v>All India</x:v>
      </x:c>
      <x:c r="F748" t="str">
        <x:v>SC PwD</x:v>
      </x:c>
      <x:c r="G748" t="n">
        <x:v>1</x:v>
      </x:c>
      <x:c r="H748" t="n">
        <x:v>1</x:v>
      </x:c>
      <x:c r="I748" t="n">
        <x:f>G748-H748</x:f>
        <x:v>0</x:v>
      </x:c>
      <x:c r="J748" s="20" t="n">
        <x:f>IFERROR(H748/G748,0)</x:f>
        <x:v>1</x:v>
      </x:c>
      <x:c r="K748" t="n">
        <x:v>727316</x:v>
      </x:c>
      <x:c r="L748" t="n">
        <x:v>727316</x:v>
      </x:c>
      <x:c r="M748" t="n">
        <x:v>727316</x:v>
      </x:c>
      <x:c r="N748" t="n">
        <x:v>727316</x:v>
      </x:c>
      <x:c r="O748" t="n">
        <x:v>727316</x:v>
      </x:c>
    </x:row>
    <x:row r="749">
      <x:c r="A749" t="str">
        <x:v>Haryana</x:v>
      </x:c>
      <x:c r="B749" t="str">
        <x:v>Employees State Insurance Scheme</x:v>
      </x:c>
      <x:c r="C749" t="str">
        <x:v>200409</x:v>
      </x:c>
      <x:c r="D749" t="str">
        <x:v>Employees State Insurance Corporation Medical College, Faridabad, NH 3 NIT FARIDABAD, Haryana, 121001</x:v>
      </x:c>
      <x:c r="E749" t="str">
        <x:v>All India</x:v>
      </x:c>
      <x:c r="F749" t="str">
        <x:v>ST</x:v>
      </x:c>
      <x:c r="G749" t="n">
        <x:v>1</x:v>
      </x:c>
      <x:c r="H749" t="n">
        <x:v>1</x:v>
      </x:c>
      <x:c r="I749" t="n">
        <x:f>G749-H749</x:f>
        <x:v>0</x:v>
      </x:c>
      <x:c r="J749" s="20" t="n">
        <x:f>IFERROR(H749/G749,0)</x:f>
        <x:v>1</x:v>
      </x:c>
      <x:c r="K749" t="n">
        <x:v>48328</x:v>
      </x:c>
      <x:c r="L749" t="n">
        <x:v>48328</x:v>
      </x:c>
      <x:c r="M749" t="n">
        <x:v>48328</x:v>
      </x:c>
      <x:c r="N749" t="n">
        <x:v>48328</x:v>
      </x:c>
      <x:c r="O749" t="n">
        <x:v>48328</x:v>
      </x:c>
    </x:row>
    <x:row r="750">
      <x:c r="A750" t="str">
        <x:v>Haryana</x:v>
      </x:c>
      <x:c r="B750" t="str">
        <x:v>Employees State Insurance Scheme</x:v>
      </x:c>
      <x:c r="C750" t="str">
        <x:v>200409</x:v>
      </x:c>
      <x:c r="D750" t="str">
        <x:v>Employees State Insurance Corporation Medical College, Faridabad, NH 3 NIT FARIDABAD, Haryana, 121001</x:v>
      </x:c>
      <x:c r="E750" t="str">
        <x:v>All India</x:v>
      </x:c>
      <x:c r="F750" t="str">
        <x:v>ST PwD</x:v>
      </x:c>
      <x:c r="G750" t="n">
        <x:v>1</x:v>
      </x:c>
      <x:c r="H750" t="n">
        <x:v>1</x:v>
      </x:c>
      <x:c r="I750" t="n">
        <x:f>G750-H750</x:f>
        <x:v>0</x:v>
      </x:c>
      <x:c r="J750" s="20" t="n">
        <x:f>IFERROR(H750/G750,0)</x:f>
        <x:v>1</x:v>
      </x:c>
      <x:c r="K750" t="n">
        <x:v>771884</x:v>
      </x:c>
      <x:c r="L750" t="n">
        <x:v>771884</x:v>
      </x:c>
      <x:c r="M750" t="n">
        <x:v>771884</x:v>
      </x:c>
      <x:c r="N750" t="n">
        <x:v>771884</x:v>
      </x:c>
      <x:c r="O750" t="n">
        <x:v>771884</x:v>
      </x:c>
    </x:row>
    <x:row r="751">
      <x:c r="A751" t="str">
        <x:v>Haryana</x:v>
      </x:c>
      <x:c r="B751" t="str">
        <x:v>Employees State Insurance Scheme</x:v>
      </x:c>
      <x:c r="C751" t="str">
        <x:v>200409</x:v>
      </x:c>
      <x:c r="D751" t="str">
        <x:v>Employees State Insurance Corporation Medical College, Faridabad, NH 3 NIT FARIDABAD, Haryana, 121001</x:v>
      </x:c>
      <x:c r="E751" t="str">
        <x:v>ESI</x:v>
      </x:c>
      <x:c r="F751" t="str">
        <x:v>EWS</x:v>
      </x:c>
      <x:c r="G751" t="n">
        <x:v>5</x:v>
      </x:c>
      <x:c r="H751" t="n">
        <x:v>5</x:v>
      </x:c>
      <x:c r="I751" t="n">
        <x:f>G751-H751</x:f>
        <x:v>0</x:v>
      </x:c>
      <x:c r="J751" s="20" t="n">
        <x:f>IFERROR(H751/G751,0)</x:f>
        <x:v>1</x:v>
      </x:c>
      <x:c r="K751" t="n">
        <x:v>11752</x:v>
      </x:c>
      <x:c r="L751" t="n">
        <x:v>11816</x:v>
      </x:c>
      <x:c r="M751" t="n">
        <x:v>13516</x:v>
      </x:c>
      <x:c r="N751" t="n">
        <x:v>13543</x:v>
      </x:c>
      <x:c r="O751" t="n">
        <x:v>14082</x:v>
      </x:c>
    </x:row>
    <x:row r="752">
      <x:c r="A752" t="str">
        <x:v>Haryana</x:v>
      </x:c>
      <x:c r="B752" t="str">
        <x:v>Employees State Insurance Scheme</x:v>
      </x:c>
      <x:c r="C752" t="str">
        <x:v>200409</x:v>
      </x:c>
      <x:c r="D752" t="str">
        <x:v>Employees State Insurance Corporation Medical College, Faridabad, NH 3 NIT FARIDABAD, Haryana, 121001</x:v>
      </x:c>
      <x:c r="E752" t="str">
        <x:v>ESI</x:v>
      </x:c>
      <x:c r="F752" t="str">
        <x:v>EWS PwD</x:v>
      </x:c>
      <x:c r="G752" t="n">
        <x:v>1</x:v>
      </x:c>
      <x:c r="H752" t="n">
        <x:v>0</x:v>
      </x:c>
      <x:c r="I752" t="n">
        <x:f>G752-H752</x:f>
        <x:v>1</x:v>
      </x:c>
      <x:c r="J752" s="20" t="n">
        <x:f>IFERROR(H752/G752,0)</x:f>
        <x:v>0</x:v>
      </x:c>
      <x:c r="K752"/>
      <x:c r="L752"/>
      <x:c r="M752"/>
      <x:c r="N752"/>
      <x:c r="O752"/>
    </x:row>
    <x:row r="753">
      <x:c r="A753" t="str">
        <x:v>Haryana</x:v>
      </x:c>
      <x:c r="B753" t="str">
        <x:v>Employees State Insurance Scheme</x:v>
      </x:c>
      <x:c r="C753" t="str">
        <x:v>200409</x:v>
      </x:c>
      <x:c r="D753" t="str">
        <x:v>Employees State Insurance Corporation Medical College, Faridabad, NH 3 NIT FARIDABAD, Haryana, 121001</x:v>
      </x:c>
      <x:c r="E753" t="str">
        <x:v>ESI</x:v>
      </x:c>
      <x:c r="F753" t="str">
        <x:v>OBC</x:v>
      </x:c>
      <x:c r="G753" t="n">
        <x:v>13</x:v>
      </x:c>
      <x:c r="H753" t="n">
        <x:v>13</x:v>
      </x:c>
      <x:c r="I753" t="n">
        <x:f>G753-H753</x:f>
        <x:v>0</x:v>
      </x:c>
      <x:c r="J753" s="20" t="n">
        <x:f>IFERROR(H753/G753,0)</x:f>
        <x:v>1</x:v>
      </x:c>
      <x:c r="K753" t="n">
        <x:v>11451</x:v>
      </x:c>
      <x:c r="L753" t="n">
        <x:v>12515</x:v>
      </x:c>
      <x:c r="M753" t="n">
        <x:v>14095</x:v>
      </x:c>
      <x:c r="N753" t="n">
        <x:v>14849</x:v>
      </x:c>
      <x:c r="O753" t="n">
        <x:v>15156</x:v>
      </x:c>
    </x:row>
    <x:row r="754">
      <x:c r="A754" t="str">
        <x:v>Haryana</x:v>
      </x:c>
      <x:c r="B754" t="str">
        <x:v>Employees State Insurance Scheme</x:v>
      </x:c>
      <x:c r="C754" t="str">
        <x:v>200409</x:v>
      </x:c>
      <x:c r="D754" t="str">
        <x:v>Employees State Insurance Corporation Medical College, Faridabad, NH 3 NIT FARIDABAD, Haryana, 121001</x:v>
      </x:c>
      <x:c r="E754" t="str">
        <x:v>ESI</x:v>
      </x:c>
      <x:c r="F754" t="str">
        <x:v>OBC PwD</x:v>
      </x:c>
      <x:c r="G754" t="n">
        <x:v>1</x:v>
      </x:c>
      <x:c r="H754" t="n">
        <x:v>0</x:v>
      </x:c>
      <x:c r="I754" t="n">
        <x:f>G754-H754</x:f>
        <x:v>1</x:v>
      </x:c>
      <x:c r="J754" s="20" t="n">
        <x:f>IFERROR(H754/G754,0)</x:f>
        <x:v>0</x:v>
      </x:c>
      <x:c r="K754"/>
      <x:c r="L754"/>
      <x:c r="M754"/>
      <x:c r="N754"/>
      <x:c r="O754"/>
    </x:row>
    <x:row r="755">
      <x:c r="A755" t="str">
        <x:v>Haryana</x:v>
      </x:c>
      <x:c r="B755" t="str">
        <x:v>Employees State Insurance Scheme</x:v>
      </x:c>
      <x:c r="C755" t="str">
        <x:v>200409</x:v>
      </x:c>
      <x:c r="D755" t="str">
        <x:v>Employees State Insurance Corporation Medical College, Faridabad, NH 3 NIT FARIDABAD, Haryana, 121001</x:v>
      </x:c>
      <x:c r="E755" t="str">
        <x:v>ESI</x:v>
      </x:c>
      <x:c r="F755" t="str">
        <x:v>Open</x:v>
      </x:c>
      <x:c r="G755" t="n">
        <x:v>20</x:v>
      </x:c>
      <x:c r="H755" t="n">
        <x:v>20</x:v>
      </x:c>
      <x:c r="I755" t="n">
        <x:f>G755-H755</x:f>
        <x:v>0</x:v>
      </x:c>
      <x:c r="J755" s="20" t="n">
        <x:f>IFERROR(H755/G755,0)</x:f>
        <x:v>1</x:v>
      </x:c>
      <x:c r="K755" t="n">
        <x:v>6215</x:v>
      </x:c>
      <x:c r="L755" t="n">
        <x:v>8151.25</x:v>
      </x:c>
      <x:c r="M755" t="n">
        <x:v>9277.5</x:v>
      </x:c>
      <x:c r="N755" t="n">
        <x:v>10158.5</x:v>
      </x:c>
      <x:c r="O755" t="n">
        <x:v>11166</x:v>
      </x:c>
    </x:row>
    <x:row r="756">
      <x:c r="A756" t="str">
        <x:v>Haryana</x:v>
      </x:c>
      <x:c r="B756" t="str">
        <x:v>Employees State Insurance Scheme</x:v>
      </x:c>
      <x:c r="C756" t="str">
        <x:v>200409</x:v>
      </x:c>
      <x:c r="D756" t="str">
        <x:v>Employees State Insurance Corporation Medical College, Faridabad, NH 3 NIT FARIDABAD, Haryana, 121001</x:v>
      </x:c>
      <x:c r="E756" t="str">
        <x:v>ESI</x:v>
      </x:c>
      <x:c r="F756" t="str">
        <x:v>Open PwD</x:v>
      </x:c>
      <x:c r="G756" t="n">
        <x:v>1</x:v>
      </x:c>
      <x:c r="H756" t="n">
        <x:v>1</x:v>
      </x:c>
      <x:c r="I756" t="n">
        <x:f>G756-H756</x:f>
        <x:v>0</x:v>
      </x:c>
      <x:c r="J756" s="20" t="n">
        <x:f>IFERROR(H756/G756,0)</x:f>
        <x:v>1</x:v>
      </x:c>
      <x:c r="K756" t="n">
        <x:v>651991</x:v>
      </x:c>
      <x:c r="L756" t="n">
        <x:v>651991</x:v>
      </x:c>
      <x:c r="M756" t="n">
        <x:v>651991</x:v>
      </x:c>
      <x:c r="N756" t="n">
        <x:v>651991</x:v>
      </x:c>
      <x:c r="O756" t="n">
        <x:v>651991</x:v>
      </x:c>
    </x:row>
    <x:row r="757">
      <x:c r="A757" t="str">
        <x:v>Haryana</x:v>
      </x:c>
      <x:c r="B757" t="str">
        <x:v>Employees State Insurance Scheme</x:v>
      </x:c>
      <x:c r="C757" t="str">
        <x:v>200409</x:v>
      </x:c>
      <x:c r="D757" t="str">
        <x:v>Employees State Insurance Corporation Medical College, Faridabad, NH 3 NIT FARIDABAD, Haryana, 121001</x:v>
      </x:c>
      <x:c r="E757" t="str">
        <x:v>ESI</x:v>
      </x:c>
      <x:c r="F757" t="str">
        <x:v>SC</x:v>
      </x:c>
      <x:c r="G757" t="n">
        <x:v>8</x:v>
      </x:c>
      <x:c r="H757" t="n">
        <x:v>8</x:v>
      </x:c>
      <x:c r="I757" t="n">
        <x:f>G757-H757</x:f>
        <x:v>0</x:v>
      </x:c>
      <x:c r="J757" s="20" t="n">
        <x:f>IFERROR(H757/G757,0)</x:f>
        <x:v>1</x:v>
      </x:c>
      <x:c r="K757" t="n">
        <x:v>44972</x:v>
      </x:c>
      <x:c r="L757" t="n">
        <x:v>64161.75</x:v>
      </x:c>
      <x:c r="M757" t="n">
        <x:v>67306</x:v>
      </x:c>
      <x:c r="N757" t="n">
        <x:v>78391.75</x:v>
      </x:c>
      <x:c r="O757" t="n">
        <x:v>87274</x:v>
      </x:c>
    </x:row>
    <x:row r="758">
      <x:c r="A758" t="str">
        <x:v>Haryana</x:v>
      </x:c>
      <x:c r="B758" t="str">
        <x:v>Employees State Insurance Scheme</x:v>
      </x:c>
      <x:c r="C758" t="str">
        <x:v>200409</x:v>
      </x:c>
      <x:c r="D758" t="str">
        <x:v>Employees State Insurance Corporation Medical College, Faridabad, NH 3 NIT FARIDABAD, Haryana, 121001</x:v>
      </x:c>
      <x:c r="E758" t="str">
        <x:v>ESI</x:v>
      </x:c>
      <x:c r="F758" t="str">
        <x:v>ST</x:v>
      </x:c>
      <x:c r="G758" t="n">
        <x:v>4</x:v>
      </x:c>
      <x:c r="H758" t="n">
        <x:v>4</x:v>
      </x:c>
      <x:c r="I758" t="n">
        <x:f>G758-H758</x:f>
        <x:v>0</x:v>
      </x:c>
      <x:c r="J758" s="20" t="n">
        <x:f>IFERROR(H758/G758,0)</x:f>
        <x:v>1</x:v>
      </x:c>
      <x:c r="K758" t="n">
        <x:v>82873</x:v>
      </x:c>
      <x:c r="L758" t="n">
        <x:v>91876.75</x:v>
      </x:c>
      <x:c r="M758" t="n">
        <x:v>98195.5</x:v>
      </x:c>
      <x:c r="N758" t="n">
        <x:v>116329</x:v>
      </x:c>
      <x:c r="O758" t="n">
        <x:v>160777</x:v>
      </x:c>
    </x:row>
    <x:row r="759">
      <x:c r="A759" t="str">
        <x:v>Karnataka</x:v>
      </x:c>
      <x:c r="B759" t="str">
        <x:v>Employees State Insurance Scheme</x:v>
      </x:c>
      <x:c r="C759" t="str">
        <x:v>200413</x:v>
      </x:c>
      <x:c r="D759" t="str">
        <x:v>Employees State Insurance Corporation Medical College, Gulbarga, ESIC Medical College and Hospital, Sedam Road Gulbarga-585106 Karnataka</x:v>
      </x:c>
      <x:c r="E759" t="str">
        <x:v>All India</x:v>
      </x:c>
      <x:c r="F759" t="str">
        <x:v>EWS</x:v>
      </x:c>
      <x:c r="G759" t="n">
        <x:v>2</x:v>
      </x:c>
      <x:c r="H759" t="n">
        <x:v>2</x:v>
      </x:c>
      <x:c r="I759" t="n">
        <x:f>G759-H759</x:f>
        <x:v>0</x:v>
      </x:c>
      <x:c r="J759" s="20" t="n">
        <x:f>IFERROR(H759/G759,0)</x:f>
        <x:v>1</x:v>
      </x:c>
      <x:c r="K759" t="n">
        <x:v>12138</x:v>
      </x:c>
      <x:c r="L759" t="n">
        <x:v>12286.75</x:v>
      </x:c>
      <x:c r="M759" t="n">
        <x:v>12435.5</x:v>
      </x:c>
      <x:c r="N759" t="n">
        <x:v>12584.25</x:v>
      </x:c>
      <x:c r="O759" t="n">
        <x:v>12733</x:v>
      </x:c>
    </x:row>
    <x:row r="760">
      <x:c r="A760" t="str">
        <x:v>Karnataka</x:v>
      </x:c>
      <x:c r="B760" t="str">
        <x:v>Employees State Insurance Scheme</x:v>
      </x:c>
      <x:c r="C760" t="str">
        <x:v>200413</x:v>
      </x:c>
      <x:c r="D760" t="str">
        <x:v>Employees State Insurance Corporation Medical College, Gulbarga, ESIC Medical College and Hospital, Sedam Road Gulbarga-585106 Karnataka</x:v>
      </x:c>
      <x:c r="E760" t="str">
        <x:v>All India</x:v>
      </x:c>
      <x:c r="F760" t="str">
        <x:v>OBC</x:v>
      </x:c>
      <x:c r="G760" t="n">
        <x:v>5</x:v>
      </x:c>
      <x:c r="H760" t="n">
        <x:v>5</x:v>
      </x:c>
      <x:c r="I760" t="n">
        <x:f>G760-H760</x:f>
        <x:v>0</x:v>
      </x:c>
      <x:c r="J760" s="20" t="n">
        <x:f>IFERROR(H760/G760,0)</x:f>
        <x:v>1</x:v>
      </x:c>
      <x:c r="K760" t="n">
        <x:v>10884</x:v>
      </x:c>
      <x:c r="L760" t="n">
        <x:v>11796</x:v>
      </x:c>
      <x:c r="M760" t="n">
        <x:v>12019</x:v>
      </x:c>
      <x:c r="N760" t="n">
        <x:v>12589</x:v>
      </x:c>
      <x:c r="O760" t="n">
        <x:v>13135</x:v>
      </x:c>
    </x:row>
    <x:row r="761">
      <x:c r="A761" t="str">
        <x:v>Karnataka</x:v>
      </x:c>
      <x:c r="B761" t="str">
        <x:v>Employees State Insurance Scheme</x:v>
      </x:c>
      <x:c r="C761" t="str">
        <x:v>200413</x:v>
      </x:c>
      <x:c r="D761" t="str">
        <x:v>Employees State Insurance Corporation Medical College, Gulbarga, ESIC Medical College and Hospital, Sedam Road Gulbarga-585106 Karnataka</x:v>
      </x:c>
      <x:c r="E761" t="str">
        <x:v>All India</x:v>
      </x:c>
      <x:c r="F761" t="str">
        <x:v>OBC PwD</x:v>
      </x:c>
      <x:c r="G761" t="n">
        <x:v>1</x:v>
      </x:c>
      <x:c r="H761" t="n">
        <x:v>1</x:v>
      </x:c>
      <x:c r="I761" t="n">
        <x:f>G761-H761</x:f>
        <x:v>0</x:v>
      </x:c>
      <x:c r="J761" s="20" t="n">
        <x:f>IFERROR(H761/G761,0)</x:f>
        <x:v>1</x:v>
      </x:c>
      <x:c r="K761" t="n">
        <x:v>530739</x:v>
      </x:c>
      <x:c r="L761" t="n">
        <x:v>530739</x:v>
      </x:c>
      <x:c r="M761" t="n">
        <x:v>530739</x:v>
      </x:c>
      <x:c r="N761" t="n">
        <x:v>530739</x:v>
      </x:c>
      <x:c r="O761" t="n">
        <x:v>530739</x:v>
      </x:c>
    </x:row>
    <x:row r="762">
      <x:c r="A762" t="str">
        <x:v>Karnataka</x:v>
      </x:c>
      <x:c r="B762" t="str">
        <x:v>Employees State Insurance Scheme</x:v>
      </x:c>
      <x:c r="C762" t="str">
        <x:v>200413</x:v>
      </x:c>
      <x:c r="D762" t="str">
        <x:v>Employees State Insurance Corporation Medical College, Gulbarga, ESIC Medical College and Hospital, Sedam Road Gulbarga-585106 Karnataka</x:v>
      </x:c>
      <x:c r="E762" t="str">
        <x:v>All India</x:v>
      </x:c>
      <x:c r="F762" t="str">
        <x:v>Open</x:v>
      </x:c>
      <x:c r="G762" t="n">
        <x:v>9</x:v>
      </x:c>
      <x:c r="H762" t="n">
        <x:v>9</x:v>
      </x:c>
      <x:c r="I762" t="n">
        <x:f>G762-H762</x:f>
        <x:v>0</x:v>
      </x:c>
      <x:c r="J762" s="20" t="n">
        <x:f>IFERROR(H762/G762,0)</x:f>
        <x:v>1</x:v>
      </x:c>
      <x:c r="K762" t="n">
        <x:v>6321</x:v>
      </x:c>
      <x:c r="L762" t="n">
        <x:v>9399</x:v>
      </x:c>
      <x:c r="M762" t="n">
        <x:v>9942</x:v>
      </x:c>
      <x:c r="N762" t="n">
        <x:v>10013</x:v>
      </x:c>
      <x:c r="O762" t="n">
        <x:v>10790</x:v>
      </x:c>
    </x:row>
    <x:row r="763">
      <x:c r="A763" t="str">
        <x:v>Karnataka</x:v>
      </x:c>
      <x:c r="B763" t="str">
        <x:v>Employees State Insurance Scheme</x:v>
      </x:c>
      <x:c r="C763" t="str">
        <x:v>200413</x:v>
      </x:c>
      <x:c r="D763" t="str">
        <x:v>Employees State Insurance Corporation Medical College, Gulbarga, ESIC Medical College and Hospital, Sedam Road Gulbarga-585106 Karnataka</x:v>
      </x:c>
      <x:c r="E763" t="str">
        <x:v>All India</x:v>
      </x:c>
      <x:c r="F763" t="str">
        <x:v>Open PwD</x:v>
      </x:c>
      <x:c r="G763" t="n">
        <x:v>1</x:v>
      </x:c>
      <x:c r="H763" t="n">
        <x:v>1</x:v>
      </x:c>
      <x:c r="I763" t="n">
        <x:f>G763-H763</x:f>
        <x:v>0</x:v>
      </x:c>
      <x:c r="J763" s="20" t="n">
        <x:f>IFERROR(H763/G763,0)</x:f>
        <x:v>1</x:v>
      </x:c>
      <x:c r="K763" t="n">
        <x:v>529521</x:v>
      </x:c>
      <x:c r="L763" t="n">
        <x:v>529521</x:v>
      </x:c>
      <x:c r="M763" t="n">
        <x:v>529521</x:v>
      </x:c>
      <x:c r="N763" t="n">
        <x:v>529521</x:v>
      </x:c>
      <x:c r="O763" t="n">
        <x:v>529521</x:v>
      </x:c>
    </x:row>
    <x:row r="764">
      <x:c r="A764" t="str">
        <x:v>Karnataka</x:v>
      </x:c>
      <x:c r="B764" t="str">
        <x:v>Employees State Insurance Scheme</x:v>
      </x:c>
      <x:c r="C764" t="str">
        <x:v>200413</x:v>
      </x:c>
      <x:c r="D764" t="str">
        <x:v>Employees State Insurance Corporation Medical College, Gulbarga, ESIC Medical College and Hospital, Sedam Road Gulbarga-585106 Karnataka</x:v>
      </x:c>
      <x:c r="E764" t="str">
        <x:v>All India</x:v>
      </x:c>
      <x:c r="F764" t="str">
        <x:v>SC</x:v>
      </x:c>
      <x:c r="G764" t="n">
        <x:v>2</x:v>
      </x:c>
      <x:c r="H764" t="n">
        <x:v>2</x:v>
      </x:c>
      <x:c r="I764" t="n">
        <x:f>G764-H764</x:f>
        <x:v>0</x:v>
      </x:c>
      <x:c r="J764" s="20" t="n">
        <x:f>IFERROR(H764/G764,0)</x:f>
        <x:v>1</x:v>
      </x:c>
      <x:c r="K764" t="n">
        <x:v>43058</x:v>
      </x:c>
      <x:c r="L764" t="n">
        <x:v>48342</x:v>
      </x:c>
      <x:c r="M764" t="n">
        <x:v>53626</x:v>
      </x:c>
      <x:c r="N764" t="n">
        <x:v>58910</x:v>
      </x:c>
      <x:c r="O764" t="n">
        <x:v>64194</x:v>
      </x:c>
    </x:row>
    <x:row r="765">
      <x:c r="A765" t="str">
        <x:v>Karnataka</x:v>
      </x:c>
      <x:c r="B765" t="str">
        <x:v>Employees State Insurance Scheme</x:v>
      </x:c>
      <x:c r="C765" t="str">
        <x:v>200413</x:v>
      </x:c>
      <x:c r="D765" t="str">
        <x:v>Employees State Insurance Corporation Medical College, Gulbarga, ESIC Medical College and Hospital, Sedam Road Gulbarga-585106 Karnataka</x:v>
      </x:c>
      <x:c r="E765" t="str">
        <x:v>All India</x:v>
      </x:c>
      <x:c r="F765" t="str">
        <x:v>SC PwD</x:v>
      </x:c>
      <x:c r="G765" t="n">
        <x:v>1</x:v>
      </x:c>
      <x:c r="H765" t="n">
        <x:v>1</x:v>
      </x:c>
      <x:c r="I765" t="n">
        <x:f>G765-H765</x:f>
        <x:v>0</x:v>
      </x:c>
      <x:c r="J765" s="20" t="n">
        <x:f>IFERROR(H765/G765,0)</x:f>
        <x:v>1</x:v>
      </x:c>
      <x:c r="K765" t="n">
        <x:v>1030702</x:v>
      </x:c>
      <x:c r="L765" t="n">
        <x:v>1030702</x:v>
      </x:c>
      <x:c r="M765" t="n">
        <x:v>1030702</x:v>
      </x:c>
      <x:c r="N765" t="n">
        <x:v>1030702</x:v>
      </x:c>
      <x:c r="O765" t="n">
        <x:v>1030702</x:v>
      </x:c>
    </x:row>
    <x:row r="766">
      <x:c r="A766" t="str">
        <x:v>Karnataka</x:v>
      </x:c>
      <x:c r="B766" t="str">
        <x:v>Employees State Insurance Scheme</x:v>
      </x:c>
      <x:c r="C766" t="str">
        <x:v>200413</x:v>
      </x:c>
      <x:c r="D766" t="str">
        <x:v>Employees State Insurance Corporation Medical College, Gulbarga, ESIC Medical College and Hospital, Sedam Road Gulbarga-585106 Karnataka</x:v>
      </x:c>
      <x:c r="E766" t="str">
        <x:v>All India</x:v>
      </x:c>
      <x:c r="F766" t="str">
        <x:v>ST PwD</x:v>
      </x:c>
      <x:c r="G766" t="n">
        <x:v>1</x:v>
      </x:c>
      <x:c r="H766" t="n">
        <x:v>0</x:v>
      </x:c>
      <x:c r="I766" t="n">
        <x:f>G766-H766</x:f>
        <x:v>1</x:v>
      </x:c>
      <x:c r="J766" s="20" t="n">
        <x:f>IFERROR(H766/G766,0)</x:f>
        <x:v>0</x:v>
      </x:c>
      <x:c r="K766"/>
      <x:c r="L766"/>
      <x:c r="M766"/>
      <x:c r="N766"/>
      <x:c r="O766"/>
    </x:row>
    <x:row r="767">
      <x:c r="A767" t="str">
        <x:v>Karnataka</x:v>
      </x:c>
      <x:c r="B767" t="str">
        <x:v>Employees State Insurance Scheme</x:v>
      </x:c>
      <x:c r="C767" t="str">
        <x:v>200413</x:v>
      </x:c>
      <x:c r="D767" t="str">
        <x:v>Employees State Insurance Corporation Medical College, Gulbarga, ESIC Medical College and Hospital, Sedam Road Gulbarga-585106 Karnataka</x:v>
      </x:c>
      <x:c r="E767" t="str">
        <x:v>ESI</x:v>
      </x:c>
      <x:c r="F767" t="str">
        <x:v>EWS</x:v>
      </x:c>
      <x:c r="G767" t="n">
        <x:v>7</x:v>
      </x:c>
      <x:c r="H767" t="n">
        <x:v>7</x:v>
      </x:c>
      <x:c r="I767" t="n">
        <x:f>G767-H767</x:f>
        <x:v>0</x:v>
      </x:c>
      <x:c r="J767" s="20" t="n">
        <x:f>IFERROR(H767/G767,0)</x:f>
        <x:v>1</x:v>
      </x:c>
      <x:c r="K767" t="n">
        <x:v>40211</x:v>
      </x:c>
      <x:c r="L767" t="n">
        <x:v>41379.5</x:v>
      </x:c>
      <x:c r="M767" t="n">
        <x:v>42089</x:v>
      </x:c>
      <x:c r="N767" t="n">
        <x:v>44875</x:v>
      </x:c>
      <x:c r="O767" t="n">
        <x:v>45639</x:v>
      </x:c>
    </x:row>
    <x:row r="768">
      <x:c r="A768" t="str">
        <x:v>Karnataka</x:v>
      </x:c>
      <x:c r="B768" t="str">
        <x:v>Employees State Insurance Scheme</x:v>
      </x:c>
      <x:c r="C768" t="str">
        <x:v>200413</x:v>
      </x:c>
      <x:c r="D768" t="str">
        <x:v>Employees State Insurance Corporation Medical College, Gulbarga, ESIC Medical College and Hospital, Sedam Road Gulbarga-585106 Karnataka</x:v>
      </x:c>
      <x:c r="E768" t="str">
        <x:v>ESI</x:v>
      </x:c>
      <x:c r="F768" t="str">
        <x:v>OBC</x:v>
      </x:c>
      <x:c r="G768" t="n">
        <x:v>18</x:v>
      </x:c>
      <x:c r="H768" t="n">
        <x:v>18</x:v>
      </x:c>
      <x:c r="I768" t="n">
        <x:f>G768-H768</x:f>
        <x:v>0</x:v>
      </x:c>
      <x:c r="J768" s="20" t="n">
        <x:f>IFERROR(H768/G768,0)</x:f>
        <x:v>1</x:v>
      </x:c>
      <x:c r="K768" t="n">
        <x:v>39439</x:v>
      </x:c>
      <x:c r="L768" t="n">
        <x:v>43020.25</x:v>
      </x:c>
      <x:c r="M768" t="n">
        <x:v>44395</x:v>
      </x:c>
      <x:c r="N768" t="n">
        <x:v>45091.75</x:v>
      </x:c>
      <x:c r="O768" t="n">
        <x:v>46882</x:v>
      </x:c>
    </x:row>
    <x:row r="769">
      <x:c r="A769" t="str">
        <x:v>Karnataka</x:v>
      </x:c>
      <x:c r="B769" t="str">
        <x:v>Employees State Insurance Scheme</x:v>
      </x:c>
      <x:c r="C769" t="str">
        <x:v>200413</x:v>
      </x:c>
      <x:c r="D769" t="str">
        <x:v>Employees State Insurance Corporation Medical College, Gulbarga, ESIC Medical College and Hospital, Sedam Road Gulbarga-585106 Karnataka</x:v>
      </x:c>
      <x:c r="E769" t="str">
        <x:v>ESI</x:v>
      </x:c>
      <x:c r="F769" t="str">
        <x:v>OBC PwD</x:v>
      </x:c>
      <x:c r="G769" t="n">
        <x:v>1</x:v>
      </x:c>
      <x:c r="H769" t="n">
        <x:v>0</x:v>
      </x:c>
      <x:c r="I769" t="n">
        <x:f>G769-H769</x:f>
        <x:v>1</x:v>
      </x:c>
      <x:c r="J769" s="20" t="n">
        <x:f>IFERROR(H769/G769,0)</x:f>
        <x:v>0</x:v>
      </x:c>
      <x:c r="K769"/>
      <x:c r="L769"/>
      <x:c r="M769"/>
      <x:c r="N769"/>
      <x:c r="O769"/>
    </x:row>
    <x:row r="770">
      <x:c r="A770" t="str">
        <x:v>Karnataka</x:v>
      </x:c>
      <x:c r="B770" t="str">
        <x:v>Employees State Insurance Scheme</x:v>
      </x:c>
      <x:c r="C770" t="str">
        <x:v>200413</x:v>
      </x:c>
      <x:c r="D770" t="str">
        <x:v>Employees State Insurance Corporation Medical College, Gulbarga, ESIC Medical College and Hospital, Sedam Road Gulbarga-585106 Karnataka</x:v>
      </x:c>
      <x:c r="E770" t="str">
        <x:v>ESI</x:v>
      </x:c>
      <x:c r="F770" t="str">
        <x:v>Open</x:v>
      </x:c>
      <x:c r="G770" t="n">
        <x:v>26</x:v>
      </x:c>
      <x:c r="H770" t="n">
        <x:v>26</x:v>
      </x:c>
      <x:c r="I770" t="n">
        <x:f>G770-H770</x:f>
        <x:v>0</x:v>
      </x:c>
      <x:c r="J770" s="20" t="n">
        <x:f>IFERROR(H770/G770,0)</x:f>
        <x:v>1</x:v>
      </x:c>
      <x:c r="K770" t="n">
        <x:v>28164</x:v>
      </x:c>
      <x:c r="L770" t="n">
        <x:v>33487</x:v>
      </x:c>
      <x:c r="M770" t="n">
        <x:v>36794</x:v>
      </x:c>
      <x:c r="N770" t="n">
        <x:v>37858.5</x:v>
      </x:c>
      <x:c r="O770" t="n">
        <x:v>38773</x:v>
      </x:c>
    </x:row>
    <x:row r="771">
      <x:c r="A771" t="str">
        <x:v>Karnataka</x:v>
      </x:c>
      <x:c r="B771" t="str">
        <x:v>Employees State Insurance Scheme</x:v>
      </x:c>
      <x:c r="C771" t="str">
        <x:v>200413</x:v>
      </x:c>
      <x:c r="D771" t="str">
        <x:v>Employees State Insurance Corporation Medical College, Gulbarga, ESIC Medical College and Hospital, Sedam Road Gulbarga-585106 Karnataka</x:v>
      </x:c>
      <x:c r="E771" t="str">
        <x:v>ESI</x:v>
      </x:c>
      <x:c r="F771" t="str">
        <x:v>Open PwD</x:v>
      </x:c>
      <x:c r="G771" t="n">
        <x:v>1</x:v>
      </x:c>
      <x:c r="H771" t="n">
        <x:v>0</x:v>
      </x:c>
      <x:c r="I771" t="n">
        <x:f>G771-H771</x:f>
        <x:v>1</x:v>
      </x:c>
      <x:c r="J771" s="20" t="n">
        <x:f>IFERROR(H771/G771,0)</x:f>
        <x:v>0</x:v>
      </x:c>
      <x:c r="K771"/>
      <x:c r="L771"/>
      <x:c r="M771"/>
      <x:c r="N771"/>
      <x:c r="O771"/>
    </x:row>
    <x:row r="772">
      <x:c r="A772" t="str">
        <x:v>Karnataka</x:v>
      </x:c>
      <x:c r="B772" t="str">
        <x:v>Employees State Insurance Scheme</x:v>
      </x:c>
      <x:c r="C772" t="str">
        <x:v>200413</x:v>
      </x:c>
      <x:c r="D772" t="str">
        <x:v>Employees State Insurance Corporation Medical College, Gulbarga, ESIC Medical College and Hospital, Sedam Road Gulbarga-585106 Karnataka</x:v>
      </x:c>
      <x:c r="E772" t="str">
        <x:v>ESI</x:v>
      </x:c>
      <x:c r="F772" t="str">
        <x:v>SC</x:v>
      </x:c>
      <x:c r="G772" t="n">
        <x:v>10</x:v>
      </x:c>
      <x:c r="H772" t="n">
        <x:v>10</x:v>
      </x:c>
      <x:c r="I772" t="n">
        <x:f>G772-H772</x:f>
        <x:v>0</x:v>
      </x:c>
      <x:c r="J772" s="20" t="n">
        <x:f>IFERROR(H772/G772,0)</x:f>
        <x:v>1</x:v>
      </x:c>
      <x:c r="K772" t="n">
        <x:v>167919</x:v>
      </x:c>
      <x:c r="L772" t="n">
        <x:v>186511.5</x:v>
      </x:c>
      <x:c r="M772" t="n">
        <x:v>190542</x:v>
      </x:c>
      <x:c r="N772" t="n">
        <x:v>193225</x:v>
      </x:c>
      <x:c r="O772" t="n">
        <x:v>195304</x:v>
      </x:c>
    </x:row>
    <x:row r="773">
      <x:c r="A773" t="str">
        <x:v>Karnataka</x:v>
      </x:c>
      <x:c r="B773" t="str">
        <x:v>Employees State Insurance Scheme</x:v>
      </x:c>
      <x:c r="C773" t="str">
        <x:v>200413</x:v>
      </x:c>
      <x:c r="D773" t="str">
        <x:v>Employees State Insurance Corporation Medical College, Gulbarga, ESIC Medical College and Hospital, Sedam Road Gulbarga-585106 Karnataka</x:v>
      </x:c>
      <x:c r="E773" t="str">
        <x:v>ESI</x:v>
      </x:c>
      <x:c r="F773" t="str">
        <x:v>ST</x:v>
      </x:c>
      <x:c r="G773" t="n">
        <x:v>5</x:v>
      </x:c>
      <x:c r="H773" t="n">
        <x:v>5</x:v>
      </x:c>
      <x:c r="I773" t="n">
        <x:f>G773-H773</x:f>
        <x:v>0</x:v>
      </x:c>
      <x:c r="J773" s="20" t="n">
        <x:f>IFERROR(H773/G773,0)</x:f>
        <x:v>1</x:v>
      </x:c>
      <x:c r="K773" t="n">
        <x:v>257629</x:v>
      </x:c>
      <x:c r="L773" t="n">
        <x:v>292867</x:v>
      </x:c>
      <x:c r="M773" t="n">
        <x:v>294823</x:v>
      </x:c>
      <x:c r="N773" t="n">
        <x:v>302815</x:v>
      </x:c>
      <x:c r="O773" t="n">
        <x:v>314665</x:v>
      </x:c>
    </x:row>
    <x:row r="774">
      <x:c r="A774" t="str">
        <x:v>West Bengal</x:v>
      </x:c>
      <x:c r="B774" t="str">
        <x:v>Employees State Insurance Scheme</x:v>
      </x:c>
      <x:c r="C774" t="str">
        <x:v>200313</x:v>
      </x:c>
      <x:c r="D774" t="str">
        <x:v>Employees State Insurance Corporation Medical College, Joka, Kolkata, DIAMOND HARBOUR ROAD POST OFFICE JOKA KOLKATA 700104</x:v>
      </x:c>
      <x:c r="E774" t="str">
        <x:v>All India</x:v>
      </x:c>
      <x:c r="F774" t="str">
        <x:v>EWS</x:v>
      </x:c>
      <x:c r="G774" t="n">
        <x:v>2</x:v>
      </x:c>
      <x:c r="H774" t="n">
        <x:v>2</x:v>
      </x:c>
      <x:c r="I774" t="n">
        <x:f>G774-H774</x:f>
        <x:v>0</x:v>
      </x:c>
      <x:c r="J774" s="20" t="n">
        <x:f>IFERROR(H774/G774,0)</x:f>
        <x:v>1</x:v>
      </x:c>
      <x:c r="K774" t="n">
        <x:v>12156</x:v>
      </x:c>
      <x:c r="L774" t="n">
        <x:v>12262.25</x:v>
      </x:c>
      <x:c r="M774" t="n">
        <x:v>12368.5</x:v>
      </x:c>
      <x:c r="N774" t="n">
        <x:v>12474.75</x:v>
      </x:c>
      <x:c r="O774" t="n">
        <x:v>12581</x:v>
      </x:c>
    </x:row>
    <x:row r="775">
      <x:c r="A775" t="str">
        <x:v>West Bengal</x:v>
      </x:c>
      <x:c r="B775" t="str">
        <x:v>Employees State Insurance Scheme</x:v>
      </x:c>
      <x:c r="C775" t="str">
        <x:v>200313</x:v>
      </x:c>
      <x:c r="D775" t="str">
        <x:v>Employees State Insurance Corporation Medical College, Joka, Kolkata, DIAMOND HARBOUR ROAD POST OFFICE JOKA KOLKATA 700104</x:v>
      </x:c>
      <x:c r="E775" t="str">
        <x:v>All India</x:v>
      </x:c>
      <x:c r="F775" t="str">
        <x:v>OBC</x:v>
      </x:c>
      <x:c r="G775" t="n">
        <x:v>5</x:v>
      </x:c>
      <x:c r="H775" t="n">
        <x:v>5</x:v>
      </x:c>
      <x:c r="I775" t="n">
        <x:f>G775-H775</x:f>
        <x:v>0</x:v>
      </x:c>
      <x:c r="J775" s="20" t="n">
        <x:f>IFERROR(H775/G775,0)</x:f>
        <x:v>1</x:v>
      </x:c>
      <x:c r="K775" t="n">
        <x:v>11868</x:v>
      </x:c>
      <x:c r="L775" t="n">
        <x:v>12542</x:v>
      </x:c>
      <x:c r="M775" t="n">
        <x:v>12614</x:v>
      </x:c>
      <x:c r="N775" t="n">
        <x:v>12810</x:v>
      </x:c>
      <x:c r="O775" t="n">
        <x:v>12818</x:v>
      </x:c>
    </x:row>
    <x:row r="776">
      <x:c r="A776" t="str">
        <x:v>West Bengal</x:v>
      </x:c>
      <x:c r="B776" t="str">
        <x:v>Employees State Insurance Scheme</x:v>
      </x:c>
      <x:c r="C776" t="str">
        <x:v>200313</x:v>
      </x:c>
      <x:c r="D776" t="str">
        <x:v>Employees State Insurance Corporation Medical College, Joka, Kolkata, DIAMOND HARBOUR ROAD POST OFFICE JOKA KOLKATA 700104</x:v>
      </x:c>
      <x:c r="E776" t="str">
        <x:v>All India</x:v>
      </x:c>
      <x:c r="F776" t="str">
        <x:v>OBC PwD</x:v>
      </x:c>
      <x:c r="G776" t="n">
        <x:v>1</x:v>
      </x:c>
      <x:c r="H776" t="n">
        <x:v>1</x:v>
      </x:c>
      <x:c r="I776" t="n">
        <x:f>G776-H776</x:f>
        <x:v>0</x:v>
      </x:c>
      <x:c r="J776" s="20" t="n">
        <x:f>IFERROR(H776/G776,0)</x:f>
        <x:v>1</x:v>
      </x:c>
      <x:c r="K776" t="n">
        <x:v>548771</x:v>
      </x:c>
      <x:c r="L776" t="n">
        <x:v>548771</x:v>
      </x:c>
      <x:c r="M776" t="n">
        <x:v>548771</x:v>
      </x:c>
      <x:c r="N776" t="n">
        <x:v>548771</x:v>
      </x:c>
      <x:c r="O776" t="n">
        <x:v>548771</x:v>
      </x:c>
    </x:row>
    <x:row r="777">
      <x:c r="A777" t="str">
        <x:v>West Bengal</x:v>
      </x:c>
      <x:c r="B777" t="str">
        <x:v>Employees State Insurance Scheme</x:v>
      </x:c>
      <x:c r="C777" t="str">
        <x:v>200313</x:v>
      </x:c>
      <x:c r="D777" t="str">
        <x:v>Employees State Insurance Corporation Medical College, Joka, Kolkata, DIAMOND HARBOUR ROAD POST OFFICE JOKA KOLKATA 700104</x:v>
      </x:c>
      <x:c r="E777" t="str">
        <x:v>All India</x:v>
      </x:c>
      <x:c r="F777" t="str">
        <x:v>Open</x:v>
      </x:c>
      <x:c r="G777" t="n">
        <x:v>10</x:v>
      </x:c>
      <x:c r="H777" t="n">
        <x:v>10</x:v>
      </x:c>
      <x:c r="I777" t="n">
        <x:f>G777-H777</x:f>
        <x:v>0</x:v>
      </x:c>
      <x:c r="J777" s="20" t="n">
        <x:f>IFERROR(H777/G777,0)</x:f>
        <x:v>1</x:v>
      </x:c>
      <x:c r="K777" t="n">
        <x:v>5513</x:v>
      </x:c>
      <x:c r="L777" t="n">
        <x:v>8170.25</x:v>
      </x:c>
      <x:c r="M777" t="n">
        <x:v>8896.5</x:v>
      </x:c>
      <x:c r="N777" t="n">
        <x:v>9329.75</x:v>
      </x:c>
      <x:c r="O777" t="n">
        <x:v>10417</x:v>
      </x:c>
    </x:row>
    <x:row r="778">
      <x:c r="A778" t="str">
        <x:v>West Bengal</x:v>
      </x:c>
      <x:c r="B778" t="str">
        <x:v>Employees State Insurance Scheme</x:v>
      </x:c>
      <x:c r="C778" t="str">
        <x:v>200313</x:v>
      </x:c>
      <x:c r="D778" t="str">
        <x:v>Employees State Insurance Corporation Medical College, Joka, Kolkata, DIAMOND HARBOUR ROAD POST OFFICE JOKA KOLKATA 700104</x:v>
      </x:c>
      <x:c r="E778" t="str">
        <x:v>All India</x:v>
      </x:c>
      <x:c r="F778" t="str">
        <x:v>SC</x:v>
      </x:c>
      <x:c r="G778" t="n">
        <x:v>3</x:v>
      </x:c>
      <x:c r="H778" t="n">
        <x:v>3</x:v>
      </x:c>
      <x:c r="I778" t="n">
        <x:f>G778-H778</x:f>
        <x:v>0</x:v>
      </x:c>
      <x:c r="J778" s="20" t="n">
        <x:f>IFERROR(H778/G778,0)</x:f>
        <x:v>1</x:v>
      </x:c>
      <x:c r="K778" t="n">
        <x:v>51741</x:v>
      </x:c>
      <x:c r="L778" t="n">
        <x:v>56150</x:v>
      </x:c>
      <x:c r="M778" t="n">
        <x:v>60559</x:v>
      </x:c>
      <x:c r="N778" t="n">
        <x:v>63109.5</x:v>
      </x:c>
      <x:c r="O778" t="n">
        <x:v>65660</x:v>
      </x:c>
    </x:row>
    <x:row r="779">
      <x:c r="A779" t="str">
        <x:v>West Bengal</x:v>
      </x:c>
      <x:c r="B779" t="str">
        <x:v>Employees State Insurance Scheme</x:v>
      </x:c>
      <x:c r="C779" t="str">
        <x:v>200313</x:v>
      </x:c>
      <x:c r="D779" t="str">
        <x:v>Employees State Insurance Corporation Medical College, Joka, Kolkata, DIAMOND HARBOUR ROAD POST OFFICE JOKA KOLKATA 700104</x:v>
      </x:c>
      <x:c r="E779" t="str">
        <x:v>All India</x:v>
      </x:c>
      <x:c r="F779" t="str">
        <x:v>ST</x:v>
      </x:c>
      <x:c r="G779" t="n">
        <x:v>1</x:v>
      </x:c>
      <x:c r="H779" t="n">
        <x:v>1</x:v>
      </x:c>
      <x:c r="I779" t="n">
        <x:f>G779-H779</x:f>
        <x:v>0</x:v>
      </x:c>
      <x:c r="J779" s="20" t="n">
        <x:f>IFERROR(H779/G779,0)</x:f>
        <x:v>1</x:v>
      </x:c>
      <x:c r="K779" t="n">
        <x:v>88375</x:v>
      </x:c>
      <x:c r="L779" t="n">
        <x:v>88375</x:v>
      </x:c>
      <x:c r="M779" t="n">
        <x:v>88375</x:v>
      </x:c>
      <x:c r="N779" t="n">
        <x:v>88375</x:v>
      </x:c>
      <x:c r="O779" t="n">
        <x:v>88375</x:v>
      </x:c>
    </x:row>
    <x:row r="780">
      <x:c r="A780" t="str">
        <x:v>West Bengal</x:v>
      </x:c>
      <x:c r="B780" t="str">
        <x:v>Employees State Insurance Scheme</x:v>
      </x:c>
      <x:c r="C780" t="str">
        <x:v>200313</x:v>
      </x:c>
      <x:c r="D780" t="str">
        <x:v>Employees State Insurance Corporation Medical College, Joka, Kolkata, DIAMOND HARBOUR ROAD POST OFFICE JOKA KOLKATA 700104</x:v>
      </x:c>
      <x:c r="E780" t="str">
        <x:v>ESI</x:v>
      </x:c>
      <x:c r="F780" t="str">
        <x:v>EWS</x:v>
      </x:c>
      <x:c r="G780" t="n">
        <x:v>7</x:v>
      </x:c>
      <x:c r="H780" t="n">
        <x:v>7</x:v>
      </x:c>
      <x:c r="I780" t="n">
        <x:f>G780-H780</x:f>
        <x:v>0</x:v>
      </x:c>
      <x:c r="J780" s="20" t="n">
        <x:f>IFERROR(H780/G780,0)</x:f>
        <x:v>1</x:v>
      </x:c>
      <x:c r="K780" t="n">
        <x:v>47253</x:v>
      </x:c>
      <x:c r="L780" t="n">
        <x:v>47769.5</x:v>
      </x:c>
      <x:c r="M780" t="n">
        <x:v>48351</x:v>
      </x:c>
      <x:c r="N780" t="n">
        <x:v>48661.5</x:v>
      </x:c>
      <x:c r="O780" t="n">
        <x:v>49162</x:v>
      </x:c>
    </x:row>
    <x:row r="781">
      <x:c r="A781" t="str">
        <x:v>West Bengal</x:v>
      </x:c>
      <x:c r="B781" t="str">
        <x:v>Employees State Insurance Scheme</x:v>
      </x:c>
      <x:c r="C781" t="str">
        <x:v>200313</x:v>
      </x:c>
      <x:c r="D781" t="str">
        <x:v>Employees State Insurance Corporation Medical College, Joka, Kolkata, DIAMOND HARBOUR ROAD POST OFFICE JOKA KOLKATA 700104</x:v>
      </x:c>
      <x:c r="E781" t="str">
        <x:v>ESI</x:v>
      </x:c>
      <x:c r="F781" t="str">
        <x:v>OBC</x:v>
      </x:c>
      <x:c r="G781" t="n">
        <x:v>20</x:v>
      </x:c>
      <x:c r="H781" t="n">
        <x:v>20</x:v>
      </x:c>
      <x:c r="I781" t="n">
        <x:f>G781-H781</x:f>
        <x:v>0</x:v>
      </x:c>
      <x:c r="J781" s="20" t="n">
        <x:f>IFERROR(H781/G781,0)</x:f>
        <x:v>1</x:v>
      </x:c>
      <x:c r="K781" t="n">
        <x:v>47109</x:v>
      </x:c>
      <x:c r="L781" t="n">
        <x:v>48298.75</x:v>
      </x:c>
      <x:c r="M781" t="n">
        <x:v>48774.5</x:v>
      </x:c>
      <x:c r="N781" t="n">
        <x:v>49184.5</x:v>
      </x:c>
      <x:c r="O781" t="n">
        <x:v>49992</x:v>
      </x:c>
    </x:row>
    <x:row r="782">
      <x:c r="A782" t="str">
        <x:v>West Bengal</x:v>
      </x:c>
      <x:c r="B782" t="str">
        <x:v>Employees State Insurance Scheme</x:v>
      </x:c>
      <x:c r="C782" t="str">
        <x:v>200313</x:v>
      </x:c>
      <x:c r="D782" t="str">
        <x:v>Employees State Insurance Corporation Medical College, Joka, Kolkata, DIAMOND HARBOUR ROAD POST OFFICE JOKA KOLKATA 700104</x:v>
      </x:c>
      <x:c r="E782" t="str">
        <x:v>ESI</x:v>
      </x:c>
      <x:c r="F782" t="str">
        <x:v>OBC PwD</x:v>
      </x:c>
      <x:c r="G782" t="n">
        <x:v>1</x:v>
      </x:c>
      <x:c r="H782" t="n">
        <x:v>0</x:v>
      </x:c>
      <x:c r="I782" t="n">
        <x:f>G782-H782</x:f>
        <x:v>1</x:v>
      </x:c>
      <x:c r="J782" s="20" t="n">
        <x:f>IFERROR(H782/G782,0)</x:f>
        <x:v>0</x:v>
      </x:c>
      <x:c r="K782"/>
      <x:c r="L782"/>
      <x:c r="M782"/>
      <x:c r="N782"/>
      <x:c r="O782"/>
    </x:row>
    <x:row r="783">
      <x:c r="A783" t="str">
        <x:v>West Bengal</x:v>
      </x:c>
      <x:c r="B783" t="str">
        <x:v>Employees State Insurance Scheme</x:v>
      </x:c>
      <x:c r="C783" t="str">
        <x:v>200313</x:v>
      </x:c>
      <x:c r="D783" t="str">
        <x:v>Employees State Insurance Corporation Medical College, Joka, Kolkata, DIAMOND HARBOUR ROAD POST OFFICE JOKA KOLKATA 700104</x:v>
      </x:c>
      <x:c r="E783" t="str">
        <x:v>ESI</x:v>
      </x:c>
      <x:c r="F783" t="str">
        <x:v>Open</x:v>
      </x:c>
      <x:c r="G783" t="n">
        <x:v>31</x:v>
      </x:c>
      <x:c r="H783" t="n">
        <x:v>31</x:v>
      </x:c>
      <x:c r="I783" t="n">
        <x:f>G783-H783</x:f>
        <x:v>0</x:v>
      </x:c>
      <x:c r="J783" s="20" t="n">
        <x:f>IFERROR(H783/G783,0)</x:f>
        <x:v>1</x:v>
      </x:c>
      <x:c r="K783" t="n">
        <x:v>17288</x:v>
      </x:c>
      <x:c r="L783" t="n">
        <x:v>34403</x:v>
      </x:c>
      <x:c r="M783" t="n">
        <x:v>42016</x:v>
      </x:c>
      <x:c r="N783" t="n">
        <x:v>43675.5</x:v>
      </x:c>
      <x:c r="O783" t="n">
        <x:v>46191</x:v>
      </x:c>
    </x:row>
    <x:row r="784">
      <x:c r="A784" t="str">
        <x:v>West Bengal</x:v>
      </x:c>
      <x:c r="B784" t="str">
        <x:v>Employees State Insurance Scheme</x:v>
      </x:c>
      <x:c r="C784" t="str">
        <x:v>200313</x:v>
      </x:c>
      <x:c r="D784" t="str">
        <x:v>Employees State Insurance Corporation Medical College, Joka, Kolkata, DIAMOND HARBOUR ROAD POST OFFICE JOKA KOLKATA 700104</x:v>
      </x:c>
      <x:c r="E784" t="str">
        <x:v>ESI</x:v>
      </x:c>
      <x:c r="F784" t="str">
        <x:v>Open PwD</x:v>
      </x:c>
      <x:c r="G784" t="n">
        <x:v>2</x:v>
      </x:c>
      <x:c r="H784" t="n">
        <x:v>0</x:v>
      </x:c>
      <x:c r="I784" t="n">
        <x:f>G784-H784</x:f>
        <x:v>2</x:v>
      </x:c>
      <x:c r="J784" s="20" t="n">
        <x:f>IFERROR(H784/G784,0)</x:f>
        <x:v>0</x:v>
      </x:c>
      <x:c r="K784"/>
      <x:c r="L784"/>
      <x:c r="M784"/>
      <x:c r="N784"/>
      <x:c r="O784"/>
    </x:row>
    <x:row r="785">
      <x:c r="A785" t="str">
        <x:v>West Bengal</x:v>
      </x:c>
      <x:c r="B785" t="str">
        <x:v>Employees State Insurance Scheme</x:v>
      </x:c>
      <x:c r="C785" t="str">
        <x:v>200313</x:v>
      </x:c>
      <x:c r="D785" t="str">
        <x:v>Employees State Insurance Corporation Medical College, Joka, Kolkata, DIAMOND HARBOUR ROAD POST OFFICE JOKA KOLKATA 700104</x:v>
      </x:c>
      <x:c r="E785" t="str">
        <x:v>ESI</x:v>
      </x:c>
      <x:c r="F785" t="str">
        <x:v>SC</x:v>
      </x:c>
      <x:c r="G785" t="n">
        <x:v>11</x:v>
      </x:c>
      <x:c r="H785" t="n">
        <x:v>11</x:v>
      </x:c>
      <x:c r="I785" t="n">
        <x:f>G785-H785</x:f>
        <x:v>0</x:v>
      </x:c>
      <x:c r="J785" s="20" t="n">
        <x:f>IFERROR(H785/G785,0)</x:f>
        <x:v>1</x:v>
      </x:c>
      <x:c r="K785" t="n">
        <x:v>152524</x:v>
      </x:c>
      <x:c r="L785" t="n">
        <x:v>159183</x:v>
      </x:c>
      <x:c r="M785" t="n">
        <x:v>173345</x:v>
      </x:c>
      <x:c r="N785" t="n">
        <x:v>181265</x:v>
      </x:c>
      <x:c r="O785" t="n">
        <x:v>191434</x:v>
      </x:c>
    </x:row>
    <x:row r="786">
      <x:c r="A786" t="str">
        <x:v>West Bengal</x:v>
      </x:c>
      <x:c r="B786" t="str">
        <x:v>Employees State Insurance Scheme</x:v>
      </x:c>
      <x:c r="C786" t="str">
        <x:v>200313</x:v>
      </x:c>
      <x:c r="D786" t="str">
        <x:v>Employees State Insurance Corporation Medical College, Joka, Kolkata, DIAMOND HARBOUR ROAD POST OFFICE JOKA KOLKATA 700104</x:v>
      </x:c>
      <x:c r="E786" t="str">
        <x:v>ESI</x:v>
      </x:c>
      <x:c r="F786" t="str">
        <x:v>ST</x:v>
      </x:c>
      <x:c r="G786" t="n">
        <x:v>6</x:v>
      </x:c>
      <x:c r="H786" t="n">
        <x:v>6</x:v>
      </x:c>
      <x:c r="I786" t="n">
        <x:f>G786-H786</x:f>
        <x:v>0</x:v>
      </x:c>
      <x:c r="J786" s="20" t="n">
        <x:f>IFERROR(H786/G786,0)</x:f>
        <x:v>1</x:v>
      </x:c>
      <x:c r="K786" t="n">
        <x:v>336244</x:v>
      </x:c>
      <x:c r="L786" t="n">
        <x:v>337154</x:v>
      </x:c>
      <x:c r="M786" t="n">
        <x:v>338816</x:v>
      </x:c>
      <x:c r="N786" t="n">
        <x:v>344879.75</x:v>
      </x:c>
      <x:c r="O786" t="n">
        <x:v>364342</x:v>
      </x:c>
    </x:row>
    <x:row r="787">
      <x:c r="A787" t="str">
        <x:v>Bihar</x:v>
      </x:c>
      <x:c r="B787" t="str">
        <x:v>Employees State Insurance Scheme</x:v>
      </x:c>
      <x:c r="C787" t="str">
        <x:v>200573</x:v>
      </x:c>
      <x:c r="D787" t="str">
        <x:v>Employees State Insurance Corporation Medical College, Patna, ESIC Medical College and Hospital, Arrah Danapur Road, Sikandarpur, Bihta, Patna- 801103</x:v>
      </x:c>
      <x:c r="E787" t="str">
        <x:v>All India</x:v>
      </x:c>
      <x:c r="F787" t="str">
        <x:v>EWS</x:v>
      </x:c>
      <x:c r="G787" t="n">
        <x:v>1</x:v>
      </x:c>
      <x:c r="H787" t="n">
        <x:v>1</x:v>
      </x:c>
      <x:c r="I787" t="n">
        <x:f>G787-H787</x:f>
        <x:v>0</x:v>
      </x:c>
      <x:c r="J787" s="20" t="n">
        <x:f>IFERROR(H787/G787,0)</x:f>
        <x:v>1</x:v>
      </x:c>
      <x:c r="K787" t="n">
        <x:v>12291</x:v>
      </x:c>
      <x:c r="L787" t="n">
        <x:v>12291</x:v>
      </x:c>
      <x:c r="M787" t="n">
        <x:v>12291</x:v>
      </x:c>
      <x:c r="N787" t="n">
        <x:v>12291</x:v>
      </x:c>
      <x:c r="O787" t="n">
        <x:v>12291</x:v>
      </x:c>
    </x:row>
    <x:row r="788">
      <x:c r="A788" t="str">
        <x:v>Bihar</x:v>
      </x:c>
      <x:c r="B788" t="str">
        <x:v>Employees State Insurance Scheme</x:v>
      </x:c>
      <x:c r="C788" t="str">
        <x:v>200573</x:v>
      </x:c>
      <x:c r="D788" t="str">
        <x:v>Employees State Insurance Corporation Medical College, Patna, ESIC Medical College and Hospital, Arrah Danapur Road, Sikandarpur, Bihta, Patna- 801103</x:v>
      </x:c>
      <x:c r="E788" t="str">
        <x:v>All India</x:v>
      </x:c>
      <x:c r="F788" t="str">
        <x:v>OBC</x:v>
      </x:c>
      <x:c r="G788" t="n">
        <x:v>4</x:v>
      </x:c>
      <x:c r="H788" t="n">
        <x:v>4</x:v>
      </x:c>
      <x:c r="I788" t="n">
        <x:f>G788-H788</x:f>
        <x:v>0</x:v>
      </x:c>
      <x:c r="J788" s="20" t="n">
        <x:f>IFERROR(H788/G788,0)</x:f>
        <x:v>1</x:v>
      </x:c>
      <x:c r="K788" t="n">
        <x:v>11212</x:v>
      </x:c>
      <x:c r="L788" t="n">
        <x:v>11246.5</x:v>
      </x:c>
      <x:c r="M788" t="n">
        <x:v>11313.5</x:v>
      </x:c>
      <x:c r="N788" t="n">
        <x:v>11575.5</x:v>
      </x:c>
      <x:c r="O788" t="n">
        <x:v>12195</x:v>
      </x:c>
    </x:row>
    <x:row r="789">
      <x:c r="A789" t="str">
        <x:v>Bihar</x:v>
      </x:c>
      <x:c r="B789" t="str">
        <x:v>Employees State Insurance Scheme</x:v>
      </x:c>
      <x:c r="C789" t="str">
        <x:v>200573</x:v>
      </x:c>
      <x:c r="D789" t="str">
        <x:v>Employees State Insurance Corporation Medical College, Patna, ESIC Medical College and Hospital, Arrah Danapur Road, Sikandarpur, Bihta, Patna- 801103</x:v>
      </x:c>
      <x:c r="E789" t="str">
        <x:v>All India</x:v>
      </x:c>
      <x:c r="F789" t="str">
        <x:v>Open</x:v>
      </x:c>
      <x:c r="G789" t="n">
        <x:v>6</x:v>
      </x:c>
      <x:c r="H789" t="n">
        <x:v>6</x:v>
      </x:c>
      <x:c r="I789" t="n">
        <x:f>G789-H789</x:f>
        <x:v>0</x:v>
      </x:c>
      <x:c r="J789" s="20" t="n">
        <x:f>IFERROR(H789/G789,0)</x:f>
        <x:v>1</x:v>
      </x:c>
      <x:c r="K789" t="n">
        <x:v>6855</x:v>
      </x:c>
      <x:c r="L789" t="n">
        <x:v>9099</x:v>
      </x:c>
      <x:c r="M789" t="n">
        <x:v>9183</x:v>
      </x:c>
      <x:c r="N789" t="n">
        <x:v>9338.25</x:v>
      </x:c>
      <x:c r="O789" t="n">
        <x:v>9415</x:v>
      </x:c>
    </x:row>
    <x:row r="790">
      <x:c r="A790" t="str">
        <x:v>Bihar</x:v>
      </x:c>
      <x:c r="B790" t="str">
        <x:v>Employees State Insurance Scheme</x:v>
      </x:c>
      <x:c r="C790" t="str">
        <x:v>200573</x:v>
      </x:c>
      <x:c r="D790" t="str">
        <x:v>Employees State Insurance Corporation Medical College, Patna, ESIC Medical College and Hospital, Arrah Danapur Road, Sikandarpur, Bihta, Patna- 801103</x:v>
      </x:c>
      <x:c r="E790" t="str">
        <x:v>All India</x:v>
      </x:c>
      <x:c r="F790" t="str">
        <x:v>Open PwD</x:v>
      </x:c>
      <x:c r="G790" t="n">
        <x:v>1</x:v>
      </x:c>
      <x:c r="H790" t="n">
        <x:v>1</x:v>
      </x:c>
      <x:c r="I790" t="n">
        <x:f>G790-H790</x:f>
        <x:v>0</x:v>
      </x:c>
      <x:c r="J790" s="20" t="n">
        <x:f>IFERROR(H790/G790,0)</x:f>
        <x:v>1</x:v>
      </x:c>
      <x:c r="K790" t="n">
        <x:v>383118</x:v>
      </x:c>
      <x:c r="L790" t="n">
        <x:v>383118</x:v>
      </x:c>
      <x:c r="M790" t="n">
        <x:v>383118</x:v>
      </x:c>
      <x:c r="N790" t="n">
        <x:v>383118</x:v>
      </x:c>
      <x:c r="O790" t="n">
        <x:v>383118</x:v>
      </x:c>
    </x:row>
    <x:row r="791">
      <x:c r="A791" t="str">
        <x:v>Bihar</x:v>
      </x:c>
      <x:c r="B791" t="str">
        <x:v>Employees State Insurance Scheme</x:v>
      </x:c>
      <x:c r="C791" t="str">
        <x:v>200573</x:v>
      </x:c>
      <x:c r="D791" t="str">
        <x:v>Employees State Insurance Corporation Medical College, Patna, ESIC Medical College and Hospital, Arrah Danapur Road, Sikandarpur, Bihta, Patna- 801103</x:v>
      </x:c>
      <x:c r="E791" t="str">
        <x:v>All India</x:v>
      </x:c>
      <x:c r="F791" t="str">
        <x:v>SC</x:v>
      </x:c>
      <x:c r="G791" t="n">
        <x:v>2</x:v>
      </x:c>
      <x:c r="H791" t="n">
        <x:v>2</x:v>
      </x:c>
      <x:c r="I791" t="n">
        <x:f>G791-H791</x:f>
        <x:v>0</x:v>
      </x:c>
      <x:c r="J791" s="20" t="n">
        <x:f>IFERROR(H791/G791,0)</x:f>
        <x:v>1</x:v>
      </x:c>
      <x:c r="K791" t="n">
        <x:v>41121</x:v>
      </x:c>
      <x:c r="L791" t="n">
        <x:v>44340</x:v>
      </x:c>
      <x:c r="M791" t="n">
        <x:v>47559</x:v>
      </x:c>
      <x:c r="N791" t="n">
        <x:v>50778</x:v>
      </x:c>
      <x:c r="O791" t="n">
        <x:v>53997</x:v>
      </x:c>
    </x:row>
    <x:row r="792">
      <x:c r="A792" t="str">
        <x:v>Bihar</x:v>
      </x:c>
      <x:c r="B792" t="str">
        <x:v>Employees State Insurance Scheme</x:v>
      </x:c>
      <x:c r="C792" t="str">
        <x:v>200573</x:v>
      </x:c>
      <x:c r="D792" t="str">
        <x:v>Employees State Insurance Corporation Medical College, Patna, ESIC Medical College and Hospital, Arrah Danapur Road, Sikandarpur, Bihta, Patna- 801103</x:v>
      </x:c>
      <x:c r="E792" t="str">
        <x:v>All India</x:v>
      </x:c>
      <x:c r="F792" t="str">
        <x:v>ST</x:v>
      </x:c>
      <x:c r="G792" t="n">
        <x:v>1</x:v>
      </x:c>
      <x:c r="H792" t="n">
        <x:v>1</x:v>
      </x:c>
      <x:c r="I792" t="n">
        <x:f>G792-H792</x:f>
        <x:v>0</x:v>
      </x:c>
      <x:c r="J792" s="20" t="n">
        <x:f>IFERROR(H792/G792,0)</x:f>
        <x:v>1</x:v>
      </x:c>
      <x:c r="K792" t="n">
        <x:v>94246</x:v>
      </x:c>
      <x:c r="L792" t="n">
        <x:v>94246</x:v>
      </x:c>
      <x:c r="M792" t="n">
        <x:v>94246</x:v>
      </x:c>
      <x:c r="N792" t="n">
        <x:v>94246</x:v>
      </x:c>
      <x:c r="O792" t="n">
        <x:v>94246</x:v>
      </x:c>
    </x:row>
    <x:row r="793">
      <x:c r="A793" t="str">
        <x:v>Bihar</x:v>
      </x:c>
      <x:c r="B793" t="str">
        <x:v>Employees State Insurance Scheme</x:v>
      </x:c>
      <x:c r="C793" t="str">
        <x:v>200573</x:v>
      </x:c>
      <x:c r="D793" t="str">
        <x:v>Employees State Insurance Corporation Medical College, Patna, ESIC Medical College and Hospital, Arrah Danapur Road, Sikandarpur, Bihta, Patna- 801103</x:v>
      </x:c>
      <x:c r="E793" t="str">
        <x:v>ESI</x:v>
      </x:c>
      <x:c r="F793" t="str">
        <x:v>EWS</x:v>
      </x:c>
      <x:c r="G793" t="n">
        <x:v>3</x:v>
      </x:c>
      <x:c r="H793" t="n">
        <x:v>3</x:v>
      </x:c>
      <x:c r="I793" t="n">
        <x:f>G793-H793</x:f>
        <x:v>0</x:v>
      </x:c>
      <x:c r="J793" s="20" t="n">
        <x:f>IFERROR(H793/G793,0)</x:f>
        <x:v>1</x:v>
      </x:c>
      <x:c r="K793" t="n">
        <x:v>41186</x:v>
      </x:c>
      <x:c r="L793" t="n">
        <x:v>42331</x:v>
      </x:c>
      <x:c r="M793" t="n">
        <x:v>43476</x:v>
      </x:c>
      <x:c r="N793" t="n">
        <x:v>45032</x:v>
      </x:c>
      <x:c r="O793" t="n">
        <x:v>46588</x:v>
      </x:c>
    </x:row>
    <x:row r="794">
      <x:c r="A794" t="str">
        <x:v>Bihar</x:v>
      </x:c>
      <x:c r="B794" t="str">
        <x:v>Employees State Insurance Scheme</x:v>
      </x:c>
      <x:c r="C794" t="str">
        <x:v>200573</x:v>
      </x:c>
      <x:c r="D794" t="str">
        <x:v>Employees State Insurance Corporation Medical College, Patna, ESIC Medical College and Hospital, Arrah Danapur Road, Sikandarpur, Bihta, Patna- 801103</x:v>
      </x:c>
      <x:c r="E794" t="str">
        <x:v>ESI</x:v>
      </x:c>
      <x:c r="F794" t="str">
        <x:v>OBC</x:v>
      </x:c>
      <x:c r="G794" t="n">
        <x:v>8</x:v>
      </x:c>
      <x:c r="H794" t="n">
        <x:v>8</x:v>
      </x:c>
      <x:c r="I794" t="n">
        <x:f>G794-H794</x:f>
        <x:v>0</x:v>
      </x:c>
      <x:c r="J794" s="20" t="n">
        <x:f>IFERROR(H794/G794,0)</x:f>
        <x:v>1</x:v>
      </x:c>
      <x:c r="K794" t="n">
        <x:v>39432</x:v>
      </x:c>
      <x:c r="L794" t="n">
        <x:v>39578.25</x:v>
      </x:c>
      <x:c r="M794" t="n">
        <x:v>41096.5</x:v>
      </x:c>
      <x:c r="N794" t="n">
        <x:v>42344.75</x:v>
      </x:c>
      <x:c r="O794" t="n">
        <x:v>45795</x:v>
      </x:c>
    </x:row>
    <x:row r="795">
      <x:c r="A795" t="str">
        <x:v>Bihar</x:v>
      </x:c>
      <x:c r="B795" t="str">
        <x:v>Employees State Insurance Scheme</x:v>
      </x:c>
      <x:c r="C795" t="str">
        <x:v>200573</x:v>
      </x:c>
      <x:c r="D795" t="str">
        <x:v>Employees State Insurance Corporation Medical College, Patna, ESIC Medical College and Hospital, Arrah Danapur Road, Sikandarpur, Bihta, Patna- 801103</x:v>
      </x:c>
      <x:c r="E795" t="str">
        <x:v>ESI</x:v>
      </x:c>
      <x:c r="F795" t="str">
        <x:v>OBC PwD</x:v>
      </x:c>
      <x:c r="G795" t="n">
        <x:v>1</x:v>
      </x:c>
      <x:c r="H795" t="n">
        <x:v>0</x:v>
      </x:c>
      <x:c r="I795" t="n">
        <x:f>G795-H795</x:f>
        <x:v>1</x:v>
      </x:c>
      <x:c r="J795" s="20" t="n">
        <x:f>IFERROR(H795/G795,0)</x:f>
        <x:v>0</x:v>
      </x:c>
      <x:c r="K795"/>
      <x:c r="L795"/>
      <x:c r="M795"/>
      <x:c r="N795"/>
      <x:c r="O795"/>
    </x:row>
    <x:row r="796">
      <x:c r="A796" t="str">
        <x:v>Bihar</x:v>
      </x:c>
      <x:c r="B796" t="str">
        <x:v>Employees State Insurance Scheme</x:v>
      </x:c>
      <x:c r="C796" t="str">
        <x:v>200573</x:v>
      </x:c>
      <x:c r="D796" t="str">
        <x:v>Employees State Insurance Corporation Medical College, Patna, ESIC Medical College and Hospital, Arrah Danapur Road, Sikandarpur, Bihta, Patna- 801103</x:v>
      </x:c>
      <x:c r="E796" t="str">
        <x:v>ESI</x:v>
      </x:c>
      <x:c r="F796" t="str">
        <x:v>Open</x:v>
      </x:c>
      <x:c r="G796" t="n">
        <x:v>14</x:v>
      </x:c>
      <x:c r="H796" t="n">
        <x:v>14</x:v>
      </x:c>
      <x:c r="I796" t="n">
        <x:f>G796-H796</x:f>
        <x:v>0</x:v>
      </x:c>
      <x:c r="J796" s="20" t="n">
        <x:f>IFERROR(H796/G796,0)</x:f>
        <x:v>1</x:v>
      </x:c>
      <x:c r="K796" t="n">
        <x:v>17528</x:v>
      </x:c>
      <x:c r="L796" t="n">
        <x:v>28939.75</x:v>
      </x:c>
      <x:c r="M796" t="n">
        <x:v>36269.5</x:v>
      </x:c>
      <x:c r="N796" t="n">
        <x:v>37674</x:v>
      </x:c>
      <x:c r="O796" t="n">
        <x:v>39328</x:v>
      </x:c>
    </x:row>
    <x:row r="797">
      <x:c r="A797" t="str">
        <x:v>Bihar</x:v>
      </x:c>
      <x:c r="B797" t="str">
        <x:v>Employees State Insurance Scheme</x:v>
      </x:c>
      <x:c r="C797" t="str">
        <x:v>200573</x:v>
      </x:c>
      <x:c r="D797" t="str">
        <x:v>Employees State Insurance Corporation Medical College, Patna, ESIC Medical College and Hospital, Arrah Danapur Road, Sikandarpur, Bihta, Patna- 801103</x:v>
      </x:c>
      <x:c r="E797" t="str">
        <x:v>ESI</x:v>
      </x:c>
      <x:c r="F797" t="str">
        <x:v>Open PwD</x:v>
      </x:c>
      <x:c r="G797" t="n">
        <x:v>1</x:v>
      </x:c>
      <x:c r="H797" t="n">
        <x:v>1</x:v>
      </x:c>
      <x:c r="I797" t="n">
        <x:f>G797-H797</x:f>
        <x:v>0</x:v>
      </x:c>
      <x:c r="J797" s="20" t="n">
        <x:f>IFERROR(H797/G797,0)</x:f>
        <x:v>1</x:v>
      </x:c>
      <x:c r="K797" t="n">
        <x:v>759316</x:v>
      </x:c>
      <x:c r="L797" t="n">
        <x:v>759316</x:v>
      </x:c>
      <x:c r="M797" t="n">
        <x:v>759316</x:v>
      </x:c>
      <x:c r="N797" t="n">
        <x:v>759316</x:v>
      </x:c>
      <x:c r="O797" t="n">
        <x:v>759316</x:v>
      </x:c>
    </x:row>
    <x:row r="798">
      <x:c r="A798" t="str">
        <x:v>Bihar</x:v>
      </x:c>
      <x:c r="B798" t="str">
        <x:v>Employees State Insurance Scheme</x:v>
      </x:c>
      <x:c r="C798" t="str">
        <x:v>200573</x:v>
      </x:c>
      <x:c r="D798" t="str">
        <x:v>Employees State Insurance Corporation Medical College, Patna, ESIC Medical College and Hospital, Arrah Danapur Road, Sikandarpur, Bihta, Patna- 801103</x:v>
      </x:c>
      <x:c r="E798" t="str">
        <x:v>ESI</x:v>
      </x:c>
      <x:c r="F798" t="str">
        <x:v>SC</x:v>
      </x:c>
      <x:c r="G798" t="n">
        <x:v>4</x:v>
      </x:c>
      <x:c r="H798" t="n">
        <x:v>4</x:v>
      </x:c>
      <x:c r="I798" t="n">
        <x:f>G798-H798</x:f>
        <x:v>0</x:v>
      </x:c>
      <x:c r="J798" s="20" t="n">
        <x:f>IFERROR(H798/G798,0)</x:f>
        <x:v>1</x:v>
      </x:c>
      <x:c r="K798" t="n">
        <x:v>159097</x:v>
      </x:c>
      <x:c r="L798" t="n">
        <x:v>183881.5</x:v>
      </x:c>
      <x:c r="M798" t="n">
        <x:v>193760.5</x:v>
      </x:c>
      <x:c r="N798" t="n">
        <x:v>195444.25</x:v>
      </x:c>
      <x:c r="O798" t="n">
        <x:v>195643</x:v>
      </x:c>
    </x:row>
    <x:row r="799">
      <x:c r="A799" t="str">
        <x:v>Bihar</x:v>
      </x:c>
      <x:c r="B799" t="str">
        <x:v>Employees State Insurance Scheme</x:v>
      </x:c>
      <x:c r="C799" t="str">
        <x:v>200573</x:v>
      </x:c>
      <x:c r="D799" t="str">
        <x:v>Employees State Insurance Corporation Medical College, Patna, ESIC Medical College and Hospital, Arrah Danapur Road, Sikandarpur, Bihta, Patna- 801103</x:v>
      </x:c>
      <x:c r="E799" t="str">
        <x:v>ESI</x:v>
      </x:c>
      <x:c r="F799" t="str">
        <x:v>SC PwD</x:v>
      </x:c>
      <x:c r="G799" t="n">
        <x:v>1</x:v>
      </x:c>
      <x:c r="H799" t="n">
        <x:v>0</x:v>
      </x:c>
      <x:c r="I799" t="n">
        <x:f>G799-H799</x:f>
        <x:v>1</x:v>
      </x:c>
      <x:c r="J799" s="20" t="n">
        <x:f>IFERROR(H799/G799,0)</x:f>
        <x:v>0</x:v>
      </x:c>
      <x:c r="K799"/>
      <x:c r="L799"/>
      <x:c r="M799"/>
      <x:c r="N799"/>
      <x:c r="O799"/>
    </x:row>
    <x:row r="800">
      <x:c r="A800" t="str">
        <x:v>Bihar</x:v>
      </x:c>
      <x:c r="B800" t="str">
        <x:v>Employees State Insurance Scheme</x:v>
      </x:c>
      <x:c r="C800" t="str">
        <x:v>200573</x:v>
      </x:c>
      <x:c r="D800" t="str">
        <x:v>Employees State Insurance Corporation Medical College, Patna, ESIC Medical College and Hospital, Arrah Danapur Road, Sikandarpur, Bihta, Patna- 801103</x:v>
      </x:c>
      <x:c r="E800" t="str">
        <x:v>ESI</x:v>
      </x:c>
      <x:c r="F800" t="str">
        <x:v>ST</x:v>
      </x:c>
      <x:c r="G800" t="n">
        <x:v>3</x:v>
      </x:c>
      <x:c r="H800" t="n">
        <x:v>3</x:v>
      </x:c>
      <x:c r="I800" t="n">
        <x:f>G800-H800</x:f>
        <x:v>0</x:v>
      </x:c>
      <x:c r="J800" s="20" t="n">
        <x:f>IFERROR(H800/G800,0)</x:f>
        <x:v>1</x:v>
      </x:c>
      <x:c r="K800" t="n">
        <x:v>250121</x:v>
      </x:c>
      <x:c r="L800" t="n">
        <x:v>263886.5</x:v>
      </x:c>
      <x:c r="M800" t="n">
        <x:v>277652</x:v>
      </x:c>
      <x:c r="N800" t="n">
        <x:v>297972</x:v>
      </x:c>
      <x:c r="O800" t="n">
        <x:v>318292</x:v>
      </x:c>
    </x:row>
    <x:row r="801">
      <x:c r="A801" t="str">
        <x:v>Rajasthan</x:v>
      </x:c>
      <x:c r="B801" t="str">
        <x:v>Employees State Insurance Scheme</x:v>
      </x:c>
      <x:c r="C801" t="str">
        <x:v>200575</x:v>
      </x:c>
      <x:c r="D801" t="str">
        <x:v>Employees State Insurance Corporation Medical College,Alwar, ESIC Medical College and Hospital Desula MIA Alwar Rajasthan India 301030</x:v>
      </x:c>
      <x:c r="E801" t="str">
        <x:v>All India</x:v>
      </x:c>
      <x:c r="F801" t="str">
        <x:v>EWS</x:v>
      </x:c>
      <x:c r="G801" t="n">
        <x:v>1</x:v>
      </x:c>
      <x:c r="H801" t="n">
        <x:v>1</x:v>
      </x:c>
      <x:c r="I801" t="n">
        <x:f>G801-H801</x:f>
        <x:v>0</x:v>
      </x:c>
      <x:c r="J801" s="20" t="n">
        <x:f>IFERROR(H801/G801,0)</x:f>
        <x:v>1</x:v>
      </x:c>
      <x:c r="K801" t="n">
        <x:v>7178</x:v>
      </x:c>
      <x:c r="L801" t="n">
        <x:v>7178</x:v>
      </x:c>
      <x:c r="M801" t="n">
        <x:v>7178</x:v>
      </x:c>
      <x:c r="N801" t="n">
        <x:v>7178</x:v>
      </x:c>
      <x:c r="O801" t="n">
        <x:v>7178</x:v>
      </x:c>
    </x:row>
    <x:row r="802">
      <x:c r="A802" t="str">
        <x:v>Rajasthan</x:v>
      </x:c>
      <x:c r="B802" t="str">
        <x:v>Employees State Insurance Scheme</x:v>
      </x:c>
      <x:c r="C802" t="str">
        <x:v>200575</x:v>
      </x:c>
      <x:c r="D802" t="str">
        <x:v>Employees State Insurance Corporation Medical College,Alwar, ESIC Medical College and Hospital Desula MIA Alwar Rajasthan India 301030</x:v>
      </x:c>
      <x:c r="E802" t="str">
        <x:v>All India</x:v>
      </x:c>
      <x:c r="F802" t="str">
        <x:v>OBC</x:v>
      </x:c>
      <x:c r="G802" t="n">
        <x:v>4</x:v>
      </x:c>
      <x:c r="H802" t="n">
        <x:v>4</x:v>
      </x:c>
      <x:c r="I802" t="n">
        <x:f>G802-H802</x:f>
        <x:v>0</x:v>
      </x:c>
      <x:c r="J802" s="20" t="n">
        <x:f>IFERROR(H802/G802,0)</x:f>
        <x:v>1</x:v>
      </x:c>
      <x:c r="K802" t="n">
        <x:v>6529</x:v>
      </x:c>
      <x:c r="L802" t="n">
        <x:v>6665.5</x:v>
      </x:c>
      <x:c r="M802" t="n">
        <x:v>6721</x:v>
      </x:c>
      <x:c r="N802" t="n">
        <x:v>6795</x:v>
      </x:c>
      <x:c r="O802" t="n">
        <x:v>6987</x:v>
      </x:c>
    </x:row>
    <x:row r="803">
      <x:c r="A803" t="str">
        <x:v>Rajasthan</x:v>
      </x:c>
      <x:c r="B803" t="str">
        <x:v>Employees State Insurance Scheme</x:v>
      </x:c>
      <x:c r="C803" t="str">
        <x:v>200575</x:v>
      </x:c>
      <x:c r="D803" t="str">
        <x:v>Employees State Insurance Corporation Medical College,Alwar, ESIC Medical College and Hospital Desula MIA Alwar Rajasthan India 301030</x:v>
      </x:c>
      <x:c r="E803" t="str">
        <x:v>All India</x:v>
      </x:c>
      <x:c r="F803" t="str">
        <x:v>Open</x:v>
      </x:c>
      <x:c r="G803" t="n">
        <x:v>6</x:v>
      </x:c>
      <x:c r="H803" t="n">
        <x:v>6</x:v>
      </x:c>
      <x:c r="I803" t="n">
        <x:f>G803-H803</x:f>
        <x:v>0</x:v>
      </x:c>
      <x:c r="J803" s="20" t="n">
        <x:f>IFERROR(H803/G803,0)</x:f>
        <x:v>1</x:v>
      </x:c>
      <x:c r="K803" t="n">
        <x:v>4541</x:v>
      </x:c>
      <x:c r="L803" t="n">
        <x:v>4807</x:v>
      </x:c>
      <x:c r="M803" t="n">
        <x:v>5336</x:v>
      </x:c>
      <x:c r="N803" t="n">
        <x:v>5432.25</x:v>
      </x:c>
      <x:c r="O803" t="n">
        <x:v>5500</x:v>
      </x:c>
    </x:row>
    <x:row r="804">
      <x:c r="A804" t="str">
        <x:v>Rajasthan</x:v>
      </x:c>
      <x:c r="B804" t="str">
        <x:v>Employees State Insurance Scheme</x:v>
      </x:c>
      <x:c r="C804" t="str">
        <x:v>200575</x:v>
      </x:c>
      <x:c r="D804" t="str">
        <x:v>Employees State Insurance Corporation Medical College,Alwar, ESIC Medical College and Hospital Desula MIA Alwar Rajasthan India 301030</x:v>
      </x:c>
      <x:c r="E804" t="str">
        <x:v>All India</x:v>
      </x:c>
      <x:c r="F804" t="str">
        <x:v>Open PwD</x:v>
      </x:c>
      <x:c r="G804" t="n">
        <x:v>1</x:v>
      </x:c>
      <x:c r="H804" t="n">
        <x:v>1</x:v>
      </x:c>
      <x:c r="I804" t="n">
        <x:f>G804-H804</x:f>
        <x:v>0</x:v>
      </x:c>
      <x:c r="J804" s="20" t="n">
        <x:f>IFERROR(H804/G804,0)</x:f>
        <x:v>1</x:v>
      </x:c>
      <x:c r="K804" t="n">
        <x:v>471792</x:v>
      </x:c>
      <x:c r="L804" t="n">
        <x:v>471792</x:v>
      </x:c>
      <x:c r="M804" t="n">
        <x:v>471792</x:v>
      </x:c>
      <x:c r="N804" t="n">
        <x:v>471792</x:v>
      </x:c>
      <x:c r="O804" t="n">
        <x:v>471792</x:v>
      </x:c>
    </x:row>
    <x:row r="805">
      <x:c r="A805" t="str">
        <x:v>Rajasthan</x:v>
      </x:c>
      <x:c r="B805" t="str">
        <x:v>Employees State Insurance Scheme</x:v>
      </x:c>
      <x:c r="C805" t="str">
        <x:v>200575</x:v>
      </x:c>
      <x:c r="D805" t="str">
        <x:v>Employees State Insurance Corporation Medical College,Alwar, ESIC Medical College and Hospital Desula MIA Alwar Rajasthan India 301030</x:v>
      </x:c>
      <x:c r="E805" t="str">
        <x:v>All India</x:v>
      </x:c>
      <x:c r="F805" t="str">
        <x:v>SC</x:v>
      </x:c>
      <x:c r="G805" t="n">
        <x:v>2</x:v>
      </x:c>
      <x:c r="H805" t="n">
        <x:v>2</x:v>
      </x:c>
      <x:c r="I805" t="n">
        <x:f>G805-H805</x:f>
        <x:v>0</x:v>
      </x:c>
      <x:c r="J805" s="20" t="n">
        <x:f>IFERROR(H805/G805,0)</x:f>
        <x:v>1</x:v>
      </x:c>
      <x:c r="K805" t="n">
        <x:v>41808</x:v>
      </x:c>
      <x:c r="L805" t="n">
        <x:v>42138.75</x:v>
      </x:c>
      <x:c r="M805" t="n">
        <x:v>42469.5</x:v>
      </x:c>
      <x:c r="N805" t="n">
        <x:v>42800.25</x:v>
      </x:c>
      <x:c r="O805" t="n">
        <x:v>43131</x:v>
      </x:c>
    </x:row>
    <x:row r="806">
      <x:c r="A806" t="str">
        <x:v>Rajasthan</x:v>
      </x:c>
      <x:c r="B806" t="str">
        <x:v>Employees State Insurance Scheme</x:v>
      </x:c>
      <x:c r="C806" t="str">
        <x:v>200575</x:v>
      </x:c>
      <x:c r="D806" t="str">
        <x:v>Employees State Insurance Corporation Medical College,Alwar, ESIC Medical College and Hospital Desula MIA Alwar Rajasthan India 301030</x:v>
      </x:c>
      <x:c r="E806" t="str">
        <x:v>All India</x:v>
      </x:c>
      <x:c r="F806" t="str">
        <x:v>ST</x:v>
      </x:c>
      <x:c r="G806" t="n">
        <x:v>1</x:v>
      </x:c>
      <x:c r="H806" t="n">
        <x:v>1</x:v>
      </x:c>
      <x:c r="I806" t="n">
        <x:f>G806-H806</x:f>
        <x:v>0</x:v>
      </x:c>
      <x:c r="J806" s="20" t="n">
        <x:f>IFERROR(H806/G806,0)</x:f>
        <x:v>1</x:v>
      </x:c>
      <x:c r="K806" t="n">
        <x:v>46613</x:v>
      </x:c>
      <x:c r="L806" t="n">
        <x:v>46613</x:v>
      </x:c>
      <x:c r="M806" t="n">
        <x:v>46613</x:v>
      </x:c>
      <x:c r="N806" t="n">
        <x:v>46613</x:v>
      </x:c>
      <x:c r="O806" t="n">
        <x:v>46613</x:v>
      </x:c>
    </x:row>
    <x:row r="807">
      <x:c r="A807" t="str">
        <x:v>Rajasthan</x:v>
      </x:c>
      <x:c r="B807" t="str">
        <x:v>Employees State Insurance Scheme</x:v>
      </x:c>
      <x:c r="C807" t="str">
        <x:v>200575</x:v>
      </x:c>
      <x:c r="D807" t="str">
        <x:v>Employees State Insurance Corporation Medical College,Alwar, ESIC Medical College and Hospital Desula MIA Alwar Rajasthan India 301030</x:v>
      </x:c>
      <x:c r="E807" t="str">
        <x:v>ESI</x:v>
      </x:c>
      <x:c r="F807" t="str">
        <x:v>EWS</x:v>
      </x:c>
      <x:c r="G807" t="n">
        <x:v>3</x:v>
      </x:c>
      <x:c r="H807" t="n">
        <x:v>3</x:v>
      </x:c>
      <x:c r="I807" t="n">
        <x:f>G807-H807</x:f>
        <x:v>0</x:v>
      </x:c>
      <x:c r="J807" s="20" t="n">
        <x:f>IFERROR(H807/G807,0)</x:f>
        <x:v>1</x:v>
      </x:c>
      <x:c r="K807" t="n">
        <x:v>17500</x:v>
      </x:c>
      <x:c r="L807" t="n">
        <x:v>17914.5</x:v>
      </x:c>
      <x:c r="M807" t="n">
        <x:v>18329</x:v>
      </x:c>
      <x:c r="N807" t="n">
        <x:v>18524</x:v>
      </x:c>
      <x:c r="O807" t="n">
        <x:v>18719</x:v>
      </x:c>
    </x:row>
    <x:row r="808">
      <x:c r="A808" t="str">
        <x:v>Rajasthan</x:v>
      </x:c>
      <x:c r="B808" t="str">
        <x:v>Employees State Insurance Scheme</x:v>
      </x:c>
      <x:c r="C808" t="str">
        <x:v>200575</x:v>
      </x:c>
      <x:c r="D808" t="str">
        <x:v>Employees State Insurance Corporation Medical College,Alwar, ESIC Medical College and Hospital Desula MIA Alwar Rajasthan India 301030</x:v>
      </x:c>
      <x:c r="E808" t="str">
        <x:v>ESI</x:v>
      </x:c>
      <x:c r="F808" t="str">
        <x:v>OBC</x:v>
      </x:c>
      <x:c r="G808" t="n">
        <x:v>9</x:v>
      </x:c>
      <x:c r="H808" t="n">
        <x:v>9</x:v>
      </x:c>
      <x:c r="I808" t="n">
        <x:f>G808-H808</x:f>
        <x:v>0</x:v>
      </x:c>
      <x:c r="J808" s="20" t="n">
        <x:f>IFERROR(H808/G808,0)</x:f>
        <x:v>1</x:v>
      </x:c>
      <x:c r="K808" t="n">
        <x:v>15290</x:v>
      </x:c>
      <x:c r="L808" t="n">
        <x:v>15353</x:v>
      </x:c>
      <x:c r="M808" t="n">
        <x:v>15666</x:v>
      </x:c>
      <x:c r="N808" t="n">
        <x:v>16167</x:v>
      </x:c>
      <x:c r="O808" t="n">
        <x:v>16841</x:v>
      </x:c>
    </x:row>
    <x:row r="809">
      <x:c r="A809" t="str">
        <x:v>Rajasthan</x:v>
      </x:c>
      <x:c r="B809" t="str">
        <x:v>Employees State Insurance Scheme</x:v>
      </x:c>
      <x:c r="C809" t="str">
        <x:v>200575</x:v>
      </x:c>
      <x:c r="D809" t="str">
        <x:v>Employees State Insurance Corporation Medical College,Alwar, ESIC Medical College and Hospital Desula MIA Alwar Rajasthan India 301030</x:v>
      </x:c>
      <x:c r="E809" t="str">
        <x:v>ESI</x:v>
      </x:c>
      <x:c r="F809" t="str">
        <x:v>Open</x:v>
      </x:c>
      <x:c r="G809" t="n">
        <x:v>13</x:v>
      </x:c>
      <x:c r="H809" t="n">
        <x:v>13</x:v>
      </x:c>
      <x:c r="I809" t="n">
        <x:f>G809-H809</x:f>
        <x:v>0</x:v>
      </x:c>
      <x:c r="J809" s="20" t="n">
        <x:f>IFERROR(H809/G809,0)</x:f>
        <x:v>1</x:v>
      </x:c>
      <x:c r="K809" t="n">
        <x:v>7363</x:v>
      </x:c>
      <x:c r="L809" t="n">
        <x:v>10547</x:v>
      </x:c>
      <x:c r="M809" t="n">
        <x:v>12660</x:v>
      </x:c>
      <x:c r="N809" t="n">
        <x:v>13169</x:v>
      </x:c>
      <x:c r="O809" t="n">
        <x:v>14662</x:v>
      </x:c>
    </x:row>
    <x:row r="810">
      <x:c r="A810" t="str">
        <x:v>Rajasthan</x:v>
      </x:c>
      <x:c r="B810" t="str">
        <x:v>Employees State Insurance Scheme</x:v>
      </x:c>
      <x:c r="C810" t="str">
        <x:v>200575</x:v>
      </x:c>
      <x:c r="D810" t="str">
        <x:v>Employees State Insurance Corporation Medical College,Alwar, ESIC Medical College and Hospital Desula MIA Alwar Rajasthan India 301030</x:v>
      </x:c>
      <x:c r="E810" t="str">
        <x:v>ESI</x:v>
      </x:c>
      <x:c r="F810" t="str">
        <x:v>Open PwD</x:v>
      </x:c>
      <x:c r="G810" t="n">
        <x:v>1</x:v>
      </x:c>
      <x:c r="H810" t="n">
        <x:v>0</x:v>
      </x:c>
      <x:c r="I810" t="n">
        <x:f>G810-H810</x:f>
        <x:v>1</x:v>
      </x:c>
      <x:c r="J810" s="20" t="n">
        <x:f>IFERROR(H810/G810,0)</x:f>
        <x:v>0</x:v>
      </x:c>
      <x:c r="K810"/>
      <x:c r="L810"/>
      <x:c r="M810"/>
      <x:c r="N810"/>
      <x:c r="O810"/>
    </x:row>
    <x:row r="811">
      <x:c r="A811" t="str">
        <x:v>Rajasthan</x:v>
      </x:c>
      <x:c r="B811" t="str">
        <x:v>Employees State Insurance Scheme</x:v>
      </x:c>
      <x:c r="C811" t="str">
        <x:v>200575</x:v>
      </x:c>
      <x:c r="D811" t="str">
        <x:v>Employees State Insurance Corporation Medical College,Alwar, ESIC Medical College and Hospital Desula MIA Alwar Rajasthan India 301030</x:v>
      </x:c>
      <x:c r="E811" t="str">
        <x:v>ESI</x:v>
      </x:c>
      <x:c r="F811" t="str">
        <x:v>SC</x:v>
      </x:c>
      <x:c r="G811" t="n">
        <x:v>6</x:v>
      </x:c>
      <x:c r="H811" t="n">
        <x:v>6</x:v>
      </x:c>
      <x:c r="I811" t="n">
        <x:f>G811-H811</x:f>
        <x:v>0</x:v>
      </x:c>
      <x:c r="J811" s="20" t="n">
        <x:f>IFERROR(H811/G811,0)</x:f>
        <x:v>1</x:v>
      </x:c>
      <x:c r="K811" t="n">
        <x:v>77794</x:v>
      </x:c>
      <x:c r="L811" t="n">
        <x:v>109075.25</x:v>
      </x:c>
      <x:c r="M811" t="n">
        <x:v>114247.5</x:v>
      </x:c>
      <x:c r="N811" t="n">
        <x:v>118276.75</x:v>
      </x:c>
      <x:c r="O811" t="n">
        <x:v>122568</x:v>
      </x:c>
    </x:row>
    <x:row r="812">
      <x:c r="A812" t="str">
        <x:v>Rajasthan</x:v>
      </x:c>
      <x:c r="B812" t="str">
        <x:v>Employees State Insurance Scheme</x:v>
      </x:c>
      <x:c r="C812" t="str">
        <x:v>200575</x:v>
      </x:c>
      <x:c r="D812" t="str">
        <x:v>Employees State Insurance Corporation Medical College,Alwar, ESIC Medical College and Hospital Desula MIA Alwar Rajasthan India 301030</x:v>
      </x:c>
      <x:c r="E812" t="str">
        <x:v>ESI</x:v>
      </x:c>
      <x:c r="F812" t="str">
        <x:v>ST</x:v>
      </x:c>
      <x:c r="G812" t="n">
        <x:v>3</x:v>
      </x:c>
      <x:c r="H812" t="n">
        <x:v>3</x:v>
      </x:c>
      <x:c r="I812" t="n">
        <x:f>G812-H812</x:f>
        <x:v>0</x:v>
      </x:c>
      <x:c r="J812" s="20" t="n">
        <x:f>IFERROR(H812/G812,0)</x:f>
        <x:v>1</x:v>
      </x:c>
      <x:c r="K812" t="n">
        <x:v>91862</x:v>
      </x:c>
      <x:c r="L812" t="n">
        <x:v>118932</x:v>
      </x:c>
      <x:c r="M812" t="n">
        <x:v>146002</x:v>
      </x:c>
      <x:c r="N812" t="n">
        <x:v>151411.5</x:v>
      </x:c>
      <x:c r="O812" t="n">
        <x:v>156821</x:v>
      </x:c>
    </x:row>
    <x:row r="813">
      <x:c r="A813" t="str">
        <x:v>Tamil Nadu</x:v>
      </x:c>
      <x:c r="B813" t="str">
        <x:v>Deemed University</x:v>
      </x:c>
      <x:c r="C813" t="str">
        <x:v>200540</x:v>
      </x:c>
      <x:c r="D813" t="str">
        <x:v>Faculty of Medicine , Sri Lalithambigai Medical College and Hospital, Faculty of Medicine - Sri Lalithambigai Medical College and Hospital, 1, Periyar EVR High Road, Ada</x:v>
      </x:c>
      <x:c r="E813" t="str">
        <x:v>NRI</x:v>
      </x:c>
      <x:c r="F813" t="str">
        <x:v>Open</x:v>
      </x:c>
      <x:c r="G813" t="n">
        <x:v>38</x:v>
      </x:c>
      <x:c r="H813" t="n">
        <x:v>1</x:v>
      </x:c>
      <x:c r="I813" t="n">
        <x:f>G813-H813</x:f>
        <x:v>37</x:v>
      </x:c>
      <x:c r="J813" s="20" t="n">
        <x:f>IFERROR(H813/G813,0)</x:f>
        <x:v>0.02631578947368421</x:v>
      </x:c>
      <x:c r="K813" t="n">
        <x:v>957789</x:v>
      </x:c>
      <x:c r="L813" t="n">
        <x:v>957789</x:v>
      </x:c>
      <x:c r="M813" t="n">
        <x:v>957789</x:v>
      </x:c>
      <x:c r="N813" t="n">
        <x:v>957789</x:v>
      </x:c>
      <x:c r="O813" t="n">
        <x:v>957789</x:v>
      </x:c>
    </x:row>
    <x:row r="814">
      <x:c r="A814" t="str">
        <x:v>Tamil Nadu</x:v>
      </x:c>
      <x:c r="B814" t="str">
        <x:v>Deemed University</x:v>
      </x:c>
      <x:c r="C814" t="str">
        <x:v>200540</x:v>
      </x:c>
      <x:c r="D814" t="str">
        <x:v>Faculty of Medicine , Sri Lalithambigai Medical College and Hospital, Faculty of Medicine - Sri Lalithambigai Medical College and Hospital, 1, Periyar EVR High Road, Ada</x:v>
      </x:c>
      <x:c r="E814" t="str">
        <x:v>Self-Financed Merit</x:v>
      </x:c>
      <x:c r="F814" t="str">
        <x:v>Open</x:v>
      </x:c>
      <x:c r="G814" t="n">
        <x:v>212</x:v>
      </x:c>
      <x:c r="H814" t="n">
        <x:v>212</x:v>
      </x:c>
      <x:c r="I814" t="n">
        <x:f>G814-H814</x:f>
        <x:v>0</x:v>
      </x:c>
      <x:c r="J814" s="20" t="n">
        <x:f>IFERROR(H814/G814,0)</x:f>
        <x:v>1</x:v>
      </x:c>
      <x:c r="K814" t="n">
        <x:v>110593</x:v>
      </x:c>
      <x:c r="L814" t="n">
        <x:v>344737.75</x:v>
      </x:c>
      <x:c r="M814" t="n">
        <x:v>446856.5</x:v>
      </x:c>
      <x:c r="N814" t="n">
        <x:v>548732</x:v>
      </x:c>
      <x:c r="O814" t="n">
        <x:v>622017</x:v>
      </x:c>
    </x:row>
    <x:row r="815">
      <x:c r="A815" t="str">
        <x:v>Assam</x:v>
      </x:c>
      <x:c r="B815" t="str">
        <x:v>All India except Central University</x:v>
      </x:c>
      <x:c r="C815" t="str">
        <x:v>200103</x:v>
      </x:c>
      <x:c r="D815" t="str">
        <x:v>Fakhruddin Ali Ahmed Medical College, Barpeta, Assam, Jania Road, Jotigaon, Barpeta, Assam</x:v>
      </x:c>
      <x:c r="E815" t="str">
        <x:v>All India</x:v>
      </x:c>
      <x:c r="F815" t="str">
        <x:v>EWS</x:v>
      </x:c>
      <x:c r="G815" t="n">
        <x:v>2</x:v>
      </x:c>
      <x:c r="H815" t="n">
        <x:v>2</x:v>
      </x:c>
      <x:c r="I815" t="n">
        <x:f>G815-H815</x:f>
        <x:v>0</x:v>
      </x:c>
      <x:c r="J815" s="20" t="n">
        <x:f>IFERROR(H815/G815,0)</x:f>
        <x:v>1</x:v>
      </x:c>
      <x:c r="K815" t="n">
        <x:v>19448</x:v>
      </x:c>
      <x:c r="L815" t="n">
        <x:v>20090.75</x:v>
      </x:c>
      <x:c r="M815" t="n">
        <x:v>20733.5</x:v>
      </x:c>
      <x:c r="N815" t="n">
        <x:v>21376.25</x:v>
      </x:c>
      <x:c r="O815" t="n">
        <x:v>22019</x:v>
      </x:c>
    </x:row>
    <x:row r="816">
      <x:c r="A816" t="str">
        <x:v>Assam</x:v>
      </x:c>
      <x:c r="B816" t="str">
        <x:v>All India except Central University</x:v>
      </x:c>
      <x:c r="C816" t="str">
        <x:v>200103</x:v>
      </x:c>
      <x:c r="D816" t="str">
        <x:v>Fakhruddin Ali Ahmed Medical College, Barpeta, Assam, Jania Road, Jotigaon, Barpeta, Assam</x:v>
      </x:c>
      <x:c r="E816" t="str">
        <x:v>All India</x:v>
      </x:c>
      <x:c r="F816" t="str">
        <x:v>OBC</x:v>
      </x:c>
      <x:c r="G816" t="n">
        <x:v>5</x:v>
      </x:c>
      <x:c r="H816" t="n">
        <x:v>5</x:v>
      </x:c>
      <x:c r="I816" t="n">
        <x:f>G816-H816</x:f>
        <x:v>0</x:v>
      </x:c>
      <x:c r="J816" s="20" t="n">
        <x:f>IFERROR(H816/G816,0)</x:f>
        <x:v>1</x:v>
      </x:c>
      <x:c r="K816" t="n">
        <x:v>20022</x:v>
      </x:c>
      <x:c r="L816" t="n">
        <x:v>20357</x:v>
      </x:c>
      <x:c r="M816" t="n">
        <x:v>20680</x:v>
      </x:c>
      <x:c r="N816" t="n">
        <x:v>21328</x:v>
      </x:c>
      <x:c r="O816" t="n">
        <x:v>21443</x:v>
      </x:c>
    </x:row>
    <x:row r="817">
      <x:c r="A817" t="str">
        <x:v>Assam</x:v>
      </x:c>
      <x:c r="B817" t="str">
        <x:v>All India except Central University</x:v>
      </x:c>
      <x:c r="C817" t="str">
        <x:v>200103</x:v>
      </x:c>
      <x:c r="D817" t="str">
        <x:v>Fakhruddin Ali Ahmed Medical College, Barpeta, Assam, Jania Road, Jotigaon, Barpeta, Assam</x:v>
      </x:c>
      <x:c r="E817" t="str">
        <x:v>All India</x:v>
      </x:c>
      <x:c r="F817" t="str">
        <x:v>Open</x:v>
      </x:c>
      <x:c r="G817" t="n">
        <x:v>7</x:v>
      </x:c>
      <x:c r="H817" t="n">
        <x:v>7</x:v>
      </x:c>
      <x:c r="I817" t="n">
        <x:f>G817-H817</x:f>
        <x:v>0</x:v>
      </x:c>
      <x:c r="J817" s="20" t="n">
        <x:f>IFERROR(H817/G817,0)</x:f>
        <x:v>1</x:v>
      </x:c>
      <x:c r="K817" t="n">
        <x:v>10993</x:v>
      </x:c>
      <x:c r="L817" t="n">
        <x:v>18234.5</x:v>
      </x:c>
      <x:c r="M817" t="n">
        <x:v>19202</x:v>
      </x:c>
      <x:c r="N817" t="n">
        <x:v>19288</x:v>
      </x:c>
      <x:c r="O817" t="n">
        <x:v>19442</x:v>
      </x:c>
    </x:row>
    <x:row r="818">
      <x:c r="A818" t="str">
        <x:v>Assam</x:v>
      </x:c>
      <x:c r="B818" t="str">
        <x:v>All India except Central University</x:v>
      </x:c>
      <x:c r="C818" t="str">
        <x:v>200103</x:v>
      </x:c>
      <x:c r="D818" t="str">
        <x:v>Fakhruddin Ali Ahmed Medical College, Barpeta, Assam, Jania Road, Jotigaon, Barpeta, Assam</x:v>
      </x:c>
      <x:c r="E818" t="str">
        <x:v>All India</x:v>
      </x:c>
      <x:c r="F818" t="str">
        <x:v>Open PwD</x:v>
      </x:c>
      <x:c r="G818" t="n">
        <x:v>1</x:v>
      </x:c>
      <x:c r="H818" t="n">
        <x:v>1</x:v>
      </x:c>
      <x:c r="I818" t="n">
        <x:f>G818-H818</x:f>
        <x:v>0</x:v>
      </x:c>
      <x:c r="J818" s="20" t="n">
        <x:f>IFERROR(H818/G818,0)</x:f>
        <x:v>1</x:v>
      </x:c>
      <x:c r="K818" t="n">
        <x:v>349065</x:v>
      </x:c>
      <x:c r="L818" t="n">
        <x:v>349065</x:v>
      </x:c>
      <x:c r="M818" t="n">
        <x:v>349065</x:v>
      </x:c>
      <x:c r="N818" t="n">
        <x:v>349065</x:v>
      </x:c>
      <x:c r="O818" t="n">
        <x:v>349065</x:v>
      </x:c>
    </x:row>
    <x:row r="819">
      <x:c r="A819" t="str">
        <x:v>Assam</x:v>
      </x:c>
      <x:c r="B819" t="str">
        <x:v>All India except Central University</x:v>
      </x:c>
      <x:c r="C819" t="str">
        <x:v>200103</x:v>
      </x:c>
      <x:c r="D819" t="str">
        <x:v>Fakhruddin Ali Ahmed Medical College, Barpeta, Assam, Jania Road, Jotigaon, Barpeta, Assam</x:v>
      </x:c>
      <x:c r="E819" t="str">
        <x:v>All India</x:v>
      </x:c>
      <x:c r="F819" t="str">
        <x:v>SC</x:v>
      </x:c>
      <x:c r="G819" t="n">
        <x:v>3</x:v>
      </x:c>
      <x:c r="H819" t="n">
        <x:v>3</x:v>
      </x:c>
      <x:c r="I819" t="n">
        <x:f>G819-H819</x:f>
        <x:v>0</x:v>
      </x:c>
      <x:c r="J819" s="20" t="n">
        <x:f>IFERROR(H819/G819,0)</x:f>
        <x:v>1</x:v>
      </x:c>
      <x:c r="K819" t="n">
        <x:v>94877</x:v>
      </x:c>
      <x:c r="L819" t="n">
        <x:v>96977</x:v>
      </x:c>
      <x:c r="M819" t="n">
        <x:v>99077</x:v>
      </x:c>
      <x:c r="N819" t="n">
        <x:v>99818</x:v>
      </x:c>
      <x:c r="O819" t="n">
        <x:v>100559</x:v>
      </x:c>
    </x:row>
    <x:row r="820">
      <x:c r="A820" t="str">
        <x:v>Assam</x:v>
      </x:c>
      <x:c r="B820" t="str">
        <x:v>All India except Central University</x:v>
      </x:c>
      <x:c r="C820" t="str">
        <x:v>200103</x:v>
      </x:c>
      <x:c r="D820" t="str">
        <x:v>Fakhruddin Ali Ahmed Medical College, Barpeta, Assam, Jania Road, Jotigaon, Barpeta, Assam</x:v>
      </x:c>
      <x:c r="E820" t="str">
        <x:v>All India</x:v>
      </x:c>
      <x:c r="F820" t="str">
        <x:v>ST</x:v>
      </x:c>
      <x:c r="G820" t="n">
        <x:v>1</x:v>
      </x:c>
      <x:c r="H820" t="n">
        <x:v>1</x:v>
      </x:c>
      <x:c r="I820" t="n">
        <x:f>G820-H820</x:f>
        <x:v>0</x:v>
      </x:c>
      <x:c r="J820" s="20" t="n">
        <x:f>IFERROR(H820/G820,0)</x:f>
        <x:v>1</x:v>
      </x:c>
      <x:c r="K820" t="n">
        <x:v>102050</x:v>
      </x:c>
      <x:c r="L820" t="n">
        <x:v>102050</x:v>
      </x:c>
      <x:c r="M820" t="n">
        <x:v>102050</x:v>
      </x:c>
      <x:c r="N820" t="n">
        <x:v>102050</x:v>
      </x:c>
      <x:c r="O820" t="n">
        <x:v>102050</x:v>
      </x:c>
    </x:row>
    <x:row r="821">
      <x:c r="A821" t="str">
        <x:v>Andhra Pradesh</x:v>
      </x:c>
      <x:c r="B821" t="str">
        <x:v>Deemed University</x:v>
      </x:c>
      <x:c r="C821" t="str">
        <x:v>200324</x:v>
      </x:c>
      <x:c r="D821" t="str">
        <x:v>GITAM Institute of Medical Sciences and Research, Visakhapatnam, Gandhi Institute of Technology and Management (GITAM), Rushikonda, Visakhapatnam</x:v>
      </x:c>
      <x:c r="E821" t="str">
        <x:v>NRI</x:v>
      </x:c>
      <x:c r="F821" t="str">
        <x:v>Open</x:v>
      </x:c>
      <x:c r="G821" t="n">
        <x:v>23</x:v>
      </x:c>
      <x:c r="H821" t="n">
        <x:v>0</x:v>
      </x:c>
      <x:c r="I821" t="n">
        <x:f>G821-H821</x:f>
        <x:v>23</x:v>
      </x:c>
      <x:c r="J821" s="20" t="n">
        <x:f>IFERROR(H821/G821,0)</x:f>
        <x:v>0</x:v>
      </x:c>
      <x:c r="K821"/>
      <x:c r="L821"/>
      <x:c r="M821"/>
      <x:c r="N821"/>
      <x:c r="O821"/>
    </x:row>
    <x:row r="822">
      <x:c r="A822" t="str">
        <x:v>Andhra Pradesh</x:v>
      </x:c>
      <x:c r="B822" t="str">
        <x:v>Deemed University</x:v>
      </x:c>
      <x:c r="C822" t="str">
        <x:v>200324</x:v>
      </x:c>
      <x:c r="D822" t="str">
        <x:v>GITAM Institute of Medical Sciences and Research, Visakhapatnam, Gandhi Institute of Technology and Management (GITAM), Rushikonda, Visakhapatnam</x:v>
      </x:c>
      <x:c r="E822" t="str">
        <x:v>Self-Financed Merit</x:v>
      </x:c>
      <x:c r="F822" t="str">
        <x:v>Open</x:v>
      </x:c>
      <x:c r="G822" t="n">
        <x:v>127</x:v>
      </x:c>
      <x:c r="H822" t="n">
        <x:v>127</x:v>
      </x:c>
      <x:c r="I822" t="n">
        <x:f>G822-H822</x:f>
        <x:v>0</x:v>
      </x:c>
      <x:c r="J822" s="20" t="n">
        <x:f>IFERROR(H822/G822,0)</x:f>
        <x:v>1</x:v>
      </x:c>
      <x:c r="K822" t="n">
        <x:v>44430</x:v>
      </x:c>
      <x:c r="L822" t="n">
        <x:v>410542</x:v>
      </x:c>
      <x:c r="M822" t="n">
        <x:v>501240</x:v>
      </x:c>
      <x:c r="N822" t="n">
        <x:v>557655</x:v>
      </x:c>
      <x:c r="O822" t="n">
        <x:v>604120</x:v>
      </x:c>
    </x:row>
    <x:row r="823">
      <x:c r="A823" t="str">
        <x:v>Gujarat</x:v>
      </x:c>
      <x:c r="B823" t="str">
        <x:v>All India except Central University</x:v>
      </x:c>
      <x:c r="C823" t="str">
        <x:v>200633</x:v>
      </x:c>
      <x:c r="D823" t="str">
        <x:v>GMERS Medical College, Navsari, GMERS Medical College, At- Khambhlav, Po- Sultanpur, Via- Abrama, Ta - Jalalpore, Dist - Navsari</x:v>
      </x:c>
      <x:c r="E823" t="str">
        <x:v>All India</x:v>
      </x:c>
      <x:c r="F823" t="str">
        <x:v>EWS</x:v>
      </x:c>
      <x:c r="G823" t="n">
        <x:v>1</x:v>
      </x:c>
      <x:c r="H823" t="n">
        <x:v>1</x:v>
      </x:c>
      <x:c r="I823" t="n">
        <x:f>G823-H823</x:f>
        <x:v>0</x:v>
      </x:c>
      <x:c r="J823" s="20" t="n">
        <x:f>IFERROR(H823/G823,0)</x:f>
        <x:v>1</x:v>
      </x:c>
      <x:c r="K823" t="n">
        <x:v>18540</x:v>
      </x:c>
      <x:c r="L823" t="n">
        <x:v>18540</x:v>
      </x:c>
      <x:c r="M823" t="n">
        <x:v>18540</x:v>
      </x:c>
      <x:c r="N823" t="n">
        <x:v>18540</x:v>
      </x:c>
      <x:c r="O823" t="n">
        <x:v>18540</x:v>
      </x:c>
    </x:row>
    <x:row r="824">
      <x:c r="A824" t="str">
        <x:v>Gujarat</x:v>
      </x:c>
      <x:c r="B824" t="str">
        <x:v>All India except Central University</x:v>
      </x:c>
      <x:c r="C824" t="str">
        <x:v>200633</x:v>
      </x:c>
      <x:c r="D824" t="str">
        <x:v>GMERS Medical College, Navsari, GMERS Medical College, At- Khambhlav, Po- Sultanpur, Via- Abrama, Ta - Jalalpore, Dist - Navsari</x:v>
      </x:c>
      <x:c r="E824" t="str">
        <x:v>All India</x:v>
      </x:c>
      <x:c r="F824" t="str">
        <x:v>OBC</x:v>
      </x:c>
      <x:c r="G824" t="n">
        <x:v>4</x:v>
      </x:c>
      <x:c r="H824" t="n">
        <x:v>4</x:v>
      </x:c>
      <x:c r="I824" t="n">
        <x:f>G824-H824</x:f>
        <x:v>0</x:v>
      </x:c>
      <x:c r="J824" s="20" t="n">
        <x:f>IFERROR(H824/G824,0)</x:f>
        <x:v>1</x:v>
      </x:c>
      <x:c r="K824" t="n">
        <x:v>16287</x:v>
      </x:c>
      <x:c r="L824" t="n">
        <x:v>16641</x:v>
      </x:c>
      <x:c r="M824" t="n">
        <x:v>17608.5</x:v>
      </x:c>
      <x:c r="N824" t="n">
        <x:v>18481.75</x:v>
      </x:c>
      <x:c r="O824" t="n">
        <x:v>18553</x:v>
      </x:c>
    </x:row>
    <x:row r="825">
      <x:c r="A825" t="str">
        <x:v>Gujarat</x:v>
      </x:c>
      <x:c r="B825" t="str">
        <x:v>All India except Central University</x:v>
      </x:c>
      <x:c r="C825" t="str">
        <x:v>200633</x:v>
      </x:c>
      <x:c r="D825" t="str">
        <x:v>GMERS Medical College, Navsari, GMERS Medical College, At- Khambhlav, Po- Sultanpur, Via- Abrama, Ta - Jalalpore, Dist - Navsari</x:v>
      </x:c>
      <x:c r="E825" t="str">
        <x:v>All India</x:v>
      </x:c>
      <x:c r="F825" t="str">
        <x:v>Open</x:v>
      </x:c>
      <x:c r="G825" t="n">
        <x:v>7</x:v>
      </x:c>
      <x:c r="H825" t="n">
        <x:v>7</x:v>
      </x:c>
      <x:c r="I825" t="n">
        <x:f>G825-H825</x:f>
        <x:v>0</x:v>
      </x:c>
      <x:c r="J825" s="20" t="n">
        <x:f>IFERROR(H825/G825,0)</x:f>
        <x:v>1</x:v>
      </x:c>
      <x:c r="K825" t="n">
        <x:v>9418</x:v>
      </x:c>
      <x:c r="L825" t="n">
        <x:v>10182</x:v>
      </x:c>
      <x:c r="M825" t="n">
        <x:v>13725</x:v>
      </x:c>
      <x:c r="N825" t="n">
        <x:v>14996.5</x:v>
      </x:c>
      <x:c r="O825" t="n">
        <x:v>15485</x:v>
      </x:c>
    </x:row>
    <x:row r="826">
      <x:c r="A826" t="str">
        <x:v>Gujarat</x:v>
      </x:c>
      <x:c r="B826" t="str">
        <x:v>All India except Central University</x:v>
      </x:c>
      <x:c r="C826" t="str">
        <x:v>200633</x:v>
      </x:c>
      <x:c r="D826" t="str">
        <x:v>GMERS Medical College, Navsari, GMERS Medical College, At- Khambhlav, Po- Sultanpur, Via- Abrama, Ta - Jalalpore, Dist - Navsari</x:v>
      </x:c>
      <x:c r="E826" t="str">
        <x:v>All India</x:v>
      </x:c>
      <x:c r="F826" t="str">
        <x:v>SC</x:v>
      </x:c>
      <x:c r="G826" t="n">
        <x:v>1</x:v>
      </x:c>
      <x:c r="H826" t="n">
        <x:v>1</x:v>
      </x:c>
      <x:c r="I826" t="n">
        <x:f>G826-H826</x:f>
        <x:v>0</x:v>
      </x:c>
      <x:c r="J826" s="20" t="n">
        <x:f>IFERROR(H826/G826,0)</x:f>
        <x:v>1</x:v>
      </x:c>
      <x:c r="K826" t="n">
        <x:v>56555</x:v>
      </x:c>
      <x:c r="L826" t="n">
        <x:v>56555</x:v>
      </x:c>
      <x:c r="M826" t="n">
        <x:v>56555</x:v>
      </x:c>
      <x:c r="N826" t="n">
        <x:v>56555</x:v>
      </x:c>
      <x:c r="O826" t="n">
        <x:v>56555</x:v>
      </x:c>
    </x:row>
    <x:row r="827">
      <x:c r="A827" t="str">
        <x:v>Gujarat</x:v>
      </x:c>
      <x:c r="B827" t="str">
        <x:v>All India except Central University</x:v>
      </x:c>
      <x:c r="C827" t="str">
        <x:v>200633</x:v>
      </x:c>
      <x:c r="D827" t="str">
        <x:v>GMERS Medical College, Navsari, GMERS Medical College, At- Khambhlav, Po- Sultanpur, Via- Abrama, Ta - Jalalpore, Dist - Navsari</x:v>
      </x:c>
      <x:c r="E827" t="str">
        <x:v>All India</x:v>
      </x:c>
      <x:c r="F827" t="str">
        <x:v>SC PwD</x:v>
      </x:c>
      <x:c r="G827" t="n">
        <x:v>1</x:v>
      </x:c>
      <x:c r="H827" t="n">
        <x:v>0</x:v>
      </x:c>
      <x:c r="I827" t="n">
        <x:f>G827-H827</x:f>
        <x:v>1</x:v>
      </x:c>
      <x:c r="J827" s="20" t="n">
        <x:f>IFERROR(H827/G827,0)</x:f>
        <x:v>0</x:v>
      </x:c>
      <x:c r="K827"/>
      <x:c r="L827"/>
      <x:c r="M827"/>
      <x:c r="N827"/>
      <x:c r="O827"/>
    </x:row>
    <x:row r="828">
      <x:c r="A828" t="str">
        <x:v>Gujarat</x:v>
      </x:c>
      <x:c r="B828" t="str">
        <x:v>All India except Central University</x:v>
      </x:c>
      <x:c r="C828" t="str">
        <x:v>200633</x:v>
      </x:c>
      <x:c r="D828" t="str">
        <x:v>GMERS Medical College, Navsari, GMERS Medical College, At- Khambhlav, Po- Sultanpur, Via- Abrama, Ta - Jalalpore, Dist - Navsari</x:v>
      </x:c>
      <x:c r="E828" t="str">
        <x:v>All India</x:v>
      </x:c>
      <x:c r="F828" t="str">
        <x:v>ST PwD</x:v>
      </x:c>
      <x:c r="G828" t="n">
        <x:v>1</x:v>
      </x:c>
      <x:c r="H828" t="n">
        <x:v>0</x:v>
      </x:c>
      <x:c r="I828" t="n">
        <x:f>G828-H828</x:f>
        <x:v>1</x:v>
      </x:c>
      <x:c r="J828" s="20" t="n">
        <x:f>IFERROR(H828/G828,0)</x:f>
        <x:v>0</x:v>
      </x:c>
      <x:c r="K828"/>
      <x:c r="L828"/>
      <x:c r="M828"/>
      <x:c r="N828"/>
      <x:c r="O828"/>
    </x:row>
    <x:row r="829">
      <x:c r="A829" t="str">
        <x:v>Gujarat</x:v>
      </x:c>
      <x:c r="B829" t="str">
        <x:v>All India except Central University</x:v>
      </x:c>
      <x:c r="C829" t="str">
        <x:v>200632</x:v>
      </x:c>
      <x:c r="D829" t="str">
        <x:v>GMERS Medical College, Rajpipla, GMERS Medical College, Rajpipla Near Jakat Naka, Vadia Palace, Rajpipla Dist Narmada, GUJARAT.</x:v>
      </x:c>
      <x:c r="E829" t="str">
        <x:v>All India</x:v>
      </x:c>
      <x:c r="F829" t="str">
        <x:v>EWS</x:v>
      </x:c>
      <x:c r="G829" t="n">
        <x:v>1</x:v>
      </x:c>
      <x:c r="H829" t="n">
        <x:v>1</x:v>
      </x:c>
      <x:c r="I829" t="n">
        <x:f>G829-H829</x:f>
        <x:v>0</x:v>
      </x:c>
      <x:c r="J829" s="20" t="n">
        <x:f>IFERROR(H829/G829,0)</x:f>
        <x:v>1</x:v>
      </x:c>
      <x:c r="K829" t="n">
        <x:v>22147</x:v>
      </x:c>
      <x:c r="L829" t="n">
        <x:v>22147</x:v>
      </x:c>
      <x:c r="M829" t="n">
        <x:v>22147</x:v>
      </x:c>
      <x:c r="N829" t="n">
        <x:v>22147</x:v>
      </x:c>
      <x:c r="O829" t="n">
        <x:v>22147</x:v>
      </x:c>
    </x:row>
    <x:row r="830">
      <x:c r="A830" t="str">
        <x:v>Gujarat</x:v>
      </x:c>
      <x:c r="B830" t="str">
        <x:v>All India except Central University</x:v>
      </x:c>
      <x:c r="C830" t="str">
        <x:v>200632</x:v>
      </x:c>
      <x:c r="D830" t="str">
        <x:v>GMERS Medical College, Rajpipla, GMERS Medical College, Rajpipla Near Jakat Naka, Vadia Palace, Rajpipla Dist Narmada, GUJARAT.</x:v>
      </x:c>
      <x:c r="E830" t="str">
        <x:v>All India</x:v>
      </x:c>
      <x:c r="F830" t="str">
        <x:v>OBC</x:v>
      </x:c>
      <x:c r="G830" t="n">
        <x:v>3</x:v>
      </x:c>
      <x:c r="H830" t="n">
        <x:v>3</x:v>
      </x:c>
      <x:c r="I830" t="n">
        <x:f>G830-H830</x:f>
        <x:v>0</x:v>
      </x:c>
      <x:c r="J830" s="20" t="n">
        <x:f>IFERROR(H830/G830,0)</x:f>
        <x:v>1</x:v>
      </x:c>
      <x:c r="K830" t="n">
        <x:v>18844</x:v>
      </x:c>
      <x:c r="L830" t="n">
        <x:v>18948</x:v>
      </x:c>
      <x:c r="M830" t="n">
        <x:v>19052</x:v>
      </x:c>
      <x:c r="N830" t="n">
        <x:v>19124</x:v>
      </x:c>
      <x:c r="O830" t="n">
        <x:v>19196</x:v>
      </x:c>
    </x:row>
    <x:row r="831">
      <x:c r="A831" t="str">
        <x:v>Gujarat</x:v>
      </x:c>
      <x:c r="B831" t="str">
        <x:v>All India except Central University</x:v>
      </x:c>
      <x:c r="C831" t="str">
        <x:v>200632</x:v>
      </x:c>
      <x:c r="D831" t="str">
        <x:v>GMERS Medical College, Rajpipla, GMERS Medical College, Rajpipla Near Jakat Naka, Vadia Palace, Rajpipla Dist Narmada, GUJARAT.</x:v>
      </x:c>
      <x:c r="E831" t="str">
        <x:v>All India</x:v>
      </x:c>
      <x:c r="F831" t="str">
        <x:v>OBC PwD</x:v>
      </x:c>
      <x:c r="G831" t="n">
        <x:v>1</x:v>
      </x:c>
      <x:c r="H831" t="n">
        <x:v>1</x:v>
      </x:c>
      <x:c r="I831" t="n">
        <x:f>G831-H831</x:f>
        <x:v>0</x:v>
      </x:c>
      <x:c r="J831" s="20" t="n">
        <x:f>IFERROR(H831/G831,0)</x:f>
        <x:v>1</x:v>
      </x:c>
      <x:c r="K831" t="n">
        <x:v>676695</x:v>
      </x:c>
      <x:c r="L831" t="n">
        <x:v>676695</x:v>
      </x:c>
      <x:c r="M831" t="n">
        <x:v>676695</x:v>
      </x:c>
      <x:c r="N831" t="n">
        <x:v>676695</x:v>
      </x:c>
      <x:c r="O831" t="n">
        <x:v>676695</x:v>
      </x:c>
    </x:row>
    <x:row r="832">
      <x:c r="A832" t="str">
        <x:v>Gujarat</x:v>
      </x:c>
      <x:c r="B832" t="str">
        <x:v>All India except Central University</x:v>
      </x:c>
      <x:c r="C832" t="str">
        <x:v>200632</x:v>
      </x:c>
      <x:c r="D832" t="str">
        <x:v>GMERS Medical College, Rajpipla, GMERS Medical College, Rajpipla Near Jakat Naka, Vadia Palace, Rajpipla Dist Narmada, GUJARAT.</x:v>
      </x:c>
      <x:c r="E832" t="str">
        <x:v>All India</x:v>
      </x:c>
      <x:c r="F832" t="str">
        <x:v>Open</x:v>
      </x:c>
      <x:c r="G832" t="n">
        <x:v>6</x:v>
      </x:c>
      <x:c r="H832" t="n">
        <x:v>6</x:v>
      </x:c>
      <x:c r="I832" t="n">
        <x:f>G832-H832</x:f>
        <x:v>0</x:v>
      </x:c>
      <x:c r="J832" s="20" t="n">
        <x:f>IFERROR(H832/G832,0)</x:f>
        <x:v>1</x:v>
      </x:c>
      <x:c r="K832" t="n">
        <x:v>16826</x:v>
      </x:c>
      <x:c r="L832" t="n">
        <x:v>17133</x:v>
      </x:c>
      <x:c r="M832" t="n">
        <x:v>17371</x:v>
      </x:c>
      <x:c r="N832" t="n">
        <x:v>17510.75</x:v>
      </x:c>
      <x:c r="O832" t="n">
        <x:v>17707</x:v>
      </x:c>
    </x:row>
    <x:row r="833">
      <x:c r="A833" t="str">
        <x:v>Gujarat</x:v>
      </x:c>
      <x:c r="B833" t="str">
        <x:v>All India except Central University</x:v>
      </x:c>
      <x:c r="C833" t="str">
        <x:v>200632</x:v>
      </x:c>
      <x:c r="D833" t="str">
        <x:v>GMERS Medical College, Rajpipla, GMERS Medical College, Rajpipla Near Jakat Naka, Vadia Palace, Rajpipla Dist Narmada, GUJARAT.</x:v>
      </x:c>
      <x:c r="E833" t="str">
        <x:v>All India</x:v>
      </x:c>
      <x:c r="F833" t="str">
        <x:v>SC</x:v>
      </x:c>
      <x:c r="G833" t="n">
        <x:v>3</x:v>
      </x:c>
      <x:c r="H833" t="n">
        <x:v>3</x:v>
      </x:c>
      <x:c r="I833" t="n">
        <x:f>G833-H833</x:f>
        <x:v>0</x:v>
      </x:c>
      <x:c r="J833" s="20" t="n">
        <x:f>IFERROR(H833/G833,0)</x:f>
        <x:v>1</x:v>
      </x:c>
      <x:c r="K833" t="n">
        <x:v>85699</x:v>
      </x:c>
      <x:c r="L833" t="n">
        <x:v>87396.5</x:v>
      </x:c>
      <x:c r="M833" t="n">
        <x:v>89094</x:v>
      </x:c>
      <x:c r="N833" t="n">
        <x:v>89841.5</x:v>
      </x:c>
      <x:c r="O833" t="n">
        <x:v>90589</x:v>
      </x:c>
    </x:row>
    <x:row r="834">
      <x:c r="A834" t="str">
        <x:v>Gujarat</x:v>
      </x:c>
      <x:c r="B834" t="str">
        <x:v>All India except Central University</x:v>
      </x:c>
      <x:c r="C834" t="str">
        <x:v>200632</x:v>
      </x:c>
      <x:c r="D834" t="str">
        <x:v>GMERS Medical College, Rajpipla, GMERS Medical College, Rajpipla Near Jakat Naka, Vadia Palace, Rajpipla Dist Narmada, GUJARAT.</x:v>
      </x:c>
      <x:c r="E834" t="str">
        <x:v>All India</x:v>
      </x:c>
      <x:c r="F834" t="str">
        <x:v>ST</x:v>
      </x:c>
      <x:c r="G834" t="n">
        <x:v>1</x:v>
      </x:c>
      <x:c r="H834" t="n">
        <x:v>1</x:v>
      </x:c>
      <x:c r="I834" t="n">
        <x:f>G834-H834</x:f>
        <x:v>0</x:v>
      </x:c>
      <x:c r="J834" s="20" t="n">
        <x:f>IFERROR(H834/G834,0)</x:f>
        <x:v>1</x:v>
      </x:c>
      <x:c r="K834" t="n">
        <x:v>115953</x:v>
      </x:c>
      <x:c r="L834" t="n">
        <x:v>115953</x:v>
      </x:c>
      <x:c r="M834" t="n">
        <x:v>115953</x:v>
      </x:c>
      <x:c r="N834" t="n">
        <x:v>115953</x:v>
      </x:c>
      <x:c r="O834" t="n">
        <x:v>115953</x:v>
      </x:c>
    </x:row>
    <x:row r="835">
      <x:c r="A835" t="str">
        <x:v>Madhya Pradesh</x:v>
      </x:c>
      <x:c r="B835" t="str">
        <x:v>All India except Central University</x:v>
      </x:c>
      <x:c r="C835" t="str">
        <x:v>904352</x:v>
      </x:c>
      <x:c r="D835" t="str">
        <x:v>GOVERMENT MEDICAL COLLEGE, SHEOPUR, GOVERNMENT MEDICAL COLLEGE Village Nagda, near Nageshwar Mandir Sheopur M.P.</x:v>
      </x:c>
      <x:c r="E835" t="str">
        <x:v>All India</x:v>
      </x:c>
      <x:c r="F835" t="str">
        <x:v>EWS</x:v>
      </x:c>
      <x:c r="G835" t="n">
        <x:v>1</x:v>
      </x:c>
      <x:c r="H835" t="n">
        <x:v>1</x:v>
      </x:c>
      <x:c r="I835" t="n">
        <x:f>G835-H835</x:f>
        <x:v>0</x:v>
      </x:c>
      <x:c r="J835" s="20" t="n">
        <x:f>IFERROR(H835/G835,0)</x:f>
        <x:v>1</x:v>
      </x:c>
      <x:c r="K835" t="n">
        <x:v>17737</x:v>
      </x:c>
      <x:c r="L835" t="n">
        <x:v>17737</x:v>
      </x:c>
      <x:c r="M835" t="n">
        <x:v>17737</x:v>
      </x:c>
      <x:c r="N835" t="n">
        <x:v>17737</x:v>
      </x:c>
      <x:c r="O835" t="n">
        <x:v>17737</x:v>
      </x:c>
    </x:row>
    <x:row r="836">
      <x:c r="A836" t="str">
        <x:v>Madhya Pradesh</x:v>
      </x:c>
      <x:c r="B836" t="str">
        <x:v>All India except Central University</x:v>
      </x:c>
      <x:c r="C836" t="str">
        <x:v>904352</x:v>
      </x:c>
      <x:c r="D836" t="str">
        <x:v>GOVERMENT MEDICAL COLLEGE, SHEOPUR, GOVERNMENT MEDICAL COLLEGE Village Nagda, near Nageshwar Mandir Sheopur M.P.</x:v>
      </x:c>
      <x:c r="E836" t="str">
        <x:v>All India</x:v>
      </x:c>
      <x:c r="F836" t="str">
        <x:v>OBC</x:v>
      </x:c>
      <x:c r="G836" t="n">
        <x:v>4</x:v>
      </x:c>
      <x:c r="H836" t="n">
        <x:v>4</x:v>
      </x:c>
      <x:c r="I836" t="n">
        <x:f>G836-H836</x:f>
        <x:v>0</x:v>
      </x:c>
      <x:c r="J836" s="20" t="n">
        <x:f>IFERROR(H836/G836,0)</x:f>
        <x:v>1</x:v>
      </x:c>
      <x:c r="K836" t="n">
        <x:v>15979</x:v>
      </x:c>
      <x:c r="L836" t="n">
        <x:v>16164.25</x:v>
      </x:c>
      <x:c r="M836" t="n">
        <x:v>16240</x:v>
      </x:c>
      <x:c r="N836" t="n">
        <x:v>16347</x:v>
      </x:c>
      <x:c r="O836" t="n">
        <x:v>16626</x:v>
      </x:c>
    </x:row>
    <x:row r="837">
      <x:c r="A837" t="str">
        <x:v>Madhya Pradesh</x:v>
      </x:c>
      <x:c r="B837" t="str">
        <x:v>All India except Central University</x:v>
      </x:c>
      <x:c r="C837" t="str">
        <x:v>904352</x:v>
      </x:c>
      <x:c r="D837" t="str">
        <x:v>GOVERMENT MEDICAL COLLEGE, SHEOPUR, GOVERNMENT MEDICAL COLLEGE Village Nagda, near Nageshwar Mandir Sheopur M.P.</x:v>
      </x:c>
      <x:c r="E837" t="str">
        <x:v>All India</x:v>
      </x:c>
      <x:c r="F837" t="str">
        <x:v>Open</x:v>
      </x:c>
      <x:c r="G837" t="n">
        <x:v>5</x:v>
      </x:c>
      <x:c r="H837" t="n">
        <x:v>5</x:v>
      </x:c>
      <x:c r="I837" t="n">
        <x:f>G837-H837</x:f>
        <x:v>0</x:v>
      </x:c>
      <x:c r="J837" s="20" t="n">
        <x:f>IFERROR(H837/G837,0)</x:f>
        <x:v>1</x:v>
      </x:c>
      <x:c r="K837" t="n">
        <x:v>13103</x:v>
      </x:c>
      <x:c r="L837" t="n">
        <x:v>14494</x:v>
      </x:c>
      <x:c r="M837" t="n">
        <x:v>14691</x:v>
      </x:c>
      <x:c r="N837" t="n">
        <x:v>14910</x:v>
      </x:c>
      <x:c r="O837" t="n">
        <x:v>15720</x:v>
      </x:c>
    </x:row>
    <x:row r="838">
      <x:c r="A838" t="str">
        <x:v>Madhya Pradesh</x:v>
      </x:c>
      <x:c r="B838" t="str">
        <x:v>All India except Central University</x:v>
      </x:c>
      <x:c r="C838" t="str">
        <x:v>904352</x:v>
      </x:c>
      <x:c r="D838" t="str">
        <x:v>GOVERMENT MEDICAL COLLEGE, SHEOPUR, GOVERNMENT MEDICAL COLLEGE Village Nagda, near Nageshwar Mandir Sheopur M.P.</x:v>
      </x:c>
      <x:c r="E838" t="str">
        <x:v>All India</x:v>
      </x:c>
      <x:c r="F838" t="str">
        <x:v>Open PwD</x:v>
      </x:c>
      <x:c r="G838" t="n">
        <x:v>1</x:v>
      </x:c>
      <x:c r="H838" t="n">
        <x:v>1</x:v>
      </x:c>
      <x:c r="I838" t="n">
        <x:f>G838-H838</x:f>
        <x:v>0</x:v>
      </x:c>
      <x:c r="J838" s="20" t="n">
        <x:f>IFERROR(H838/G838,0)</x:f>
        <x:v>1</x:v>
      </x:c>
      <x:c r="K838" t="n">
        <x:v>559929</x:v>
      </x:c>
      <x:c r="L838" t="n">
        <x:v>559929</x:v>
      </x:c>
      <x:c r="M838" t="n">
        <x:v>559929</x:v>
      </x:c>
      <x:c r="N838" t="n">
        <x:v>559929</x:v>
      </x:c>
      <x:c r="O838" t="n">
        <x:v>559929</x:v>
      </x:c>
    </x:row>
    <x:row r="839">
      <x:c r="A839" t="str">
        <x:v>Madhya Pradesh</x:v>
      </x:c>
      <x:c r="B839" t="str">
        <x:v>All India except Central University</x:v>
      </x:c>
      <x:c r="C839" t="str">
        <x:v>904352</x:v>
      </x:c>
      <x:c r="D839" t="str">
        <x:v>GOVERMENT MEDICAL COLLEGE, SHEOPUR, GOVERNMENT MEDICAL COLLEGE Village Nagda, near Nageshwar Mandir Sheopur M.P.</x:v>
      </x:c>
      <x:c r="E839" t="str">
        <x:v>All India</x:v>
      </x:c>
      <x:c r="F839" t="str">
        <x:v>SC</x:v>
      </x:c>
      <x:c r="G839" t="n">
        <x:v>3</x:v>
      </x:c>
      <x:c r="H839" t="n">
        <x:v>3</x:v>
      </x:c>
      <x:c r="I839" t="n">
        <x:f>G839-H839</x:f>
        <x:v>0</x:v>
      </x:c>
      <x:c r="J839" s="20" t="n">
        <x:f>IFERROR(H839/G839,0)</x:f>
        <x:v>1</x:v>
      </x:c>
      <x:c r="K839" t="n">
        <x:v>75130</x:v>
      </x:c>
      <x:c r="L839" t="n">
        <x:v>79160.5</x:v>
      </x:c>
      <x:c r="M839" t="n">
        <x:v>83191</x:v>
      </x:c>
      <x:c r="N839" t="n">
        <x:v>84024</x:v>
      </x:c>
      <x:c r="O839" t="n">
        <x:v>84857</x:v>
      </x:c>
    </x:row>
    <x:row r="840">
      <x:c r="A840" t="str">
        <x:v>Madhya Pradesh</x:v>
      </x:c>
      <x:c r="B840" t="str">
        <x:v>All India except Central University</x:v>
      </x:c>
      <x:c r="C840" t="str">
        <x:v>904352</x:v>
      </x:c>
      <x:c r="D840" t="str">
        <x:v>GOVERMENT MEDICAL COLLEGE, SHEOPUR, GOVERNMENT MEDICAL COLLEGE Village Nagda, near Nageshwar Mandir Sheopur M.P.</x:v>
      </x:c>
      <x:c r="E840" t="str">
        <x:v>All India</x:v>
      </x:c>
      <x:c r="F840" t="str">
        <x:v>ST</x:v>
      </x:c>
      <x:c r="G840" t="n">
        <x:v>1</x:v>
      </x:c>
      <x:c r="H840" t="n">
        <x:v>1</x:v>
      </x:c>
      <x:c r="I840" t="n">
        <x:f>G840-H840</x:f>
        <x:v>0</x:v>
      </x:c>
      <x:c r="J840" s="20" t="n">
        <x:f>IFERROR(H840/G840,0)</x:f>
        <x:v>1</x:v>
      </x:c>
      <x:c r="K840" t="n">
        <x:v>91711</x:v>
      </x:c>
      <x:c r="L840" t="n">
        <x:v>91711</x:v>
      </x:c>
      <x:c r="M840" t="n">
        <x:v>91711</x:v>
      </x:c>
      <x:c r="N840" t="n">
        <x:v>91711</x:v>
      </x:c>
      <x:c r="O840" t="n">
        <x:v>91711</x:v>
      </x:c>
    </x:row>
    <x:row r="841">
      <x:c r="A841" t="str">
        <x:v>Telangana</x:v>
      </x:c>
      <x:c r="B841" t="str">
        <x:v>All India except Central University</x:v>
      </x:c>
      <x:c r="C841" t="str">
        <x:v>200660</x:v>
      </x:c>
      <x:c r="D841" t="str">
        <x:v>GOVERNMENT MEDICAL COLLEGE JANGAON, gmc.jangaon@gmail.com, 24, Weavers Colony, Jangaon, Telangana, 506167</x:v>
      </x:c>
      <x:c r="E841" t="str">
        <x:v>All India</x:v>
      </x:c>
      <x:c r="F841" t="str">
        <x:v>EWS</x:v>
      </x:c>
      <x:c r="G841" t="n">
        <x:v>1</x:v>
      </x:c>
      <x:c r="H841" t="n">
        <x:v>1</x:v>
      </x:c>
      <x:c r="I841" t="n">
        <x:f>G841-H841</x:f>
        <x:v>0</x:v>
      </x:c>
      <x:c r="J841" s="20" t="n">
        <x:f>IFERROR(H841/G841,0)</x:f>
        <x:v>1</x:v>
      </x:c>
      <x:c r="K841" t="n">
        <x:v>20973</x:v>
      </x:c>
      <x:c r="L841" t="n">
        <x:v>20973</x:v>
      </x:c>
      <x:c r="M841" t="n">
        <x:v>20973</x:v>
      </x:c>
      <x:c r="N841" t="n">
        <x:v>20973</x:v>
      </x:c>
      <x:c r="O841" t="n">
        <x:v>20973</x:v>
      </x:c>
    </x:row>
    <x:row r="842">
      <x:c r="A842" t="str">
        <x:v>Telangana</x:v>
      </x:c>
      <x:c r="B842" t="str">
        <x:v>All India except Central University</x:v>
      </x:c>
      <x:c r="C842" t="str">
        <x:v>200660</x:v>
      </x:c>
      <x:c r="D842" t="str">
        <x:v>GOVERNMENT MEDICAL COLLEGE JANGAON, gmc.jangaon@gmail.com, 24, Weavers Colony, Jangaon, Telangana, 506167</x:v>
      </x:c>
      <x:c r="E842" t="str">
        <x:v>All India</x:v>
      </x:c>
      <x:c r="F842" t="str">
        <x:v>OBC</x:v>
      </x:c>
      <x:c r="G842" t="n">
        <x:v>4</x:v>
      </x:c>
      <x:c r="H842" t="n">
        <x:v>4</x:v>
      </x:c>
      <x:c r="I842" t="n">
        <x:f>G842-H842</x:f>
        <x:v>0</x:v>
      </x:c>
      <x:c r="J842" s="20" t="n">
        <x:f>IFERROR(H842/G842,0)</x:f>
        <x:v>1</x:v>
      </x:c>
      <x:c r="K842" t="n">
        <x:v>19106</x:v>
      </x:c>
      <x:c r="L842" t="n">
        <x:v>19567.25</x:v>
      </x:c>
      <x:c r="M842" t="n">
        <x:v>19791</x:v>
      </x:c>
      <x:c r="N842" t="n">
        <x:v>19988.75</x:v>
      </x:c>
      <x:c r="O842" t="n">
        <x:v>20372</x:v>
      </x:c>
    </x:row>
    <x:row r="843">
      <x:c r="A843" t="str">
        <x:v>Telangana</x:v>
      </x:c>
      <x:c r="B843" t="str">
        <x:v>All India except Central University</x:v>
      </x:c>
      <x:c r="C843" t="str">
        <x:v>200660</x:v>
      </x:c>
      <x:c r="D843" t="str">
        <x:v>GOVERNMENT MEDICAL COLLEGE JANGAON, gmc.jangaon@gmail.com, 24, Weavers Colony, Jangaon, Telangana, 506167</x:v>
      </x:c>
      <x:c r="E843" t="str">
        <x:v>All India</x:v>
      </x:c>
      <x:c r="F843" t="str">
        <x:v>Open</x:v>
      </x:c>
      <x:c r="G843" t="n">
        <x:v>6</x:v>
      </x:c>
      <x:c r="H843" t="n">
        <x:v>6</x:v>
      </x:c>
      <x:c r="I843" t="n">
        <x:f>G843-H843</x:f>
        <x:v>0</x:v>
      </x:c>
      <x:c r="J843" s="20" t="n">
        <x:f>IFERROR(H843/G843,0)</x:f>
        <x:v>1</x:v>
      </x:c>
      <x:c r="K843" t="n">
        <x:v>15502</x:v>
      </x:c>
      <x:c r="L843" t="n">
        <x:v>18200.25</x:v>
      </x:c>
      <x:c r="M843" t="n">
        <x:v>18886</x:v>
      </x:c>
      <x:c r="N843" t="n">
        <x:v>18976.25</x:v>
      </x:c>
      <x:c r="O843" t="n">
        <x:v>19005</x:v>
      </x:c>
    </x:row>
    <x:row r="844">
      <x:c r="A844" t="str">
        <x:v>Telangana</x:v>
      </x:c>
      <x:c r="B844" t="str">
        <x:v>All India except Central University</x:v>
      </x:c>
      <x:c r="C844" t="str">
        <x:v>200660</x:v>
      </x:c>
      <x:c r="D844" t="str">
        <x:v>GOVERNMENT MEDICAL COLLEGE JANGAON, gmc.jangaon@gmail.com, 24, Weavers Colony, Jangaon, Telangana, 506167</x:v>
      </x:c>
      <x:c r="E844" t="str">
        <x:v>All India</x:v>
      </x:c>
      <x:c r="F844" t="str">
        <x:v>SC</x:v>
      </x:c>
      <x:c r="G844" t="n">
        <x:v>3</x:v>
      </x:c>
      <x:c r="H844" t="n">
        <x:v>3</x:v>
      </x:c>
      <x:c r="I844" t="n">
        <x:f>G844-H844</x:f>
        <x:v>0</x:v>
      </x:c>
      <x:c r="J844" s="20" t="n">
        <x:f>IFERROR(H844/G844,0)</x:f>
        <x:v>1</x:v>
      </x:c>
      <x:c r="K844" t="n">
        <x:v>89445</x:v>
      </x:c>
      <x:c r="L844" t="n">
        <x:v>89516.5</x:v>
      </x:c>
      <x:c r="M844" t="n">
        <x:v>89588</x:v>
      </x:c>
      <x:c r="N844" t="n">
        <x:v>91055</x:v>
      </x:c>
      <x:c r="O844" t="n">
        <x:v>92522</x:v>
      </x:c>
    </x:row>
    <x:row r="845">
      <x:c r="A845" t="str">
        <x:v>Telangana</x:v>
      </x:c>
      <x:c r="B845" t="str">
        <x:v>All India except Central University</x:v>
      </x:c>
      <x:c r="C845" t="str">
        <x:v>200660</x:v>
      </x:c>
      <x:c r="D845" t="str">
        <x:v>GOVERNMENT MEDICAL COLLEGE JANGAON, gmc.jangaon@gmail.com, 24, Weavers Colony, Jangaon, Telangana, 506167</x:v>
      </x:c>
      <x:c r="E845" t="str">
        <x:v>All India</x:v>
      </x:c>
      <x:c r="F845" t="str">
        <x:v>ST</x:v>
      </x:c>
      <x:c r="G845" t="n">
        <x:v>1</x:v>
      </x:c>
      <x:c r="H845" t="n">
        <x:v>1</x:v>
      </x:c>
      <x:c r="I845" t="n">
        <x:f>G845-H845</x:f>
        <x:v>0</x:v>
      </x:c>
      <x:c r="J845" s="20" t="n">
        <x:f>IFERROR(H845/G845,0)</x:f>
        <x:v>1</x:v>
      </x:c>
      <x:c r="K845" t="n">
        <x:v>117779</x:v>
      </x:c>
      <x:c r="L845" t="n">
        <x:v>117779</x:v>
      </x:c>
      <x:c r="M845" t="n">
        <x:v>117779</x:v>
      </x:c>
      <x:c r="N845" t="n">
        <x:v>117779</x:v>
      </x:c>
      <x:c r="O845" t="n">
        <x:v>117779</x:v>
      </x:c>
    </x:row>
    <x:row r="846">
      <x:c r="A846" t="str">
        <x:v>Telangana</x:v>
      </x:c>
      <x:c r="B846" t="str">
        <x:v>All India except Central University</x:v>
      </x:c>
      <x:c r="C846" t="str">
        <x:v>200661</x:v>
      </x:c>
      <x:c r="D846" t="str">
        <x:v>GOVERNMENT MEDICAL COLLEGE KHAMMAM, Wyra Road, Khammam</x:v>
      </x:c>
      <x:c r="E846" t="str">
        <x:v>All India</x:v>
      </x:c>
      <x:c r="F846" t="str">
        <x:v>EWS</x:v>
      </x:c>
      <x:c r="G846" t="n">
        <x:v>2</x:v>
      </x:c>
      <x:c r="H846" t="n">
        <x:v>2</x:v>
      </x:c>
      <x:c r="I846" t="n">
        <x:f>G846-H846</x:f>
        <x:v>0</x:v>
      </x:c>
      <x:c r="J846" s="20" t="n">
        <x:f>IFERROR(H846/G846,0)</x:f>
        <x:v>1</x:v>
      </x:c>
      <x:c r="K846" t="n">
        <x:v>24791</x:v>
      </x:c>
      <x:c r="L846" t="n">
        <x:v>24965</x:v>
      </x:c>
      <x:c r="M846" t="n">
        <x:v>25139</x:v>
      </x:c>
      <x:c r="N846" t="n">
        <x:v>25313</x:v>
      </x:c>
      <x:c r="O846" t="n">
        <x:v>25487</x:v>
      </x:c>
    </x:row>
    <x:row r="847">
      <x:c r="A847" t="str">
        <x:v>Telangana</x:v>
      </x:c>
      <x:c r="B847" t="str">
        <x:v>All India except Central University</x:v>
      </x:c>
      <x:c r="C847" t="str">
        <x:v>200661</x:v>
      </x:c>
      <x:c r="D847" t="str">
        <x:v>GOVERNMENT MEDICAL COLLEGE KHAMMAM, Wyra Road, Khammam</x:v>
      </x:c>
      <x:c r="E847" t="str">
        <x:v>All India</x:v>
      </x:c>
      <x:c r="F847" t="str">
        <x:v>OBC</x:v>
      </x:c>
      <x:c r="G847" t="n">
        <x:v>3</x:v>
      </x:c>
      <x:c r="H847" t="n">
        <x:v>3</x:v>
      </x:c>
      <x:c r="I847" t="n">
        <x:f>G847-H847</x:f>
        <x:v>0</x:v>
      </x:c>
      <x:c r="J847" s="20" t="n">
        <x:f>IFERROR(H847/G847,0)</x:f>
        <x:v>1</x:v>
      </x:c>
      <x:c r="K847" t="n">
        <x:v>20281</x:v>
      </x:c>
      <x:c r="L847" t="n">
        <x:v>20456</x:v>
      </x:c>
      <x:c r="M847" t="n">
        <x:v>20631</x:v>
      </x:c>
      <x:c r="N847" t="n">
        <x:v>20850.5</x:v>
      </x:c>
      <x:c r="O847" t="n">
        <x:v>21070</x:v>
      </x:c>
    </x:row>
    <x:row r="848">
      <x:c r="A848" t="str">
        <x:v>Telangana</x:v>
      </x:c>
      <x:c r="B848" t="str">
        <x:v>All India except Central University</x:v>
      </x:c>
      <x:c r="C848" t="str">
        <x:v>200661</x:v>
      </x:c>
      <x:c r="D848" t="str">
        <x:v>GOVERNMENT MEDICAL COLLEGE KHAMMAM, Wyra Road, Khammam</x:v>
      </x:c>
      <x:c r="E848" t="str">
        <x:v>All India</x:v>
      </x:c>
      <x:c r="F848" t="str">
        <x:v>OBC PwD</x:v>
      </x:c>
      <x:c r="G848" t="n">
        <x:v>1</x:v>
      </x:c>
      <x:c r="H848" t="n">
        <x:v>1</x:v>
      </x:c>
      <x:c r="I848" t="n">
        <x:f>G848-H848</x:f>
        <x:v>0</x:v>
      </x:c>
      <x:c r="J848" s="20" t="n">
        <x:f>IFERROR(H848/G848,0)</x:f>
        <x:v>1</x:v>
      </x:c>
      <x:c r="K848" t="n">
        <x:v>751749</x:v>
      </x:c>
      <x:c r="L848" t="n">
        <x:v>751749</x:v>
      </x:c>
      <x:c r="M848" t="n">
        <x:v>751749</x:v>
      </x:c>
      <x:c r="N848" t="n">
        <x:v>751749</x:v>
      </x:c>
      <x:c r="O848" t="n">
        <x:v>751749</x:v>
      </x:c>
    </x:row>
    <x:row r="849">
      <x:c r="A849" t="str">
        <x:v>Telangana</x:v>
      </x:c>
      <x:c r="B849" t="str">
        <x:v>All India except Central University</x:v>
      </x:c>
      <x:c r="C849" t="str">
        <x:v>200661</x:v>
      </x:c>
      <x:c r="D849" t="str">
        <x:v>GOVERNMENT MEDICAL COLLEGE KHAMMAM, Wyra Road, Khammam</x:v>
      </x:c>
      <x:c r="E849" t="str">
        <x:v>All India</x:v>
      </x:c>
      <x:c r="F849" t="str">
        <x:v>Open</x:v>
      </x:c>
      <x:c r="G849" t="n">
        <x:v>5</x:v>
      </x:c>
      <x:c r="H849" t="n">
        <x:v>5</x:v>
      </x:c>
      <x:c r="I849" t="n">
        <x:f>G849-H849</x:f>
        <x:v>0</x:v>
      </x:c>
      <x:c r="J849" s="20" t="n">
        <x:f>IFERROR(H849/G849,0)</x:f>
        <x:v>1</x:v>
      </x:c>
      <x:c r="K849" t="n">
        <x:v>17373</x:v>
      </x:c>
      <x:c r="L849" t="n">
        <x:v>19486</x:v>
      </x:c>
      <x:c r="M849" t="n">
        <x:v>19594</x:v>
      </x:c>
      <x:c r="N849" t="n">
        <x:v>19806</x:v>
      </x:c>
      <x:c r="O849" t="n">
        <x:v>19918</x:v>
      </x:c>
    </x:row>
    <x:row r="850">
      <x:c r="A850" t="str">
        <x:v>Telangana</x:v>
      </x:c>
      <x:c r="B850" t="str">
        <x:v>All India except Central University</x:v>
      </x:c>
      <x:c r="C850" t="str">
        <x:v>200661</x:v>
      </x:c>
      <x:c r="D850" t="str">
        <x:v>GOVERNMENT MEDICAL COLLEGE KHAMMAM, Wyra Road, Khammam</x:v>
      </x:c>
      <x:c r="E850" t="str">
        <x:v>All India</x:v>
      </x:c>
      <x:c r="F850" t="str">
        <x:v>SC</x:v>
      </x:c>
      <x:c r="G850" t="n">
        <x:v>2</x:v>
      </x:c>
      <x:c r="H850" t="n">
        <x:v>2</x:v>
      </x:c>
      <x:c r="I850" t="n">
        <x:f>G850-H850</x:f>
        <x:v>0</x:v>
      </x:c>
      <x:c r="J850" s="20" t="n">
        <x:f>IFERROR(H850/G850,0)</x:f>
        <x:v>1</x:v>
      </x:c>
      <x:c r="K850" t="n">
        <x:v>96511</x:v>
      </x:c>
      <x:c r="L850" t="n">
        <x:v>97171.5</x:v>
      </x:c>
      <x:c r="M850" t="n">
        <x:v>97832</x:v>
      </x:c>
      <x:c r="N850" t="n">
        <x:v>98492.5</x:v>
      </x:c>
      <x:c r="O850" t="n">
        <x:v>99153</x:v>
      </x:c>
    </x:row>
    <x:row r="851">
      <x:c r="A851" t="str">
        <x:v>Telangana</x:v>
      </x:c>
      <x:c r="B851" t="str">
        <x:v>All India except Central University</x:v>
      </x:c>
      <x:c r="C851" t="str">
        <x:v>200661</x:v>
      </x:c>
      <x:c r="D851" t="str">
        <x:v>GOVERNMENT MEDICAL COLLEGE KHAMMAM, Wyra Road, Khammam</x:v>
      </x:c>
      <x:c r="E851" t="str">
        <x:v>All India</x:v>
      </x:c>
      <x:c r="F851" t="str">
        <x:v>ST</x:v>
      </x:c>
      <x:c r="G851" t="n">
        <x:v>2</x:v>
      </x:c>
      <x:c r="H851" t="n">
        <x:v>2</x:v>
      </x:c>
      <x:c r="I851" t="n">
        <x:f>G851-H851</x:f>
        <x:v>0</x:v>
      </x:c>
      <x:c r="J851" s="20" t="n">
        <x:f>IFERROR(H851/G851,0)</x:f>
        <x:v>1</x:v>
      </x:c>
      <x:c r="K851" t="n">
        <x:v>125328</x:v>
      </x:c>
      <x:c r="L851" t="n">
        <x:v>125660.5</x:v>
      </x:c>
      <x:c r="M851" t="n">
        <x:v>125993</x:v>
      </x:c>
      <x:c r="N851" t="n">
        <x:v>126325.5</x:v>
      </x:c>
      <x:c r="O851" t="n">
        <x:v>126658</x:v>
      </x:c>
    </x:row>
    <x:row r="852">
      <x:c r="A852" t="str">
        <x:v>Telangana</x:v>
      </x:c>
      <x:c r="B852" t="str">
        <x:v>All India except Central University</x:v>
      </x:c>
      <x:c r="C852" t="str">
        <x:v>200647</x:v>
      </x:c>
      <x:c r="D852" t="str">
        <x:v>GOVERNMENT MEDICAL COLLEGE KUMURAM BHEEM ASIFAFABAD, Government Medical College Ankushapur District Kumuram Bheem Asifabad Telangana</x:v>
      </x:c>
      <x:c r="E852" t="str">
        <x:v>All India</x:v>
      </x:c>
      <x:c r="F852" t="str">
        <x:v>EWS</x:v>
      </x:c>
      <x:c r="G852" t="n">
        <x:v>2</x:v>
      </x:c>
      <x:c r="H852" t="n">
        <x:v>2</x:v>
      </x:c>
      <x:c r="I852" t="n">
        <x:f>G852-H852</x:f>
        <x:v>0</x:v>
      </x:c>
      <x:c r="J852" s="20" t="n">
        <x:f>IFERROR(H852/G852,0)</x:f>
        <x:v>1</x:v>
      </x:c>
      <x:c r="K852" t="n">
        <x:v>25511</x:v>
      </x:c>
      <x:c r="L852" t="n">
        <x:v>25539.5</x:v>
      </x:c>
      <x:c r="M852" t="n">
        <x:v>25568</x:v>
      </x:c>
      <x:c r="N852" t="n">
        <x:v>25596.5</x:v>
      </x:c>
      <x:c r="O852" t="n">
        <x:v>25625</x:v>
      </x:c>
    </x:row>
    <x:row r="853">
      <x:c r="A853" t="str">
        <x:v>Telangana</x:v>
      </x:c>
      <x:c r="B853" t="str">
        <x:v>All India except Central University</x:v>
      </x:c>
      <x:c r="C853" t="str">
        <x:v>200647</x:v>
      </x:c>
      <x:c r="D853" t="str">
        <x:v>GOVERNMENT MEDICAL COLLEGE KUMURAM BHEEM ASIFAFABAD, Government Medical College Ankushapur District Kumuram Bheem Asifabad Telangana</x:v>
      </x:c>
      <x:c r="E853" t="str">
        <x:v>All India</x:v>
      </x:c>
      <x:c r="F853" t="str">
        <x:v>OBC</x:v>
      </x:c>
      <x:c r="G853" t="n">
        <x:v>4</x:v>
      </x:c>
      <x:c r="H853" t="n">
        <x:v>4</x:v>
      </x:c>
      <x:c r="I853" t="n">
        <x:f>G853-H853</x:f>
        <x:v>0</x:v>
      </x:c>
      <x:c r="J853" s="20" t="n">
        <x:f>IFERROR(H853/G853,0)</x:f>
        <x:v>1</x:v>
      </x:c>
      <x:c r="K853" t="n">
        <x:v>21961</x:v>
      </x:c>
      <x:c r="L853" t="n">
        <x:v>22298.5</x:v>
      </x:c>
      <x:c r="M853" t="n">
        <x:v>22453.5</x:v>
      </x:c>
      <x:c r="N853" t="n">
        <x:v>22529</x:v>
      </x:c>
      <x:c r="O853" t="n">
        <x:v>22628</x:v>
      </x:c>
    </x:row>
    <x:row r="854">
      <x:c r="A854" t="str">
        <x:v>Telangana</x:v>
      </x:c>
      <x:c r="B854" t="str">
        <x:v>All India except Central University</x:v>
      </x:c>
      <x:c r="C854" t="str">
        <x:v>200647</x:v>
      </x:c>
      <x:c r="D854" t="str">
        <x:v>GOVERNMENT MEDICAL COLLEGE KUMURAM BHEEM ASIFAFABAD, Government Medical College Ankushapur District Kumuram Bheem Asifabad Telangana</x:v>
      </x:c>
      <x:c r="E854" t="str">
        <x:v>All India</x:v>
      </x:c>
      <x:c r="F854" t="str">
        <x:v>Open</x:v>
      </x:c>
      <x:c r="G854" t="n">
        <x:v>5</x:v>
      </x:c>
      <x:c r="H854" t="n">
        <x:v>5</x:v>
      </x:c>
      <x:c r="I854" t="n">
        <x:f>G854-H854</x:f>
        <x:v>0</x:v>
      </x:c>
      <x:c r="J854" s="20" t="n">
        <x:f>IFERROR(H854/G854,0)</x:f>
        <x:v>1</x:v>
      </x:c>
      <x:c r="K854" t="n">
        <x:v>20228</x:v>
      </x:c>
      <x:c r="L854" t="n">
        <x:v>20427</x:v>
      </x:c>
      <x:c r="M854" t="n">
        <x:v>20746</x:v>
      </x:c>
      <x:c r="N854" t="n">
        <x:v>20828</x:v>
      </x:c>
      <x:c r="O854" t="n">
        <x:v>20996</x:v>
      </x:c>
    </x:row>
    <x:row r="855">
      <x:c r="A855" t="str">
        <x:v>Telangana</x:v>
      </x:c>
      <x:c r="B855" t="str">
        <x:v>All India except Central University</x:v>
      </x:c>
      <x:c r="C855" t="str">
        <x:v>200647</x:v>
      </x:c>
      <x:c r="D855" t="str">
        <x:v>GOVERNMENT MEDICAL COLLEGE KUMURAM BHEEM ASIFAFABAD, Government Medical College Ankushapur District Kumuram Bheem Asifabad Telangana</x:v>
      </x:c>
      <x:c r="E855" t="str">
        <x:v>All India</x:v>
      </x:c>
      <x:c r="F855" t="str">
        <x:v>Open PwD</x:v>
      </x:c>
      <x:c r="G855" t="n">
        <x:v>1</x:v>
      </x:c>
      <x:c r="H855" t="n">
        <x:v>1</x:v>
      </x:c>
      <x:c r="I855" t="n">
        <x:f>G855-H855</x:f>
        <x:v>0</x:v>
      </x:c>
      <x:c r="J855" s="20" t="n">
        <x:f>IFERROR(H855/G855,0)</x:f>
        <x:v>1</x:v>
      </x:c>
      <x:c r="K855" t="n">
        <x:v>660959</x:v>
      </x:c>
      <x:c r="L855" t="n">
        <x:v>660959</x:v>
      </x:c>
      <x:c r="M855" t="n">
        <x:v>660959</x:v>
      </x:c>
      <x:c r="N855" t="n">
        <x:v>660959</x:v>
      </x:c>
      <x:c r="O855" t="n">
        <x:v>660959</x:v>
      </x:c>
    </x:row>
    <x:row r="856">
      <x:c r="A856" t="str">
        <x:v>Telangana</x:v>
      </x:c>
      <x:c r="B856" t="str">
        <x:v>All India except Central University</x:v>
      </x:c>
      <x:c r="C856" t="str">
        <x:v>200647</x:v>
      </x:c>
      <x:c r="D856" t="str">
        <x:v>GOVERNMENT MEDICAL COLLEGE KUMURAM BHEEM ASIFAFABAD, Government Medical College Ankushapur District Kumuram Bheem Asifabad Telangana</x:v>
      </x:c>
      <x:c r="E856" t="str">
        <x:v>All India</x:v>
      </x:c>
      <x:c r="F856" t="str">
        <x:v>SC</x:v>
      </x:c>
      <x:c r="G856" t="n">
        <x:v>2</x:v>
      </x:c>
      <x:c r="H856" t="n">
        <x:v>2</x:v>
      </x:c>
      <x:c r="I856" t="n">
        <x:f>G856-H856</x:f>
        <x:v>0</x:v>
      </x:c>
      <x:c r="J856" s="20" t="n">
        <x:f>IFERROR(H856/G856,0)</x:f>
        <x:v>1</x:v>
      </x:c>
      <x:c r="K856" t="n">
        <x:v>95090</x:v>
      </x:c>
      <x:c r="L856" t="n">
        <x:v>96622.25</x:v>
      </x:c>
      <x:c r="M856" t="n">
        <x:v>98154.5</x:v>
      </x:c>
      <x:c r="N856" t="n">
        <x:v>99686.75</x:v>
      </x:c>
      <x:c r="O856" t="n">
        <x:v>101219</x:v>
      </x:c>
    </x:row>
    <x:row r="857">
      <x:c r="A857" t="str">
        <x:v>Telangana</x:v>
      </x:c>
      <x:c r="B857" t="str">
        <x:v>All India except Central University</x:v>
      </x:c>
      <x:c r="C857" t="str">
        <x:v>200647</x:v>
      </x:c>
      <x:c r="D857" t="str">
        <x:v>GOVERNMENT MEDICAL COLLEGE KUMURAM BHEEM ASIFAFABAD, Government Medical College Ankushapur District Kumuram Bheem Asifabad Telangana</x:v>
      </x:c>
      <x:c r="E857" t="str">
        <x:v>All India</x:v>
      </x:c>
      <x:c r="F857" t="str">
        <x:v>ST</x:v>
      </x:c>
      <x:c r="G857" t="n">
        <x:v>1</x:v>
      </x:c>
      <x:c r="H857" t="n">
        <x:v>1</x:v>
      </x:c>
      <x:c r="I857" t="n">
        <x:f>G857-H857</x:f>
        <x:v>0</x:v>
      </x:c>
      <x:c r="J857" s="20" t="n">
        <x:f>IFERROR(H857/G857,0)</x:f>
        <x:v>1</x:v>
      </x:c>
      <x:c r="K857" t="n">
        <x:v>125232</x:v>
      </x:c>
      <x:c r="L857" t="n">
        <x:v>125232</x:v>
      </x:c>
      <x:c r="M857" t="n">
        <x:v>125232</x:v>
      </x:c>
      <x:c r="N857" t="n">
        <x:v>125232</x:v>
      </x:c>
      <x:c r="O857" t="n">
        <x:v>125232</x:v>
      </x:c>
    </x:row>
    <x:row r="858">
      <x:c r="A858" t="str">
        <x:v>Odisha</x:v>
      </x:c>
      <x:c r="B858" t="str">
        <x:v>All India except Central University</x:v>
      </x:c>
      <x:c r="C858" t="str">
        <x:v>904363</x:v>
      </x:c>
      <x:c r="D858" t="str">
        <x:v>GOVERNMENT MEDICAL COLLEGE PHULBANI , KANDHAMAL, AT TILAKPADA, POST PAKALGAON, PS / TAHASIL KHAJURIPADA PHULBANI, KANDHAMAL</x:v>
      </x:c>
      <x:c r="E858" t="str">
        <x:v>All India</x:v>
      </x:c>
      <x:c r="F858" t="str">
        <x:v>EWS</x:v>
      </x:c>
      <x:c r="G858" t="n">
        <x:v>2</x:v>
      </x:c>
      <x:c r="H858" t="n">
        <x:v>2</x:v>
      </x:c>
      <x:c r="I858" t="n">
        <x:f>G858-H858</x:f>
        <x:v>0</x:v>
      </x:c>
      <x:c r="J858" s="20" t="n">
        <x:f>IFERROR(H858/G858,0)</x:f>
        <x:v>1</x:v>
      </x:c>
      <x:c r="K858" t="n">
        <x:v>22418</x:v>
      </x:c>
      <x:c r="L858" t="n">
        <x:v>22444</x:v>
      </x:c>
      <x:c r="M858" t="n">
        <x:v>22470</x:v>
      </x:c>
      <x:c r="N858" t="n">
        <x:v>22496</x:v>
      </x:c>
      <x:c r="O858" t="n">
        <x:v>22522</x:v>
      </x:c>
    </x:row>
    <x:row r="859">
      <x:c r="A859" t="str">
        <x:v>Odisha</x:v>
      </x:c>
      <x:c r="B859" t="str">
        <x:v>All India except Central University</x:v>
      </x:c>
      <x:c r="C859" t="str">
        <x:v>904363</x:v>
      </x:c>
      <x:c r="D859" t="str">
        <x:v>GOVERNMENT MEDICAL COLLEGE PHULBANI , KANDHAMAL, AT TILAKPADA, POST PAKALGAON, PS / TAHASIL KHAJURIPADA PHULBANI, KANDHAMAL</x:v>
      </x:c>
      <x:c r="E859" t="str">
        <x:v>All India</x:v>
      </x:c>
      <x:c r="F859" t="str">
        <x:v>OBC</x:v>
      </x:c>
      <x:c r="G859" t="n">
        <x:v>4</x:v>
      </x:c>
      <x:c r="H859" t="n">
        <x:v>4</x:v>
      </x:c>
      <x:c r="I859" t="n">
        <x:f>G859-H859</x:f>
        <x:v>0</x:v>
      </x:c>
      <x:c r="J859" s="20" t="n">
        <x:f>IFERROR(H859/G859,0)</x:f>
        <x:v>1</x:v>
      </x:c>
      <x:c r="K859" t="n">
        <x:v>18536</x:v>
      </x:c>
      <x:c r="L859" t="n">
        <x:v>19040.75</x:v>
      </x:c>
      <x:c r="M859" t="n">
        <x:v>19322.5</x:v>
      </x:c>
      <x:c r="N859" t="n">
        <x:v>19458</x:v>
      </x:c>
      <x:c r="O859" t="n">
        <x:v>19524</x:v>
      </x:c>
    </x:row>
    <x:row r="860">
      <x:c r="A860" t="str">
        <x:v>Odisha</x:v>
      </x:c>
      <x:c r="B860" t="str">
        <x:v>All India except Central University</x:v>
      </x:c>
      <x:c r="C860" t="str">
        <x:v>904363</x:v>
      </x:c>
      <x:c r="D860" t="str">
        <x:v>GOVERNMENT MEDICAL COLLEGE PHULBANI , KANDHAMAL, AT TILAKPADA, POST PAKALGAON, PS / TAHASIL KHAJURIPADA PHULBANI, KANDHAMAL</x:v>
      </x:c>
      <x:c r="E860" t="str">
        <x:v>All India</x:v>
      </x:c>
      <x:c r="F860" t="str">
        <x:v>Open</x:v>
      </x:c>
      <x:c r="G860" t="n">
        <x:v>5</x:v>
      </x:c>
      <x:c r="H860" t="n">
        <x:v>5</x:v>
      </x:c>
      <x:c r="I860" t="n">
        <x:f>G860-H860</x:f>
        <x:v>0</x:v>
      </x:c>
      <x:c r="J860" s="20" t="n">
        <x:f>IFERROR(H860/G860,0)</x:f>
        <x:v>1</x:v>
      </x:c>
      <x:c r="K860" t="n">
        <x:v>14568</x:v>
      </x:c>
      <x:c r="L860" t="n">
        <x:v>14739</x:v>
      </x:c>
      <x:c r="M860" t="n">
        <x:v>15272</x:v>
      </x:c>
      <x:c r="N860" t="n">
        <x:v>15300</x:v>
      </x:c>
      <x:c r="O860" t="n">
        <x:v>15473</x:v>
      </x:c>
    </x:row>
    <x:row r="861">
      <x:c r="A861" t="str">
        <x:v>Odisha</x:v>
      </x:c>
      <x:c r="B861" t="str">
        <x:v>All India except Central University</x:v>
      </x:c>
      <x:c r="C861" t="str">
        <x:v>904363</x:v>
      </x:c>
      <x:c r="D861" t="str">
        <x:v>GOVERNMENT MEDICAL COLLEGE PHULBANI , KANDHAMAL, AT TILAKPADA, POST PAKALGAON, PS / TAHASIL KHAJURIPADA PHULBANI, KANDHAMAL</x:v>
      </x:c>
      <x:c r="E861" t="str">
        <x:v>All India</x:v>
      </x:c>
      <x:c r="F861" t="str">
        <x:v>Open PwD</x:v>
      </x:c>
      <x:c r="G861" t="n">
        <x:v>1</x:v>
      </x:c>
      <x:c r="H861" t="n">
        <x:v>1</x:v>
      </x:c>
      <x:c r="I861" t="n">
        <x:f>G861-H861</x:f>
        <x:v>0</x:v>
      </x:c>
      <x:c r="J861" s="20" t="n">
        <x:f>IFERROR(H861/G861,0)</x:f>
        <x:v>1</x:v>
      </x:c>
      <x:c r="K861" t="n">
        <x:v>658287</x:v>
      </x:c>
      <x:c r="L861" t="n">
        <x:v>658287</x:v>
      </x:c>
      <x:c r="M861" t="n">
        <x:v>658287</x:v>
      </x:c>
      <x:c r="N861" t="n">
        <x:v>658287</x:v>
      </x:c>
      <x:c r="O861" t="n">
        <x:v>658287</x:v>
      </x:c>
    </x:row>
    <x:row r="862">
      <x:c r="A862" t="str">
        <x:v>Odisha</x:v>
      </x:c>
      <x:c r="B862" t="str">
        <x:v>All India except Central University</x:v>
      </x:c>
      <x:c r="C862" t="str">
        <x:v>904363</x:v>
      </x:c>
      <x:c r="D862" t="str">
        <x:v>GOVERNMENT MEDICAL COLLEGE PHULBANI , KANDHAMAL, AT TILAKPADA, POST PAKALGAON, PS / TAHASIL KHAJURIPADA PHULBANI, KANDHAMAL</x:v>
      </x:c>
      <x:c r="E862" t="str">
        <x:v>All India</x:v>
      </x:c>
      <x:c r="F862" t="str">
        <x:v>SC</x:v>
      </x:c>
      <x:c r="G862" t="n">
        <x:v>2</x:v>
      </x:c>
      <x:c r="H862" t="n">
        <x:v>2</x:v>
      </x:c>
      <x:c r="I862" t="n">
        <x:f>G862-H862</x:f>
        <x:v>0</x:v>
      </x:c>
      <x:c r="J862" s="20" t="n">
        <x:f>IFERROR(H862/G862,0)</x:f>
        <x:v>1</x:v>
      </x:c>
      <x:c r="K862" t="n">
        <x:v>76148</x:v>
      </x:c>
      <x:c r="L862" t="n">
        <x:v>80429.25</x:v>
      </x:c>
      <x:c r="M862" t="n">
        <x:v>84710.5</x:v>
      </x:c>
      <x:c r="N862" t="n">
        <x:v>88991.75</x:v>
      </x:c>
      <x:c r="O862" t="n">
        <x:v>93273</x:v>
      </x:c>
    </x:row>
    <x:row r="863">
      <x:c r="A863" t="str">
        <x:v>Odisha</x:v>
      </x:c>
      <x:c r="B863" t="str">
        <x:v>All India except Central University</x:v>
      </x:c>
      <x:c r="C863" t="str">
        <x:v>904363</x:v>
      </x:c>
      <x:c r="D863" t="str">
        <x:v>GOVERNMENT MEDICAL COLLEGE PHULBANI , KANDHAMAL, AT TILAKPADA, POST PAKALGAON, PS / TAHASIL KHAJURIPADA PHULBANI, KANDHAMAL</x:v>
      </x:c>
      <x:c r="E863" t="str">
        <x:v>All India</x:v>
      </x:c>
      <x:c r="F863" t="str">
        <x:v>ST</x:v>
      </x:c>
      <x:c r="G863" t="n">
        <x:v>1</x:v>
      </x:c>
      <x:c r="H863" t="n">
        <x:v>1</x:v>
      </x:c>
      <x:c r="I863" t="n">
        <x:f>G863-H863</x:f>
        <x:v>0</x:v>
      </x:c>
      <x:c r="J863" s="20" t="n">
        <x:f>IFERROR(H863/G863,0)</x:f>
        <x:v>1</x:v>
      </x:c>
      <x:c r="K863" t="n">
        <x:v>129479</x:v>
      </x:c>
      <x:c r="L863" t="n">
        <x:v>129479</x:v>
      </x:c>
      <x:c r="M863" t="n">
        <x:v>129479</x:v>
      </x:c>
      <x:c r="N863" t="n">
        <x:v>129479</x:v>
      </x:c>
      <x:c r="O863" t="n">
        <x:v>129479</x:v>
      </x:c>
    </x:row>
    <x:row r="864">
      <x:c r="A864" t="str">
        <x:v>Madhya Pradesh</x:v>
      </x:c>
      <x:c r="B864" t="str">
        <x:v>All India except Central University</x:v>
      </x:c>
      <x:c r="C864" t="str">
        <x:v>904351</x:v>
      </x:c>
      <x:c r="D864" t="str">
        <x:v>GOVERNMENT MEDICAL COLLEGE SINGRAULI , Government Medical College Village Naugadh Waidhan Singrauli Madhya Pradesh</x:v>
      </x:c>
      <x:c r="E864" t="str">
        <x:v>All India</x:v>
      </x:c>
      <x:c r="F864" t="str">
        <x:v>EWS</x:v>
      </x:c>
      <x:c r="G864" t="n">
        <x:v>2</x:v>
      </x:c>
      <x:c r="H864" t="n">
        <x:v>2</x:v>
      </x:c>
      <x:c r="I864" t="n">
        <x:f>G864-H864</x:f>
        <x:v>0</x:v>
      </x:c>
      <x:c r="J864" s="20" t="n">
        <x:f>IFERROR(H864/G864,0)</x:f>
        <x:v>1</x:v>
      </x:c>
      <x:c r="K864" t="n">
        <x:v>18500</x:v>
      </x:c>
      <x:c r="L864" t="n">
        <x:v>18629.5</x:v>
      </x:c>
      <x:c r="M864" t="n">
        <x:v>18759</x:v>
      </x:c>
      <x:c r="N864" t="n">
        <x:v>18888.5</x:v>
      </x:c>
      <x:c r="O864" t="n">
        <x:v>19018</x:v>
      </x:c>
    </x:row>
    <x:row r="865">
      <x:c r="A865" t="str">
        <x:v>Madhya Pradesh</x:v>
      </x:c>
      <x:c r="B865" t="str">
        <x:v>All India except Central University</x:v>
      </x:c>
      <x:c r="C865" t="str">
        <x:v>904351</x:v>
      </x:c>
      <x:c r="D865" t="str">
        <x:v>GOVERNMENT MEDICAL COLLEGE SINGRAULI , Government Medical College Village Naugadh Waidhan Singrauli Madhya Pradesh</x:v>
      </x:c>
      <x:c r="E865" t="str">
        <x:v>All India</x:v>
      </x:c>
      <x:c r="F865" t="str">
        <x:v>OBC</x:v>
      </x:c>
      <x:c r="G865" t="n">
        <x:v>4</x:v>
      </x:c>
      <x:c r="H865" t="n">
        <x:v>4</x:v>
      </x:c>
      <x:c r="I865" t="n">
        <x:f>G865-H865</x:f>
        <x:v>0</x:v>
      </x:c>
      <x:c r="J865" s="20" t="n">
        <x:f>IFERROR(H865/G865,0)</x:f>
        <x:v>1</x:v>
      </x:c>
      <x:c r="K865" t="n">
        <x:v>17067</x:v>
      </x:c>
      <x:c r="L865" t="n">
        <x:v>17422.5</x:v>
      </x:c>
      <x:c r="M865" t="n">
        <x:v>17573.5</x:v>
      </x:c>
      <x:c r="N865" t="n">
        <x:v>17630</x:v>
      </x:c>
      <x:c r="O865" t="n">
        <x:v>17702</x:v>
      </x:c>
    </x:row>
    <x:row r="866">
      <x:c r="A866" t="str">
        <x:v>Madhya Pradesh</x:v>
      </x:c>
      <x:c r="B866" t="str">
        <x:v>All India except Central University</x:v>
      </x:c>
      <x:c r="C866" t="str">
        <x:v>904351</x:v>
      </x:c>
      <x:c r="D866" t="str">
        <x:v>GOVERNMENT MEDICAL COLLEGE SINGRAULI , Government Medical College Village Naugadh Waidhan Singrauli Madhya Pradesh</x:v>
      </x:c>
      <x:c r="E866" t="str">
        <x:v>All India</x:v>
      </x:c>
      <x:c r="F866" t="str">
        <x:v>Open</x:v>
      </x:c>
      <x:c r="G866" t="n">
        <x:v>6</x:v>
      </x:c>
      <x:c r="H866" t="n">
        <x:v>6</x:v>
      </x:c>
      <x:c r="I866" t="n">
        <x:f>G866-H866</x:f>
        <x:v>0</x:v>
      </x:c>
      <x:c r="J866" s="20" t="n">
        <x:f>IFERROR(H866/G866,0)</x:f>
        <x:v>1</x:v>
      </x:c>
      <x:c r="K866" t="n">
        <x:v>14039</x:v>
      </x:c>
      <x:c r="L866" t="n">
        <x:v>15867.25</x:v>
      </x:c>
      <x:c r="M866" t="n">
        <x:v>16229.5</x:v>
      </x:c>
      <x:c r="N866" t="n">
        <x:v>16282.75</x:v>
      </x:c>
      <x:c r="O866" t="n">
        <x:v>16309</x:v>
      </x:c>
    </x:row>
    <x:row r="867">
      <x:c r="A867" t="str">
        <x:v>Madhya Pradesh</x:v>
      </x:c>
      <x:c r="B867" t="str">
        <x:v>All India except Central University</x:v>
      </x:c>
      <x:c r="C867" t="str">
        <x:v>904351</x:v>
      </x:c>
      <x:c r="D867" t="str">
        <x:v>GOVERNMENT MEDICAL COLLEGE SINGRAULI , Government Medical College Village Naugadh Waidhan Singrauli Madhya Pradesh</x:v>
      </x:c>
      <x:c r="E867" t="str">
        <x:v>All India</x:v>
      </x:c>
      <x:c r="F867" t="str">
        <x:v>SC</x:v>
      </x:c>
      <x:c r="G867" t="n">
        <x:v>2</x:v>
      </x:c>
      <x:c r="H867" t="n">
        <x:v>2</x:v>
      </x:c>
      <x:c r="I867" t="n">
        <x:f>G867-H867</x:f>
        <x:v>0</x:v>
      </x:c>
      <x:c r="J867" s="20" t="n">
        <x:f>IFERROR(H867/G867,0)</x:f>
        <x:v>1</x:v>
      </x:c>
      <x:c r="K867" t="n">
        <x:v>89165</x:v>
      </x:c>
      <x:c r="L867" t="n">
        <x:v>89229.75</x:v>
      </x:c>
      <x:c r="M867" t="n">
        <x:v>89294.5</x:v>
      </x:c>
      <x:c r="N867" t="n">
        <x:v>89359.25</x:v>
      </x:c>
      <x:c r="O867" t="n">
        <x:v>89424</x:v>
      </x:c>
    </x:row>
    <x:row r="868">
      <x:c r="A868" t="str">
        <x:v>Madhya Pradesh</x:v>
      </x:c>
      <x:c r="B868" t="str">
        <x:v>All India except Central University</x:v>
      </x:c>
      <x:c r="C868" t="str">
        <x:v>904351</x:v>
      </x:c>
      <x:c r="D868" t="str">
        <x:v>GOVERNMENT MEDICAL COLLEGE SINGRAULI , Government Medical College Village Naugadh Waidhan Singrauli Madhya Pradesh</x:v>
      </x:c>
      <x:c r="E868" t="str">
        <x:v>All India</x:v>
      </x:c>
      <x:c r="F868" t="str">
        <x:v>ST</x:v>
      </x:c>
      <x:c r="G868" t="n">
        <x:v>1</x:v>
      </x:c>
      <x:c r="H868" t="n">
        <x:v>1</x:v>
      </x:c>
      <x:c r="I868" t="n">
        <x:f>G868-H868</x:f>
        <x:v>0</x:v>
      </x:c>
      <x:c r="J868" s="20" t="n">
        <x:f>IFERROR(H868/G868,0)</x:f>
        <x:v>1</x:v>
      </x:c>
      <x:c r="K868" t="n">
        <x:v>110270</x:v>
      </x:c>
      <x:c r="L868" t="n">
        <x:v>110270</x:v>
      </x:c>
      <x:c r="M868" t="n">
        <x:v>110270</x:v>
      </x:c>
      <x:c r="N868" t="n">
        <x:v>110270</x:v>
      </x:c>
      <x:c r="O868" t="n">
        <x:v>110270</x:v>
      </x:c>
    </x:row>
    <x:row r="869">
      <x:c r="A869" t="str">
        <x:v>Telangana</x:v>
      </x:c>
      <x:c r="B869" t="str">
        <x:v>All India except Central University</x:v>
      </x:c>
      <x:c r="C869" t="str">
        <x:v>200648</x:v>
      </x:c>
      <x:c r="D869" t="str">
        <x:v>GOVERNMENT MEDICAL COLLEGE VIKARABAD, ANANTHAGIRI HILLS VIKARABAD VIKARABAD DISTRICT TELANGANA 501101</x:v>
      </x:c>
      <x:c r="E869" t="str">
        <x:v>All India</x:v>
      </x:c>
      <x:c r="F869" t="str">
        <x:v>EWS</x:v>
      </x:c>
      <x:c r="G869" t="n">
        <x:v>2</x:v>
      </x:c>
      <x:c r="H869" t="n">
        <x:v>2</x:v>
      </x:c>
      <x:c r="I869" t="n">
        <x:f>G869-H869</x:f>
        <x:v>0</x:v>
      </x:c>
      <x:c r="J869" s="20" t="n">
        <x:f>IFERROR(H869/G869,0)</x:f>
        <x:v>1</x:v>
      </x:c>
      <x:c r="K869" t="n">
        <x:v>25653</x:v>
      </x:c>
      <x:c r="L869" t="n">
        <x:v>25772</x:v>
      </x:c>
      <x:c r="M869" t="n">
        <x:v>25891</x:v>
      </x:c>
      <x:c r="N869" t="n">
        <x:v>26010</x:v>
      </x:c>
      <x:c r="O869" t="n">
        <x:v>26129</x:v>
      </x:c>
    </x:row>
    <x:row r="870">
      <x:c r="A870" t="str">
        <x:v>Telangana</x:v>
      </x:c>
      <x:c r="B870" t="str">
        <x:v>All India except Central University</x:v>
      </x:c>
      <x:c r="C870" t="str">
        <x:v>200648</x:v>
      </x:c>
      <x:c r="D870" t="str">
        <x:v>GOVERNMENT MEDICAL COLLEGE VIKARABAD, ANANTHAGIRI HILLS VIKARABAD VIKARABAD DISTRICT TELANGANA 501101</x:v>
      </x:c>
      <x:c r="E870" t="str">
        <x:v>All India</x:v>
      </x:c>
      <x:c r="F870" t="str">
        <x:v>OBC</x:v>
      </x:c>
      <x:c r="G870" t="n">
        <x:v>4</x:v>
      </x:c>
      <x:c r="H870" t="n">
        <x:v>4</x:v>
      </x:c>
      <x:c r="I870" t="n">
        <x:f>G870-H870</x:f>
        <x:v>0</x:v>
      </x:c>
      <x:c r="J870" s="20" t="n">
        <x:f>IFERROR(H870/G870,0)</x:f>
        <x:v>1</x:v>
      </x:c>
      <x:c r="K870" t="n">
        <x:v>22483</x:v>
      </x:c>
      <x:c r="L870" t="n">
        <x:v>22510.75</x:v>
      </x:c>
      <x:c r="M870" t="n">
        <x:v>22536.5</x:v>
      </x:c>
      <x:c r="N870" t="n">
        <x:v>22584.25</x:v>
      </x:c>
      <x:c r="O870" t="n">
        <x:v>22678</x:v>
      </x:c>
    </x:row>
    <x:row r="871">
      <x:c r="A871" t="str">
        <x:v>Telangana</x:v>
      </x:c>
      <x:c r="B871" t="str">
        <x:v>All India except Central University</x:v>
      </x:c>
      <x:c r="C871" t="str">
        <x:v>200648</x:v>
      </x:c>
      <x:c r="D871" t="str">
        <x:v>GOVERNMENT MEDICAL COLLEGE VIKARABAD, ANANTHAGIRI HILLS VIKARABAD VIKARABAD DISTRICT TELANGANA 501101</x:v>
      </x:c>
      <x:c r="E871" t="str">
        <x:v>All India</x:v>
      </x:c>
      <x:c r="F871" t="str">
        <x:v>Open</x:v>
      </x:c>
      <x:c r="G871" t="n">
        <x:v>6</x:v>
      </x:c>
      <x:c r="H871" t="n">
        <x:v>6</x:v>
      </x:c>
      <x:c r="I871" t="n">
        <x:f>G871-H871</x:f>
        <x:v>0</x:v>
      </x:c>
      <x:c r="J871" s="20" t="n">
        <x:f>IFERROR(H871/G871,0)</x:f>
        <x:v>1</x:v>
      </x:c>
      <x:c r="K871" t="n">
        <x:v>17727</x:v>
      </x:c>
      <x:c r="L871" t="n">
        <x:v>20145.5</x:v>
      </x:c>
      <x:c r="M871" t="n">
        <x:v>20792.5</x:v>
      </x:c>
      <x:c r="N871" t="n">
        <x:v>21537.75</x:v>
      </x:c>
      <x:c r="O871" t="n">
        <x:v>21921</x:v>
      </x:c>
    </x:row>
    <x:row r="872">
      <x:c r="A872" t="str">
        <x:v>Telangana</x:v>
      </x:c>
      <x:c r="B872" t="str">
        <x:v>All India except Central University</x:v>
      </x:c>
      <x:c r="C872" t="str">
        <x:v>200648</x:v>
      </x:c>
      <x:c r="D872" t="str">
        <x:v>GOVERNMENT MEDICAL COLLEGE VIKARABAD, ANANTHAGIRI HILLS VIKARABAD VIKARABAD DISTRICT TELANGANA 501101</x:v>
      </x:c>
      <x:c r="E872" t="str">
        <x:v>All India</x:v>
      </x:c>
      <x:c r="F872" t="str">
        <x:v>SC</x:v>
      </x:c>
      <x:c r="G872" t="n">
        <x:v>2</x:v>
      </x:c>
      <x:c r="H872" t="n">
        <x:v>2</x:v>
      </x:c>
      <x:c r="I872" t="n">
        <x:f>G872-H872</x:f>
        <x:v>0</x:v>
      </x:c>
      <x:c r="J872" s="20" t="n">
        <x:f>IFERROR(H872/G872,0)</x:f>
        <x:v>1</x:v>
      </x:c>
      <x:c r="K872" t="n">
        <x:v>97662</x:v>
      </x:c>
      <x:c r="L872" t="n">
        <x:v>98035.75</x:v>
      </x:c>
      <x:c r="M872" t="n">
        <x:v>98409.5</x:v>
      </x:c>
      <x:c r="N872" t="n">
        <x:v>98783.25</x:v>
      </x:c>
      <x:c r="O872" t="n">
        <x:v>99157</x:v>
      </x:c>
    </x:row>
    <x:row r="873">
      <x:c r="A873" t="str">
        <x:v>Telangana</x:v>
      </x:c>
      <x:c r="B873" t="str">
        <x:v>All India except Central University</x:v>
      </x:c>
      <x:c r="C873" t="str">
        <x:v>200648</x:v>
      </x:c>
      <x:c r="D873" t="str">
        <x:v>GOVERNMENT MEDICAL COLLEGE VIKARABAD, ANANTHAGIRI HILLS VIKARABAD VIKARABAD DISTRICT TELANGANA 501101</x:v>
      </x:c>
      <x:c r="E873" t="str">
        <x:v>All India</x:v>
      </x:c>
      <x:c r="F873" t="str">
        <x:v>ST</x:v>
      </x:c>
      <x:c r="G873" t="n">
        <x:v>1</x:v>
      </x:c>
      <x:c r="H873" t="n">
        <x:v>1</x:v>
      </x:c>
      <x:c r="I873" t="n">
        <x:f>G873-H873</x:f>
        <x:v>0</x:v>
      </x:c>
      <x:c r="J873" s="20" t="n">
        <x:f>IFERROR(H873/G873,0)</x:f>
        <x:v>1</x:v>
      </x:c>
      <x:c r="K873" t="n">
        <x:v>109260</x:v>
      </x:c>
      <x:c r="L873" t="n">
        <x:v>109260</x:v>
      </x:c>
      <x:c r="M873" t="n">
        <x:v>109260</x:v>
      </x:c>
      <x:c r="N873" t="n">
        <x:v>109260</x:v>
      </x:c>
      <x:c r="O873" t="n">
        <x:v>109260</x:v>
      </x:c>
    </x:row>
    <x:row r="874">
      <x:c r="A874" t="str">
        <x:v>Telangana</x:v>
      </x:c>
      <x:c r="B874" t="str">
        <x:v>All India except Central University</x:v>
      </x:c>
      <x:c r="C874" t="str">
        <x:v>904356</x:v>
      </x:c>
      <x:c r="D874" t="str">
        <x:v>GOVERNMENT MEDICAL COLLEGE, KODANGAL, SURVEY NO 51 KOKAT BESIDE MOTHER AND CHILD HOSPITAL TANDUR VIKARABAD DISTRICT TELANGANA 501141 gmc</x:v>
      </x:c>
      <x:c r="E874" t="str">
        <x:v>All India</x:v>
      </x:c>
      <x:c r="F874" t="str">
        <x:v>EWS</x:v>
      </x:c>
      <x:c r="G874" t="n">
        <x:v>1</x:v>
      </x:c>
      <x:c r="H874" t="n">
        <x:v>1</x:v>
      </x:c>
      <x:c r="I874" t="n">
        <x:f>G874-H874</x:f>
        <x:v>0</x:v>
      </x:c>
      <x:c r="J874" s="20" t="n">
        <x:f>IFERROR(H874/G874,0)</x:f>
        <x:v>1</x:v>
      </x:c>
      <x:c r="K874" t="n">
        <x:v>26848</x:v>
      </x:c>
      <x:c r="L874" t="n">
        <x:v>26848</x:v>
      </x:c>
      <x:c r="M874" t="n">
        <x:v>26848</x:v>
      </x:c>
      <x:c r="N874" t="n">
        <x:v>26848</x:v>
      </x:c>
      <x:c r="O874" t="n">
        <x:v>26848</x:v>
      </x:c>
    </x:row>
    <x:row r="875">
      <x:c r="A875" t="str">
        <x:v>Telangana</x:v>
      </x:c>
      <x:c r="B875" t="str">
        <x:v>All India except Central University</x:v>
      </x:c>
      <x:c r="C875" t="str">
        <x:v>904356</x:v>
      </x:c>
      <x:c r="D875" t="str">
        <x:v>GOVERNMENT MEDICAL COLLEGE, KODANGAL, SURVEY NO 51 KOKAT BESIDE MOTHER AND CHILD HOSPITAL TANDUR VIKARABAD DISTRICT TELANGANA 501141 gmc</x:v>
      </x:c>
      <x:c r="E875" t="str">
        <x:v>All India</x:v>
      </x:c>
      <x:c r="F875" t="str">
        <x:v>OBC</x:v>
      </x:c>
      <x:c r="G875" t="n">
        <x:v>2</x:v>
      </x:c>
      <x:c r="H875" t="n">
        <x:v>2</x:v>
      </x:c>
      <x:c r="I875" t="n">
        <x:f>G875-H875</x:f>
        <x:v>0</x:v>
      </x:c>
      <x:c r="J875" s="20" t="n">
        <x:f>IFERROR(H875/G875,0)</x:f>
        <x:v>1</x:v>
      </x:c>
      <x:c r="K875" t="n">
        <x:v>22303</x:v>
      </x:c>
      <x:c r="L875" t="n">
        <x:v>22323.75</x:v>
      </x:c>
      <x:c r="M875" t="n">
        <x:v>22344.5</x:v>
      </x:c>
      <x:c r="N875" t="n">
        <x:v>22365.25</x:v>
      </x:c>
      <x:c r="O875" t="n">
        <x:v>22386</x:v>
      </x:c>
    </x:row>
    <x:row r="876">
      <x:c r="A876" t="str">
        <x:v>Telangana</x:v>
      </x:c>
      <x:c r="B876" t="str">
        <x:v>All India except Central University</x:v>
      </x:c>
      <x:c r="C876" t="str">
        <x:v>904356</x:v>
      </x:c>
      <x:c r="D876" t="str">
        <x:v>GOVERNMENT MEDICAL COLLEGE, KODANGAL, SURVEY NO 51 KOKAT BESIDE MOTHER AND CHILD HOSPITAL TANDUR VIKARABAD DISTRICT TELANGANA 501141 gmc</x:v>
      </x:c>
      <x:c r="E876" t="str">
        <x:v>All India</x:v>
      </x:c>
      <x:c r="F876" t="str">
        <x:v>Open</x:v>
      </x:c>
      <x:c r="G876" t="n">
        <x:v>3</x:v>
      </x:c>
      <x:c r="H876" t="n">
        <x:v>3</x:v>
      </x:c>
      <x:c r="I876" t="n">
        <x:f>G876-H876</x:f>
        <x:v>0</x:v>
      </x:c>
      <x:c r="J876" s="20" t="n">
        <x:f>IFERROR(H876/G876,0)</x:f>
        <x:v>1</x:v>
      </x:c>
      <x:c r="K876" t="n">
        <x:v>18167</x:v>
      </x:c>
      <x:c r="L876" t="n">
        <x:v>20076</x:v>
      </x:c>
      <x:c r="M876" t="n">
        <x:v>21985</x:v>
      </x:c>
      <x:c r="N876" t="n">
        <x:v>22110</x:v>
      </x:c>
      <x:c r="O876" t="n">
        <x:v>22235</x:v>
      </x:c>
    </x:row>
    <x:row r="877">
      <x:c r="A877" t="str">
        <x:v>Telangana</x:v>
      </x:c>
      <x:c r="B877" t="str">
        <x:v>All India except Central University</x:v>
      </x:c>
      <x:c r="C877" t="str">
        <x:v>904356</x:v>
      </x:c>
      <x:c r="D877" t="str">
        <x:v>GOVERNMENT MEDICAL COLLEGE, KODANGAL, SURVEY NO 51 KOKAT BESIDE MOTHER AND CHILD HOSPITAL TANDUR VIKARABAD DISTRICT TELANGANA 501141 gmc</x:v>
      </x:c>
      <x:c r="E877" t="str">
        <x:v>All India</x:v>
      </x:c>
      <x:c r="F877" t="str">
        <x:v>SC</x:v>
      </x:c>
      <x:c r="G877" t="n">
        <x:v>1</x:v>
      </x:c>
      <x:c r="H877" t="n">
        <x:v>1</x:v>
      </x:c>
      <x:c r="I877" t="n">
        <x:f>G877-H877</x:f>
        <x:v>0</x:v>
      </x:c>
      <x:c r="J877" s="20" t="n">
        <x:f>IFERROR(H877/G877,0)</x:f>
        <x:v>1</x:v>
      </x:c>
      <x:c r="K877" t="n">
        <x:v>67198</x:v>
      </x:c>
      <x:c r="L877" t="n">
        <x:v>67198</x:v>
      </x:c>
      <x:c r="M877" t="n">
        <x:v>67198</x:v>
      </x:c>
      <x:c r="N877" t="n">
        <x:v>67198</x:v>
      </x:c>
      <x:c r="O877" t="n">
        <x:v>67198</x:v>
      </x:c>
    </x:row>
    <x:row r="878">
      <x:c r="A878" t="str">
        <x:v>Uttar Pradesh</x:v>
      </x:c>
      <x:c r="B878" t="str">
        <x:v>All India except Central University</x:v>
      </x:c>
      <x:c r="C878" t="str">
        <x:v>200289</x:v>
      </x:c>
      <x:c r="D878" t="str">
        <x:v>GSVM Medical College, Kanpur, G.S.V.M Medical College Kanpur Swaroop Nagar Kanpur U.P 208002</x:v>
      </x:c>
      <x:c r="E878" t="str">
        <x:v>All India</x:v>
      </x:c>
      <x:c r="F878" t="str">
        <x:v>EWS</x:v>
      </x:c>
      <x:c r="G878" t="n">
        <x:v>3</x:v>
      </x:c>
      <x:c r="H878" t="n">
        <x:v>3</x:v>
      </x:c>
      <x:c r="I878" t="n">
        <x:f>G878-H878</x:f>
        <x:v>0</x:v>
      </x:c>
      <x:c r="J878" s="20" t="n">
        <x:f>IFERROR(H878/G878,0)</x:f>
        <x:v>1</x:v>
      </x:c>
      <x:c r="K878" t="n">
        <x:v>4718</x:v>
      </x:c>
      <x:c r="L878" t="n">
        <x:v>4724</x:v>
      </x:c>
      <x:c r="M878" t="n">
        <x:v>4730</x:v>
      </x:c>
      <x:c r="N878" t="n">
        <x:v>4898</x:v>
      </x:c>
      <x:c r="O878" t="n">
        <x:v>5066</x:v>
      </x:c>
    </x:row>
    <x:row r="879">
      <x:c r="A879" t="str">
        <x:v>Uttar Pradesh</x:v>
      </x:c>
      <x:c r="B879" t="str">
        <x:v>All India except Central University</x:v>
      </x:c>
      <x:c r="C879" t="str">
        <x:v>200289</x:v>
      </x:c>
      <x:c r="D879" t="str">
        <x:v>GSVM Medical College, Kanpur, G.S.V.M Medical College Kanpur Swaroop Nagar Kanpur U.P 208002</x:v>
      </x:c>
      <x:c r="E879" t="str">
        <x:v>All India</x:v>
      </x:c>
      <x:c r="F879" t="str">
        <x:v>OBC</x:v>
      </x:c>
      <x:c r="G879" t="n">
        <x:v>10</x:v>
      </x:c>
      <x:c r="H879" t="n">
        <x:v>10</x:v>
      </x:c>
      <x:c r="I879" t="n">
        <x:f>G879-H879</x:f>
        <x:v>0</x:v>
      </x:c>
      <x:c r="J879" s="20" t="n">
        <x:f>IFERROR(H879/G879,0)</x:f>
        <x:v>1</x:v>
      </x:c>
      <x:c r="K879" t="n">
        <x:v>4695</x:v>
      </x:c>
      <x:c r="L879" t="n">
        <x:v>4903.25</x:v>
      </x:c>
      <x:c r="M879" t="n">
        <x:v>5167</x:v>
      </x:c>
      <x:c r="N879" t="n">
        <x:v>5342.5</x:v>
      </x:c>
      <x:c r="O879" t="n">
        <x:v>5522</x:v>
      </x:c>
    </x:row>
    <x:row r="880">
      <x:c r="A880" t="str">
        <x:v>Uttar Pradesh</x:v>
      </x:c>
      <x:c r="B880" t="str">
        <x:v>All India except Central University</x:v>
      </x:c>
      <x:c r="C880" t="str">
        <x:v>200289</x:v>
      </x:c>
      <x:c r="D880" t="str">
        <x:v>GSVM Medical College, Kanpur, G.S.V.M Medical College Kanpur Swaroop Nagar Kanpur U.P 208002</x:v>
      </x:c>
      <x:c r="E880" t="str">
        <x:v>All India</x:v>
      </x:c>
      <x:c r="F880" t="str">
        <x:v>Open</x:v>
      </x:c>
      <x:c r="G880" t="n">
        <x:v>16</x:v>
      </x:c>
      <x:c r="H880" t="n">
        <x:v>16</x:v>
      </x:c>
      <x:c r="I880" t="n">
        <x:f>G880-H880</x:f>
        <x:v>0</x:v>
      </x:c>
      <x:c r="J880" s="20" t="n">
        <x:f>IFERROR(H880/G880,0)</x:f>
        <x:v>1</x:v>
      </x:c>
      <x:c r="K880" t="n">
        <x:v>1720</x:v>
      </x:c>
      <x:c r="L880" t="n">
        <x:v>3557.75</x:v>
      </x:c>
      <x:c r="M880" t="n">
        <x:v>3748.5</x:v>
      </x:c>
      <x:c r="N880" t="n">
        <x:v>3967.75</x:v>
      </x:c>
      <x:c r="O880" t="n">
        <x:v>4422</x:v>
      </x:c>
    </x:row>
    <x:row r="881">
      <x:c r="A881" t="str">
        <x:v>Uttar Pradesh</x:v>
      </x:c>
      <x:c r="B881" t="str">
        <x:v>All India except Central University</x:v>
      </x:c>
      <x:c r="C881" t="str">
        <x:v>200289</x:v>
      </x:c>
      <x:c r="D881" t="str">
        <x:v>GSVM Medical College, Kanpur, G.S.V.M Medical College Kanpur Swaroop Nagar Kanpur U.P 208002</x:v>
      </x:c>
      <x:c r="E881" t="str">
        <x:v>All India</x:v>
      </x:c>
      <x:c r="F881" t="str">
        <x:v>SC</x:v>
      </x:c>
      <x:c r="G881" t="n">
        <x:v>6</x:v>
      </x:c>
      <x:c r="H881" t="n">
        <x:v>6</x:v>
      </x:c>
      <x:c r="I881" t="n">
        <x:f>G881-H881</x:f>
        <x:v>0</x:v>
      </x:c>
      <x:c r="J881" s="20" t="n">
        <x:f>IFERROR(H881/G881,0)</x:f>
        <x:v>1</x:v>
      </x:c>
      <x:c r="K881" t="n">
        <x:v>29398</x:v>
      </x:c>
      <x:c r="L881" t="n">
        <x:v>34109</x:v>
      </x:c>
      <x:c r="M881" t="n">
        <x:v>38597</x:v>
      </x:c>
      <x:c r="N881" t="n">
        <x:v>39364.25</x:v>
      </x:c>
      <x:c r="O881" t="n">
        <x:v>39730</x:v>
      </x:c>
    </x:row>
    <x:row r="882">
      <x:c r="A882" t="str">
        <x:v>Uttar Pradesh</x:v>
      </x:c>
      <x:c r="B882" t="str">
        <x:v>All India except Central University</x:v>
      </x:c>
      <x:c r="C882" t="str">
        <x:v>200289</x:v>
      </x:c>
      <x:c r="D882" t="str">
        <x:v>GSVM Medical College, Kanpur, G.S.V.M Medical College Kanpur Swaroop Nagar Kanpur U.P 208002</x:v>
      </x:c>
      <x:c r="E882" t="str">
        <x:v>All India</x:v>
      </x:c>
      <x:c r="F882" t="str">
        <x:v>ST</x:v>
      </x:c>
      <x:c r="G882" t="n">
        <x:v>2</x:v>
      </x:c>
      <x:c r="H882" t="n">
        <x:v>2</x:v>
      </x:c>
      <x:c r="I882" t="n">
        <x:f>G882-H882</x:f>
        <x:v>0</x:v>
      </x:c>
      <x:c r="J882" s="20" t="n">
        <x:f>IFERROR(H882/G882,0)</x:f>
        <x:v>1</x:v>
      </x:c>
      <x:c r="K882" t="n">
        <x:v>46132</x:v>
      </x:c>
      <x:c r="L882" t="n">
        <x:v>48404.25</x:v>
      </x:c>
      <x:c r="M882" t="n">
        <x:v>50676.5</x:v>
      </x:c>
      <x:c r="N882" t="n">
        <x:v>52948.75</x:v>
      </x:c>
      <x:c r="O882" t="n">
        <x:v>55221</x:v>
      </x:c>
    </x:row>
    <x:row r="883">
      <x:c r="A883" t="str">
        <x:v>Madhya Pradesh</x:v>
      </x:c>
      <x:c r="B883" t="str">
        <x:v>All India except Central University</x:v>
      </x:c>
      <x:c r="C883" t="str">
        <x:v>200199</x:v>
      </x:c>
      <x:c r="D883" t="str">
        <x:v>Gajra Raja Medical College, Gwalior, VEER SAVARKAR ROAD, GWALIOR</x:v>
      </x:c>
      <x:c r="E883" t="str">
        <x:v>All India</x:v>
      </x:c>
      <x:c r="F883" t="str">
        <x:v>EWS</x:v>
      </x:c>
      <x:c r="G883" t="n">
        <x:v>4</x:v>
      </x:c>
      <x:c r="H883" t="n">
        <x:v>4</x:v>
      </x:c>
      <x:c r="I883" t="n">
        <x:f>G883-H883</x:f>
        <x:v>0</x:v>
      </x:c>
      <x:c r="J883" s="20" t="n">
        <x:f>IFERROR(H883/G883,0)</x:f>
        <x:v>1</x:v>
      </x:c>
      <x:c r="K883" t="n">
        <x:v>8034</x:v>
      </x:c>
      <x:c r="L883" t="n">
        <x:v>8217.75</x:v>
      </x:c>
      <x:c r="M883" t="n">
        <x:v>8397.5</x:v>
      </x:c>
      <x:c r="N883" t="n">
        <x:v>8748</x:v>
      </x:c>
      <x:c r="O883" t="n">
        <x:v>9444</x:v>
      </x:c>
    </x:row>
    <x:row r="884">
      <x:c r="A884" t="str">
        <x:v>Madhya Pradesh</x:v>
      </x:c>
      <x:c r="B884" t="str">
        <x:v>All India except Central University</x:v>
      </x:c>
      <x:c r="C884" t="str">
        <x:v>200199</x:v>
      </x:c>
      <x:c r="D884" t="str">
        <x:v>Gajra Raja Medical College, Gwalior, VEER SAVARKAR ROAD, GWALIOR</x:v>
      </x:c>
      <x:c r="E884" t="str">
        <x:v>All India</x:v>
      </x:c>
      <x:c r="F884" t="str">
        <x:v>OBC</x:v>
      </x:c>
      <x:c r="G884" t="n">
        <x:v>10</x:v>
      </x:c>
      <x:c r="H884" t="n">
        <x:v>10</x:v>
      </x:c>
      <x:c r="I884" t="n">
        <x:f>G884-H884</x:f>
        <x:v>0</x:v>
      </x:c>
      <x:c r="J884" s="20" t="n">
        <x:f>IFERROR(H884/G884,0)</x:f>
        <x:v>1</x:v>
      </x:c>
      <x:c r="K884" t="n">
        <x:v>6657</x:v>
      </x:c>
      <x:c r="L884" t="n">
        <x:v>7056.25</x:v>
      </x:c>
      <x:c r="M884" t="n">
        <x:v>7446.5</x:v>
      </x:c>
      <x:c r="N884" t="n">
        <x:v>7717.25</x:v>
      </x:c>
      <x:c r="O884" t="n">
        <x:v>7949</x:v>
      </x:c>
    </x:row>
    <x:row r="885">
      <x:c r="A885" t="str">
        <x:v>Madhya Pradesh</x:v>
      </x:c>
      <x:c r="B885" t="str">
        <x:v>All India except Central University</x:v>
      </x:c>
      <x:c r="C885" t="str">
        <x:v>200199</x:v>
      </x:c>
      <x:c r="D885" t="str">
        <x:v>Gajra Raja Medical College, Gwalior, VEER SAVARKAR ROAD, GWALIOR</x:v>
      </x:c>
      <x:c r="E885" t="str">
        <x:v>All India</x:v>
      </x:c>
      <x:c r="F885" t="str">
        <x:v>Open</x:v>
      </x:c>
      <x:c r="G885" t="n">
        <x:v>13</x:v>
      </x:c>
      <x:c r="H885" t="n">
        <x:v>13</x:v>
      </x:c>
      <x:c r="I885" t="n">
        <x:f>G885-H885</x:f>
        <x:v>0</x:v>
      </x:c>
      <x:c r="J885" s="20" t="n">
        <x:f>IFERROR(H885/G885,0)</x:f>
        <x:v>1</x:v>
      </x:c>
      <x:c r="K885" t="n">
        <x:v>4112</x:v>
      </x:c>
      <x:c r="L885" t="n">
        <x:v>5379</x:v>
      </x:c>
      <x:c r="M885" t="n">
        <x:v>5746</x:v>
      </x:c>
      <x:c r="N885" t="n">
        <x:v>6249</x:v>
      </x:c>
      <x:c r="O885" t="n">
        <x:v>6548</x:v>
      </x:c>
    </x:row>
    <x:row r="886">
      <x:c r="A886" t="str">
        <x:v>Madhya Pradesh</x:v>
      </x:c>
      <x:c r="B886" t="str">
        <x:v>All India except Central University</x:v>
      </x:c>
      <x:c r="C886" t="str">
        <x:v>200199</x:v>
      </x:c>
      <x:c r="D886" t="str">
        <x:v>Gajra Raja Medical College, Gwalior, VEER SAVARKAR ROAD, GWALIOR</x:v>
      </x:c>
      <x:c r="E886" t="str">
        <x:v>All India</x:v>
      </x:c>
      <x:c r="F886" t="str">
        <x:v>Open PwD</x:v>
      </x:c>
      <x:c r="G886" t="n">
        <x:v>1</x:v>
      </x:c>
      <x:c r="H886" t="n">
        <x:v>1</x:v>
      </x:c>
      <x:c r="I886" t="n">
        <x:f>G886-H886</x:f>
        <x:v>0</x:v>
      </x:c>
      <x:c r="J886" s="20" t="n">
        <x:f>IFERROR(H886/G886,0)</x:f>
        <x:v>1</x:v>
      </x:c>
      <x:c r="K886" t="n">
        <x:v>337435</x:v>
      </x:c>
      <x:c r="L886" t="n">
        <x:v>337435</x:v>
      </x:c>
      <x:c r="M886" t="n">
        <x:v>337435</x:v>
      </x:c>
      <x:c r="N886" t="n">
        <x:v>337435</x:v>
      </x:c>
      <x:c r="O886" t="n">
        <x:v>337435</x:v>
      </x:c>
    </x:row>
    <x:row r="887">
      <x:c r="A887" t="str">
        <x:v>Madhya Pradesh</x:v>
      </x:c>
      <x:c r="B887" t="str">
        <x:v>All India except Central University</x:v>
      </x:c>
      <x:c r="C887" t="str">
        <x:v>200199</x:v>
      </x:c>
      <x:c r="D887" t="str">
        <x:v>Gajra Raja Medical College, Gwalior, VEER SAVARKAR ROAD, GWALIOR</x:v>
      </x:c>
      <x:c r="E887" t="str">
        <x:v>All India</x:v>
      </x:c>
      <x:c r="F887" t="str">
        <x:v>SC</x:v>
      </x:c>
      <x:c r="G887" t="n">
        <x:v>6</x:v>
      </x:c>
      <x:c r="H887" t="n">
        <x:v>6</x:v>
      </x:c>
      <x:c r="I887" t="n">
        <x:f>G887-H887</x:f>
        <x:v>0</x:v>
      </x:c>
      <x:c r="J887" s="20" t="n">
        <x:f>IFERROR(H887/G887,0)</x:f>
        <x:v>1</x:v>
      </x:c>
      <x:c r="K887" t="n">
        <x:v>22860</x:v>
      </x:c>
      <x:c r="L887" t="n">
        <x:v>28082</x:v>
      </x:c>
      <x:c r="M887" t="n">
        <x:v>30984.5</x:v>
      </x:c>
      <x:c r="N887" t="n">
        <x:v>40692.5</x:v>
      </x:c>
      <x:c r="O887" t="n">
        <x:v>44214</x:v>
      </x:c>
    </x:row>
    <x:row r="888">
      <x:c r="A888" t="str">
        <x:v>Madhya Pradesh</x:v>
      </x:c>
      <x:c r="B888" t="str">
        <x:v>All India except Central University</x:v>
      </x:c>
      <x:c r="C888" t="str">
        <x:v>200199</x:v>
      </x:c>
      <x:c r="D888" t="str">
        <x:v>Gajra Raja Medical College, Gwalior, VEER SAVARKAR ROAD, GWALIOR</x:v>
      </x:c>
      <x:c r="E888" t="str">
        <x:v>All India</x:v>
      </x:c>
      <x:c r="F888" t="str">
        <x:v>ST</x:v>
      </x:c>
      <x:c r="G888" t="n">
        <x:v>3</x:v>
      </x:c>
      <x:c r="H888" t="n">
        <x:v>3</x:v>
      </x:c>
      <x:c r="I888" t="n">
        <x:f>G888-H888</x:f>
        <x:v>0</x:v>
      </x:c>
      <x:c r="J888" s="20" t="n">
        <x:f>IFERROR(H888/G888,0)</x:f>
        <x:v>1</x:v>
      </x:c>
      <x:c r="K888" t="n">
        <x:v>61060</x:v>
      </x:c>
      <x:c r="L888" t="n">
        <x:v>62003.5</x:v>
      </x:c>
      <x:c r="M888" t="n">
        <x:v>62947</x:v>
      </x:c>
      <x:c r="N888" t="n">
        <x:v>63609</x:v>
      </x:c>
      <x:c r="O888" t="n">
        <x:v>64271</x:v>
      </x:c>
    </x:row>
    <x:row r="889">
      <x:c r="A889" t="str">
        <x:v>Madhya Pradesh</x:v>
      </x:c>
      <x:c r="B889" t="str">
        <x:v>All India except Central University</x:v>
      </x:c>
      <x:c r="C889" t="str">
        <x:v>200200</x:v>
      </x:c>
      <x:c r="D889" t="str">
        <x:v>Gandhi Medical College, Bhopal, Royal Market Sultania Road Bhopal</x:v>
      </x:c>
      <x:c r="E889" t="str">
        <x:v>All India</x:v>
      </x:c>
      <x:c r="F889" t="str">
        <x:v>EWS</x:v>
      </x:c>
      <x:c r="G889" t="n">
        <x:v>4</x:v>
      </x:c>
      <x:c r="H889" t="n">
        <x:v>4</x:v>
      </x:c>
      <x:c r="I889" t="n">
        <x:f>G889-H889</x:f>
        <x:v>0</x:v>
      </x:c>
      <x:c r="J889" s="20" t="n">
        <x:f>IFERROR(H889/G889,0)</x:f>
        <x:v>1</x:v>
      </x:c>
      <x:c r="K889" t="n">
        <x:v>6530</x:v>
      </x:c>
      <x:c r="L889" t="n">
        <x:v>6549.5</x:v>
      </x:c>
      <x:c r="M889" t="n">
        <x:v>6594.5</x:v>
      </x:c>
      <x:c r="N889" t="n">
        <x:v>6722.25</x:v>
      </x:c>
      <x:c r="O889" t="n">
        <x:v>6990</x:v>
      </x:c>
    </x:row>
    <x:row r="890">
      <x:c r="A890" t="str">
        <x:v>Madhya Pradesh</x:v>
      </x:c>
      <x:c r="B890" t="str">
        <x:v>All India except Central University</x:v>
      </x:c>
      <x:c r="C890" t="str">
        <x:v>200200</x:v>
      </x:c>
      <x:c r="D890" t="str">
        <x:v>Gandhi Medical College, Bhopal, Royal Market Sultania Road Bhopal</x:v>
      </x:c>
      <x:c r="E890" t="str">
        <x:v>All India</x:v>
      </x:c>
      <x:c r="F890" t="str">
        <x:v>OBC</x:v>
      </x:c>
      <x:c r="G890" t="n">
        <x:v>9</x:v>
      </x:c>
      <x:c r="H890" t="n">
        <x:v>9</x:v>
      </x:c>
      <x:c r="I890" t="n">
        <x:f>G890-H890</x:f>
        <x:v>0</x:v>
      </x:c>
      <x:c r="J890" s="20" t="n">
        <x:f>IFERROR(H890/G890,0)</x:f>
        <x:v>1</x:v>
      </x:c>
      <x:c r="K890" t="n">
        <x:v>5433</x:v>
      </x:c>
      <x:c r="L890" t="n">
        <x:v>5897</x:v>
      </x:c>
      <x:c r="M890" t="n">
        <x:v>6407</x:v>
      </x:c>
      <x:c r="N890" t="n">
        <x:v>6679</x:v>
      </x:c>
      <x:c r="O890" t="n">
        <x:v>6807</x:v>
      </x:c>
    </x:row>
    <x:row r="891">
      <x:c r="A891" t="str">
        <x:v>Madhya Pradesh</x:v>
      </x:c>
      <x:c r="B891" t="str">
        <x:v>All India except Central University</x:v>
      </x:c>
      <x:c r="C891" t="str">
        <x:v>200200</x:v>
      </x:c>
      <x:c r="D891" t="str">
        <x:v>Gandhi Medical College, Bhopal, Royal Market Sultania Road Bhopal</x:v>
      </x:c>
      <x:c r="E891" t="str">
        <x:v>All India</x:v>
      </x:c>
      <x:c r="F891" t="str">
        <x:v>OBC PwD</x:v>
      </x:c>
      <x:c r="G891" t="n">
        <x:v>1</x:v>
      </x:c>
      <x:c r="H891" t="n">
        <x:v>1</x:v>
      </x:c>
      <x:c r="I891" t="n">
        <x:f>G891-H891</x:f>
        <x:v>0</x:v>
      </x:c>
      <x:c r="J891" s="20" t="n">
        <x:f>IFERROR(H891/G891,0)</x:f>
        <x:v>1</x:v>
      </x:c>
      <x:c r="K891" t="n">
        <x:v>458399</x:v>
      </x:c>
      <x:c r="L891" t="n">
        <x:v>458399</x:v>
      </x:c>
      <x:c r="M891" t="n">
        <x:v>458399</x:v>
      </x:c>
      <x:c r="N891" t="n">
        <x:v>458399</x:v>
      </x:c>
      <x:c r="O891" t="n">
        <x:v>458399</x:v>
      </x:c>
    </x:row>
    <x:row r="892">
      <x:c r="A892" t="str">
        <x:v>Madhya Pradesh</x:v>
      </x:c>
      <x:c r="B892" t="str">
        <x:v>All India except Central University</x:v>
      </x:c>
      <x:c r="C892" t="str">
        <x:v>200200</x:v>
      </x:c>
      <x:c r="D892" t="str">
        <x:v>Gandhi Medical College, Bhopal, Royal Market Sultania Road Bhopal</x:v>
      </x:c>
      <x:c r="E892" t="str">
        <x:v>All India</x:v>
      </x:c>
      <x:c r="F892" t="str">
        <x:v>Open</x:v>
      </x:c>
      <x:c r="G892" t="n">
        <x:v>15</x:v>
      </x:c>
      <x:c r="H892" t="n">
        <x:v>15</x:v>
      </x:c>
      <x:c r="I892" t="n">
        <x:f>G892-H892</x:f>
        <x:v>0</x:v>
      </x:c>
      <x:c r="J892" s="20" t="n">
        <x:f>IFERROR(H892/G892,0)</x:f>
        <x:v>1</x:v>
      </x:c>
      <x:c r="K892" t="n">
        <x:v>2182</x:v>
      </x:c>
      <x:c r="L892" t="n">
        <x:v>3829</x:v>
      </x:c>
      <x:c r="M892" t="n">
        <x:v>4210</x:v>
      </x:c>
      <x:c r="N892" t="n">
        <x:v>4648</x:v>
      </x:c>
      <x:c r="O892" t="n">
        <x:v>5072</x:v>
      </x:c>
    </x:row>
    <x:row r="893">
      <x:c r="A893" t="str">
        <x:v>Madhya Pradesh</x:v>
      </x:c>
      <x:c r="B893" t="str">
        <x:v>All India except Central University</x:v>
      </x:c>
      <x:c r="C893" t="str">
        <x:v>200200</x:v>
      </x:c>
      <x:c r="D893" t="str">
        <x:v>Gandhi Medical College, Bhopal, Royal Market Sultania Road Bhopal</x:v>
      </x:c>
      <x:c r="E893" t="str">
        <x:v>All India</x:v>
      </x:c>
      <x:c r="F893" t="str">
        <x:v>SC</x:v>
      </x:c>
      <x:c r="G893" t="n">
        <x:v>5</x:v>
      </x:c>
      <x:c r="H893" t="n">
        <x:v>5</x:v>
      </x:c>
      <x:c r="I893" t="n">
        <x:f>G893-H893</x:f>
        <x:v>0</x:v>
      </x:c>
      <x:c r="J893" s="20" t="n">
        <x:f>IFERROR(H893/G893,0)</x:f>
        <x:v>1</x:v>
      </x:c>
      <x:c r="K893" t="n">
        <x:v>36401</x:v>
      </x:c>
      <x:c r="L893" t="n">
        <x:v>37365</x:v>
      </x:c>
      <x:c r="M893" t="n">
        <x:v>38455</x:v>
      </x:c>
      <x:c r="N893" t="n">
        <x:v>39502</x:v>
      </x:c>
      <x:c r="O893" t="n">
        <x:v>39526</x:v>
      </x:c>
    </x:row>
    <x:row r="894">
      <x:c r="A894" t="str">
        <x:v>Madhya Pradesh</x:v>
      </x:c>
      <x:c r="B894" t="str">
        <x:v>All India except Central University</x:v>
      </x:c>
      <x:c r="C894" t="str">
        <x:v>200200</x:v>
      </x:c>
      <x:c r="D894" t="str">
        <x:v>Gandhi Medical College, Bhopal, Royal Market Sultania Road Bhopal</x:v>
      </x:c>
      <x:c r="E894" t="str">
        <x:v>All India</x:v>
      </x:c>
      <x:c r="F894" t="str">
        <x:v>ST</x:v>
      </x:c>
      <x:c r="G894" t="n">
        <x:v>3</x:v>
      </x:c>
      <x:c r="H894" t="n">
        <x:v>3</x:v>
      </x:c>
      <x:c r="I894" t="n">
        <x:f>G894-H894</x:f>
        <x:v>0</x:v>
      </x:c>
      <x:c r="J894" s="20" t="n">
        <x:f>IFERROR(H894/G894,0)</x:f>
        <x:v>1</x:v>
      </x:c>
      <x:c r="K894" t="n">
        <x:v>47004</x:v>
      </x:c>
      <x:c r="L894" t="n">
        <x:v>47874.5</x:v>
      </x:c>
      <x:c r="M894" t="n">
        <x:v>48745</x:v>
      </x:c>
      <x:c r="N894" t="n">
        <x:v>49342.5</x:v>
      </x:c>
      <x:c r="O894" t="n">
        <x:v>49940</x:v>
      </x:c>
    </x:row>
    <x:row r="895">
      <x:c r="A895" t="str">
        <x:v>Telangana</x:v>
      </x:c>
      <x:c r="B895" t="str">
        <x:v>All India except Central University</x:v>
      </x:c>
      <x:c r="C895" t="str">
        <x:v>200445</x:v>
      </x:c>
      <x:c r="D895" t="str">
        <x:v>Gandhi Medical College, Secunderabad, MUSHEERABAD, SECUNDERABAD</x:v>
      </x:c>
      <x:c r="E895" t="str">
        <x:v>All India</x:v>
      </x:c>
      <x:c r="F895" t="str">
        <x:v>EWS</x:v>
      </x:c>
      <x:c r="G895" t="n">
        <x:v>3</x:v>
      </x:c>
      <x:c r="H895" t="n">
        <x:v>3</x:v>
      </x:c>
      <x:c r="I895" t="n">
        <x:f>G895-H895</x:f>
        <x:v>0</x:v>
      </x:c>
      <x:c r="J895" s="20" t="n">
        <x:f>IFERROR(H895/G895,0)</x:f>
        <x:v>1</x:v>
      </x:c>
      <x:c r="K895" t="n">
        <x:v>4349</x:v>
      </x:c>
      <x:c r="L895" t="n">
        <x:v>4443</x:v>
      </x:c>
      <x:c r="M895" t="n">
        <x:v>4537</x:v>
      </x:c>
      <x:c r="N895" t="n">
        <x:v>4614</x:v>
      </x:c>
      <x:c r="O895" t="n">
        <x:v>4691</x:v>
      </x:c>
    </x:row>
    <x:row r="896">
      <x:c r="A896" t="str">
        <x:v>Telangana</x:v>
      </x:c>
      <x:c r="B896" t="str">
        <x:v>All India except Central University</x:v>
      </x:c>
      <x:c r="C896" t="str">
        <x:v>200445</x:v>
      </x:c>
      <x:c r="D896" t="str">
        <x:v>Gandhi Medical College, Secunderabad, MUSHEERABAD, SECUNDERABAD</x:v>
      </x:c>
      <x:c r="E896" t="str">
        <x:v>All India</x:v>
      </x:c>
      <x:c r="F896" t="str">
        <x:v>OBC</x:v>
      </x:c>
      <x:c r="G896" t="n">
        <x:v>8</x:v>
      </x:c>
      <x:c r="H896" t="n">
        <x:v>8</x:v>
      </x:c>
      <x:c r="I896" t="n">
        <x:f>G896-H896</x:f>
        <x:v>0</x:v>
      </x:c>
      <x:c r="J896" s="20" t="n">
        <x:f>IFERROR(H896/G896,0)</x:f>
        <x:v>1</x:v>
      </x:c>
      <x:c r="K896" t="n">
        <x:v>2805</x:v>
      </x:c>
      <x:c r="L896" t="n">
        <x:v>3094.75</x:v>
      </x:c>
      <x:c r="M896" t="n">
        <x:v>3614.5</x:v>
      </x:c>
      <x:c r="N896" t="n">
        <x:v>3971.75</x:v>
      </x:c>
      <x:c r="O896" t="n">
        <x:v>4352</x:v>
      </x:c>
    </x:row>
    <x:row r="897">
      <x:c r="A897" t="str">
        <x:v>Telangana</x:v>
      </x:c>
      <x:c r="B897" t="str">
        <x:v>All India except Central University</x:v>
      </x:c>
      <x:c r="C897" t="str">
        <x:v>200445</x:v>
      </x:c>
      <x:c r="D897" t="str">
        <x:v>Gandhi Medical College, Secunderabad, MUSHEERABAD, SECUNDERABAD</x:v>
      </x:c>
      <x:c r="E897" t="str">
        <x:v>All India</x:v>
      </x:c>
      <x:c r="F897" t="str">
        <x:v>Open</x:v>
      </x:c>
      <x:c r="G897" t="n">
        <x:v>12</x:v>
      </x:c>
      <x:c r="H897" t="n">
        <x:v>12</x:v>
      </x:c>
      <x:c r="I897" t="n">
        <x:f>G897-H897</x:f>
        <x:v>0</x:v>
      </x:c>
      <x:c r="J897" s="20" t="n">
        <x:f>IFERROR(H897/G897,0)</x:f>
        <x:v>1</x:v>
      </x:c>
      <x:c r="K897" t="n">
        <x:v>1561</x:v>
      </x:c>
      <x:c r="L897" t="n">
        <x:v>1964</x:v>
      </x:c>
      <x:c r="M897" t="n">
        <x:v>2401</x:v>
      </x:c>
      <x:c r="N897" t="n">
        <x:v>2579.5</x:v>
      </x:c>
      <x:c r="O897" t="n">
        <x:v>2756</x:v>
      </x:c>
    </x:row>
    <x:row r="898">
      <x:c r="A898" t="str">
        <x:v>Telangana</x:v>
      </x:c>
      <x:c r="B898" t="str">
        <x:v>All India except Central University</x:v>
      </x:c>
      <x:c r="C898" t="str">
        <x:v>200445</x:v>
      </x:c>
      <x:c r="D898" t="str">
        <x:v>Gandhi Medical College, Secunderabad, MUSHEERABAD, SECUNDERABAD</x:v>
      </x:c>
      <x:c r="E898" t="str">
        <x:v>All India</x:v>
      </x:c>
      <x:c r="F898" t="str">
        <x:v>Open PwD</x:v>
      </x:c>
      <x:c r="G898" t="n">
        <x:v>1</x:v>
      </x:c>
      <x:c r="H898" t="n">
        <x:v>1</x:v>
      </x:c>
      <x:c r="I898" t="n">
        <x:f>G898-H898</x:f>
        <x:v>0</x:v>
      </x:c>
      <x:c r="J898" s="20" t="n">
        <x:f>IFERROR(H898/G898,0)</x:f>
        <x:v>1</x:v>
      </x:c>
      <x:c r="K898" t="n">
        <x:v>322326</x:v>
      </x:c>
      <x:c r="L898" t="n">
        <x:v>322326</x:v>
      </x:c>
      <x:c r="M898" t="n">
        <x:v>322326</x:v>
      </x:c>
      <x:c r="N898" t="n">
        <x:v>322326</x:v>
      </x:c>
      <x:c r="O898" t="n">
        <x:v>322326</x:v>
      </x:c>
    </x:row>
    <x:row r="899">
      <x:c r="A899" t="str">
        <x:v>Telangana</x:v>
      </x:c>
      <x:c r="B899" t="str">
        <x:v>All India except Central University</x:v>
      </x:c>
      <x:c r="C899" t="str">
        <x:v>200445</x:v>
      </x:c>
      <x:c r="D899" t="str">
        <x:v>Gandhi Medical College, Secunderabad, MUSHEERABAD, SECUNDERABAD</x:v>
      </x:c>
      <x:c r="E899" t="str">
        <x:v>All India</x:v>
      </x:c>
      <x:c r="F899" t="str">
        <x:v>SC</x:v>
      </x:c>
      <x:c r="G899" t="n">
        <x:v>4</x:v>
      </x:c>
      <x:c r="H899" t="n">
        <x:v>4</x:v>
      </x:c>
      <x:c r="I899" t="n">
        <x:f>G899-H899</x:f>
        <x:v>0</x:v>
      </x:c>
      <x:c r="J899" s="20" t="n">
        <x:f>IFERROR(H899/G899,0)</x:f>
        <x:v>1</x:v>
      </x:c>
      <x:c r="K899" t="n">
        <x:v>18175</x:v>
      </x:c>
      <x:c r="L899" t="n">
        <x:v>21955</x:v>
      </x:c>
      <x:c r="M899" t="n">
        <x:v>23657</x:v>
      </x:c>
      <x:c r="N899" t="n">
        <x:v>24823</x:v>
      </x:c>
      <x:c r="O899" t="n">
        <x:v>26995</x:v>
      </x:c>
    </x:row>
    <x:row r="900">
      <x:c r="A900" t="str">
        <x:v>Telangana</x:v>
      </x:c>
      <x:c r="B900" t="str">
        <x:v>All India except Central University</x:v>
      </x:c>
      <x:c r="C900" t="str">
        <x:v>200445</x:v>
      </x:c>
      <x:c r="D900" t="str">
        <x:v>Gandhi Medical College, Secunderabad, MUSHEERABAD, SECUNDERABAD</x:v>
      </x:c>
      <x:c r="E900" t="str">
        <x:v>All India</x:v>
      </x:c>
      <x:c r="F900" t="str">
        <x:v>ST</x:v>
      </x:c>
      <x:c r="G900" t="n">
        <x:v>2</x:v>
      </x:c>
      <x:c r="H900" t="n">
        <x:v>2</x:v>
      </x:c>
      <x:c r="I900" t="n">
        <x:f>G900-H900</x:f>
        <x:v>0</x:v>
      </x:c>
      <x:c r="J900" s="20" t="n">
        <x:f>IFERROR(H900/G900,0)</x:f>
        <x:v>1</x:v>
      </x:c>
      <x:c r="K900" t="n">
        <x:v>34485</x:v>
      </x:c>
      <x:c r="L900" t="n">
        <x:v>34564.25</x:v>
      </x:c>
      <x:c r="M900" t="n">
        <x:v>34643.5</x:v>
      </x:c>
      <x:c r="N900" t="n">
        <x:v>34722.75</x:v>
      </x:c>
      <x:c r="O900" t="n">
        <x:v>34802</x:v>
      </x:c>
    </x:row>
    <x:row r="901">
      <x:c r="A901" t="str">
        <x:v>Assam</x:v>
      </x:c>
      <x:c r="B901" t="str">
        <x:v>All India except Central University</x:v>
      </x:c>
      <x:c r="C901" t="str">
        <x:v>200104</x:v>
      </x:c>
      <x:c r="D901" t="str">
        <x:v>Gauhati Medical College, Guwahati, 7th, Floor Mother &amp; Child Hospital (MCH) Bhangagarh, Guwahati-781032, Assam.</x:v>
      </x:c>
      <x:c r="E901" t="str">
        <x:v>All India</x:v>
      </x:c>
      <x:c r="F901" t="str">
        <x:v>EWS</x:v>
      </x:c>
      <x:c r="G901" t="n">
        <x:v>4</x:v>
      </x:c>
      <x:c r="H901" t="n">
        <x:v>4</x:v>
      </x:c>
      <x:c r="I901" t="n">
        <x:f>G901-H901</x:f>
        <x:v>0</x:v>
      </x:c>
      <x:c r="J901" s="20" t="n">
        <x:f>IFERROR(H901/G901,0)</x:f>
        <x:v>1</x:v>
      </x:c>
      <x:c r="K901" t="n">
        <x:v>8274</x:v>
      </x:c>
      <x:c r="L901" t="n">
        <x:v>8953.5</x:v>
      </x:c>
      <x:c r="M901" t="n">
        <x:v>9541.5</x:v>
      </x:c>
      <x:c r="N901" t="n">
        <x:v>10045.75</x:v>
      </x:c>
      <x:c r="O901" t="n">
        <x:v>10474</x:v>
      </x:c>
    </x:row>
    <x:row r="902">
      <x:c r="A902" t="str">
        <x:v>Assam</x:v>
      </x:c>
      <x:c r="B902" t="str">
        <x:v>All India except Central University</x:v>
      </x:c>
      <x:c r="C902" t="str">
        <x:v>200104</x:v>
      </x:c>
      <x:c r="D902" t="str">
        <x:v>Gauhati Medical College, Guwahati, 7th, Floor Mother &amp; Child Hospital (MCH) Bhangagarh, Guwahati-781032, Assam.</x:v>
      </x:c>
      <x:c r="E902" t="str">
        <x:v>All India</x:v>
      </x:c>
      <x:c r="F902" t="str">
        <x:v>OBC</x:v>
      </x:c>
      <x:c r="G902" t="n">
        <x:v>10</x:v>
      </x:c>
      <x:c r="H902" t="n">
        <x:v>10</x:v>
      </x:c>
      <x:c r="I902" t="n">
        <x:f>G902-H902</x:f>
        <x:v>0</x:v>
      </x:c>
      <x:c r="J902" s="20" t="n">
        <x:f>IFERROR(H902/G902,0)</x:f>
        <x:v>1</x:v>
      </x:c>
      <x:c r="K902" t="n">
        <x:v>7107</x:v>
      </x:c>
      <x:c r="L902" t="n">
        <x:v>7390</x:v>
      </x:c>
      <x:c r="M902" t="n">
        <x:v>8753.5</x:v>
      </x:c>
      <x:c r="N902" t="n">
        <x:v>11117</x:v>
      </x:c>
      <x:c r="O902" t="n">
        <x:v>11617</x:v>
      </x:c>
    </x:row>
    <x:row r="903">
      <x:c r="A903" t="str">
        <x:v>Assam</x:v>
      </x:c>
      <x:c r="B903" t="str">
        <x:v>All India except Central University</x:v>
      </x:c>
      <x:c r="C903" t="str">
        <x:v>200104</x:v>
      </x:c>
      <x:c r="D903" t="str">
        <x:v>Gauhati Medical College, Guwahati, 7th, Floor Mother &amp; Child Hospital (MCH) Bhangagarh, Guwahati-781032, Assam.</x:v>
      </x:c>
      <x:c r="E903" t="str">
        <x:v>All India</x:v>
      </x:c>
      <x:c r="F903" t="str">
        <x:v>Open</x:v>
      </x:c>
      <x:c r="G903" t="n">
        <x:v>15</x:v>
      </x:c>
      <x:c r="H903" t="n">
        <x:v>15</x:v>
      </x:c>
      <x:c r="I903" t="n">
        <x:f>G903-H903</x:f>
        <x:v>0</x:v>
      </x:c>
      <x:c r="J903" s="20" t="n">
        <x:f>IFERROR(H903/G903,0)</x:f>
        <x:v>1</x:v>
      </x:c>
      <x:c r="K903" t="n">
        <x:v>3711</x:v>
      </x:c>
      <x:c r="L903" t="n">
        <x:v>4111</x:v>
      </x:c>
      <x:c r="M903" t="n">
        <x:v>4891</x:v>
      </x:c>
      <x:c r="N903" t="n">
        <x:v>5909</x:v>
      </x:c>
      <x:c r="O903" t="n">
        <x:v>6445</x:v>
      </x:c>
    </x:row>
    <x:row r="904">
      <x:c r="A904" t="str">
        <x:v>Assam</x:v>
      </x:c>
      <x:c r="B904" t="str">
        <x:v>All India except Central University</x:v>
      </x:c>
      <x:c r="C904" t="str">
        <x:v>200104</x:v>
      </x:c>
      <x:c r="D904" t="str">
        <x:v>Gauhati Medical College, Guwahati, 7th, Floor Mother &amp; Child Hospital (MCH) Bhangagarh, Guwahati-781032, Assam.</x:v>
      </x:c>
      <x:c r="E904" t="str">
        <x:v>All India</x:v>
      </x:c>
      <x:c r="F904" t="str">
        <x:v>SC</x:v>
      </x:c>
      <x:c r="G904" t="n">
        <x:v>4</x:v>
      </x:c>
      <x:c r="H904" t="n">
        <x:v>4</x:v>
      </x:c>
      <x:c r="I904" t="n">
        <x:f>G904-H904</x:f>
        <x:v>0</x:v>
      </x:c>
      <x:c r="J904" s="20" t="n">
        <x:f>IFERROR(H904/G904,0)</x:f>
        <x:v>1</x:v>
      </x:c>
      <x:c r="K904" t="n">
        <x:v>28321</x:v>
      </x:c>
      <x:c r="L904" t="n">
        <x:v>28678.75</x:v>
      </x:c>
      <x:c r="M904" t="n">
        <x:v>33551.5</x:v>
      </x:c>
      <x:c r="N904" t="n">
        <x:v>38379.75</x:v>
      </x:c>
      <x:c r="O904" t="n">
        <x:v>38604</x:v>
      </x:c>
    </x:row>
    <x:row r="905">
      <x:c r="A905" t="str">
        <x:v>Assam</x:v>
      </x:c>
      <x:c r="B905" t="str">
        <x:v>All India except Central University</x:v>
      </x:c>
      <x:c r="C905" t="str">
        <x:v>200104</x:v>
      </x:c>
      <x:c r="D905" t="str">
        <x:v>Gauhati Medical College, Guwahati, 7th, Floor Mother &amp; Child Hospital (MCH) Bhangagarh, Guwahati-781032, Assam.</x:v>
      </x:c>
      <x:c r="E905" t="str">
        <x:v>All India</x:v>
      </x:c>
      <x:c r="F905" t="str">
        <x:v>SC PwD</x:v>
      </x:c>
      <x:c r="G905" t="n">
        <x:v>1</x:v>
      </x:c>
      <x:c r="H905" t="n">
        <x:v>1</x:v>
      </x:c>
      <x:c r="I905" t="n">
        <x:f>G905-H905</x:f>
        <x:v>0</x:v>
      </x:c>
      <x:c r="J905" s="20" t="n">
        <x:f>IFERROR(H905/G905,0)</x:f>
        <x:v>1</x:v>
      </x:c>
      <x:c r="K905" t="n">
        <x:v>729767</x:v>
      </x:c>
      <x:c r="L905" t="n">
        <x:v>729767</x:v>
      </x:c>
      <x:c r="M905" t="n">
        <x:v>729767</x:v>
      </x:c>
      <x:c r="N905" t="n">
        <x:v>729767</x:v>
      </x:c>
      <x:c r="O905" t="n">
        <x:v>729767</x:v>
      </x:c>
    </x:row>
    <x:row r="906">
      <x:c r="A906" t="str">
        <x:v>Assam</x:v>
      </x:c>
      <x:c r="B906" t="str">
        <x:v>All India except Central University</x:v>
      </x:c>
      <x:c r="C906" t="str">
        <x:v>200104</x:v>
      </x:c>
      <x:c r="D906" t="str">
        <x:v>Gauhati Medical College, Guwahati, 7th, Floor Mother &amp; Child Hospital (MCH) Bhangagarh, Guwahati-781032, Assam.</x:v>
      </x:c>
      <x:c r="E906" t="str">
        <x:v>All India</x:v>
      </x:c>
      <x:c r="F906" t="str">
        <x:v>ST</x:v>
      </x:c>
      <x:c r="G906" t="n">
        <x:v>2</x:v>
      </x:c>
      <x:c r="H906" t="n">
        <x:v>2</x:v>
      </x:c>
      <x:c r="I906" t="n">
        <x:f>G906-H906</x:f>
        <x:v>0</x:v>
      </x:c>
      <x:c r="J906" s="20" t="n">
        <x:f>IFERROR(H906/G906,0)</x:f>
        <x:v>1</x:v>
      </x:c>
      <x:c r="K906" t="n">
        <x:v>45591</x:v>
      </x:c>
      <x:c r="L906" t="n">
        <x:v>46065.5</x:v>
      </x:c>
      <x:c r="M906" t="n">
        <x:v>46540</x:v>
      </x:c>
      <x:c r="N906" t="n">
        <x:v>47014.5</x:v>
      </x:c>
      <x:c r="O906" t="n">
        <x:v>47489</x:v>
      </x:c>
    </x:row>
    <x:row r="907">
      <x:c r="A907" t="str">
        <x:v>Assam</x:v>
      </x:c>
      <x:c r="B907" t="str">
        <x:v>All India except Central University</x:v>
      </x:c>
      <x:c r="C907" t="str">
        <x:v>200104</x:v>
      </x:c>
      <x:c r="D907" t="str">
        <x:v>Gauhati Medical College, Guwahati, 7th, Floor Mother &amp; Child Hospital (MCH) Bhangagarh, Guwahati-781032, Assam.</x:v>
      </x:c>
      <x:c r="E907" t="str">
        <x:v>All India</x:v>
      </x:c>
      <x:c r="F907" t="str">
        <x:v>ST PwD</x:v>
      </x:c>
      <x:c r="G907" t="n">
        <x:v>1</x:v>
      </x:c>
      <x:c r="H907" t="n">
        <x:v>1</x:v>
      </x:c>
      <x:c r="I907" t="n">
        <x:f>G907-H907</x:f>
        <x:v>0</x:v>
      </x:c>
      <x:c r="J907" s="20" t="n">
        <x:f>IFERROR(H907/G907,0)</x:f>
        <x:v>1</x:v>
      </x:c>
      <x:c r="K907" t="n">
        <x:v>995878</x:v>
      </x:c>
      <x:c r="L907" t="n">
        <x:v>995878</x:v>
      </x:c>
      <x:c r="M907" t="n">
        <x:v>995878</x:v>
      </x:c>
      <x:c r="N907" t="n">
        <x:v>995878</x:v>
      </x:c>
      <x:c r="O907" t="n">
        <x:v>995878</x:v>
      </x:c>
    </x:row>
    <x:row r="908">
      <x:c r="A908" t="str">
        <x:v>Goa</x:v>
      </x:c>
      <x:c r="B908" t="str">
        <x:v>All India except Central University</x:v>
      </x:c>
      <x:c r="C908" t="str">
        <x:v>200136</x:v>
      </x:c>
      <x:c r="D908" t="str">
        <x:v>Goa Medical College, Panaji, RAJIV GANDHI MEDICAL COMPLEX, BAMBOLIM, GOA</x:v>
      </x:c>
      <x:c r="E908" t="str">
        <x:v>All India</x:v>
      </x:c>
      <x:c r="F908" t="str">
        <x:v>EWS</x:v>
      </x:c>
      <x:c r="G908" t="n">
        <x:v>4</x:v>
      </x:c>
      <x:c r="H908" t="n">
        <x:v>4</x:v>
      </x:c>
      <x:c r="I908" t="n">
        <x:f>G908-H908</x:f>
        <x:v>0</x:v>
      </x:c>
      <x:c r="J908" s="20" t="n">
        <x:f>IFERROR(H908/G908,0)</x:f>
        <x:v>1</x:v>
      </x:c>
      <x:c r="K908" t="n">
        <x:v>10593</x:v>
      </x:c>
      <x:c r="L908" t="n">
        <x:v>10619.25</x:v>
      </x:c>
      <x:c r="M908" t="n">
        <x:v>11605.5</x:v>
      </x:c>
      <x:c r="N908" t="n">
        <x:v>12592.5</x:v>
      </x:c>
      <x:c r="O908" t="n">
        <x:v>12621</x:v>
      </x:c>
    </x:row>
    <x:row r="909">
      <x:c r="A909" t="str">
        <x:v>Goa</x:v>
      </x:c>
      <x:c r="B909" t="str">
        <x:v>All India except Central University</x:v>
      </x:c>
      <x:c r="C909" t="str">
        <x:v>200136</x:v>
      </x:c>
      <x:c r="D909" t="str">
        <x:v>Goa Medical College, Panaji, RAJIV GANDHI MEDICAL COMPLEX, BAMBOLIM, GOA</x:v>
      </x:c>
      <x:c r="E909" t="str">
        <x:v>All India</x:v>
      </x:c>
      <x:c r="F909" t="str">
        <x:v>OBC</x:v>
      </x:c>
      <x:c r="G909" t="n">
        <x:v>9</x:v>
      </x:c>
      <x:c r="H909" t="n">
        <x:v>9</x:v>
      </x:c>
      <x:c r="I909" t="n">
        <x:f>G909-H909</x:f>
        <x:v>0</x:v>
      </x:c>
      <x:c r="J909" s="20" t="n">
        <x:f>IFERROR(H909/G909,0)</x:f>
        <x:v>1</x:v>
      </x:c>
      <x:c r="K909" t="n">
        <x:v>8402</x:v>
      </x:c>
      <x:c r="L909" t="n">
        <x:v>8931</x:v>
      </x:c>
      <x:c r="M909" t="n">
        <x:v>9600</x:v>
      </x:c>
      <x:c r="N909" t="n">
        <x:v>10544</x:v>
      </x:c>
      <x:c r="O909" t="n">
        <x:v>10754</x:v>
      </x:c>
    </x:row>
    <x:row r="910">
      <x:c r="A910" t="str">
        <x:v>Goa</x:v>
      </x:c>
      <x:c r="B910" t="str">
        <x:v>All India except Central University</x:v>
      </x:c>
      <x:c r="C910" t="str">
        <x:v>200136</x:v>
      </x:c>
      <x:c r="D910" t="str">
        <x:v>Goa Medical College, Panaji, RAJIV GANDHI MEDICAL COMPLEX, BAMBOLIM, GOA</x:v>
      </x:c>
      <x:c r="E910" t="str">
        <x:v>All India</x:v>
      </x:c>
      <x:c r="F910" t="str">
        <x:v>OBC PwD</x:v>
      </x:c>
      <x:c r="G910" t="n">
        <x:v>1</x:v>
      </x:c>
      <x:c r="H910" t="n">
        <x:v>1</x:v>
      </x:c>
      <x:c r="I910" t="n">
        <x:f>G910-H910</x:f>
        <x:v>0</x:v>
      </x:c>
      <x:c r="J910" s="20" t="n">
        <x:f>IFERROR(H910/G910,0)</x:f>
        <x:v>1</x:v>
      </x:c>
      <x:c r="K910" t="n">
        <x:v>551913</x:v>
      </x:c>
      <x:c r="L910" t="n">
        <x:v>551913</x:v>
      </x:c>
      <x:c r="M910" t="n">
        <x:v>551913</x:v>
      </x:c>
      <x:c r="N910" t="n">
        <x:v>551913</x:v>
      </x:c>
      <x:c r="O910" t="n">
        <x:v>551913</x:v>
      </x:c>
    </x:row>
    <x:row r="911">
      <x:c r="A911" t="str">
        <x:v>Goa</x:v>
      </x:c>
      <x:c r="B911" t="str">
        <x:v>All India except Central University</x:v>
      </x:c>
      <x:c r="C911" t="str">
        <x:v>200136</x:v>
      </x:c>
      <x:c r="D911" t="str">
        <x:v>Goa Medical College, Panaji, RAJIV GANDHI MEDICAL COMPLEX, BAMBOLIM, GOA</x:v>
      </x:c>
      <x:c r="E911" t="str">
        <x:v>All India</x:v>
      </x:c>
      <x:c r="F911" t="str">
        <x:v>Open</x:v>
      </x:c>
      <x:c r="G911" t="n">
        <x:v>14</x:v>
      </x:c>
      <x:c r="H911" t="n">
        <x:v>14</x:v>
      </x:c>
      <x:c r="I911" t="n">
        <x:f>G911-H911</x:f>
        <x:v>0</x:v>
      </x:c>
      <x:c r="J911" s="20" t="n">
        <x:f>IFERROR(H911/G911,0)</x:f>
        <x:v>1</x:v>
      </x:c>
      <x:c r="K911" t="n">
        <x:v>3105</x:v>
      </x:c>
      <x:c r="L911" t="n">
        <x:v>6003.25</x:v>
      </x:c>
      <x:c r="M911" t="n">
        <x:v>6737</x:v>
      </x:c>
      <x:c r="N911" t="n">
        <x:v>7083.25</x:v>
      </x:c>
      <x:c r="O911" t="n">
        <x:v>7243</x:v>
      </x:c>
    </x:row>
    <x:row r="912">
      <x:c r="A912" t="str">
        <x:v>Goa</x:v>
      </x:c>
      <x:c r="B912" t="str">
        <x:v>All India except Central University</x:v>
      </x:c>
      <x:c r="C912" t="str">
        <x:v>200136</x:v>
      </x:c>
      <x:c r="D912" t="str">
        <x:v>Goa Medical College, Panaji, RAJIV GANDHI MEDICAL COMPLEX, BAMBOLIM, GOA</x:v>
      </x:c>
      <x:c r="E912" t="str">
        <x:v>All India</x:v>
      </x:c>
      <x:c r="F912" t="str">
        <x:v>Open PwD</x:v>
      </x:c>
      <x:c r="G912" t="n">
        <x:v>1</x:v>
      </x:c>
      <x:c r="H912" t="n">
        <x:v>1</x:v>
      </x:c>
      <x:c r="I912" t="n">
        <x:f>G912-H912</x:f>
        <x:v>0</x:v>
      </x:c>
      <x:c r="J912" s="20" t="n">
        <x:f>IFERROR(H912/G912,0)</x:f>
        <x:v>1</x:v>
      </x:c>
      <x:c r="K912" t="n">
        <x:v>388631</x:v>
      </x:c>
      <x:c r="L912" t="n">
        <x:v>388631</x:v>
      </x:c>
      <x:c r="M912" t="n">
        <x:v>388631</x:v>
      </x:c>
      <x:c r="N912" t="n">
        <x:v>388631</x:v>
      </x:c>
      <x:c r="O912" t="n">
        <x:v>388631</x:v>
      </x:c>
    </x:row>
    <x:row r="913">
      <x:c r="A913" t="str">
        <x:v>Goa</x:v>
      </x:c>
      <x:c r="B913" t="str">
        <x:v>All India except Central University</x:v>
      </x:c>
      <x:c r="C913" t="str">
        <x:v>200136</x:v>
      </x:c>
      <x:c r="D913" t="str">
        <x:v>Goa Medical College, Panaji, RAJIV GANDHI MEDICAL COMPLEX, BAMBOLIM, GOA</x:v>
      </x:c>
      <x:c r="E913" t="str">
        <x:v>All India</x:v>
      </x:c>
      <x:c r="F913" t="str">
        <x:v>SC</x:v>
      </x:c>
      <x:c r="G913" t="n">
        <x:v>5</x:v>
      </x:c>
      <x:c r="H913" t="n">
        <x:v>5</x:v>
      </x:c>
      <x:c r="I913" t="n">
        <x:f>G913-H913</x:f>
        <x:v>0</x:v>
      </x:c>
      <x:c r="J913" s="20" t="n">
        <x:f>IFERROR(H913/G913,0)</x:f>
        <x:v>1</x:v>
      </x:c>
      <x:c r="K913" t="n">
        <x:v>46355</x:v>
      </x:c>
      <x:c r="L913" t="n">
        <x:v>48045</x:v>
      </x:c>
      <x:c r="M913" t="n">
        <x:v>49067</x:v>
      </x:c>
      <x:c r="N913" t="n">
        <x:v>53911</x:v>
      </x:c>
      <x:c r="O913" t="n">
        <x:v>55686</x:v>
      </x:c>
    </x:row>
    <x:row r="914">
      <x:c r="A914" t="str">
        <x:v>Goa</x:v>
      </x:c>
      <x:c r="B914" t="str">
        <x:v>All India except Central University</x:v>
      </x:c>
      <x:c r="C914" t="str">
        <x:v>200136</x:v>
      </x:c>
      <x:c r="D914" t="str">
        <x:v>Goa Medical College, Panaji, RAJIV GANDHI MEDICAL COMPLEX, BAMBOLIM, GOA</x:v>
      </x:c>
      <x:c r="E914" t="str">
        <x:v>All India</x:v>
      </x:c>
      <x:c r="F914" t="str">
        <x:v>ST</x:v>
      </x:c>
      <x:c r="G914" t="n">
        <x:v>3</x:v>
      </x:c>
      <x:c r="H914" t="n">
        <x:v>3</x:v>
      </x:c>
      <x:c r="I914" t="n">
        <x:f>G914-H914</x:f>
        <x:v>0</x:v>
      </x:c>
      <x:c r="J914" s="20" t="n">
        <x:f>IFERROR(H914/G914,0)</x:f>
        <x:v>1</x:v>
      </x:c>
      <x:c r="K914" t="n">
        <x:v>88155</x:v>
      </x:c>
      <x:c r="L914" t="n">
        <x:v>88953.5</x:v>
      </x:c>
      <x:c r="M914" t="n">
        <x:v>89752</x:v>
      </x:c>
      <x:c r="N914" t="n">
        <x:v>90313</x:v>
      </x:c>
      <x:c r="O914" t="n">
        <x:v>90874</x:v>
      </x:c>
    </x:row>
    <x:row r="915">
      <x:c r="A915" t="str">
        <x:v>Uttar Pradesh</x:v>
      </x:c>
      <x:c r="B915" t="str">
        <x:v>All India except Central University</x:v>
      </x:c>
      <x:c r="C915" t="str">
        <x:v>200292</x:v>
      </x:c>
      <x:c r="D915" t="str">
        <x:v>Government Allopathic Medical College, Banda, UP, RANI DURGAVATI MEDICAL COLLEGE, NARAINI ROAD, BANDA-210001</x:v>
      </x:c>
      <x:c r="E915" t="str">
        <x:v>All India</x:v>
      </x:c>
      <x:c r="F915" t="str">
        <x:v>EWS</x:v>
      </x:c>
      <x:c r="G915" t="n">
        <x:v>2</x:v>
      </x:c>
      <x:c r="H915" t="n">
        <x:v>2</x:v>
      </x:c>
      <x:c r="I915" t="n">
        <x:f>G915-H915</x:f>
        <x:v>0</x:v>
      </x:c>
      <x:c r="J915" s="20" t="n">
        <x:f>IFERROR(H915/G915,0)</x:f>
        <x:v>1</x:v>
      </x:c>
      <x:c r="K915" t="n">
        <x:v>14046</x:v>
      </x:c>
      <x:c r="L915" t="n">
        <x:v>14123.75</x:v>
      </x:c>
      <x:c r="M915" t="n">
        <x:v>14201.5</x:v>
      </x:c>
      <x:c r="N915" t="n">
        <x:v>14279.25</x:v>
      </x:c>
      <x:c r="O915" t="n">
        <x:v>14357</x:v>
      </x:c>
    </x:row>
    <x:row r="916">
      <x:c r="A916" t="str">
        <x:v>Uttar Pradesh</x:v>
      </x:c>
      <x:c r="B916" t="str">
        <x:v>All India except Central University</x:v>
      </x:c>
      <x:c r="C916" t="str">
        <x:v>200292</x:v>
      </x:c>
      <x:c r="D916" t="str">
        <x:v>Government Allopathic Medical College, Banda, UP, RANI DURGAVATI MEDICAL COLLEGE, NARAINI ROAD, BANDA-210001</x:v>
      </x:c>
      <x:c r="E916" t="str">
        <x:v>All India</x:v>
      </x:c>
      <x:c r="F916" t="str">
        <x:v>OBC</x:v>
      </x:c>
      <x:c r="G916" t="n">
        <x:v>3</x:v>
      </x:c>
      <x:c r="H916" t="n">
        <x:v>3</x:v>
      </x:c>
      <x:c r="I916" t="n">
        <x:f>G916-H916</x:f>
        <x:v>0</x:v>
      </x:c>
      <x:c r="J916" s="20" t="n">
        <x:f>IFERROR(H916/G916,0)</x:f>
        <x:v>1</x:v>
      </x:c>
      <x:c r="K916" t="n">
        <x:v>11629</x:v>
      </x:c>
      <x:c r="L916" t="n">
        <x:v>11895</x:v>
      </x:c>
      <x:c r="M916" t="n">
        <x:v>12161</x:v>
      </x:c>
      <x:c r="N916" t="n">
        <x:v>12193</x:v>
      </x:c>
      <x:c r="O916" t="n">
        <x:v>12225</x:v>
      </x:c>
    </x:row>
    <x:row r="917">
      <x:c r="A917" t="str">
        <x:v>Uttar Pradesh</x:v>
      </x:c>
      <x:c r="B917" t="str">
        <x:v>All India except Central University</x:v>
      </x:c>
      <x:c r="C917" t="str">
        <x:v>200292</x:v>
      </x:c>
      <x:c r="D917" t="str">
        <x:v>Government Allopathic Medical College, Banda, UP, RANI DURGAVATI MEDICAL COLLEGE, NARAINI ROAD, BANDA-210001</x:v>
      </x:c>
      <x:c r="E917" t="str">
        <x:v>All India</x:v>
      </x:c>
      <x:c r="F917" t="str">
        <x:v>Open</x:v>
      </x:c>
      <x:c r="G917" t="n">
        <x:v>6</x:v>
      </x:c>
      <x:c r="H917" t="n">
        <x:v>6</x:v>
      </x:c>
      <x:c r="I917" t="n">
        <x:f>G917-H917</x:f>
        <x:v>0</x:v>
      </x:c>
      <x:c r="J917" s="20" t="n">
        <x:f>IFERROR(H917/G917,0)</x:f>
        <x:v>1</x:v>
      </x:c>
      <x:c r="K917" t="n">
        <x:v>10102</x:v>
      </x:c>
      <x:c r="L917" t="n">
        <x:v>10549.25</x:v>
      </x:c>
      <x:c r="M917" t="n">
        <x:v>10997</x:v>
      </x:c>
      <x:c r="N917" t="n">
        <x:v>11442.5</x:v>
      </x:c>
      <x:c r="O917" t="n">
        <x:v>11560</x:v>
      </x:c>
    </x:row>
    <x:row r="918">
      <x:c r="A918" t="str">
        <x:v>Uttar Pradesh</x:v>
      </x:c>
      <x:c r="B918" t="str">
        <x:v>All India except Central University</x:v>
      </x:c>
      <x:c r="C918" t="str">
        <x:v>200292</x:v>
      </x:c>
      <x:c r="D918" t="str">
        <x:v>Government Allopathic Medical College, Banda, UP, RANI DURGAVATI MEDICAL COLLEGE, NARAINI ROAD, BANDA-210001</x:v>
      </x:c>
      <x:c r="E918" t="str">
        <x:v>All India</x:v>
      </x:c>
      <x:c r="F918" t="str">
        <x:v>Open PwD</x:v>
      </x:c>
      <x:c r="G918" t="n">
        <x:v>1</x:v>
      </x:c>
      <x:c r="H918" t="n">
        <x:v>1</x:v>
      </x:c>
      <x:c r="I918" t="n">
        <x:f>G918-H918</x:f>
        <x:v>0</x:v>
      </x:c>
      <x:c r="J918" s="20" t="n">
        <x:f>IFERROR(H918/G918,0)</x:f>
        <x:v>1</x:v>
      </x:c>
      <x:c r="K918" t="n">
        <x:v>472383</x:v>
      </x:c>
      <x:c r="L918" t="n">
        <x:v>472383</x:v>
      </x:c>
      <x:c r="M918" t="n">
        <x:v>472383</x:v>
      </x:c>
      <x:c r="N918" t="n">
        <x:v>472383</x:v>
      </x:c>
      <x:c r="O918" t="n">
        <x:v>472383</x:v>
      </x:c>
    </x:row>
    <x:row r="919">
      <x:c r="A919" t="str">
        <x:v>Uttar Pradesh</x:v>
      </x:c>
      <x:c r="B919" t="str">
        <x:v>All India except Central University</x:v>
      </x:c>
      <x:c r="C919" t="str">
        <x:v>200292</x:v>
      </x:c>
      <x:c r="D919" t="str">
        <x:v>Government Allopathic Medical College, Banda, UP, RANI DURGAVATI MEDICAL COLLEGE, NARAINI ROAD, BANDA-210001</x:v>
      </x:c>
      <x:c r="E919" t="str">
        <x:v>All India</x:v>
      </x:c>
      <x:c r="F919" t="str">
        <x:v>SC</x:v>
      </x:c>
      <x:c r="G919" t="n">
        <x:v>2</x:v>
      </x:c>
      <x:c r="H919" t="n">
        <x:v>2</x:v>
      </x:c>
      <x:c r="I919" t="n">
        <x:f>G919-H919</x:f>
        <x:v>0</x:v>
      </x:c>
      <x:c r="J919" s="20" t="n">
        <x:f>IFERROR(H919/G919,0)</x:f>
        <x:v>1</x:v>
      </x:c>
      <x:c r="K919" t="n">
        <x:v>64279</x:v>
      </x:c>
      <x:c r="L919" t="n">
        <x:v>64977.75</x:v>
      </x:c>
      <x:c r="M919" t="n">
        <x:v>65676.5</x:v>
      </x:c>
      <x:c r="N919" t="n">
        <x:v>66375.25</x:v>
      </x:c>
      <x:c r="O919" t="n">
        <x:v>67074</x:v>
      </x:c>
    </x:row>
    <x:row r="920">
      <x:c r="A920" t="str">
        <x:v>Uttar Pradesh</x:v>
      </x:c>
      <x:c r="B920" t="str">
        <x:v>All India except Central University</x:v>
      </x:c>
      <x:c r="C920" t="str">
        <x:v>200292</x:v>
      </x:c>
      <x:c r="D920" t="str">
        <x:v>Government Allopathic Medical College, Banda, UP, RANI DURGAVATI MEDICAL COLLEGE, NARAINI ROAD, BANDA-210001</x:v>
      </x:c>
      <x:c r="E920" t="str">
        <x:v>All India</x:v>
      </x:c>
      <x:c r="F920" t="str">
        <x:v>ST</x:v>
      </x:c>
      <x:c r="G920" t="n">
        <x:v>1</x:v>
      </x:c>
      <x:c r="H920" t="n">
        <x:v>1</x:v>
      </x:c>
      <x:c r="I920" t="n">
        <x:f>G920-H920</x:f>
        <x:v>0</x:v>
      </x:c>
      <x:c r="J920" s="20" t="n">
        <x:f>IFERROR(H920/G920,0)</x:f>
        <x:v>1</x:v>
      </x:c>
      <x:c r="K920" t="n">
        <x:v>95643</x:v>
      </x:c>
      <x:c r="L920" t="n">
        <x:v>95643</x:v>
      </x:c>
      <x:c r="M920" t="n">
        <x:v>95643</x:v>
      </x:c>
      <x:c r="N920" t="n">
        <x:v>95643</x:v>
      </x:c>
      <x:c r="O920" t="n">
        <x:v>95643</x:v>
      </x:c>
    </x:row>
    <x:row r="921">
      <x:c r="A921" t="str">
        <x:v>Tamil Nadu</x:v>
      </x:c>
      <x:c r="B921" t="str">
        <x:v>All India except Central University</x:v>
      </x:c>
      <x:c r="C921" t="str">
        <x:v>200262</x:v>
      </x:c>
      <x:c r="D921" t="str">
        <x:v>Government Dharmapuri Medical College, Dharmapuri, NETHAJI BYPASS ROAD DHARMAPURI</x:v>
      </x:c>
      <x:c r="E921" t="str">
        <x:v>All India</x:v>
      </x:c>
      <x:c r="F921" t="str">
        <x:v>EWS</x:v>
      </x:c>
      <x:c r="G921" t="n">
        <x:v>2</x:v>
      </x:c>
      <x:c r="H921" t="n">
        <x:v>2</x:v>
      </x:c>
      <x:c r="I921" t="n">
        <x:f>G921-H921</x:f>
        <x:v>0</x:v>
      </x:c>
      <x:c r="J921" s="20" t="n">
        <x:f>IFERROR(H921/G921,0)</x:f>
        <x:v>1</x:v>
      </x:c>
      <x:c r="K921" t="n">
        <x:v>23637</x:v>
      </x:c>
      <x:c r="L921" t="n">
        <x:v>23818.75</x:v>
      </x:c>
      <x:c r="M921" t="n">
        <x:v>24000.5</x:v>
      </x:c>
      <x:c r="N921" t="n">
        <x:v>24182.25</x:v>
      </x:c>
      <x:c r="O921" t="n">
        <x:v>24364</x:v>
      </x:c>
    </x:row>
    <x:row r="922">
      <x:c r="A922" t="str">
        <x:v>Tamil Nadu</x:v>
      </x:c>
      <x:c r="B922" t="str">
        <x:v>All India except Central University</x:v>
      </x:c>
      <x:c r="C922" t="str">
        <x:v>200262</x:v>
      </x:c>
      <x:c r="D922" t="str">
        <x:v>Government Dharmapuri Medical College, Dharmapuri, NETHAJI BYPASS ROAD DHARMAPURI</x:v>
      </x:c>
      <x:c r="E922" t="str">
        <x:v>All India</x:v>
      </x:c>
      <x:c r="F922" t="str">
        <x:v>OBC</x:v>
      </x:c>
      <x:c r="G922" t="n">
        <x:v>4</x:v>
      </x:c>
      <x:c r="H922" t="n">
        <x:v>4</x:v>
      </x:c>
      <x:c r="I922" t="n">
        <x:f>G922-H922</x:f>
        <x:v>0</x:v>
      </x:c>
      <x:c r="J922" s="20" t="n">
        <x:f>IFERROR(H922/G922,0)</x:f>
        <x:v>1</x:v>
      </x:c>
      <x:c r="K922" t="n">
        <x:v>10399</x:v>
      </x:c>
      <x:c r="L922" t="n">
        <x:v>10756</x:v>
      </x:c>
      <x:c r="M922" t="n">
        <x:v>10886.5</x:v>
      </x:c>
      <x:c r="N922" t="n">
        <x:v>10931.75</x:v>
      </x:c>
      <x:c r="O922" t="n">
        <x:v>11033</x:v>
      </x:c>
    </x:row>
    <x:row r="923">
      <x:c r="A923" t="str">
        <x:v>Tamil Nadu</x:v>
      </x:c>
      <x:c r="B923" t="str">
        <x:v>All India except Central University</x:v>
      </x:c>
      <x:c r="C923" t="str">
        <x:v>200262</x:v>
      </x:c>
      <x:c r="D923" t="str">
        <x:v>Government Dharmapuri Medical College, Dharmapuri, NETHAJI BYPASS ROAD DHARMAPURI</x:v>
      </x:c>
      <x:c r="E923" t="str">
        <x:v>All India</x:v>
      </x:c>
      <x:c r="F923" t="str">
        <x:v>Open</x:v>
      </x:c>
      <x:c r="G923" t="n">
        <x:v>5</x:v>
      </x:c>
      <x:c r="H923" t="n">
        <x:v>5</x:v>
      </x:c>
      <x:c r="I923" t="n">
        <x:f>G923-H923</x:f>
        <x:v>0</x:v>
      </x:c>
      <x:c r="J923" s="20" t="n">
        <x:f>IFERROR(H923/G923,0)</x:f>
        <x:v>1</x:v>
      </x:c>
      <x:c r="K923" t="n">
        <x:v>6485</x:v>
      </x:c>
      <x:c r="L923" t="n">
        <x:v>6908</x:v>
      </x:c>
      <x:c r="M923" t="n">
        <x:v>7111</x:v>
      </x:c>
      <x:c r="N923" t="n">
        <x:v>7631</x:v>
      </x:c>
      <x:c r="O923" t="n">
        <x:v>8909</x:v>
      </x:c>
    </x:row>
    <x:row r="924">
      <x:c r="A924" t="str">
        <x:v>Tamil Nadu</x:v>
      </x:c>
      <x:c r="B924" t="str">
        <x:v>All India except Central University</x:v>
      </x:c>
      <x:c r="C924" t="str">
        <x:v>200262</x:v>
      </x:c>
      <x:c r="D924" t="str">
        <x:v>Government Dharmapuri Medical College, Dharmapuri, NETHAJI BYPASS ROAD DHARMAPURI</x:v>
      </x:c>
      <x:c r="E924" t="str">
        <x:v>All India</x:v>
      </x:c>
      <x:c r="F924" t="str">
        <x:v>SC</x:v>
      </x:c>
      <x:c r="G924" t="n">
        <x:v>3</x:v>
      </x:c>
      <x:c r="H924" t="n">
        <x:v>3</x:v>
      </x:c>
      <x:c r="I924" t="n">
        <x:f>G924-H924</x:f>
        <x:v>0</x:v>
      </x:c>
      <x:c r="J924" s="20" t="n">
        <x:f>IFERROR(H924/G924,0)</x:f>
        <x:v>1</x:v>
      </x:c>
      <x:c r="K924" t="n">
        <x:v>45964</x:v>
      </x:c>
      <x:c r="L924" t="n">
        <x:v>46635.5</x:v>
      </x:c>
      <x:c r="M924" t="n">
        <x:v>47307</x:v>
      </x:c>
      <x:c r="N924" t="n">
        <x:v>47799.5</x:v>
      </x:c>
      <x:c r="O924" t="n">
        <x:v>48292</x:v>
      </x:c>
    </x:row>
    <x:row r="925">
      <x:c r="A925" t="str">
        <x:v>Tamil Nadu</x:v>
      </x:c>
      <x:c r="B925" t="str">
        <x:v>All India except Central University</x:v>
      </x:c>
      <x:c r="C925" t="str">
        <x:v>200262</x:v>
      </x:c>
      <x:c r="D925" t="str">
        <x:v>Government Dharmapuri Medical College, Dharmapuri, NETHAJI BYPASS ROAD DHARMAPURI</x:v>
      </x:c>
      <x:c r="E925" t="str">
        <x:v>All India</x:v>
      </x:c>
      <x:c r="F925" t="str">
        <x:v>ST</x:v>
      </x:c>
      <x:c r="G925" t="n">
        <x:v>1</x:v>
      </x:c>
      <x:c r="H925" t="n">
        <x:v>1</x:v>
      </x:c>
      <x:c r="I925" t="n">
        <x:f>G925-H925</x:f>
        <x:v>0</x:v>
      </x:c>
      <x:c r="J925" s="20" t="n">
        <x:f>IFERROR(H925/G925,0)</x:f>
        <x:v>1</x:v>
      </x:c>
      <x:c r="K925" t="n">
        <x:v>108496</x:v>
      </x:c>
      <x:c r="L925" t="n">
        <x:v>108496</x:v>
      </x:c>
      <x:c r="M925" t="n">
        <x:v>108496</x:v>
      </x:c>
      <x:c r="N925" t="n">
        <x:v>108496</x:v>
      </x:c>
      <x:c r="O925" t="n">
        <x:v>108496</x:v>
      </x:c>
    </x:row>
    <x:row r="926">
      <x:c r="A926" t="str">
        <x:v>Tamil Nadu</x:v>
      </x:c>
      <x:c r="B926" t="str">
        <x:v>All India except Central University</x:v>
      </x:c>
      <x:c r="C926" t="str">
        <x:v>200272</x:v>
      </x:c>
      <x:c r="D926" t="str">
        <x:v>Government Erode Medical College &amp; Hospital, Perundurai (Formerly IRT Perundurai Medical College), GOVERNMENT ERODE MEDICAL COLLEGE PERUNDURAI, PERUNDURAI SANATORIUM POST ERODE DISTRICT</x:v>
      </x:c>
      <x:c r="E926" t="str">
        <x:v>All India</x:v>
      </x:c>
      <x:c r="F926" t="str">
        <x:v>EWS</x:v>
      </x:c>
      <x:c r="G926" t="n">
        <x:v>1</x:v>
      </x:c>
      <x:c r="H926" t="n">
        <x:v>1</x:v>
      </x:c>
      <x:c r="I926" t="n">
        <x:f>G926-H926</x:f>
        <x:v>0</x:v>
      </x:c>
      <x:c r="J926" s="20" t="n">
        <x:f>IFERROR(H926/G926,0)</x:f>
        <x:v>1</x:v>
      </x:c>
      <x:c r="K926" t="n">
        <x:v>21181</x:v>
      </x:c>
      <x:c r="L926" t="n">
        <x:v>21181</x:v>
      </x:c>
      <x:c r="M926" t="n">
        <x:v>21181</x:v>
      </x:c>
      <x:c r="N926" t="n">
        <x:v>21181</x:v>
      </x:c>
      <x:c r="O926" t="n">
        <x:v>21181</x:v>
      </x:c>
    </x:row>
    <x:row r="927">
      <x:c r="A927" t="str">
        <x:v>Tamil Nadu</x:v>
      </x:c>
      <x:c r="B927" t="str">
        <x:v>All India except Central University</x:v>
      </x:c>
      <x:c r="C927" t="str">
        <x:v>200272</x:v>
      </x:c>
      <x:c r="D927" t="str">
        <x:v>Government Erode Medical College &amp; Hospital, Perundurai (Formerly IRT Perundurai Medical College), GOVERNMENT ERODE MEDICAL COLLEGE PERUNDURAI, PERUNDURAI SANATORIUM POST ERODE DISTRICT</x:v>
      </x:c>
      <x:c r="E927" t="str">
        <x:v>All India</x:v>
      </x:c>
      <x:c r="F927" t="str">
        <x:v>OBC</x:v>
      </x:c>
      <x:c r="G927" t="n">
        <x:v>4</x:v>
      </x:c>
      <x:c r="H927" t="n">
        <x:v>4</x:v>
      </x:c>
      <x:c r="I927" t="n">
        <x:f>G927-H927</x:f>
        <x:v>0</x:v>
      </x:c>
      <x:c r="J927" s="20" t="n">
        <x:f>IFERROR(H927/G927,0)</x:f>
        <x:v>1</x:v>
      </x:c>
      <x:c r="K927" t="n">
        <x:v>9647</x:v>
      </x:c>
      <x:c r="L927" t="n">
        <x:v>9696.5</x:v>
      </x:c>
      <x:c r="M927" t="n">
        <x:v>9795.5</x:v>
      </x:c>
      <x:c r="N927" t="n">
        <x:v>9977.75</x:v>
      </x:c>
      <x:c r="O927" t="n">
        <x:v>10277</x:v>
      </x:c>
    </x:row>
    <x:row r="928">
      <x:c r="A928" t="str">
        <x:v>Tamil Nadu</x:v>
      </x:c>
      <x:c r="B928" t="str">
        <x:v>All India except Central University</x:v>
      </x:c>
      <x:c r="C928" t="str">
        <x:v>200272</x:v>
      </x:c>
      <x:c r="D928" t="str">
        <x:v>Government Erode Medical College &amp; Hospital, Perundurai (Formerly IRT Perundurai Medical College), GOVERNMENT ERODE MEDICAL COLLEGE PERUNDURAI, PERUNDURAI SANATORIUM POST ERODE DISTRICT</x:v>
      </x:c>
      <x:c r="E928" t="str">
        <x:v>All India</x:v>
      </x:c>
      <x:c r="F928" t="str">
        <x:v>Open</x:v>
      </x:c>
      <x:c r="G928" t="n">
        <x:v>7</x:v>
      </x:c>
      <x:c r="H928" t="n">
        <x:v>7</x:v>
      </x:c>
      <x:c r="I928" t="n">
        <x:f>G928-H928</x:f>
        <x:v>0</x:v>
      </x:c>
      <x:c r="J928" s="20" t="n">
        <x:f>IFERROR(H928/G928,0)</x:f>
        <x:v>1</x:v>
      </x:c>
      <x:c r="K928" t="n">
        <x:v>6598</x:v>
      </x:c>
      <x:c r="L928" t="n">
        <x:v>8455</x:v>
      </x:c>
      <x:c r="M928" t="n">
        <x:v>8990</x:v>
      </x:c>
      <x:c r="N928" t="n">
        <x:v>9193</x:v>
      </x:c>
      <x:c r="O928" t="n">
        <x:v>9360</x:v>
      </x:c>
    </x:row>
    <x:row r="929">
      <x:c r="A929" t="str">
        <x:v>Tamil Nadu</x:v>
      </x:c>
      <x:c r="B929" t="str">
        <x:v>All India except Central University</x:v>
      </x:c>
      <x:c r="C929" t="str">
        <x:v>200272</x:v>
      </x:c>
      <x:c r="D929" t="str">
        <x:v>Government Erode Medical College &amp; Hospital, Perundurai (Formerly IRT Perundurai Medical College), GOVERNMENT ERODE MEDICAL COLLEGE PERUNDURAI, PERUNDURAI SANATORIUM POST ERODE DISTRICT</x:v>
      </x:c>
      <x:c r="E929" t="str">
        <x:v>All India</x:v>
      </x:c>
      <x:c r="F929" t="str">
        <x:v>SC</x:v>
      </x:c>
      <x:c r="G929" t="n">
        <x:v>2</x:v>
      </x:c>
      <x:c r="H929" t="n">
        <x:v>2</x:v>
      </x:c>
      <x:c r="I929" t="n">
        <x:f>G929-H929</x:f>
        <x:v>0</x:v>
      </x:c>
      <x:c r="J929" s="20" t="n">
        <x:f>IFERROR(H929/G929,0)</x:f>
        <x:v>1</x:v>
      </x:c>
      <x:c r="K929" t="n">
        <x:v>42172</x:v>
      </x:c>
      <x:c r="L929" t="n">
        <x:v>43348.75</x:v>
      </x:c>
      <x:c r="M929" t="n">
        <x:v>44525.5</x:v>
      </x:c>
      <x:c r="N929" t="n">
        <x:v>45702.25</x:v>
      </x:c>
      <x:c r="O929" t="n">
        <x:v>46879</x:v>
      </x:c>
    </x:row>
    <x:row r="930">
      <x:c r="A930" t="str">
        <x:v>Tamil Nadu</x:v>
      </x:c>
      <x:c r="B930" t="str">
        <x:v>All India except Central University</x:v>
      </x:c>
      <x:c r="C930" t="str">
        <x:v>200272</x:v>
      </x:c>
      <x:c r="D930" t="str">
        <x:v>Government Erode Medical College &amp; Hospital, Perundurai (Formerly IRT Perundurai Medical College), GOVERNMENT ERODE MEDICAL COLLEGE PERUNDURAI, PERUNDURAI SANATORIUM POST ERODE DISTRICT</x:v>
      </x:c>
      <x:c r="E930" t="str">
        <x:v>All India</x:v>
      </x:c>
      <x:c r="F930" t="str">
        <x:v>ST</x:v>
      </x:c>
      <x:c r="G930" t="n">
        <x:v>1</x:v>
      </x:c>
      <x:c r="H930" t="n">
        <x:v>1</x:v>
      </x:c>
      <x:c r="I930" t="n">
        <x:f>G930-H930</x:f>
        <x:v>0</x:v>
      </x:c>
      <x:c r="J930" s="20" t="n">
        <x:f>IFERROR(H930/G930,0)</x:f>
        <x:v>1</x:v>
      </x:c>
      <x:c r="K930" t="n">
        <x:v>100550</x:v>
      </x:c>
      <x:c r="L930" t="n">
        <x:v>100550</x:v>
      </x:c>
      <x:c r="M930" t="n">
        <x:v>100550</x:v>
      </x:c>
      <x:c r="N930" t="n">
        <x:v>100550</x:v>
      </x:c>
      <x:c r="O930" t="n">
        <x:v>100550</x:v>
      </x:c>
    </x:row>
    <x:row r="931">
      <x:c r="A931" t="str">
        <x:v>Uttar Pradesh</x:v>
      </x:c>
      <x:c r="B931" t="str">
        <x:v>All India except Central University</x:v>
      </x:c>
      <x:c r="C931" t="str">
        <x:v>200486</x:v>
      </x:c>
      <x:c r="D931" t="str">
        <x:v>Government Institute of Medical Sciences, Kasna, Greater Noida, GOVERNMENT INSTITUTE OF MEDICAL SCIENCES GREATER NOIDA GAUTAM BUDH NAGAR UTTAR PRADESH</x:v>
      </x:c>
      <x:c r="E931" t="str">
        <x:v>All India</x:v>
      </x:c>
      <x:c r="F931" t="str">
        <x:v>EWS</x:v>
      </x:c>
      <x:c r="G931" t="n">
        <x:v>1</x:v>
      </x:c>
      <x:c r="H931" t="n">
        <x:v>1</x:v>
      </x:c>
      <x:c r="I931" t="n">
        <x:f>G931-H931</x:f>
        <x:v>0</x:v>
      </x:c>
      <x:c r="J931" s="20" t="n">
        <x:f>IFERROR(H931/G931,0)</x:f>
        <x:v>1</x:v>
      </x:c>
      <x:c r="K931" t="n">
        <x:v>5420</x:v>
      </x:c>
      <x:c r="L931" t="n">
        <x:v>5420</x:v>
      </x:c>
      <x:c r="M931" t="n">
        <x:v>5420</x:v>
      </x:c>
      <x:c r="N931" t="n">
        <x:v>5420</x:v>
      </x:c>
      <x:c r="O931" t="n">
        <x:v>5420</x:v>
      </x:c>
    </x:row>
    <x:row r="932">
      <x:c r="A932" t="str">
        <x:v>Uttar Pradesh</x:v>
      </x:c>
      <x:c r="B932" t="str">
        <x:v>All India except Central University</x:v>
      </x:c>
      <x:c r="C932" t="str">
        <x:v>200486</x:v>
      </x:c>
      <x:c r="D932" t="str">
        <x:v>Government Institute of Medical Sciences, Kasna, Greater Noida, GOVERNMENT INSTITUTE OF MEDICAL SCIENCES GREATER NOIDA GAUTAM BUDH NAGAR UTTAR PRADESH</x:v>
      </x:c>
      <x:c r="E932" t="str">
        <x:v>All India</x:v>
      </x:c>
      <x:c r="F932" t="str">
        <x:v>OBC</x:v>
      </x:c>
      <x:c r="G932" t="n">
        <x:v>5</x:v>
      </x:c>
      <x:c r="H932" t="n">
        <x:v>5</x:v>
      </x:c>
      <x:c r="I932" t="n">
        <x:f>G932-H932</x:f>
        <x:v>0</x:v>
      </x:c>
      <x:c r="J932" s="20" t="n">
        <x:f>IFERROR(H932/G932,0)</x:f>
        <x:v>1</x:v>
      </x:c>
      <x:c r="K932" t="n">
        <x:v>4661</x:v>
      </x:c>
      <x:c r="L932" t="n">
        <x:v>5009</x:v>
      </x:c>
      <x:c r="M932" t="n">
        <x:v>5303</x:v>
      </x:c>
      <x:c r="N932" t="n">
        <x:v>5477</x:v>
      </x:c>
      <x:c r="O932" t="n">
        <x:v>5592</x:v>
      </x:c>
    </x:row>
    <x:row r="933">
      <x:c r="A933" t="str">
        <x:v>Uttar Pradesh</x:v>
      </x:c>
      <x:c r="B933" t="str">
        <x:v>All India except Central University</x:v>
      </x:c>
      <x:c r="C933" t="str">
        <x:v>200486</x:v>
      </x:c>
      <x:c r="D933" t="str">
        <x:v>Government Institute of Medical Sciences, Kasna, Greater Noida, GOVERNMENT INSTITUTE OF MEDICAL SCIENCES GREATER NOIDA GAUTAM BUDH NAGAR UTTAR PRADESH</x:v>
      </x:c>
      <x:c r="E933" t="str">
        <x:v>All India</x:v>
      </x:c>
      <x:c r="F933" t="str">
        <x:v>Open</x:v>
      </x:c>
      <x:c r="G933" t="n">
        <x:v>6</x:v>
      </x:c>
      <x:c r="H933" t="n">
        <x:v>6</x:v>
      </x:c>
      <x:c r="I933" t="n">
        <x:f>G933-H933</x:f>
        <x:v>0</x:v>
      </x:c>
      <x:c r="J933" s="20" t="n">
        <x:f>IFERROR(H933/G933,0)</x:f>
        <x:v>1</x:v>
      </x:c>
      <x:c r="K933" t="n">
        <x:v>3897</x:v>
      </x:c>
      <x:c r="L933" t="n">
        <x:v>4038.75</x:v>
      </x:c>
      <x:c r="M933" t="n">
        <x:v>4258.5</x:v>
      </x:c>
      <x:c r="N933" t="n">
        <x:v>4337.25</x:v>
      </x:c>
      <x:c r="O933" t="n">
        <x:v>4601</x:v>
      </x:c>
    </x:row>
    <x:row r="934">
      <x:c r="A934" t="str">
        <x:v>Uttar Pradesh</x:v>
      </x:c>
      <x:c r="B934" t="str">
        <x:v>All India except Central University</x:v>
      </x:c>
      <x:c r="C934" t="str">
        <x:v>200486</x:v>
      </x:c>
      <x:c r="D934" t="str">
        <x:v>Government Institute of Medical Sciences, Kasna, Greater Noida, GOVERNMENT INSTITUTE OF MEDICAL SCIENCES GREATER NOIDA GAUTAM BUDH NAGAR UTTAR PRADESH</x:v>
      </x:c>
      <x:c r="E934" t="str">
        <x:v>All India</x:v>
      </x:c>
      <x:c r="F934" t="str">
        <x:v>SC</x:v>
      </x:c>
      <x:c r="G934" t="n">
        <x:v>2</x:v>
      </x:c>
      <x:c r="H934" t="n">
        <x:v>2</x:v>
      </x:c>
      <x:c r="I934" t="n">
        <x:f>G934-H934</x:f>
        <x:v>0</x:v>
      </x:c>
      <x:c r="J934" s="20" t="n">
        <x:f>IFERROR(H934/G934,0)</x:f>
        <x:v>1</x:v>
      </x:c>
      <x:c r="K934" t="n">
        <x:v>29052</x:v>
      </x:c>
      <x:c r="L934" t="n">
        <x:v>29558.25</x:v>
      </x:c>
      <x:c r="M934" t="n">
        <x:v>30064.5</x:v>
      </x:c>
      <x:c r="N934" t="n">
        <x:v>30570.75</x:v>
      </x:c>
      <x:c r="O934" t="n">
        <x:v>31077</x:v>
      </x:c>
    </x:row>
    <x:row r="935">
      <x:c r="A935" t="str">
        <x:v>Uttar Pradesh</x:v>
      </x:c>
      <x:c r="B935" t="str">
        <x:v>All India except Central University</x:v>
      </x:c>
      <x:c r="C935" t="str">
        <x:v>200486</x:v>
      </x:c>
      <x:c r="D935" t="str">
        <x:v>Government Institute of Medical Sciences, Kasna, Greater Noida, GOVERNMENT INSTITUTE OF MEDICAL SCIENCES GREATER NOIDA GAUTAM BUDH NAGAR UTTAR PRADESH</x:v>
      </x:c>
      <x:c r="E935" t="str">
        <x:v>All India</x:v>
      </x:c>
      <x:c r="F935" t="str">
        <x:v>ST</x:v>
      </x:c>
      <x:c r="G935" t="n">
        <x:v>1</x:v>
      </x:c>
      <x:c r="H935" t="n">
        <x:v>1</x:v>
      </x:c>
      <x:c r="I935" t="n">
        <x:f>G935-H935</x:f>
        <x:v>0</x:v>
      </x:c>
      <x:c r="J935" s="20" t="n">
        <x:f>IFERROR(H935/G935,0)</x:f>
        <x:v>1</x:v>
      </x:c>
      <x:c r="K935" t="n">
        <x:v>52810</x:v>
      </x:c>
      <x:c r="L935" t="n">
        <x:v>52810</x:v>
      </x:c>
      <x:c r="M935" t="n">
        <x:v>52810</x:v>
      </x:c>
      <x:c r="N935" t="n">
        <x:v>52810</x:v>
      </x:c>
      <x:c r="O935" t="n">
        <x:v>52810</x:v>
      </x:c>
    </x:row>
    <x:row r="936">
      <x:c r="A936" t="str">
        <x:v>Tamil Nadu</x:v>
      </x:c>
      <x:c r="B936" t="str">
        <x:v>Employees State Insurance Scheme</x:v>
      </x:c>
      <x:c r="C936" t="str">
        <x:v>200264</x:v>
      </x:c>
      <x:c r="D936" t="str">
        <x:v>Government Medical College &amp; ESIC Hospital, Coimbatore, TamilNadu, KAMARAJAR ROAD, VARADHARAJAPURAM, SINGANALLUR, COIMBATORE</x:v>
      </x:c>
      <x:c r="E936" t="str">
        <x:v>All India</x:v>
      </x:c>
      <x:c r="F936" t="str">
        <x:v>EWS</x:v>
      </x:c>
      <x:c r="G936" t="n">
        <x:v>1</x:v>
      </x:c>
      <x:c r="H936" t="n">
        <x:v>1</x:v>
      </x:c>
      <x:c r="I936" t="n">
        <x:f>G936-H936</x:f>
        <x:v>0</x:v>
      </x:c>
      <x:c r="J936" s="20" t="n">
        <x:f>IFERROR(H936/G936,0)</x:f>
        <x:v>1</x:v>
      </x:c>
      <x:c r="K936" t="n">
        <x:v>13142</x:v>
      </x:c>
      <x:c r="L936" t="n">
        <x:v>13142</x:v>
      </x:c>
      <x:c r="M936" t="n">
        <x:v>13142</x:v>
      </x:c>
      <x:c r="N936" t="n">
        <x:v>13142</x:v>
      </x:c>
      <x:c r="O936" t="n">
        <x:v>13142</x:v>
      </x:c>
    </x:row>
    <x:row r="937">
      <x:c r="A937" t="str">
        <x:v>Tamil Nadu</x:v>
      </x:c>
      <x:c r="B937" t="str">
        <x:v>Employees State Insurance Scheme</x:v>
      </x:c>
      <x:c r="C937" t="str">
        <x:v>200264</x:v>
      </x:c>
      <x:c r="D937" t="str">
        <x:v>Government Medical College &amp; ESIC Hospital, Coimbatore, TamilNadu, KAMARAJAR ROAD, VARADHARAJAPURAM, SINGANALLUR, COIMBATORE</x:v>
      </x:c>
      <x:c r="E937" t="str">
        <x:v>All India</x:v>
      </x:c>
      <x:c r="F937" t="str">
        <x:v>OBC</x:v>
      </x:c>
      <x:c r="G937" t="n">
        <x:v>4</x:v>
      </x:c>
      <x:c r="H937" t="n">
        <x:v>4</x:v>
      </x:c>
      <x:c r="I937" t="n">
        <x:f>G937-H937</x:f>
        <x:v>0</x:v>
      </x:c>
      <x:c r="J937" s="20" t="n">
        <x:f>IFERROR(H937/G937,0)</x:f>
        <x:v>1</x:v>
      </x:c>
      <x:c r="K937" t="n">
        <x:v>7779</x:v>
      </x:c>
      <x:c r="L937" t="n">
        <x:v>8177.25</x:v>
      </x:c>
      <x:c r="M937" t="n">
        <x:v>8466</x:v>
      </x:c>
      <x:c r="N937" t="n">
        <x:v>8645.5</x:v>
      </x:c>
      <x:c r="O937" t="n">
        <x:v>8716</x:v>
      </x:c>
    </x:row>
    <x:row r="938">
      <x:c r="A938" t="str">
        <x:v>Tamil Nadu</x:v>
      </x:c>
      <x:c r="B938" t="str">
        <x:v>Employees State Insurance Scheme</x:v>
      </x:c>
      <x:c r="C938" t="str">
        <x:v>200264</x:v>
      </x:c>
      <x:c r="D938" t="str">
        <x:v>Government Medical College &amp; ESIC Hospital, Coimbatore, TamilNadu, KAMARAJAR ROAD, VARADHARAJAPURAM, SINGANALLUR, COIMBATORE</x:v>
      </x:c>
      <x:c r="E938" t="str">
        <x:v>All India</x:v>
      </x:c>
      <x:c r="F938" t="str">
        <x:v>Open</x:v>
      </x:c>
      <x:c r="G938" t="n">
        <x:v>6</x:v>
      </x:c>
      <x:c r="H938" t="n">
        <x:v>6</x:v>
      </x:c>
      <x:c r="I938" t="n">
        <x:f>G938-H938</x:f>
        <x:v>0</x:v>
      </x:c>
      <x:c r="J938" s="20" t="n">
        <x:f>IFERROR(H938/G938,0)</x:f>
        <x:v>1</x:v>
      </x:c>
      <x:c r="K938" t="n">
        <x:v>4208</x:v>
      </x:c>
      <x:c r="L938" t="n">
        <x:v>5663.5</x:v>
      </x:c>
      <x:c r="M938" t="n">
        <x:v>5969.5</x:v>
      </x:c>
      <x:c r="N938" t="n">
        <x:v>6207.25</x:v>
      </x:c>
      <x:c r="O938" t="n">
        <x:v>6752</x:v>
      </x:c>
    </x:row>
    <x:row r="939">
      <x:c r="A939" t="str">
        <x:v>Tamil Nadu</x:v>
      </x:c>
      <x:c r="B939" t="str">
        <x:v>Employees State Insurance Scheme</x:v>
      </x:c>
      <x:c r="C939" t="str">
        <x:v>200264</x:v>
      </x:c>
      <x:c r="D939" t="str">
        <x:v>Government Medical College &amp; ESIC Hospital, Coimbatore, TamilNadu, KAMARAJAR ROAD, VARADHARAJAPURAM, SINGANALLUR, COIMBATORE</x:v>
      </x:c>
      <x:c r="E939" t="str">
        <x:v>All India</x:v>
      </x:c>
      <x:c r="F939" t="str">
        <x:v>Open PwD</x:v>
      </x:c>
      <x:c r="G939" t="n">
        <x:v>1</x:v>
      </x:c>
      <x:c r="H939" t="n">
        <x:v>1</x:v>
      </x:c>
      <x:c r="I939" t="n">
        <x:f>G939-H939</x:f>
        <x:v>0</x:v>
      </x:c>
      <x:c r="J939" s="20" t="n">
        <x:f>IFERROR(H939/G939,0)</x:f>
        <x:v>1</x:v>
      </x:c>
      <x:c r="K939" t="n">
        <x:v>526063</x:v>
      </x:c>
      <x:c r="L939" t="n">
        <x:v>526063</x:v>
      </x:c>
      <x:c r="M939" t="n">
        <x:v>526063</x:v>
      </x:c>
      <x:c r="N939" t="n">
        <x:v>526063</x:v>
      </x:c>
      <x:c r="O939" t="n">
        <x:v>526063</x:v>
      </x:c>
    </x:row>
    <x:row r="940">
      <x:c r="A940" t="str">
        <x:v>Tamil Nadu</x:v>
      </x:c>
      <x:c r="B940" t="str">
        <x:v>Employees State Insurance Scheme</x:v>
      </x:c>
      <x:c r="C940" t="str">
        <x:v>200264</x:v>
      </x:c>
      <x:c r="D940" t="str">
        <x:v>Government Medical College &amp; ESIC Hospital, Coimbatore, TamilNadu, KAMARAJAR ROAD, VARADHARAJAPURAM, SINGANALLUR, COIMBATORE</x:v>
      </x:c>
      <x:c r="E940" t="str">
        <x:v>All India</x:v>
      </x:c>
      <x:c r="F940" t="str">
        <x:v>SC</x:v>
      </x:c>
      <x:c r="G940" t="n">
        <x:v>2</x:v>
      </x:c>
      <x:c r="H940" t="n">
        <x:v>2</x:v>
      </x:c>
      <x:c r="I940" t="n">
        <x:f>G940-H940</x:f>
        <x:v>0</x:v>
      </x:c>
      <x:c r="J940" s="20" t="n">
        <x:f>IFERROR(H940/G940,0)</x:f>
        <x:v>1</x:v>
      </x:c>
      <x:c r="K940" t="n">
        <x:v>27062</x:v>
      </x:c>
      <x:c r="L940" t="n">
        <x:v>31422.25</x:v>
      </x:c>
      <x:c r="M940" t="n">
        <x:v>35782.5</x:v>
      </x:c>
      <x:c r="N940" t="n">
        <x:v>40142.75</x:v>
      </x:c>
      <x:c r="O940" t="n">
        <x:v>44503</x:v>
      </x:c>
    </x:row>
    <x:row r="941">
      <x:c r="A941" t="str">
        <x:v>Tamil Nadu</x:v>
      </x:c>
      <x:c r="B941" t="str">
        <x:v>Employees State Insurance Scheme</x:v>
      </x:c>
      <x:c r="C941" t="str">
        <x:v>200264</x:v>
      </x:c>
      <x:c r="D941" t="str">
        <x:v>Government Medical College &amp; ESIC Hospital, Coimbatore, TamilNadu, KAMARAJAR ROAD, VARADHARAJAPURAM, SINGANALLUR, COIMBATORE</x:v>
      </x:c>
      <x:c r="E941" t="str">
        <x:v>All India</x:v>
      </x:c>
      <x:c r="F941" t="str">
        <x:v>ST</x:v>
      </x:c>
      <x:c r="G941" t="n">
        <x:v>1</x:v>
      </x:c>
      <x:c r="H941" t="n">
        <x:v>1</x:v>
      </x:c>
      <x:c r="I941" t="n">
        <x:f>G941-H941</x:f>
        <x:v>0</x:v>
      </x:c>
      <x:c r="J941" s="20" t="n">
        <x:f>IFERROR(H941/G941,0)</x:f>
        <x:v>1</x:v>
      </x:c>
      <x:c r="K941" t="n">
        <x:v>87765</x:v>
      </x:c>
      <x:c r="L941" t="n">
        <x:v>87765</x:v>
      </x:c>
      <x:c r="M941" t="n">
        <x:v>87765</x:v>
      </x:c>
      <x:c r="N941" t="n">
        <x:v>87765</x:v>
      </x:c>
      <x:c r="O941" t="n">
        <x:v>87765</x:v>
      </x:c>
    </x:row>
    <x:row r="942">
      <x:c r="A942" t="str">
        <x:v>Tamil Nadu</x:v>
      </x:c>
      <x:c r="B942" t="str">
        <x:v>Employees State Insurance Scheme</x:v>
      </x:c>
      <x:c r="C942" t="str">
        <x:v>200264</x:v>
      </x:c>
      <x:c r="D942" t="str">
        <x:v>Government Medical College &amp; ESIC Hospital, Coimbatore, TamilNadu, KAMARAJAR ROAD, VARADHARAJAPURAM, SINGANALLUR, COIMBATORE</x:v>
      </x:c>
      <x:c r="E942" t="str">
        <x:v>ESI</x:v>
      </x:c>
      <x:c r="F942" t="str">
        <x:v>EWS</x:v>
      </x:c>
      <x:c r="G942" t="n">
        <x:v>2</x:v>
      </x:c>
      <x:c r="H942" t="n">
        <x:v>2</x:v>
      </x:c>
      <x:c r="I942" t="n">
        <x:f>G942-H942</x:f>
        <x:v>0</x:v>
      </x:c>
      <x:c r="J942" s="20" t="n">
        <x:f>IFERROR(H942/G942,0)</x:f>
        <x:v>1</x:v>
      </x:c>
      <x:c r="K942" t="n">
        <x:v>50173</x:v>
      </x:c>
      <x:c r="L942" t="n">
        <x:v>50320.75</x:v>
      </x:c>
      <x:c r="M942" t="n">
        <x:v>50468.5</x:v>
      </x:c>
      <x:c r="N942" t="n">
        <x:v>50616.25</x:v>
      </x:c>
      <x:c r="O942" t="n">
        <x:v>50764</x:v>
      </x:c>
    </x:row>
    <x:row r="943">
      <x:c r="A943" t="str">
        <x:v>Tamil Nadu</x:v>
      </x:c>
      <x:c r="B943" t="str">
        <x:v>Employees State Insurance Scheme</x:v>
      </x:c>
      <x:c r="C943" t="str">
        <x:v>200264</x:v>
      </x:c>
      <x:c r="D943" t="str">
        <x:v>Government Medical College &amp; ESIC Hospital, Coimbatore, TamilNadu, KAMARAJAR ROAD, VARADHARAJAPURAM, SINGANALLUR, COIMBATORE</x:v>
      </x:c>
      <x:c r="E943" t="str">
        <x:v>ESI</x:v>
      </x:c>
      <x:c r="F943" t="str">
        <x:v>EWS PwD</x:v>
      </x:c>
      <x:c r="G943" t="n">
        <x:v>1</x:v>
      </x:c>
      <x:c r="H943" t="n">
        <x:v>0</x:v>
      </x:c>
      <x:c r="I943" t="n">
        <x:f>G943-H943</x:f>
        <x:v>1</x:v>
      </x:c>
      <x:c r="J943" s="20" t="n">
        <x:f>IFERROR(H943/G943,0)</x:f>
        <x:v>0</x:v>
      </x:c>
      <x:c r="K943"/>
      <x:c r="L943"/>
      <x:c r="M943"/>
      <x:c r="N943"/>
      <x:c r="O943"/>
    </x:row>
    <x:row r="944">
      <x:c r="A944" t="str">
        <x:v>Tamil Nadu</x:v>
      </x:c>
      <x:c r="B944" t="str">
        <x:v>Employees State Insurance Scheme</x:v>
      </x:c>
      <x:c r="C944" t="str">
        <x:v>200264</x:v>
      </x:c>
      <x:c r="D944" t="str">
        <x:v>Government Medical College &amp; ESIC Hospital, Coimbatore, TamilNadu, KAMARAJAR ROAD, VARADHARAJAPURAM, SINGANALLUR, COIMBATORE</x:v>
      </x:c>
      <x:c r="E944" t="str">
        <x:v>ESI</x:v>
      </x:c>
      <x:c r="F944" t="str">
        <x:v>OBC</x:v>
      </x:c>
      <x:c r="G944" t="n">
        <x:v>5</x:v>
      </x:c>
      <x:c r="H944" t="n">
        <x:v>5</x:v>
      </x:c>
      <x:c r="I944" t="n">
        <x:f>G944-H944</x:f>
        <x:v>0</x:v>
      </x:c>
      <x:c r="J944" s="20" t="n">
        <x:f>IFERROR(H944/G944,0)</x:f>
        <x:v>1</x:v>
      </x:c>
      <x:c r="K944" t="n">
        <x:v>28252</x:v>
      </x:c>
      <x:c r="L944" t="n">
        <x:v>31770</x:v>
      </x:c>
      <x:c r="M944" t="n">
        <x:v>31915</x:v>
      </x:c>
      <x:c r="N944" t="n">
        <x:v>33087</x:v>
      </x:c>
      <x:c r="O944" t="n">
        <x:v>33520</x:v>
      </x:c>
    </x:row>
    <x:row r="945">
      <x:c r="A945" t="str">
        <x:v>Tamil Nadu</x:v>
      </x:c>
      <x:c r="B945" t="str">
        <x:v>Employees State Insurance Scheme</x:v>
      </x:c>
      <x:c r="C945" t="str">
        <x:v>200264</x:v>
      </x:c>
      <x:c r="D945" t="str">
        <x:v>Government Medical College &amp; ESIC Hospital, Coimbatore, TamilNadu, KAMARAJAR ROAD, VARADHARAJAPURAM, SINGANALLUR, COIMBATORE</x:v>
      </x:c>
      <x:c r="E945" t="str">
        <x:v>ESI</x:v>
      </x:c>
      <x:c r="F945" t="str">
        <x:v>Open</x:v>
      </x:c>
      <x:c r="G945" t="n">
        <x:v>8</x:v>
      </x:c>
      <x:c r="H945" t="n">
        <x:v>8</x:v>
      </x:c>
      <x:c r="I945" t="n">
        <x:f>G945-H945</x:f>
        <x:v>0</x:v>
      </x:c>
      <x:c r="J945" s="20" t="n">
        <x:f>IFERROR(H945/G945,0)</x:f>
        <x:v>1</x:v>
      </x:c>
      <x:c r="K945" t="n">
        <x:v>20026</x:v>
      </x:c>
      <x:c r="L945" t="n">
        <x:v>20691</x:v>
      </x:c>
      <x:c r="M945" t="n">
        <x:v>23487</x:v>
      </x:c>
      <x:c r="N945" t="n">
        <x:v>24542.75</x:v>
      </x:c>
      <x:c r="O945" t="n">
        <x:v>27717</x:v>
      </x:c>
    </x:row>
    <x:row r="946">
      <x:c r="A946" t="str">
        <x:v>Tamil Nadu</x:v>
      </x:c>
      <x:c r="B946" t="str">
        <x:v>Employees State Insurance Scheme</x:v>
      </x:c>
      <x:c r="C946" t="str">
        <x:v>200264</x:v>
      </x:c>
      <x:c r="D946" t="str">
        <x:v>Government Medical College &amp; ESIC Hospital, Coimbatore, TamilNadu, KAMARAJAR ROAD, VARADHARAJAPURAM, SINGANALLUR, COIMBATORE</x:v>
      </x:c>
      <x:c r="E946" t="str">
        <x:v>ESI</x:v>
      </x:c>
      <x:c r="F946" t="str">
        <x:v>SC</x:v>
      </x:c>
      <x:c r="G946" t="n">
        <x:v>3</x:v>
      </x:c>
      <x:c r="H946" t="n">
        <x:v>3</x:v>
      </x:c>
      <x:c r="I946" t="n">
        <x:f>G946-H946</x:f>
        <x:v>0</x:v>
      </x:c>
      <x:c r="J946" s="20" t="n">
        <x:f>IFERROR(H946/G946,0)</x:f>
        <x:v>1</x:v>
      </x:c>
      <x:c r="K946" t="n">
        <x:v>100088</x:v>
      </x:c>
      <x:c r="L946" t="n">
        <x:v>114432.5</x:v>
      </x:c>
      <x:c r="M946" t="n">
        <x:v>128777</x:v>
      </x:c>
      <x:c r="N946" t="n">
        <x:v>132386.5</x:v>
      </x:c>
      <x:c r="O946" t="n">
        <x:v>135996</x:v>
      </x:c>
    </x:row>
    <x:row r="947">
      <x:c r="A947" t="str">
        <x:v>Tamil Nadu</x:v>
      </x:c>
      <x:c r="B947" t="str">
        <x:v>Employees State Insurance Scheme</x:v>
      </x:c>
      <x:c r="C947" t="str">
        <x:v>200264</x:v>
      </x:c>
      <x:c r="D947" t="str">
        <x:v>Government Medical College &amp; ESIC Hospital, Coimbatore, TamilNadu, KAMARAJAR ROAD, VARADHARAJAPURAM, SINGANALLUR, COIMBATORE</x:v>
      </x:c>
      <x:c r="E947" t="str">
        <x:v>ESI</x:v>
      </x:c>
      <x:c r="F947" t="str">
        <x:v>ST</x:v>
      </x:c>
      <x:c r="G947" t="n">
        <x:v>1</x:v>
      </x:c>
      <x:c r="H947" t="n">
        <x:v>1</x:v>
      </x:c>
      <x:c r="I947" t="n">
        <x:f>G947-H947</x:f>
        <x:v>0</x:v>
      </x:c>
      <x:c r="J947" s="20" t="n">
        <x:f>IFERROR(H947/G947,0)</x:f>
        <x:v>1</x:v>
      </x:c>
      <x:c r="K947" t="n">
        <x:v>329961</x:v>
      </x:c>
      <x:c r="L947" t="n">
        <x:v>329961</x:v>
      </x:c>
      <x:c r="M947" t="n">
        <x:v>329961</x:v>
      </x:c>
      <x:c r="N947" t="n">
        <x:v>329961</x:v>
      </x:c>
      <x:c r="O947" t="n">
        <x:v>329961</x:v>
      </x:c>
    </x:row>
    <x:row r="948">
      <x:c r="A948" t="str">
        <x:v>Odisha</x:v>
      </x:c>
      <x:c r="B948" t="str">
        <x:v>All India except Central University</x:v>
      </x:c>
      <x:c r="C948" t="str">
        <x:v>200428</x:v>
      </x:c>
      <x:c r="D948" t="str">
        <x:v>Government Medical College &amp; Hospital (Renamed as Bhima Bhoi Medical College &amp; Hospital), Balangir, PO - Rajendra College, District- Balangir, Odisha.</x:v>
      </x:c>
      <x:c r="E948" t="str">
        <x:v>All India</x:v>
      </x:c>
      <x:c r="F948" t="str">
        <x:v>EWS</x:v>
      </x:c>
      <x:c r="G948" t="n">
        <x:v>2</x:v>
      </x:c>
      <x:c r="H948" t="n">
        <x:v>2</x:v>
      </x:c>
      <x:c r="I948" t="n">
        <x:f>G948-H948</x:f>
        <x:v>0</x:v>
      </x:c>
      <x:c r="J948" s="20" t="n">
        <x:f>IFERROR(H948/G948,0)</x:f>
        <x:v>1</x:v>
      </x:c>
      <x:c r="K948" t="n">
        <x:v>18828</x:v>
      </x:c>
      <x:c r="L948" t="n">
        <x:v>18833.75</x:v>
      </x:c>
      <x:c r="M948" t="n">
        <x:v>18839.5</x:v>
      </x:c>
      <x:c r="N948" t="n">
        <x:v>18845.25</x:v>
      </x:c>
      <x:c r="O948" t="n">
        <x:v>18851</x:v>
      </x:c>
    </x:row>
    <x:row r="949">
      <x:c r="A949" t="str">
        <x:v>Odisha</x:v>
      </x:c>
      <x:c r="B949" t="str">
        <x:v>All India except Central University</x:v>
      </x:c>
      <x:c r="C949" t="str">
        <x:v>200428</x:v>
      </x:c>
      <x:c r="D949" t="str">
        <x:v>Government Medical College &amp; Hospital (Renamed as Bhima Bhoi Medical College &amp; Hospital), Balangir, PO - Rajendra College, District- Balangir, Odisha.</x:v>
      </x:c>
      <x:c r="E949" t="str">
        <x:v>All India</x:v>
      </x:c>
      <x:c r="F949" t="str">
        <x:v>OBC</x:v>
      </x:c>
      <x:c r="G949" t="n">
        <x:v>4</x:v>
      </x:c>
      <x:c r="H949" t="n">
        <x:v>4</x:v>
      </x:c>
      <x:c r="I949" t="n">
        <x:f>G949-H949</x:f>
        <x:v>0</x:v>
      </x:c>
      <x:c r="J949" s="20" t="n">
        <x:f>IFERROR(H949/G949,0)</x:f>
        <x:v>1</x:v>
      </x:c>
      <x:c r="K949" t="n">
        <x:v>9520</x:v>
      </x:c>
      <x:c r="L949" t="n">
        <x:v>10192</x:v>
      </x:c>
      <x:c r="M949" t="n">
        <x:v>10438.5</x:v>
      </x:c>
      <x:c r="N949" t="n">
        <x:v>10873.75</x:v>
      </x:c>
      <x:c r="O949" t="n">
        <x:v>12112</x:v>
      </x:c>
    </x:row>
    <x:row r="950">
      <x:c r="A950" t="str">
        <x:v>Odisha</x:v>
      </x:c>
      <x:c r="B950" t="str">
        <x:v>All India except Central University</x:v>
      </x:c>
      <x:c r="C950" t="str">
        <x:v>200428</x:v>
      </x:c>
      <x:c r="D950" t="str">
        <x:v>Government Medical College &amp; Hospital (Renamed as Bhima Bhoi Medical College &amp; Hospital), Balangir, PO - Rajendra College, District- Balangir, Odisha.</x:v>
      </x:c>
      <x:c r="E950" t="str">
        <x:v>All India</x:v>
      </x:c>
      <x:c r="F950" t="str">
        <x:v>Open</x:v>
      </x:c>
      <x:c r="G950" t="n">
        <x:v>5</x:v>
      </x:c>
      <x:c r="H950" t="n">
        <x:v>5</x:v>
      </x:c>
      <x:c r="I950" t="n">
        <x:f>G950-H950</x:f>
        <x:v>0</x:v>
      </x:c>
      <x:c r="J950" s="20" t="n">
        <x:f>IFERROR(H950/G950,0)</x:f>
        <x:v>1</x:v>
      </x:c>
      <x:c r="K950" t="n">
        <x:v>6722</x:v>
      </x:c>
      <x:c r="L950" t="n">
        <x:v>6872</x:v>
      </x:c>
      <x:c r="M950" t="n">
        <x:v>7984</x:v>
      </x:c>
      <x:c r="N950" t="n">
        <x:v>9376</x:v>
      </x:c>
      <x:c r="O950" t="n">
        <x:v>9497</x:v>
      </x:c>
    </x:row>
    <x:row r="951">
      <x:c r="A951" t="str">
        <x:v>Odisha</x:v>
      </x:c>
      <x:c r="B951" t="str">
        <x:v>All India except Central University</x:v>
      </x:c>
      <x:c r="C951" t="str">
        <x:v>200428</x:v>
      </x:c>
      <x:c r="D951" t="str">
        <x:v>Government Medical College &amp; Hospital (Renamed as Bhima Bhoi Medical College &amp; Hospital), Balangir, PO - Rajendra College, District- Balangir, Odisha.</x:v>
      </x:c>
      <x:c r="E951" t="str">
        <x:v>All India</x:v>
      </x:c>
      <x:c r="F951" t="str">
        <x:v>SC</x:v>
      </x:c>
      <x:c r="G951" t="n">
        <x:v>2</x:v>
      </x:c>
      <x:c r="H951" t="n">
        <x:v>2</x:v>
      </x:c>
      <x:c r="I951" t="n">
        <x:f>G951-H951</x:f>
        <x:v>0</x:v>
      </x:c>
      <x:c r="J951" s="20" t="n">
        <x:f>IFERROR(H951/G951,0)</x:f>
        <x:v>1</x:v>
      </x:c>
      <x:c r="K951" t="n">
        <x:v>67870</x:v>
      </x:c>
      <x:c r="L951" t="n">
        <x:v>68213.5</x:v>
      </x:c>
      <x:c r="M951" t="n">
        <x:v>68557</x:v>
      </x:c>
      <x:c r="N951" t="n">
        <x:v>68900.5</x:v>
      </x:c>
      <x:c r="O951" t="n">
        <x:v>69244</x:v>
      </x:c>
    </x:row>
    <x:row r="952">
      <x:c r="A952" t="str">
        <x:v>Odisha</x:v>
      </x:c>
      <x:c r="B952" t="str">
        <x:v>All India except Central University</x:v>
      </x:c>
      <x:c r="C952" t="str">
        <x:v>200428</x:v>
      </x:c>
      <x:c r="D952" t="str">
        <x:v>Government Medical College &amp; Hospital (Renamed as Bhima Bhoi Medical College &amp; Hospital), Balangir, PO - Rajendra College, District- Balangir, Odisha.</x:v>
      </x:c>
      <x:c r="E952" t="str">
        <x:v>All India</x:v>
      </x:c>
      <x:c r="F952" t="str">
        <x:v>ST</x:v>
      </x:c>
      <x:c r="G952" t="n">
        <x:v>2</x:v>
      </x:c>
      <x:c r="H952" t="n">
        <x:v>2</x:v>
      </x:c>
      <x:c r="I952" t="n">
        <x:f>G952-H952</x:f>
        <x:v>0</x:v>
      </x:c>
      <x:c r="J952" s="20" t="n">
        <x:f>IFERROR(H952/G952,0)</x:f>
        <x:v>1</x:v>
      </x:c>
      <x:c r="K952" t="n">
        <x:v>111797</x:v>
      </x:c>
      <x:c r="L952" t="n">
        <x:v>112070</x:v>
      </x:c>
      <x:c r="M952" t="n">
        <x:v>112343</x:v>
      </x:c>
      <x:c r="N952" t="n">
        <x:v>112616</x:v>
      </x:c>
      <x:c r="O952" t="n">
        <x:v>112889</x:v>
      </x:c>
    </x:row>
    <x:row r="953">
      <x:c r="A953" t="str">
        <x:v>Odisha</x:v>
      </x:c>
      <x:c r="B953" t="str">
        <x:v>All India except Central University</x:v>
      </x:c>
      <x:c r="C953" t="str">
        <x:v>200437</x:v>
      </x:c>
      <x:c r="D953" t="str">
        <x:v>Government Medical College &amp; Hospital (Renamed as Fakir Mohan Medical College &amp; Hospital), Balasore, Remuna, Baleshwar, 756019</x:v>
      </x:c>
      <x:c r="E953" t="str">
        <x:v>All India</x:v>
      </x:c>
      <x:c r="F953" t="str">
        <x:v>EWS</x:v>
      </x:c>
      <x:c r="G953" t="n">
        <x:v>1</x:v>
      </x:c>
      <x:c r="H953" t="n">
        <x:v>1</x:v>
      </x:c>
      <x:c r="I953" t="n">
        <x:f>G953-H953</x:f>
        <x:v>0</x:v>
      </x:c>
      <x:c r="J953" s="20" t="n">
        <x:f>IFERROR(H953/G953,0)</x:f>
        <x:v>1</x:v>
      </x:c>
      <x:c r="K953" t="n">
        <x:v>13732</x:v>
      </x:c>
      <x:c r="L953" t="n">
        <x:v>13732</x:v>
      </x:c>
      <x:c r="M953" t="n">
        <x:v>13732</x:v>
      </x:c>
      <x:c r="N953" t="n">
        <x:v>13732</x:v>
      </x:c>
      <x:c r="O953" t="n">
        <x:v>13732</x:v>
      </x:c>
    </x:row>
    <x:row r="954">
      <x:c r="A954" t="str">
        <x:v>Odisha</x:v>
      </x:c>
      <x:c r="B954" t="str">
        <x:v>All India except Central University</x:v>
      </x:c>
      <x:c r="C954" t="str">
        <x:v>200437</x:v>
      </x:c>
      <x:c r="D954" t="str">
        <x:v>Government Medical College &amp; Hospital (Renamed as Fakir Mohan Medical College &amp; Hospital), Balasore, Remuna, Baleshwar, 756019</x:v>
      </x:c>
      <x:c r="E954" t="str">
        <x:v>All India</x:v>
      </x:c>
      <x:c r="F954" t="str">
        <x:v>OBC</x:v>
      </x:c>
      <x:c r="G954" t="n">
        <x:v>4</x:v>
      </x:c>
      <x:c r="H954" t="n">
        <x:v>4</x:v>
      </x:c>
      <x:c r="I954" t="n">
        <x:f>G954-H954</x:f>
        <x:v>0</x:v>
      </x:c>
      <x:c r="J954" s="20" t="n">
        <x:f>IFERROR(H954/G954,0)</x:f>
        <x:v>1</x:v>
      </x:c>
      <x:c r="K954" t="n">
        <x:v>9568</x:v>
      </x:c>
      <x:c r="L954" t="n">
        <x:v>9646.75</x:v>
      </x:c>
      <x:c r="M954" t="n">
        <x:v>9850</x:v>
      </x:c>
      <x:c r="N954" t="n">
        <x:v>10030.25</x:v>
      </x:c>
      <x:c r="O954" t="n">
        <x:v>10040</x:v>
      </x:c>
    </x:row>
    <x:row r="955">
      <x:c r="A955" t="str">
        <x:v>Odisha</x:v>
      </x:c>
      <x:c r="B955" t="str">
        <x:v>All India except Central University</x:v>
      </x:c>
      <x:c r="C955" t="str">
        <x:v>200437</x:v>
      </x:c>
      <x:c r="D955" t="str">
        <x:v>Government Medical College &amp; Hospital (Renamed as Fakir Mohan Medical College &amp; Hospital), Balasore, Remuna, Baleshwar, 756019</x:v>
      </x:c>
      <x:c r="E955" t="str">
        <x:v>All India</x:v>
      </x:c>
      <x:c r="F955" t="str">
        <x:v>Open</x:v>
      </x:c>
      <x:c r="G955" t="n">
        <x:v>7</x:v>
      </x:c>
      <x:c r="H955" t="n">
        <x:v>7</x:v>
      </x:c>
      <x:c r="I955" t="n">
        <x:f>G955-H955</x:f>
        <x:v>0</x:v>
      </x:c>
      <x:c r="J955" s="20" t="n">
        <x:f>IFERROR(H955/G955,0)</x:f>
        <x:v>1</x:v>
      </x:c>
      <x:c r="K955" t="n">
        <x:v>7478</x:v>
      </x:c>
      <x:c r="L955" t="n">
        <x:v>8620.5</x:v>
      </x:c>
      <x:c r="M955" t="n">
        <x:v>8733</x:v>
      </x:c>
      <x:c r="N955" t="n">
        <x:v>8916.5</x:v>
      </x:c>
      <x:c r="O955" t="n">
        <x:v>9275</x:v>
      </x:c>
    </x:row>
    <x:row r="956">
      <x:c r="A956" t="str">
        <x:v>Odisha</x:v>
      </x:c>
      <x:c r="B956" t="str">
        <x:v>All India except Central University</x:v>
      </x:c>
      <x:c r="C956" t="str">
        <x:v>200437</x:v>
      </x:c>
      <x:c r="D956" t="str">
        <x:v>Government Medical College &amp; Hospital (Renamed as Fakir Mohan Medical College &amp; Hospital), Balasore, Remuna, Baleshwar, 756019</x:v>
      </x:c>
      <x:c r="E956" t="str">
        <x:v>All India</x:v>
      </x:c>
      <x:c r="F956" t="str">
        <x:v>SC</x:v>
      </x:c>
      <x:c r="G956" t="n">
        <x:v>1</x:v>
      </x:c>
      <x:c r="H956" t="n">
        <x:v>1</x:v>
      </x:c>
      <x:c r="I956" t="n">
        <x:f>G956-H956</x:f>
        <x:v>0</x:v>
      </x:c>
      <x:c r="J956" s="20" t="n">
        <x:f>IFERROR(H956/G956,0)</x:f>
        <x:v>1</x:v>
      </x:c>
      <x:c r="K956" t="n">
        <x:v>50279</x:v>
      </x:c>
      <x:c r="L956" t="n">
        <x:v>50279</x:v>
      </x:c>
      <x:c r="M956" t="n">
        <x:v>50279</x:v>
      </x:c>
      <x:c r="N956" t="n">
        <x:v>50279</x:v>
      </x:c>
      <x:c r="O956" t="n">
        <x:v>50279</x:v>
      </x:c>
    </x:row>
    <x:row r="957">
      <x:c r="A957" t="str">
        <x:v>Odisha</x:v>
      </x:c>
      <x:c r="B957" t="str">
        <x:v>All India except Central University</x:v>
      </x:c>
      <x:c r="C957" t="str">
        <x:v>200437</x:v>
      </x:c>
      <x:c r="D957" t="str">
        <x:v>Government Medical College &amp; Hospital (Renamed as Fakir Mohan Medical College &amp; Hospital), Balasore, Remuna, Baleshwar, 756019</x:v>
      </x:c>
      <x:c r="E957" t="str">
        <x:v>All India</x:v>
      </x:c>
      <x:c r="F957" t="str">
        <x:v>SC PwD</x:v>
      </x:c>
      <x:c r="G957" t="n">
        <x:v>1</x:v>
      </x:c>
      <x:c r="H957" t="n">
        <x:v>0</x:v>
      </x:c>
      <x:c r="I957" t="n">
        <x:f>G957-H957</x:f>
        <x:v>1</x:v>
      </x:c>
      <x:c r="J957" s="20" t="n">
        <x:f>IFERROR(H957/G957,0)</x:f>
        <x:v>0</x:v>
      </x:c>
      <x:c r="K957"/>
      <x:c r="L957"/>
      <x:c r="M957"/>
      <x:c r="N957"/>
      <x:c r="O957"/>
    </x:row>
    <x:row r="958">
      <x:c r="A958" t="str">
        <x:v>Odisha</x:v>
      </x:c>
      <x:c r="B958" t="str">
        <x:v>All India except Central University</x:v>
      </x:c>
      <x:c r="C958" t="str">
        <x:v>200437</x:v>
      </x:c>
      <x:c r="D958" t="str">
        <x:v>Government Medical College &amp; Hospital (Renamed as Fakir Mohan Medical College &amp; Hospital), Balasore, Remuna, Baleshwar, 756019</x:v>
      </x:c>
      <x:c r="E958" t="str">
        <x:v>All India</x:v>
      </x:c>
      <x:c r="F958" t="str">
        <x:v>ST</x:v>
      </x:c>
      <x:c r="G958" t="n">
        <x:v>1</x:v>
      </x:c>
      <x:c r="H958" t="n">
        <x:v>1</x:v>
      </x:c>
      <x:c r="I958" t="n">
        <x:f>G958-H958</x:f>
        <x:v>0</x:v>
      </x:c>
      <x:c r="J958" s="20" t="n">
        <x:f>IFERROR(H958/G958,0)</x:f>
        <x:v>1</x:v>
      </x:c>
      <x:c r="K958" t="n">
        <x:v>105802</x:v>
      </x:c>
      <x:c r="L958" t="n">
        <x:v>105802</x:v>
      </x:c>
      <x:c r="M958" t="n">
        <x:v>105802</x:v>
      </x:c>
      <x:c r="N958" t="n">
        <x:v>105802</x:v>
      </x:c>
      <x:c r="O958" t="n">
        <x:v>105802</x:v>
      </x:c>
    </x:row>
    <x:row r="959">
      <x:c r="A959" t="str">
        <x:v>Tamil Nadu</x:v>
      </x:c>
      <x:c r="B959" t="str">
        <x:v>All India except Central University</x:v>
      </x:c>
      <x:c r="C959" t="str">
        <x:v>200278</x:v>
      </x:c>
      <x:c r="D959" t="str">
        <x:v>Government Medical College &amp; Hospital Cuddalore, Since- 09-05- 2025 (erstwhile Rajah Muthiah Medical College, cuddalore, T.N), Government Medical College and Hospital, Cuddalore District, Erstwhile Rajah Muthiah Medical College</x:v>
      </x:c>
      <x:c r="E959" t="str">
        <x:v>All India</x:v>
      </x:c>
      <x:c r="F959" t="str">
        <x:v>EWS</x:v>
      </x:c>
      <x:c r="G959" t="n">
        <x:v>3</x:v>
      </x:c>
      <x:c r="H959" t="n">
        <x:v>3</x:v>
      </x:c>
      <x:c r="I959" t="n">
        <x:f>G959-H959</x:f>
        <x:v>0</x:v>
      </x:c>
      <x:c r="J959" s="20" t="n">
        <x:f>IFERROR(H959/G959,0)</x:f>
        <x:v>1</x:v>
      </x:c>
      <x:c r="K959" t="n">
        <x:v>24940</x:v>
      </x:c>
      <x:c r="L959" t="n">
        <x:v>25089</x:v>
      </x:c>
      <x:c r="M959" t="n">
        <x:v>25238</x:v>
      </x:c>
      <x:c r="N959" t="n">
        <x:v>25259</x:v>
      </x:c>
      <x:c r="O959" t="n">
        <x:v>25280</x:v>
      </x:c>
    </x:row>
    <x:row r="960">
      <x:c r="A960" t="str">
        <x:v>Tamil Nadu</x:v>
      </x:c>
      <x:c r="B960" t="str">
        <x:v>All India except Central University</x:v>
      </x:c>
      <x:c r="C960" t="str">
        <x:v>200278</x:v>
      </x:c>
      <x:c r="D960" t="str">
        <x:v>Government Medical College &amp; Hospital Cuddalore, Since- 09-05- 2025 (erstwhile Rajah Muthiah Medical College, cuddalore, T.N), Government Medical College and Hospital, Cuddalore District, Erstwhile Rajah Muthiah Medical College</x:v>
      </x:c>
      <x:c r="E960" t="str">
        <x:v>All India</x:v>
      </x:c>
      <x:c r="F960" t="str">
        <x:v>OBC</x:v>
      </x:c>
      <x:c r="G960" t="n">
        <x:v>6</x:v>
      </x:c>
      <x:c r="H960" t="n">
        <x:v>6</x:v>
      </x:c>
      <x:c r="I960" t="n">
        <x:f>G960-H960</x:f>
        <x:v>0</x:v>
      </x:c>
      <x:c r="J960" s="20" t="n">
        <x:f>IFERROR(H960/G960,0)</x:f>
        <x:v>1</x:v>
      </x:c>
      <x:c r="K960" t="n">
        <x:v>11865</x:v>
      </x:c>
      <x:c r="L960" t="n">
        <x:v>12055.75</x:v>
      </x:c>
      <x:c r="M960" t="n">
        <x:v>12326</x:v>
      </x:c>
      <x:c r="N960" t="n">
        <x:v>12432.75</x:v>
      </x:c>
      <x:c r="O960" t="n">
        <x:v>12455</x:v>
      </x:c>
    </x:row>
    <x:row r="961">
      <x:c r="A961" t="str">
        <x:v>Tamil Nadu</x:v>
      </x:c>
      <x:c r="B961" t="str">
        <x:v>All India except Central University</x:v>
      </x:c>
      <x:c r="C961" t="str">
        <x:v>200278</x:v>
      </x:c>
      <x:c r="D961" t="str">
        <x:v>Government Medical College &amp; Hospital Cuddalore, Since- 09-05- 2025 (erstwhile Rajah Muthiah Medical College, cuddalore, T.N), Government Medical College and Hospital, Cuddalore District, Erstwhile Rajah Muthiah Medical College</x:v>
      </x:c>
      <x:c r="E961" t="str">
        <x:v>All India</x:v>
      </x:c>
      <x:c r="F961" t="str">
        <x:v>Open</x:v>
      </x:c>
      <x:c r="G961" t="n">
        <x:v>8</x:v>
      </x:c>
      <x:c r="H961" t="n">
        <x:v>8</x:v>
      </x:c>
      <x:c r="I961" t="n">
        <x:f>G961-H961</x:f>
        <x:v>0</x:v>
      </x:c>
      <x:c r="J961" s="20" t="n">
        <x:f>IFERROR(H961/G961,0)</x:f>
        <x:v>1</x:v>
      </x:c>
      <x:c r="K961" t="n">
        <x:v>7068</x:v>
      </x:c>
      <x:c r="L961" t="n">
        <x:v>8653.5</x:v>
      </x:c>
      <x:c r="M961" t="n">
        <x:v>10544.5</x:v>
      </x:c>
      <x:c r="N961" t="n">
        <x:v>11056.75</x:v>
      </x:c>
      <x:c r="O961" t="n">
        <x:v>11605</x:v>
      </x:c>
    </x:row>
    <x:row r="962">
      <x:c r="A962" t="str">
        <x:v>Tamil Nadu</x:v>
      </x:c>
      <x:c r="B962" t="str">
        <x:v>All India except Central University</x:v>
      </x:c>
      <x:c r="C962" t="str">
        <x:v>200278</x:v>
      </x:c>
      <x:c r="D962" t="str">
        <x:v>Government Medical College &amp; Hospital Cuddalore, Since- 09-05- 2025 (erstwhile Rajah Muthiah Medical College, cuddalore, T.N), Government Medical College and Hospital, Cuddalore District, Erstwhile Rajah Muthiah Medical College</x:v>
      </x:c>
      <x:c r="E962" t="str">
        <x:v>All India</x:v>
      </x:c>
      <x:c r="F962" t="str">
        <x:v>SC</x:v>
      </x:c>
      <x:c r="G962" t="n">
        <x:v>2</x:v>
      </x:c>
      <x:c r="H962" t="n">
        <x:v>2</x:v>
      </x:c>
      <x:c r="I962" t="n">
        <x:f>G962-H962</x:f>
        <x:v>0</x:v>
      </x:c>
      <x:c r="J962" s="20" t="n">
        <x:f>IFERROR(H962/G962,0)</x:f>
        <x:v>1</x:v>
      </x:c>
      <x:c r="K962" t="n">
        <x:v>60165</x:v>
      </x:c>
      <x:c r="L962" t="n">
        <x:v>61364</x:v>
      </x:c>
      <x:c r="M962" t="n">
        <x:v>62563</x:v>
      </x:c>
      <x:c r="N962" t="n">
        <x:v>63762</x:v>
      </x:c>
      <x:c r="O962" t="n">
        <x:v>64961</x:v>
      </x:c>
    </x:row>
    <x:row r="963">
      <x:c r="A963" t="str">
        <x:v>Tamil Nadu</x:v>
      </x:c>
      <x:c r="B963" t="str">
        <x:v>All India except Central University</x:v>
      </x:c>
      <x:c r="C963" t="str">
        <x:v>200278</x:v>
      </x:c>
      <x:c r="D963" t="str">
        <x:v>Government Medical College &amp; Hospital Cuddalore, Since- 09-05- 2025 (erstwhile Rajah Muthiah Medical College, cuddalore, T.N), Government Medical College and Hospital, Cuddalore District, Erstwhile Rajah Muthiah Medical College</x:v>
      </x:c>
      <x:c r="E963" t="str">
        <x:v>All India</x:v>
      </x:c>
      <x:c r="F963" t="str">
        <x:v>SC PwD</x:v>
      </x:c>
      <x:c r="G963" t="n">
        <x:v>1</x:v>
      </x:c>
      <x:c r="H963" t="n">
        <x:v>1</x:v>
      </x:c>
      <x:c r="I963" t="n">
        <x:f>G963-H963</x:f>
        <x:v>0</x:v>
      </x:c>
      <x:c r="J963" s="20" t="n">
        <x:f>IFERROR(H963/G963,0)</x:f>
        <x:v>1</x:v>
      </x:c>
      <x:c r="K963" t="n">
        <x:v>976752</x:v>
      </x:c>
      <x:c r="L963" t="n">
        <x:v>976752</x:v>
      </x:c>
      <x:c r="M963" t="n">
        <x:v>976752</x:v>
      </x:c>
      <x:c r="N963" t="n">
        <x:v>976752</x:v>
      </x:c>
      <x:c r="O963" t="n">
        <x:v>976752</x:v>
      </x:c>
    </x:row>
    <x:row r="964">
      <x:c r="A964" t="str">
        <x:v>Tamil Nadu</x:v>
      </x:c>
      <x:c r="B964" t="str">
        <x:v>All India except Central University</x:v>
      </x:c>
      <x:c r="C964" t="str">
        <x:v>200278</x:v>
      </x:c>
      <x:c r="D964" t="str">
        <x:v>Government Medical College &amp; Hospital Cuddalore, Since- 09-05- 2025 (erstwhile Rajah Muthiah Medical College, cuddalore, T.N), Government Medical College and Hospital, Cuddalore District, Erstwhile Rajah Muthiah Medical College</x:v>
      </x:c>
      <x:c r="E964" t="str">
        <x:v>All India</x:v>
      </x:c>
      <x:c r="F964" t="str">
        <x:v>ST</x:v>
      </x:c>
      <x:c r="G964" t="n">
        <x:v>1</x:v>
      </x:c>
      <x:c r="H964" t="n">
        <x:v>1</x:v>
      </x:c>
      <x:c r="I964" t="n">
        <x:f>G964-H964</x:f>
        <x:v>0</x:v>
      </x:c>
      <x:c r="J964" s="20" t="n">
        <x:f>IFERROR(H964/G964,0)</x:f>
        <x:v>1</x:v>
      </x:c>
      <x:c r="K964" t="n">
        <x:v>117554</x:v>
      </x:c>
      <x:c r="L964" t="n">
        <x:v>117554</x:v>
      </x:c>
      <x:c r="M964" t="n">
        <x:v>117554</x:v>
      </x:c>
      <x:c r="N964" t="n">
        <x:v>117554</x:v>
      </x:c>
      <x:c r="O964" t="n">
        <x:v>117554</x:v>
      </x:c>
    </x:row>
    <x:row r="965">
      <x:c r="A965" t="str">
        <x:v>Tamil Nadu</x:v>
      </x:c>
      <x:c r="B965" t="str">
        <x:v>All India except Central University</x:v>
      </x:c>
      <x:c r="C965" t="str">
        <x:v>200278</x:v>
      </x:c>
      <x:c r="D965" t="str">
        <x:v>Government Medical College &amp; Hospital Cuddalore, Since- 09-05- 2025 (erstwhile Rajah Muthiah Medical College, cuddalore, T.N), Government Medical College and Hospital, Cuddalore District, Erstwhile Rajah Muthiah Medical College</x:v>
      </x:c>
      <x:c r="E965" t="str">
        <x:v>All India</x:v>
      </x:c>
      <x:c r="F965" t="str">
        <x:v>ST PwD</x:v>
      </x:c>
      <x:c r="G965" t="n">
        <x:v>1</x:v>
      </x:c>
      <x:c r="H965" t="n">
        <x:v>0</x:v>
      </x:c>
      <x:c r="I965" t="n">
        <x:f>G965-H965</x:f>
        <x:v>1</x:v>
      </x:c>
      <x:c r="J965" s="20" t="n">
        <x:f>IFERROR(H965/G965,0)</x:f>
        <x:v>0</x:v>
      </x:c>
      <x:c r="K965"/>
      <x:c r="L965"/>
      <x:c r="M965"/>
      <x:c r="N965"/>
      <x:c r="O965"/>
    </x:row>
    <x:row r="966">
      <x:c r="A966" t="str">
        <x:v>Maharashtra</x:v>
      </x:c>
      <x:c r="B966" t="str">
        <x:v>All India except Central University</x:v>
      </x:c>
      <x:c r="C966" t="str">
        <x:v>200497</x:v>
      </x:c>
      <x:c r="D966" t="str">
        <x:v>Government Medical College &amp; Hospital, Baramati, Plot No P107 MIDC area Opposite Women Hospital Baramati Taluka Baramati District Pune</x:v>
      </x:c>
      <x:c r="E966" t="str">
        <x:v>All India</x:v>
      </x:c>
      <x:c r="F966" t="str">
        <x:v>EWS</x:v>
      </x:c>
      <x:c r="G966" t="n">
        <x:v>2</x:v>
      </x:c>
      <x:c r="H966" t="n">
        <x:v>2</x:v>
      </x:c>
      <x:c r="I966" t="n">
        <x:f>G966-H966</x:f>
        <x:v>0</x:v>
      </x:c>
      <x:c r="J966" s="20" t="n">
        <x:f>IFERROR(H966/G966,0)</x:f>
        <x:v>1</x:v>
      </x:c>
      <x:c r="K966" t="n">
        <x:v>11797</x:v>
      </x:c>
      <x:c r="L966" t="n">
        <x:v>12241.25</x:v>
      </x:c>
      <x:c r="M966" t="n">
        <x:v>12685.5</x:v>
      </x:c>
      <x:c r="N966" t="n">
        <x:v>13129.75</x:v>
      </x:c>
      <x:c r="O966" t="n">
        <x:v>13574</x:v>
      </x:c>
    </x:row>
    <x:row r="967">
      <x:c r="A967" t="str">
        <x:v>Maharashtra</x:v>
      </x:c>
      <x:c r="B967" t="str">
        <x:v>All India except Central University</x:v>
      </x:c>
      <x:c r="C967" t="str">
        <x:v>200497</x:v>
      </x:c>
      <x:c r="D967" t="str">
        <x:v>Government Medical College &amp; Hospital, Baramati, Plot No P107 MIDC area Opposite Women Hospital Baramati Taluka Baramati District Pune</x:v>
      </x:c>
      <x:c r="E967" t="str">
        <x:v>All India</x:v>
      </x:c>
      <x:c r="F967" t="str">
        <x:v>OBC</x:v>
      </x:c>
      <x:c r="G967" t="n">
        <x:v>4</x:v>
      </x:c>
      <x:c r="H967" t="n">
        <x:v>4</x:v>
      </x:c>
      <x:c r="I967" t="n">
        <x:f>G967-H967</x:f>
        <x:v>0</x:v>
      </x:c>
      <x:c r="J967" s="20" t="n">
        <x:f>IFERROR(H967/G967,0)</x:f>
        <x:v>1</x:v>
      </x:c>
      <x:c r="K967" t="n">
        <x:v>10705</x:v>
      </x:c>
      <x:c r="L967" t="n">
        <x:v>10744.75</x:v>
      </x:c>
      <x:c r="M967" t="n">
        <x:v>11035.5</x:v>
      </x:c>
      <x:c r="N967" t="n">
        <x:v>11332.5</x:v>
      </x:c>
      <x:c r="O967" t="n">
        <x:v>11391</x:v>
      </x:c>
    </x:row>
    <x:row r="968">
      <x:c r="A968" t="str">
        <x:v>Maharashtra</x:v>
      </x:c>
      <x:c r="B968" t="str">
        <x:v>All India except Central University</x:v>
      </x:c>
      <x:c r="C968" t="str">
        <x:v>200497</x:v>
      </x:c>
      <x:c r="D968" t="str">
        <x:v>Government Medical College &amp; Hospital, Baramati, Plot No P107 MIDC area Opposite Women Hospital Baramati Taluka Baramati District Pune</x:v>
      </x:c>
      <x:c r="E968" t="str">
        <x:v>All India</x:v>
      </x:c>
      <x:c r="F968" t="str">
        <x:v>Open</x:v>
      </x:c>
      <x:c r="G968" t="n">
        <x:v>6</x:v>
      </x:c>
      <x:c r="H968" t="n">
        <x:v>6</x:v>
      </x:c>
      <x:c r="I968" t="n">
        <x:f>G968-H968</x:f>
        <x:v>0</x:v>
      </x:c>
      <x:c r="J968" s="20" t="n">
        <x:f>IFERROR(H968/G968,0)</x:f>
        <x:v>1</x:v>
      </x:c>
      <x:c r="K968" t="n">
        <x:v>6645</x:v>
      </x:c>
      <x:c r="L968" t="n">
        <x:v>6983</x:v>
      </x:c>
      <x:c r="M968" t="n">
        <x:v>7205.5</x:v>
      </x:c>
      <x:c r="N968" t="n">
        <x:v>7374.75</x:v>
      </x:c>
      <x:c r="O968" t="n">
        <x:v>7805</x:v>
      </x:c>
    </x:row>
    <x:row r="969">
      <x:c r="A969" t="str">
        <x:v>Maharashtra</x:v>
      </x:c>
      <x:c r="B969" t="str">
        <x:v>All India except Central University</x:v>
      </x:c>
      <x:c r="C969" t="str">
        <x:v>200497</x:v>
      </x:c>
      <x:c r="D969" t="str">
        <x:v>Government Medical College &amp; Hospital, Baramati, Plot No P107 MIDC area Opposite Women Hospital Baramati Taluka Baramati District Pune</x:v>
      </x:c>
      <x:c r="E969" t="str">
        <x:v>All India</x:v>
      </x:c>
      <x:c r="F969" t="str">
        <x:v>SC</x:v>
      </x:c>
      <x:c r="G969" t="n">
        <x:v>2</x:v>
      </x:c>
      <x:c r="H969" t="n">
        <x:v>2</x:v>
      </x:c>
      <x:c r="I969" t="n">
        <x:f>G969-H969</x:f>
        <x:v>0</x:v>
      </x:c>
      <x:c r="J969" s="20" t="n">
        <x:f>IFERROR(H969/G969,0)</x:f>
        <x:v>1</x:v>
      </x:c>
      <x:c r="K969" t="n">
        <x:v>52605</x:v>
      </x:c>
      <x:c r="L969" t="n">
        <x:v>54310.75</x:v>
      </x:c>
      <x:c r="M969" t="n">
        <x:v>56016.5</x:v>
      </x:c>
      <x:c r="N969" t="n">
        <x:v>57722.25</x:v>
      </x:c>
      <x:c r="O969" t="n">
        <x:v>59428</x:v>
      </x:c>
    </x:row>
    <x:row r="970">
      <x:c r="A970" t="str">
        <x:v>Maharashtra</x:v>
      </x:c>
      <x:c r="B970" t="str">
        <x:v>All India except Central University</x:v>
      </x:c>
      <x:c r="C970" t="str">
        <x:v>200497</x:v>
      </x:c>
      <x:c r="D970" t="str">
        <x:v>Government Medical College &amp; Hospital, Baramati, Plot No P107 MIDC area Opposite Women Hospital Baramati Taluka Baramati District Pune</x:v>
      </x:c>
      <x:c r="E970" t="str">
        <x:v>All India</x:v>
      </x:c>
      <x:c r="F970" t="str">
        <x:v>ST</x:v>
      </x:c>
      <x:c r="G970" t="n">
        <x:v>1</x:v>
      </x:c>
      <x:c r="H970" t="n">
        <x:v>1</x:v>
      </x:c>
      <x:c r="I970" t="n">
        <x:f>G970-H970</x:f>
        <x:v>0</x:v>
      </x:c>
      <x:c r="J970" s="20" t="n">
        <x:f>IFERROR(H970/G970,0)</x:f>
        <x:v>1</x:v>
      </x:c>
      <x:c r="K970" t="n">
        <x:v>64851</x:v>
      </x:c>
      <x:c r="L970" t="n">
        <x:v>64851</x:v>
      </x:c>
      <x:c r="M970" t="n">
        <x:v>64851</x:v>
      </x:c>
      <x:c r="N970" t="n">
        <x:v>64851</x:v>
      </x:c>
      <x:c r="O970" t="n">
        <x:v>64851</x:v>
      </x:c>
    </x:row>
    <x:row r="971">
      <x:c r="A971" t="str">
        <x:v>Uttar Pradesh</x:v>
      </x:c>
      <x:c r="B971" t="str">
        <x:v>All India except Central University</x:v>
      </x:c>
      <x:c r="C971" t="str">
        <x:v>200290</x:v>
      </x:c>
      <x:c r="D971" t="str">
        <x:v>Government Medical College &amp; Super facility Hospital, Azamgarh, Government Medical College and Super Facility Hospital Chakrapanpur Post Office-Kanaila, Azamgarh</x:v>
      </x:c>
      <x:c r="E971" t="str">
        <x:v>All India</x:v>
      </x:c>
      <x:c r="F971" t="str">
        <x:v>EWS</x:v>
      </x:c>
      <x:c r="G971" t="n">
        <x:v>2</x:v>
      </x:c>
      <x:c r="H971" t="n">
        <x:v>2</x:v>
      </x:c>
      <x:c r="I971" t="n">
        <x:f>G971-H971</x:f>
        <x:v>0</x:v>
      </x:c>
      <x:c r="J971" s="20" t="n">
        <x:f>IFERROR(H971/G971,0)</x:f>
        <x:v>1</x:v>
      </x:c>
      <x:c r="K971" t="n">
        <x:v>12778</x:v>
      </x:c>
      <x:c r="L971" t="n">
        <x:v>12954.25</x:v>
      </x:c>
      <x:c r="M971" t="n">
        <x:v>13130.5</x:v>
      </x:c>
      <x:c r="N971" t="n">
        <x:v>13306.75</x:v>
      </x:c>
      <x:c r="O971" t="n">
        <x:v>13483</x:v>
      </x:c>
    </x:row>
    <x:row r="972">
      <x:c r="A972" t="str">
        <x:v>Uttar Pradesh</x:v>
      </x:c>
      <x:c r="B972" t="str">
        <x:v>All India except Central University</x:v>
      </x:c>
      <x:c r="C972" t="str">
        <x:v>200290</x:v>
      </x:c>
      <x:c r="D972" t="str">
        <x:v>Government Medical College &amp; Super facility Hospital, Azamgarh, Government Medical College and Super Facility Hospital Chakrapanpur Post Office-Kanaila, Azamgarh</x:v>
      </x:c>
      <x:c r="E972" t="str">
        <x:v>All India</x:v>
      </x:c>
      <x:c r="F972" t="str">
        <x:v>OBC</x:v>
      </x:c>
      <x:c r="G972" t="n">
        <x:v>3</x:v>
      </x:c>
      <x:c r="H972" t="n">
        <x:v>3</x:v>
      </x:c>
      <x:c r="I972" t="n">
        <x:f>G972-H972</x:f>
        <x:v>0</x:v>
      </x:c>
      <x:c r="J972" s="20" t="n">
        <x:f>IFERROR(H972/G972,0)</x:f>
        <x:v>1</x:v>
      </x:c>
      <x:c r="K972" t="n">
        <x:v>9732</x:v>
      </x:c>
      <x:c r="L972" t="n">
        <x:v>9857</x:v>
      </x:c>
      <x:c r="M972" t="n">
        <x:v>9982</x:v>
      </x:c>
      <x:c r="N972" t="n">
        <x:v>9992</x:v>
      </x:c>
      <x:c r="O972" t="n">
        <x:v>10002</x:v>
      </x:c>
    </x:row>
    <x:row r="973">
      <x:c r="A973" t="str">
        <x:v>Uttar Pradesh</x:v>
      </x:c>
      <x:c r="B973" t="str">
        <x:v>All India except Central University</x:v>
      </x:c>
      <x:c r="C973" t="str">
        <x:v>200290</x:v>
      </x:c>
      <x:c r="D973" t="str">
        <x:v>Government Medical College &amp; Super facility Hospital, Azamgarh, Government Medical College and Super Facility Hospital Chakrapanpur Post Office-Kanaila, Azamgarh</x:v>
      </x:c>
      <x:c r="E973" t="str">
        <x:v>All India</x:v>
      </x:c>
      <x:c r="F973" t="str">
        <x:v>OBC PwD</x:v>
      </x:c>
      <x:c r="G973" t="n">
        <x:v>1</x:v>
      </x:c>
      <x:c r="H973" t="n">
        <x:v>1</x:v>
      </x:c>
      <x:c r="I973" t="n">
        <x:f>G973-H973</x:f>
        <x:v>0</x:v>
      </x:c>
      <x:c r="J973" s="20" t="n">
        <x:f>IFERROR(H973/G973,0)</x:f>
        <x:v>1</x:v>
      </x:c>
      <x:c r="K973" t="n">
        <x:v>365227</x:v>
      </x:c>
      <x:c r="L973" t="n">
        <x:v>365227</x:v>
      </x:c>
      <x:c r="M973" t="n">
        <x:v>365227</x:v>
      </x:c>
      <x:c r="N973" t="n">
        <x:v>365227</x:v>
      </x:c>
      <x:c r="O973" t="n">
        <x:v>365227</x:v>
      </x:c>
    </x:row>
    <x:row r="974">
      <x:c r="A974" t="str">
        <x:v>Uttar Pradesh</x:v>
      </x:c>
      <x:c r="B974" t="str">
        <x:v>All India except Central University</x:v>
      </x:c>
      <x:c r="C974" t="str">
        <x:v>200290</x:v>
      </x:c>
      <x:c r="D974" t="str">
        <x:v>Government Medical College &amp; Super facility Hospital, Azamgarh, Government Medical College and Super Facility Hospital Chakrapanpur Post Office-Kanaila, Azamgarh</x:v>
      </x:c>
      <x:c r="E974" t="str">
        <x:v>All India</x:v>
      </x:c>
      <x:c r="F974" t="str">
        <x:v>Open</x:v>
      </x:c>
      <x:c r="G974" t="n">
        <x:v>5</x:v>
      </x:c>
      <x:c r="H974" t="n">
        <x:v>5</x:v>
      </x:c>
      <x:c r="I974" t="n">
        <x:f>G974-H974</x:f>
        <x:v>0</x:v>
      </x:c>
      <x:c r="J974" s="20" t="n">
        <x:f>IFERROR(H974/G974,0)</x:f>
        <x:v>1</x:v>
      </x:c>
      <x:c r="K974" t="n">
        <x:v>8342</x:v>
      </x:c>
      <x:c r="L974" t="n">
        <x:v>8558</x:v>
      </x:c>
      <x:c r="M974" t="n">
        <x:v>9074</x:v>
      </x:c>
      <x:c r="N974" t="n">
        <x:v>9133</x:v>
      </x:c>
      <x:c r="O974" t="n">
        <x:v>9159</x:v>
      </x:c>
    </x:row>
    <x:row r="975">
      <x:c r="A975" t="str">
        <x:v>Uttar Pradesh</x:v>
      </x:c>
      <x:c r="B975" t="str">
        <x:v>All India except Central University</x:v>
      </x:c>
      <x:c r="C975" t="str">
        <x:v>200290</x:v>
      </x:c>
      <x:c r="D975" t="str">
        <x:v>Government Medical College &amp; Super facility Hospital, Azamgarh, Government Medical College and Super Facility Hospital Chakrapanpur Post Office-Kanaila, Azamgarh</x:v>
      </x:c>
      <x:c r="E975" t="str">
        <x:v>All India</x:v>
      </x:c>
      <x:c r="F975" t="str">
        <x:v>SC</x:v>
      </x:c>
      <x:c r="G975" t="n">
        <x:v>2</x:v>
      </x:c>
      <x:c r="H975" t="n">
        <x:v>2</x:v>
      </x:c>
      <x:c r="I975" t="n">
        <x:f>G975-H975</x:f>
        <x:v>0</x:v>
      </x:c>
      <x:c r="J975" s="20" t="n">
        <x:f>IFERROR(H975/G975,0)</x:f>
        <x:v>1</x:v>
      </x:c>
      <x:c r="K975" t="n">
        <x:v>62795</x:v>
      </x:c>
      <x:c r="L975" t="n">
        <x:v>63888.5</x:v>
      </x:c>
      <x:c r="M975" t="n">
        <x:v>64982</x:v>
      </x:c>
      <x:c r="N975" t="n">
        <x:v>66075.5</x:v>
      </x:c>
      <x:c r="O975" t="n">
        <x:v>67169</x:v>
      </x:c>
    </x:row>
    <x:row r="976">
      <x:c r="A976" t="str">
        <x:v>Uttar Pradesh</x:v>
      </x:c>
      <x:c r="B976" t="str">
        <x:v>All India except Central University</x:v>
      </x:c>
      <x:c r="C976" t="str">
        <x:v>200290</x:v>
      </x:c>
      <x:c r="D976" t="str">
        <x:v>Government Medical College &amp; Super facility Hospital, Azamgarh, Government Medical College and Super Facility Hospital Chakrapanpur Post Office-Kanaila, Azamgarh</x:v>
      </x:c>
      <x:c r="E976" t="str">
        <x:v>All India</x:v>
      </x:c>
      <x:c r="F976" t="str">
        <x:v>SC PwD</x:v>
      </x:c>
      <x:c r="G976" t="n">
        <x:v>1</x:v>
      </x:c>
      <x:c r="H976" t="n">
        <x:v>1</x:v>
      </x:c>
      <x:c r="I976" t="n">
        <x:f>G976-H976</x:f>
        <x:v>0</x:v>
      </x:c>
      <x:c r="J976" s="20" t="n">
        <x:f>IFERROR(H976/G976,0)</x:f>
        <x:v>1</x:v>
      </x:c>
      <x:c r="K976" t="n">
        <x:v>556999</x:v>
      </x:c>
      <x:c r="L976" t="n">
        <x:v>556999</x:v>
      </x:c>
      <x:c r="M976" t="n">
        <x:v>556999</x:v>
      </x:c>
      <x:c r="N976" t="n">
        <x:v>556999</x:v>
      </x:c>
      <x:c r="O976" t="n">
        <x:v>556999</x:v>
      </x:c>
    </x:row>
    <x:row r="977">
      <x:c r="A977" t="str">
        <x:v>Uttar Pradesh</x:v>
      </x:c>
      <x:c r="B977" t="str">
        <x:v>All India except Central University</x:v>
      </x:c>
      <x:c r="C977" t="str">
        <x:v>200290</x:v>
      </x:c>
      <x:c r="D977" t="str">
        <x:v>Government Medical College &amp; Super facility Hospital, Azamgarh, Government Medical College and Super Facility Hospital Chakrapanpur Post Office-Kanaila, Azamgarh</x:v>
      </x:c>
      <x:c r="E977" t="str">
        <x:v>All India</x:v>
      </x:c>
      <x:c r="F977" t="str">
        <x:v>ST</x:v>
      </x:c>
      <x:c r="G977" t="n">
        <x:v>1</x:v>
      </x:c>
      <x:c r="H977" t="n">
        <x:v>1</x:v>
      </x:c>
      <x:c r="I977" t="n">
        <x:f>G977-H977</x:f>
        <x:v>0</x:v>
      </x:c>
      <x:c r="J977" s="20" t="n">
        <x:f>IFERROR(H977/G977,0)</x:f>
        <x:v>1</x:v>
      </x:c>
      <x:c r="K977" t="n">
        <x:v>70175</x:v>
      </x:c>
      <x:c r="L977" t="n">
        <x:v>70175</x:v>
      </x:c>
      <x:c r="M977" t="n">
        <x:v>70175</x:v>
      </x:c>
      <x:c r="N977" t="n">
        <x:v>70175</x:v>
      </x:c>
      <x:c r="O977" t="n">
        <x:v>70175</x:v>
      </x:c>
    </x:row>
    <x:row r="978">
      <x:c r="A978" t="str">
        <x:v>Chhattisgarh</x:v>
      </x:c>
      <x:c r="B978" t="str">
        <x:v>All India except Central University</x:v>
      </x:c>
      <x:c r="C978" t="str">
        <x:v>200122</x:v>
      </x:c>
      <x:c r="D978" t="str">
        <x:v>Government Medical College (Bharat Ratna Shri Atal Bihari Vajpyee Memorial Med. Col.), Rajnandgaon, Bharat Ratna Late Shri Atal Bihari Vajpayee Memorial Medical College, Pendri, Rajnandgaon. Chhattisg</x:v>
      </x:c>
      <x:c r="E978" t="str">
        <x:v>All India</x:v>
      </x:c>
      <x:c r="F978" t="str">
        <x:v>EWS</x:v>
      </x:c>
      <x:c r="G978" t="n">
        <x:v>1</x:v>
      </x:c>
      <x:c r="H978" t="n">
        <x:v>1</x:v>
      </x:c>
      <x:c r="I978" t="n">
        <x:f>G978-H978</x:f>
        <x:v>0</x:v>
      </x:c>
      <x:c r="J978" s="20" t="n">
        <x:f>IFERROR(H978/G978,0)</x:f>
        <x:v>1</x:v>
      </x:c>
      <x:c r="K978" t="n">
        <x:v>17277</x:v>
      </x:c>
      <x:c r="L978" t="n">
        <x:v>17277</x:v>
      </x:c>
      <x:c r="M978" t="n">
        <x:v>17277</x:v>
      </x:c>
      <x:c r="N978" t="n">
        <x:v>17277</x:v>
      </x:c>
      <x:c r="O978" t="n">
        <x:v>17277</x:v>
      </x:c>
    </x:row>
    <x:row r="979">
      <x:c r="A979" t="str">
        <x:v>Chhattisgarh</x:v>
      </x:c>
      <x:c r="B979" t="str">
        <x:v>All India except Central University</x:v>
      </x:c>
      <x:c r="C979" t="str">
        <x:v>200122</x:v>
      </x:c>
      <x:c r="D979" t="str">
        <x:v>Government Medical College (Bharat Ratna Shri Atal Bihari Vajpyee Memorial Med. Col.), Rajnandgaon, Bharat Ratna Late Shri Atal Bihari Vajpayee Memorial Medical College, Pendri, Rajnandgaon. Chhattisg</x:v>
      </x:c>
      <x:c r="E979" t="str">
        <x:v>All India</x:v>
      </x:c>
      <x:c r="F979" t="str">
        <x:v>OBC</x:v>
      </x:c>
      <x:c r="G979" t="n">
        <x:v>5</x:v>
      </x:c>
      <x:c r="H979" t="n">
        <x:v>5</x:v>
      </x:c>
      <x:c r="I979" t="n">
        <x:f>G979-H979</x:f>
        <x:v>0</x:v>
      </x:c>
      <x:c r="J979" s="20" t="n">
        <x:f>IFERROR(H979/G979,0)</x:f>
        <x:v>1</x:v>
      </x:c>
      <x:c r="K979" t="n">
        <x:v>14595</x:v>
      </x:c>
      <x:c r="L979" t="n">
        <x:v>15210</x:v>
      </x:c>
      <x:c r="M979" t="n">
        <x:v>15408</x:v>
      </x:c>
      <x:c r="N979" t="n">
        <x:v>15411</x:v>
      </x:c>
      <x:c r="O979" t="n">
        <x:v>15638</x:v>
      </x:c>
    </x:row>
    <x:row r="980">
      <x:c r="A980" t="str">
        <x:v>Chhattisgarh</x:v>
      </x:c>
      <x:c r="B980" t="str">
        <x:v>All India except Central University</x:v>
      </x:c>
      <x:c r="C980" t="str">
        <x:v>200122</x:v>
      </x:c>
      <x:c r="D980" t="str">
        <x:v>Government Medical College (Bharat Ratna Shri Atal Bihari Vajpyee Memorial Med. Col.), Rajnandgaon, Bharat Ratna Late Shri Atal Bihari Vajpayee Memorial Medical College, Pendri, Rajnandgaon. Chhattisg</x:v>
      </x:c>
      <x:c r="E980" t="str">
        <x:v>All India</x:v>
      </x:c>
      <x:c r="F980" t="str">
        <x:v>Open</x:v>
      </x:c>
      <x:c r="G980" t="n">
        <x:v>8</x:v>
      </x:c>
      <x:c r="H980" t="n">
        <x:v>8</x:v>
      </x:c>
      <x:c r="I980" t="n">
        <x:f>G980-H980</x:f>
        <x:v>0</x:v>
      </x:c>
      <x:c r="J980" s="20" t="n">
        <x:f>IFERROR(H980/G980,0)</x:f>
        <x:v>1</x:v>
      </x:c>
      <x:c r="K980" t="n">
        <x:v>11529</x:v>
      </x:c>
      <x:c r="L980" t="n">
        <x:v>12910.75</x:v>
      </x:c>
      <x:c r="M980" t="n">
        <x:v>13941</x:v>
      </x:c>
      <x:c r="N980" t="n">
        <x:v>14150</x:v>
      </x:c>
      <x:c r="O980" t="n">
        <x:v>14555</x:v>
      </x:c>
    </x:row>
    <x:row r="981">
      <x:c r="A981" t="str">
        <x:v>Chhattisgarh</x:v>
      </x:c>
      <x:c r="B981" t="str">
        <x:v>All India except Central University</x:v>
      </x:c>
      <x:c r="C981" t="str">
        <x:v>200122</x:v>
      </x:c>
      <x:c r="D981" t="str">
        <x:v>Government Medical College (Bharat Ratna Shri Atal Bihari Vajpyee Memorial Med. Col.), Rajnandgaon, Bharat Ratna Late Shri Atal Bihari Vajpayee Memorial Medical College, Pendri, Rajnandgaon. Chhattisg</x:v>
      </x:c>
      <x:c r="E981" t="str">
        <x:v>All India</x:v>
      </x:c>
      <x:c r="F981" t="str">
        <x:v>SC</x:v>
      </x:c>
      <x:c r="G981" t="n">
        <x:v>3</x:v>
      </x:c>
      <x:c r="H981" t="n">
        <x:v>3</x:v>
      </x:c>
      <x:c r="I981" t="n">
        <x:f>G981-H981</x:f>
        <x:v>0</x:v>
      </x:c>
      <x:c r="J981" s="20" t="n">
        <x:f>IFERROR(H981/G981,0)</x:f>
        <x:v>1</x:v>
      </x:c>
      <x:c r="K981" t="n">
        <x:v>77592</x:v>
      </x:c>
      <x:c r="L981" t="n">
        <x:v>79155.5</x:v>
      </x:c>
      <x:c r="M981" t="n">
        <x:v>80719</x:v>
      </x:c>
      <x:c r="N981" t="n">
        <x:v>83335</x:v>
      </x:c>
      <x:c r="O981" t="n">
        <x:v>85951</x:v>
      </x:c>
    </x:row>
    <x:row r="982">
      <x:c r="A982" t="str">
        <x:v>Chhattisgarh</x:v>
      </x:c>
      <x:c r="B982" t="str">
        <x:v>All India except Central University</x:v>
      </x:c>
      <x:c r="C982" t="str">
        <x:v>200122</x:v>
      </x:c>
      <x:c r="D982" t="str">
        <x:v>Government Medical College (Bharat Ratna Shri Atal Bihari Vajpyee Memorial Med. Col.), Rajnandgaon, Bharat Ratna Late Shri Atal Bihari Vajpayee Memorial Medical College, Pendri, Rajnandgaon. Chhattisg</x:v>
      </x:c>
      <x:c r="E982" t="str">
        <x:v>All India</x:v>
      </x:c>
      <x:c r="F982" t="str">
        <x:v>ST</x:v>
      </x:c>
      <x:c r="G982" t="n">
        <x:v>1</x:v>
      </x:c>
      <x:c r="H982" t="n">
        <x:v>1</x:v>
      </x:c>
      <x:c r="I982" t="n">
        <x:f>G982-H982</x:f>
        <x:v>0</x:v>
      </x:c>
      <x:c r="J982" s="20" t="n">
        <x:f>IFERROR(H982/G982,0)</x:f>
        <x:v>1</x:v>
      </x:c>
      <x:c r="K982" t="n">
        <x:v>111088</x:v>
      </x:c>
      <x:c r="L982" t="n">
        <x:v>111088</x:v>
      </x:c>
      <x:c r="M982" t="n">
        <x:v>111088</x:v>
      </x:c>
      <x:c r="N982" t="n">
        <x:v>111088</x:v>
      </x:c>
      <x:c r="O982" t="n">
        <x:v>111088</x:v>
      </x:c>
    </x:row>
    <x:row r="983">
      <x:c r="A983" t="str">
        <x:v>Kerala</x:v>
      </x:c>
      <x:c r="B983" t="str">
        <x:v>All India except Central University</x:v>
      </x:c>
      <x:c r="C983" t="str">
        <x:v>200188</x:v>
      </x:c>
      <x:c r="D983" t="str">
        <x:v>Government Medical College (Institute of Integrated Medical Sciences), Yakkara, Palakkad, NH-544, EAST YAKKARA, KUNNATHURMEDU POST, PALAKKAD-678013</x:v>
      </x:c>
      <x:c r="E983" t="str">
        <x:v>All India</x:v>
      </x:c>
      <x:c r="F983" t="str">
        <x:v>EWS</x:v>
      </x:c>
      <x:c r="G983" t="n">
        <x:v>1</x:v>
      </x:c>
      <x:c r="H983" t="n">
        <x:v>1</x:v>
      </x:c>
      <x:c r="I983" t="n">
        <x:f>G983-H983</x:f>
        <x:v>0</x:v>
      </x:c>
      <x:c r="J983" s="20" t="n">
        <x:f>IFERROR(H983/G983,0)</x:f>
        <x:v>1</x:v>
      </x:c>
      <x:c r="K983" t="n">
        <x:v>18048</x:v>
      </x:c>
      <x:c r="L983" t="n">
        <x:v>18048</x:v>
      </x:c>
      <x:c r="M983" t="n">
        <x:v>18048</x:v>
      </x:c>
      <x:c r="N983" t="n">
        <x:v>18048</x:v>
      </x:c>
      <x:c r="O983" t="n">
        <x:v>18048</x:v>
      </x:c>
    </x:row>
    <x:row r="984">
      <x:c r="A984" t="str">
        <x:v>Kerala</x:v>
      </x:c>
      <x:c r="B984" t="str">
        <x:v>All India except Central University</x:v>
      </x:c>
      <x:c r="C984" t="str">
        <x:v>200188</x:v>
      </x:c>
      <x:c r="D984" t="str">
        <x:v>Government Medical College (Institute of Integrated Medical Sciences), Yakkara, Palakkad, NH-544, EAST YAKKARA, KUNNATHURMEDU POST, PALAKKAD-678013</x:v>
      </x:c>
      <x:c r="E984" t="str">
        <x:v>All India</x:v>
      </x:c>
      <x:c r="F984" t="str">
        <x:v>OBC</x:v>
      </x:c>
      <x:c r="G984" t="n">
        <x:v>4</x:v>
      </x:c>
      <x:c r="H984" t="n">
        <x:v>4</x:v>
      </x:c>
      <x:c r="I984" t="n">
        <x:f>G984-H984</x:f>
        <x:v>0</x:v>
      </x:c>
      <x:c r="J984" s="20" t="n">
        <x:f>IFERROR(H984/G984,0)</x:f>
        <x:v>1</x:v>
      </x:c>
      <x:c r="K984" t="n">
        <x:v>7147</x:v>
      </x:c>
      <x:c r="L984" t="n">
        <x:v>7231.75</x:v>
      </x:c>
      <x:c r="M984" t="n">
        <x:v>7585.5</x:v>
      </x:c>
      <x:c r="N984" t="n">
        <x:v>7927.5</x:v>
      </x:c>
      <x:c r="O984" t="n">
        <x:v>7977</x:v>
      </x:c>
    </x:row>
    <x:row r="985">
      <x:c r="A985" t="str">
        <x:v>Kerala</x:v>
      </x:c>
      <x:c r="B985" t="str">
        <x:v>All India except Central University</x:v>
      </x:c>
      <x:c r="C985" t="str">
        <x:v>200188</x:v>
      </x:c>
      <x:c r="D985" t="str">
        <x:v>Government Medical College (Institute of Integrated Medical Sciences), Yakkara, Palakkad, NH-544, EAST YAKKARA, KUNNATHURMEDU POST, PALAKKAD-678013</x:v>
      </x:c>
      <x:c r="E985" t="str">
        <x:v>All India</x:v>
      </x:c>
      <x:c r="F985" t="str">
        <x:v>Open</x:v>
      </x:c>
      <x:c r="G985" t="n">
        <x:v>7</x:v>
      </x:c>
      <x:c r="H985" t="n">
        <x:v>7</x:v>
      </x:c>
      <x:c r="I985" t="n">
        <x:f>G985-H985</x:f>
        <x:v>0</x:v>
      </x:c>
      <x:c r="J985" s="20" t="n">
        <x:f>IFERROR(H985/G985,0)</x:f>
        <x:v>1</x:v>
      </x:c>
      <x:c r="K985" t="n">
        <x:v>5015</x:v>
      </x:c>
      <x:c r="L985" t="n">
        <x:v>6529</x:v>
      </x:c>
      <x:c r="M985" t="n">
        <x:v>6561</x:v>
      </x:c>
      <x:c r="N985" t="n">
        <x:v>6818.5</x:v>
      </x:c>
      <x:c r="O985" t="n">
        <x:v>6985</x:v>
      </x:c>
    </x:row>
    <x:row r="986">
      <x:c r="A986" t="str">
        <x:v>Kerala</x:v>
      </x:c>
      <x:c r="B986" t="str">
        <x:v>All India except Central University</x:v>
      </x:c>
      <x:c r="C986" t="str">
        <x:v>200188</x:v>
      </x:c>
      <x:c r="D986" t="str">
        <x:v>Government Medical College (Institute of Integrated Medical Sciences), Yakkara, Palakkad, NH-544, EAST YAKKARA, KUNNATHURMEDU POST, PALAKKAD-678013</x:v>
      </x:c>
      <x:c r="E986" t="str">
        <x:v>All India</x:v>
      </x:c>
      <x:c r="F986" t="str">
        <x:v>SC</x:v>
      </x:c>
      <x:c r="G986" t="n">
        <x:v>2</x:v>
      </x:c>
      <x:c r="H986" t="n">
        <x:v>2</x:v>
      </x:c>
      <x:c r="I986" t="n">
        <x:f>G986-H986</x:f>
        <x:v>0</x:v>
      </x:c>
      <x:c r="J986" s="20" t="n">
        <x:f>IFERROR(H986/G986,0)</x:f>
        <x:v>1</x:v>
      </x:c>
      <x:c r="K986" t="n">
        <x:v>60256</x:v>
      </x:c>
      <x:c r="L986" t="n">
        <x:v>62118.25</x:v>
      </x:c>
      <x:c r="M986" t="n">
        <x:v>63980.5</x:v>
      </x:c>
      <x:c r="N986" t="n">
        <x:v>65842.75</x:v>
      </x:c>
      <x:c r="O986" t="n">
        <x:v>67705</x:v>
      </x:c>
    </x:row>
    <x:row r="987">
      <x:c r="A987" t="str">
        <x:v>Kerala</x:v>
      </x:c>
      <x:c r="B987" t="str">
        <x:v>All India except Central University</x:v>
      </x:c>
      <x:c r="C987" t="str">
        <x:v>200188</x:v>
      </x:c>
      <x:c r="D987" t="str">
        <x:v>Government Medical College (Institute of Integrated Medical Sciences), Yakkara, Palakkad, NH-544, EAST YAKKARA, KUNNATHURMEDU POST, PALAKKAD-678013</x:v>
      </x:c>
      <x:c r="E987" t="str">
        <x:v>All India</x:v>
      </x:c>
      <x:c r="F987" t="str">
        <x:v>ST</x:v>
      </x:c>
      <x:c r="G987" t="n">
        <x:v>1</x:v>
      </x:c>
      <x:c r="H987" t="n">
        <x:v>1</x:v>
      </x:c>
      <x:c r="I987" t="n">
        <x:f>G987-H987</x:f>
        <x:v>0</x:v>
      </x:c>
      <x:c r="J987" s="20" t="n">
        <x:f>IFERROR(H987/G987,0)</x:f>
        <x:v>1</x:v>
      </x:c>
      <x:c r="K987" t="n">
        <x:v>97373</x:v>
      </x:c>
      <x:c r="L987" t="n">
        <x:v>97373</x:v>
      </x:c>
      <x:c r="M987" t="n">
        <x:v>97373</x:v>
      </x:c>
      <x:c r="N987" t="n">
        <x:v>97373</x:v>
      </x:c>
      <x:c r="O987" t="n">
        <x:v>97373</x:v>
      </x:c>
    </x:row>
    <x:row r="988">
      <x:c r="A988" t="str">
        <x:v>Uttarakhand</x:v>
      </x:c>
      <x:c r="B988" t="str">
        <x:v>All India except Central University</x:v>
      </x:c>
      <x:c r="C988" t="str">
        <x:v>200306</x:v>
      </x:c>
      <x:c r="D988" t="str">
        <x:v>Government Medical College (Prev.Uttarakhand Forest Hospital Trust Med.Col.), Haldwani, Government Medical College, Rampur Road Haldwani, Distt. Nainiatl</x:v>
      </x:c>
      <x:c r="E988" t="str">
        <x:v>All India</x:v>
      </x:c>
      <x:c r="F988" t="str">
        <x:v>EWS</x:v>
      </x:c>
      <x:c r="G988" t="n">
        <x:v>2</x:v>
      </x:c>
      <x:c r="H988" t="n">
        <x:v>2</x:v>
      </x:c>
      <x:c r="I988" t="n">
        <x:f>G988-H988</x:f>
        <x:v>0</x:v>
      </x:c>
      <x:c r="J988" s="20" t="n">
        <x:f>IFERROR(H988/G988,0)</x:f>
        <x:v>1</x:v>
      </x:c>
      <x:c r="K988" t="n">
        <x:v>9901</x:v>
      </x:c>
      <x:c r="L988" t="n">
        <x:v>9930.5</x:v>
      </x:c>
      <x:c r="M988" t="n">
        <x:v>9960</x:v>
      </x:c>
      <x:c r="N988" t="n">
        <x:v>9989.5</x:v>
      </x:c>
      <x:c r="O988" t="n">
        <x:v>10019</x:v>
      </x:c>
    </x:row>
    <x:row r="989">
      <x:c r="A989" t="str">
        <x:v>Uttarakhand</x:v>
      </x:c>
      <x:c r="B989" t="str">
        <x:v>All India except Central University</x:v>
      </x:c>
      <x:c r="C989" t="str">
        <x:v>200306</x:v>
      </x:c>
      <x:c r="D989" t="str">
        <x:v>Government Medical College (Prev.Uttarakhand Forest Hospital Trust Med.Col.), Haldwani, Government Medical College, Rampur Road Haldwani, Distt. Nainiatl</x:v>
      </x:c>
      <x:c r="E989" t="str">
        <x:v>All India</x:v>
      </x:c>
      <x:c r="F989" t="str">
        <x:v>OBC</x:v>
      </x:c>
      <x:c r="G989" t="n">
        <x:v>5</x:v>
      </x:c>
      <x:c r="H989" t="n">
        <x:v>5</x:v>
      </x:c>
      <x:c r="I989" t="n">
        <x:f>G989-H989</x:f>
        <x:v>0</x:v>
      </x:c>
      <x:c r="J989" s="20" t="n">
        <x:f>IFERROR(H989/G989,0)</x:f>
        <x:v>1</x:v>
      </x:c>
      <x:c r="K989" t="n">
        <x:v>8288</x:v>
      </x:c>
      <x:c r="L989" t="n">
        <x:v>8555</x:v>
      </x:c>
      <x:c r="M989" t="n">
        <x:v>8836</x:v>
      </x:c>
      <x:c r="N989" t="n">
        <x:v>9160</x:v>
      </x:c>
      <x:c r="O989" t="n">
        <x:v>9366</x:v>
      </x:c>
    </x:row>
    <x:row r="990">
      <x:c r="A990" t="str">
        <x:v>Uttarakhand</x:v>
      </x:c>
      <x:c r="B990" t="str">
        <x:v>All India except Central University</x:v>
      </x:c>
      <x:c r="C990" t="str">
        <x:v>200306</x:v>
      </x:c>
      <x:c r="D990" t="str">
        <x:v>Government Medical College (Prev.Uttarakhand Forest Hospital Trust Med.Col.), Haldwani, Government Medical College, Rampur Road Haldwani, Distt. Nainiatl</x:v>
      </x:c>
      <x:c r="E990" t="str">
        <x:v>All India</x:v>
      </x:c>
      <x:c r="F990" t="str">
        <x:v>Open</x:v>
      </x:c>
      <x:c r="G990" t="n">
        <x:v>7</x:v>
      </x:c>
      <x:c r="H990" t="n">
        <x:v>7</x:v>
      </x:c>
      <x:c r="I990" t="n">
        <x:f>G990-H990</x:f>
        <x:v>0</x:v>
      </x:c>
      <x:c r="J990" s="20" t="n">
        <x:f>IFERROR(H990/G990,0)</x:f>
        <x:v>1</x:v>
      </x:c>
      <x:c r="K990" t="n">
        <x:v>4501</x:v>
      </x:c>
      <x:c r="L990" t="n">
        <x:v>5804</x:v>
      </x:c>
      <x:c r="M990" t="n">
        <x:v>5864</x:v>
      </x:c>
      <x:c r="N990" t="n">
        <x:v>6196.5</x:v>
      </x:c>
      <x:c r="O990" t="n">
        <x:v>6813</x:v>
      </x:c>
    </x:row>
    <x:row r="991">
      <x:c r="A991" t="str">
        <x:v>Uttarakhand</x:v>
      </x:c>
      <x:c r="B991" t="str">
        <x:v>All India except Central University</x:v>
      </x:c>
      <x:c r="C991" t="str">
        <x:v>200306</x:v>
      </x:c>
      <x:c r="D991" t="str">
        <x:v>Government Medical College (Prev.Uttarakhand Forest Hospital Trust Med.Col.), Haldwani, Government Medical College, Rampur Road Haldwani, Distt. Nainiatl</x:v>
      </x:c>
      <x:c r="E991" t="str">
        <x:v>All India</x:v>
      </x:c>
      <x:c r="F991" t="str">
        <x:v>SC</x:v>
      </x:c>
      <x:c r="G991" t="n">
        <x:v>3</x:v>
      </x:c>
      <x:c r="H991" t="n">
        <x:v>3</x:v>
      </x:c>
      <x:c r="I991" t="n">
        <x:f>G991-H991</x:f>
        <x:v>0</x:v>
      </x:c>
      <x:c r="J991" s="20" t="n">
        <x:f>IFERROR(H991/G991,0)</x:f>
        <x:v>1</x:v>
      </x:c>
      <x:c r="K991" t="n">
        <x:v>46956</x:v>
      </x:c>
      <x:c r="L991" t="n">
        <x:v>48922.5</x:v>
      </x:c>
      <x:c r="M991" t="n">
        <x:v>50889</x:v>
      </x:c>
      <x:c r="N991" t="n">
        <x:v>52185</x:v>
      </x:c>
      <x:c r="O991" t="n">
        <x:v>53481</x:v>
      </x:c>
    </x:row>
    <x:row r="992">
      <x:c r="A992" t="str">
        <x:v>Uttarakhand</x:v>
      </x:c>
      <x:c r="B992" t="str">
        <x:v>All India except Central University</x:v>
      </x:c>
      <x:c r="C992" t="str">
        <x:v>200306</x:v>
      </x:c>
      <x:c r="D992" t="str">
        <x:v>Government Medical College (Prev.Uttarakhand Forest Hospital Trust Med.Col.), Haldwani, Government Medical College, Rampur Road Haldwani, Distt. Nainiatl</x:v>
      </x:c>
      <x:c r="E992" t="str">
        <x:v>All India</x:v>
      </x:c>
      <x:c r="F992" t="str">
        <x:v>ST</x:v>
      </x:c>
      <x:c r="G992" t="n">
        <x:v>2</x:v>
      </x:c>
      <x:c r="H992" t="n">
        <x:v>2</x:v>
      </x:c>
      <x:c r="I992" t="n">
        <x:f>G992-H992</x:f>
        <x:v>0</x:v>
      </x:c>
      <x:c r="J992" s="20" t="n">
        <x:f>IFERROR(H992/G992,0)</x:f>
        <x:v>1</x:v>
      </x:c>
      <x:c r="K992" t="n">
        <x:v>71131</x:v>
      </x:c>
      <x:c r="L992" t="n">
        <x:v>72958.75</x:v>
      </x:c>
      <x:c r="M992" t="n">
        <x:v>74786.5</x:v>
      </x:c>
      <x:c r="N992" t="n">
        <x:v>76614.25</x:v>
      </x:c>
      <x:c r="O992" t="n">
        <x:v>78442</x:v>
      </x:c>
    </x:row>
    <x:row r="993">
      <x:c r="A993" t="str">
        <x:v>Chhattisgarh</x:v>
      </x:c>
      <x:c r="B993" t="str">
        <x:v>All India except Central University</x:v>
      </x:c>
      <x:c r="C993" t="str">
        <x:v>904738</x:v>
      </x:c>
      <x:c r="D993" t="str">
        <x:v>Government Medical College Dantewada, NA</x:v>
      </x:c>
      <x:c r="E993" t="str">
        <x:v>All India</x:v>
      </x:c>
      <x:c r="F993" t="str">
        <x:v>EWS</x:v>
      </x:c>
      <x:c r="G993" t="n">
        <x:v>1</x:v>
      </x:c>
      <x:c r="H993" t="n">
        <x:v>1</x:v>
      </x:c>
      <x:c r="I993" t="n">
        <x:f>G993-H993</x:f>
        <x:v>0</x:v>
      </x:c>
      <x:c r="J993" s="20" t="n">
        <x:f>IFERROR(H993/G993,0)</x:f>
        <x:v>1</x:v>
      </x:c>
      <x:c r="K993" t="n">
        <x:v>23536</x:v>
      </x:c>
      <x:c r="L993" t="n">
        <x:v>23536</x:v>
      </x:c>
      <x:c r="M993" t="n">
        <x:v>23536</x:v>
      </x:c>
      <x:c r="N993" t="n">
        <x:v>23536</x:v>
      </x:c>
      <x:c r="O993" t="n">
        <x:v>23536</x:v>
      </x:c>
    </x:row>
    <x:row r="994">
      <x:c r="A994" t="str">
        <x:v>Chhattisgarh</x:v>
      </x:c>
      <x:c r="B994" t="str">
        <x:v>All India except Central University</x:v>
      </x:c>
      <x:c r="C994" t="str">
        <x:v>904738</x:v>
      </x:c>
      <x:c r="D994" t="str">
        <x:v>Government Medical College Dantewada, NA</x:v>
      </x:c>
      <x:c r="E994" t="str">
        <x:v>All India</x:v>
      </x:c>
      <x:c r="F994" t="str">
        <x:v>OBC</x:v>
      </x:c>
      <x:c r="G994" t="n">
        <x:v>2</x:v>
      </x:c>
      <x:c r="H994" t="n">
        <x:v>2</x:v>
      </x:c>
      <x:c r="I994" t="n">
        <x:f>G994-H994</x:f>
        <x:v>0</x:v>
      </x:c>
      <x:c r="J994" s="20" t="n">
        <x:f>IFERROR(H994/G994,0)</x:f>
        <x:v>1</x:v>
      </x:c>
      <x:c r="K994" t="n">
        <x:v>20482</x:v>
      </x:c>
      <x:c r="L994" t="n">
        <x:v>20587.75</x:v>
      </x:c>
      <x:c r="M994" t="n">
        <x:v>20693.5</x:v>
      </x:c>
      <x:c r="N994" t="n">
        <x:v>20799.25</x:v>
      </x:c>
      <x:c r="O994" t="n">
        <x:v>20905</x:v>
      </x:c>
    </x:row>
    <x:row r="995">
      <x:c r="A995" t="str">
        <x:v>Chhattisgarh</x:v>
      </x:c>
      <x:c r="B995" t="str">
        <x:v>All India except Central University</x:v>
      </x:c>
      <x:c r="C995" t="str">
        <x:v>904738</x:v>
      </x:c>
      <x:c r="D995" t="str">
        <x:v>Government Medical College Dantewada, NA</x:v>
      </x:c>
      <x:c r="E995" t="str">
        <x:v>All India</x:v>
      </x:c>
      <x:c r="F995" t="str">
        <x:v>Open</x:v>
      </x:c>
      <x:c r="G995" t="n">
        <x:v>3</x:v>
      </x:c>
      <x:c r="H995" t="n">
        <x:v>3</x:v>
      </x:c>
      <x:c r="I995" t="n">
        <x:f>G995-H995</x:f>
        <x:v>0</x:v>
      </x:c>
      <x:c r="J995" s="20" t="n">
        <x:f>IFERROR(H995/G995,0)</x:f>
        <x:v>1</x:v>
      </x:c>
      <x:c r="K995" t="n">
        <x:v>17080</x:v>
      </x:c>
      <x:c r="L995" t="n">
        <x:v>17677.5</x:v>
      </x:c>
      <x:c r="M995" t="n">
        <x:v>18275</x:v>
      </x:c>
      <x:c r="N995" t="n">
        <x:v>19224</x:v>
      </x:c>
      <x:c r="O995" t="n">
        <x:v>20173</x:v>
      </x:c>
    </x:row>
    <x:row r="996">
      <x:c r="A996" t="str">
        <x:v>Chhattisgarh</x:v>
      </x:c>
      <x:c r="B996" t="str">
        <x:v>All India except Central University</x:v>
      </x:c>
      <x:c r="C996" t="str">
        <x:v>904738</x:v>
      </x:c>
      <x:c r="D996" t="str">
        <x:v>Government Medical College Dantewada, NA</x:v>
      </x:c>
      <x:c r="E996" t="str">
        <x:v>All India</x:v>
      </x:c>
      <x:c r="F996" t="str">
        <x:v>SC PwD</x:v>
      </x:c>
      <x:c r="G996" t="n">
        <x:v>1</x:v>
      </x:c>
      <x:c r="H996" t="n">
        <x:v>1</x:v>
      </x:c>
      <x:c r="I996" t="n">
        <x:f>G996-H996</x:f>
        <x:v>0</x:v>
      </x:c>
      <x:c r="J996" s="20" t="n">
        <x:f>IFERROR(H996/G996,0)</x:f>
        <x:v>1</x:v>
      </x:c>
      <x:c r="K996" t="n">
        <x:v>786752</x:v>
      </x:c>
      <x:c r="L996" t="n">
        <x:v>786752</x:v>
      </x:c>
      <x:c r="M996" t="n">
        <x:v>786752</x:v>
      </x:c>
      <x:c r="N996" t="n">
        <x:v>786752</x:v>
      </x:c>
      <x:c r="O996" t="n">
        <x:v>786752</x:v>
      </x:c>
    </x:row>
    <x:row r="997">
      <x:c r="A997" t="str">
        <x:v>Jammu And Kashmir</x:v>
      </x:c>
      <x:c r="B997" t="str">
        <x:v>All India except Central University</x:v>
      </x:c>
      <x:c r="C997" t="str">
        <x:v>200681</x:v>
      </x:c>
      <x:c r="D997" t="str">
        <x:v>Government Medical College Handwara, MAIDAN CHOGAL, HANDWARA, KUPWARA</x:v>
      </x:c>
      <x:c r="E997" t="str">
        <x:v>All India</x:v>
      </x:c>
      <x:c r="F997" t="str">
        <x:v>EWS</x:v>
      </x:c>
      <x:c r="G997" t="n">
        <x:v>1</x:v>
      </x:c>
      <x:c r="H997" t="n">
        <x:v>1</x:v>
      </x:c>
      <x:c r="I997" t="n">
        <x:f>G997-H997</x:f>
        <x:v>0</x:v>
      </x:c>
      <x:c r="J997" s="20" t="n">
        <x:f>IFERROR(H997/G997,0)</x:f>
        <x:v>1</x:v>
      </x:c>
      <x:c r="K997" t="n">
        <x:v>23303</x:v>
      </x:c>
      <x:c r="L997" t="n">
        <x:v>23303</x:v>
      </x:c>
      <x:c r="M997" t="n">
        <x:v>23303</x:v>
      </x:c>
      <x:c r="N997" t="n">
        <x:v>23303</x:v>
      </x:c>
      <x:c r="O997" t="n">
        <x:v>23303</x:v>
      </x:c>
    </x:row>
    <x:row r="998">
      <x:c r="A998" t="str">
        <x:v>Jammu And Kashmir</x:v>
      </x:c>
      <x:c r="B998" t="str">
        <x:v>All India except Central University</x:v>
      </x:c>
      <x:c r="C998" t="str">
        <x:v>200681</x:v>
      </x:c>
      <x:c r="D998" t="str">
        <x:v>Government Medical College Handwara, MAIDAN CHOGAL, HANDWARA, KUPWARA</x:v>
      </x:c>
      <x:c r="E998" t="str">
        <x:v>All India</x:v>
      </x:c>
      <x:c r="F998" t="str">
        <x:v>OBC</x:v>
      </x:c>
      <x:c r="G998" t="n">
        <x:v>5</x:v>
      </x:c>
      <x:c r="H998" t="n">
        <x:v>5</x:v>
      </x:c>
      <x:c r="I998" t="n">
        <x:f>G998-H998</x:f>
        <x:v>0</x:v>
      </x:c>
      <x:c r="J998" s="20" t="n">
        <x:f>IFERROR(H998/G998,0)</x:f>
        <x:v>1</x:v>
      </x:c>
      <x:c r="K998" t="n">
        <x:v>18074</x:v>
      </x:c>
      <x:c r="L998" t="n">
        <x:v>19252</x:v>
      </x:c>
      <x:c r="M998" t="n">
        <x:v>19831</x:v>
      </x:c>
      <x:c r="N998" t="n">
        <x:v>20127</x:v>
      </x:c>
      <x:c r="O998" t="n">
        <x:v>20433</x:v>
      </x:c>
    </x:row>
    <x:row r="999">
      <x:c r="A999" t="str">
        <x:v>Jammu And Kashmir</x:v>
      </x:c>
      <x:c r="B999" t="str">
        <x:v>All India except Central University</x:v>
      </x:c>
      <x:c r="C999" t="str">
        <x:v>200681</x:v>
      </x:c>
      <x:c r="D999" t="str">
        <x:v>Government Medical College Handwara, MAIDAN CHOGAL, HANDWARA, KUPWARA</x:v>
      </x:c>
      <x:c r="E999" t="str">
        <x:v>All India</x:v>
      </x:c>
      <x:c r="F999" t="str">
        <x:v>Open</x:v>
      </x:c>
      <x:c r="G999" t="n">
        <x:v>6</x:v>
      </x:c>
      <x:c r="H999" t="n">
        <x:v>6</x:v>
      </x:c>
      <x:c r="I999" t="n">
        <x:f>G999-H999</x:f>
        <x:v>0</x:v>
      </x:c>
      <x:c r="J999" s="20" t="n">
        <x:f>IFERROR(H999/G999,0)</x:f>
        <x:v>1</x:v>
      </x:c>
      <x:c r="K999" t="n">
        <x:v>13709</x:v>
      </x:c>
      <x:c r="L999" t="n">
        <x:v>14662.5</x:v>
      </x:c>
      <x:c r="M999" t="n">
        <x:v>17091</x:v>
      </x:c>
      <x:c r="N999" t="n">
        <x:v>17544</x:v>
      </x:c>
      <x:c r="O999" t="n">
        <x:v>17842</x:v>
      </x:c>
    </x:row>
    <x:row r="1000">
      <x:c r="A1000" t="str">
        <x:v>Jammu And Kashmir</x:v>
      </x:c>
      <x:c r="B1000" t="str">
        <x:v>All India except Central University</x:v>
      </x:c>
      <x:c r="C1000" t="str">
        <x:v>200681</x:v>
      </x:c>
      <x:c r="D1000" t="str">
        <x:v>Government Medical College Handwara, MAIDAN CHOGAL, HANDWARA, KUPWARA</x:v>
      </x:c>
      <x:c r="E1000" t="str">
        <x:v>All India</x:v>
      </x:c>
      <x:c r="F1000" t="str">
        <x:v>SC</x:v>
      </x:c>
      <x:c r="G1000" t="n">
        <x:v>2</x:v>
      </x:c>
      <x:c r="H1000" t="n">
        <x:v>2</x:v>
      </x:c>
      <x:c r="I1000" t="n">
        <x:f>G1000-H1000</x:f>
        <x:v>0</x:v>
      </x:c>
      <x:c r="J1000" s="20" t="n">
        <x:f>IFERROR(H1000/G1000,0)</x:f>
        <x:v>1</x:v>
      </x:c>
      <x:c r="K1000" t="n">
        <x:v>90436</x:v>
      </x:c>
      <x:c r="L1000" t="n">
        <x:v>90470.75</x:v>
      </x:c>
      <x:c r="M1000" t="n">
        <x:v>90505.5</x:v>
      </x:c>
      <x:c r="N1000" t="n">
        <x:v>90540.25</x:v>
      </x:c>
      <x:c r="O1000" t="n">
        <x:v>90575</x:v>
      </x:c>
    </x:row>
    <x:row r="1001">
      <x:c r="A1001" t="str">
        <x:v>Jammu And Kashmir</x:v>
      </x:c>
      <x:c r="B1001" t="str">
        <x:v>All India except Central University</x:v>
      </x:c>
      <x:c r="C1001" t="str">
        <x:v>200681</x:v>
      </x:c>
      <x:c r="D1001" t="str">
        <x:v>Government Medical College Handwara, MAIDAN CHOGAL, HANDWARA, KUPWARA</x:v>
      </x:c>
      <x:c r="E1001" t="str">
        <x:v>All India</x:v>
      </x:c>
      <x:c r="F1001" t="str">
        <x:v>ST</x:v>
      </x:c>
      <x:c r="G1001" t="n">
        <x:v>1</x:v>
      </x:c>
      <x:c r="H1001" t="n">
        <x:v>1</x:v>
      </x:c>
      <x:c r="I1001" t="n">
        <x:f>G1001-H1001</x:f>
        <x:v>0</x:v>
      </x:c>
      <x:c r="J1001" s="20" t="n">
        <x:f>IFERROR(H1001/G1001,0)</x:f>
        <x:v>1</x:v>
      </x:c>
      <x:c r="K1001" t="n">
        <x:v>94888</x:v>
      </x:c>
      <x:c r="L1001" t="n">
        <x:v>94888</x:v>
      </x:c>
      <x:c r="M1001" t="n">
        <x:v>94888</x:v>
      </x:c>
      <x:c r="N1001" t="n">
        <x:v>94888</x:v>
      </x:c>
      <x:c r="O1001" t="n">
        <x:v>94888</x:v>
      </x:c>
    </x:row>
    <x:row r="1002">
      <x:c r="A1002" t="str">
        <x:v>Chhattisgarh</x:v>
      </x:c>
      <x:c r="B1002" t="str">
        <x:v>All India except Central University</x:v>
      </x:c>
      <x:c r="C1002" t="str">
        <x:v>904739</x:v>
      </x:c>
      <x:c r="D1002" t="str">
        <x:v>Government Medical College Janjgir, Champa, government medical college janjgir champa, village- pendri, dist- janjgir champa. C.G</x:v>
      </x:c>
      <x:c r="E1002" t="str">
        <x:v>All India</x:v>
      </x:c>
      <x:c r="F1002" t="str">
        <x:v>EWS</x:v>
      </x:c>
      <x:c r="G1002" t="n">
        <x:v>1</x:v>
      </x:c>
      <x:c r="H1002" t="n">
        <x:v>1</x:v>
      </x:c>
      <x:c r="I1002" t="n">
        <x:f>G1002-H1002</x:f>
        <x:v>0</x:v>
      </x:c>
      <x:c r="J1002" s="20" t="n">
        <x:f>IFERROR(H1002/G1002,0)</x:f>
        <x:v>1</x:v>
      </x:c>
      <x:c r="K1002" t="n">
        <x:v>23222</x:v>
      </x:c>
      <x:c r="L1002" t="n">
        <x:v>23222</x:v>
      </x:c>
      <x:c r="M1002" t="n">
        <x:v>23222</x:v>
      </x:c>
      <x:c r="N1002" t="n">
        <x:v>23222</x:v>
      </x:c>
      <x:c r="O1002" t="n">
        <x:v>23222</x:v>
      </x:c>
    </x:row>
    <x:row r="1003">
      <x:c r="A1003" t="str">
        <x:v>Chhattisgarh</x:v>
      </x:c>
      <x:c r="B1003" t="str">
        <x:v>All India except Central University</x:v>
      </x:c>
      <x:c r="C1003" t="str">
        <x:v>904739</x:v>
      </x:c>
      <x:c r="D1003" t="str">
        <x:v>Government Medical College Janjgir, Champa, government medical college janjgir champa, village- pendri, dist- janjgir champa. C.G</x:v>
      </x:c>
      <x:c r="E1003" t="str">
        <x:v>All India</x:v>
      </x:c>
      <x:c r="F1003" t="str">
        <x:v>OBC</x:v>
      </x:c>
      <x:c r="G1003" t="n">
        <x:v>2</x:v>
      </x:c>
      <x:c r="H1003" t="n">
        <x:v>2</x:v>
      </x:c>
      <x:c r="I1003" t="n">
        <x:f>G1003-H1003</x:f>
        <x:v>0</x:v>
      </x:c>
      <x:c r="J1003" s="20" t="n">
        <x:f>IFERROR(H1003/G1003,0)</x:f>
        <x:v>1</x:v>
      </x:c>
      <x:c r="K1003" t="n">
        <x:v>15119</x:v>
      </x:c>
      <x:c r="L1003" t="n">
        <x:v>15142.5</x:v>
      </x:c>
      <x:c r="M1003" t="n">
        <x:v>15166</x:v>
      </x:c>
      <x:c r="N1003" t="n">
        <x:v>15189.5</x:v>
      </x:c>
      <x:c r="O1003" t="n">
        <x:v>15213</x:v>
      </x:c>
    </x:row>
    <x:row r="1004">
      <x:c r="A1004" t="str">
        <x:v>Chhattisgarh</x:v>
      </x:c>
      <x:c r="B1004" t="str">
        <x:v>All India except Central University</x:v>
      </x:c>
      <x:c r="C1004" t="str">
        <x:v>904739</x:v>
      </x:c>
      <x:c r="D1004" t="str">
        <x:v>Government Medical College Janjgir, Champa, government medical college janjgir champa, village- pendri, dist- janjgir champa. C.G</x:v>
      </x:c>
      <x:c r="E1004" t="str">
        <x:v>All India</x:v>
      </x:c>
      <x:c r="F1004" t="str">
        <x:v>Open</x:v>
      </x:c>
      <x:c r="G1004" t="n">
        <x:v>2</x:v>
      </x:c>
      <x:c r="H1004" t="n">
        <x:v>2</x:v>
      </x:c>
      <x:c r="I1004" t="n">
        <x:f>G1004-H1004</x:f>
        <x:v>0</x:v>
      </x:c>
      <x:c r="J1004" s="20" t="n">
        <x:f>IFERROR(H1004/G1004,0)</x:f>
        <x:v>1</x:v>
      </x:c>
      <x:c r="K1004" t="n">
        <x:v>12772</x:v>
      </x:c>
      <x:c r="L1004" t="n">
        <x:v>13016</x:v>
      </x:c>
      <x:c r="M1004" t="n">
        <x:v>13260</x:v>
      </x:c>
      <x:c r="N1004" t="n">
        <x:v>13504</x:v>
      </x:c>
      <x:c r="O1004" t="n">
        <x:v>13748</x:v>
      </x:c>
    </x:row>
    <x:row r="1005">
      <x:c r="A1005" t="str">
        <x:v>Chhattisgarh</x:v>
      </x:c>
      <x:c r="B1005" t="str">
        <x:v>All India except Central University</x:v>
      </x:c>
      <x:c r="C1005" t="str">
        <x:v>904739</x:v>
      </x:c>
      <x:c r="D1005" t="str">
        <x:v>Government Medical College Janjgir, Champa, government medical college janjgir champa, village- pendri, dist- janjgir champa. C.G</x:v>
      </x:c>
      <x:c r="E1005" t="str">
        <x:v>All India</x:v>
      </x:c>
      <x:c r="F1005" t="str">
        <x:v>SC</x:v>
      </x:c>
      <x:c r="G1005" t="n">
        <x:v>1</x:v>
      </x:c>
      <x:c r="H1005" t="n">
        <x:v>1</x:v>
      </x:c>
      <x:c r="I1005" t="n">
        <x:f>G1005-H1005</x:f>
        <x:v>0</x:v>
      </x:c>
      <x:c r="J1005" s="20" t="n">
        <x:f>IFERROR(H1005/G1005,0)</x:f>
        <x:v>1</x:v>
      </x:c>
      <x:c r="K1005" t="n">
        <x:v>70958</x:v>
      </x:c>
      <x:c r="L1005" t="n">
        <x:v>70958</x:v>
      </x:c>
      <x:c r="M1005" t="n">
        <x:v>70958</x:v>
      </x:c>
      <x:c r="N1005" t="n">
        <x:v>70958</x:v>
      </x:c>
      <x:c r="O1005" t="n">
        <x:v>70958</x:v>
      </x:c>
    </x:row>
    <x:row r="1006">
      <x:c r="A1006" t="str">
        <x:v>Chhattisgarh</x:v>
      </x:c>
      <x:c r="B1006" t="str">
        <x:v>All India except Central University</x:v>
      </x:c>
      <x:c r="C1006" t="str">
        <x:v>904739</x:v>
      </x:c>
      <x:c r="D1006" t="str">
        <x:v>Government Medical College Janjgir, Champa, government medical college janjgir champa, village- pendri, dist- janjgir champa. C.G</x:v>
      </x:c>
      <x:c r="E1006" t="str">
        <x:v>All India</x:v>
      </x:c>
      <x:c r="F1006" t="str">
        <x:v>ST PwD</x:v>
      </x:c>
      <x:c r="G1006" t="n">
        <x:v>1</x:v>
      </x:c>
      <x:c r="H1006" t="n">
        <x:v>1</x:v>
      </x:c>
      <x:c r="I1006" t="n">
        <x:f>G1006-H1006</x:f>
        <x:v>0</x:v>
      </x:c>
      <x:c r="J1006" s="20" t="n">
        <x:f>IFERROR(H1006/G1006,0)</x:f>
        <x:v>1</x:v>
      </x:c>
      <x:c r="K1006" t="n">
        <x:v>530616</x:v>
      </x:c>
      <x:c r="L1006" t="n">
        <x:v>530616</x:v>
      </x:c>
      <x:c r="M1006" t="n">
        <x:v>530616</x:v>
      </x:c>
      <x:c r="N1006" t="n">
        <x:v>530616</x:v>
      </x:c>
      <x:c r="O1006" t="n">
        <x:v>530616</x:v>
      </x:c>
    </x:row>
    <x:row r="1007">
      <x:c r="A1007" t="str">
        <x:v>Kerala</x:v>
      </x:c>
      <x:c r="B1007" t="str">
        <x:v>All India except Central University</x:v>
      </x:c>
      <x:c r="C1007" t="str">
        <x:v>904367</x:v>
      </x:c>
      <x:c r="D1007" t="str">
        <x:v>Government Medical College Kasaragod, Govt. Medical College, Kasaragod, Ukkinadka, Badiadka panchayath, Kerala-671552</x:v>
      </x:c>
      <x:c r="E1007" t="str">
        <x:v>All India</x:v>
      </x:c>
      <x:c r="F1007" t="str">
        <x:v>EWS</x:v>
      </x:c>
      <x:c r="G1007" t="n">
        <x:v>1</x:v>
      </x:c>
      <x:c r="H1007" t="n">
        <x:v>1</x:v>
      </x:c>
      <x:c r="I1007" t="n">
        <x:f>G1007-H1007</x:f>
        <x:v>0</x:v>
      </x:c>
      <x:c r="J1007" s="20" t="n">
        <x:f>IFERROR(H1007/G1007,0)</x:f>
        <x:v>1</x:v>
      </x:c>
      <x:c r="K1007" t="n">
        <x:v>21035</x:v>
      </x:c>
      <x:c r="L1007" t="n">
        <x:v>21035</x:v>
      </x:c>
      <x:c r="M1007" t="n">
        <x:v>21035</x:v>
      </x:c>
      <x:c r="N1007" t="n">
        <x:v>21035</x:v>
      </x:c>
      <x:c r="O1007" t="n">
        <x:v>21035</x:v>
      </x:c>
    </x:row>
    <x:row r="1008">
      <x:c r="A1008" t="str">
        <x:v>Kerala</x:v>
      </x:c>
      <x:c r="B1008" t="str">
        <x:v>All India except Central University</x:v>
      </x:c>
      <x:c r="C1008" t="str">
        <x:v>904367</x:v>
      </x:c>
      <x:c r="D1008" t="str">
        <x:v>Government Medical College Kasaragod, Govt. Medical College, Kasaragod, Ukkinadka, Badiadka panchayath, Kerala-671552</x:v>
      </x:c>
      <x:c r="E1008" t="str">
        <x:v>All India</x:v>
      </x:c>
      <x:c r="F1008" t="str">
        <x:v>OBC</x:v>
      </x:c>
      <x:c r="G1008" t="n">
        <x:v>2</x:v>
      </x:c>
      <x:c r="H1008" t="n">
        <x:v>2</x:v>
      </x:c>
      <x:c r="I1008" t="n">
        <x:f>G1008-H1008</x:f>
        <x:v>0</x:v>
      </x:c>
      <x:c r="J1008" s="20" t="n">
        <x:f>IFERROR(H1008/G1008,0)</x:f>
        <x:v>1</x:v>
      </x:c>
      <x:c r="K1008" t="n">
        <x:v>8735</x:v>
      </x:c>
      <x:c r="L1008" t="n">
        <x:v>8759</x:v>
      </x:c>
      <x:c r="M1008" t="n">
        <x:v>8783</x:v>
      </x:c>
      <x:c r="N1008" t="n">
        <x:v>8807</x:v>
      </x:c>
      <x:c r="O1008" t="n">
        <x:v>8831</x:v>
      </x:c>
    </x:row>
    <x:row r="1009">
      <x:c r="A1009" t="str">
        <x:v>Kerala</x:v>
      </x:c>
      <x:c r="B1009" t="str">
        <x:v>All India except Central University</x:v>
      </x:c>
      <x:c r="C1009" t="str">
        <x:v>904367</x:v>
      </x:c>
      <x:c r="D1009" t="str">
        <x:v>Government Medical College Kasaragod, Govt. Medical College, Kasaragod, Ukkinadka, Badiadka panchayath, Kerala-671552</x:v>
      </x:c>
      <x:c r="E1009" t="str">
        <x:v>All India</x:v>
      </x:c>
      <x:c r="F1009" t="str">
        <x:v>Open</x:v>
      </x:c>
      <x:c r="G1009" t="n">
        <x:v>2</x:v>
      </x:c>
      <x:c r="H1009" t="n">
        <x:v>2</x:v>
      </x:c>
      <x:c r="I1009" t="n">
        <x:f>G1009-H1009</x:f>
        <x:v>0</x:v>
      </x:c>
      <x:c r="J1009" s="20" t="n">
        <x:f>IFERROR(H1009/G1009,0)</x:f>
        <x:v>1</x:v>
      </x:c>
      <x:c r="K1009" t="n">
        <x:v>8436</x:v>
      </x:c>
      <x:c r="L1009" t="n">
        <x:v>8465</x:v>
      </x:c>
      <x:c r="M1009" t="n">
        <x:v>8494</x:v>
      </x:c>
      <x:c r="N1009" t="n">
        <x:v>8523</x:v>
      </x:c>
      <x:c r="O1009" t="n">
        <x:v>8552</x:v>
      </x:c>
    </x:row>
    <x:row r="1010">
      <x:c r="A1010" t="str">
        <x:v>Kerala</x:v>
      </x:c>
      <x:c r="B1010" t="str">
        <x:v>All India except Central University</x:v>
      </x:c>
      <x:c r="C1010" t="str">
        <x:v>904367</x:v>
      </x:c>
      <x:c r="D1010" t="str">
        <x:v>Government Medical College Kasaragod, Govt. Medical College, Kasaragod, Ukkinadka, Badiadka panchayath, Kerala-671552</x:v>
      </x:c>
      <x:c r="E1010" t="str">
        <x:v>All India</x:v>
      </x:c>
      <x:c r="F1010" t="str">
        <x:v>Open PwD</x:v>
      </x:c>
      <x:c r="G1010" t="n">
        <x:v>1</x:v>
      </x:c>
      <x:c r="H1010" t="n">
        <x:v>1</x:v>
      </x:c>
      <x:c r="I1010" t="n">
        <x:f>G1010-H1010</x:f>
        <x:v>0</x:v>
      </x:c>
      <x:c r="J1010" s="20" t="n">
        <x:f>IFERROR(H1010/G1010,0)</x:f>
        <x:v>1</x:v>
      </x:c>
      <x:c r="K1010" t="n">
        <x:v>369220</x:v>
      </x:c>
      <x:c r="L1010" t="n">
        <x:v>369220</x:v>
      </x:c>
      <x:c r="M1010" t="n">
        <x:v>369220</x:v>
      </x:c>
      <x:c r="N1010" t="n">
        <x:v>369220</x:v>
      </x:c>
      <x:c r="O1010" t="n">
        <x:v>369220</x:v>
      </x:c>
    </x:row>
    <x:row r="1011">
      <x:c r="A1011" t="str">
        <x:v>Kerala</x:v>
      </x:c>
      <x:c r="B1011" t="str">
        <x:v>All India except Central University</x:v>
      </x:c>
      <x:c r="C1011" t="str">
        <x:v>904367</x:v>
      </x:c>
      <x:c r="D1011" t="str">
        <x:v>Government Medical College Kasaragod, Govt. Medical College, Kasaragod, Ukkinadka, Badiadka panchayath, Kerala-671552</x:v>
      </x:c>
      <x:c r="E1011" t="str">
        <x:v>All India</x:v>
      </x:c>
      <x:c r="F1011" t="str">
        <x:v>SC</x:v>
      </x:c>
      <x:c r="G1011" t="n">
        <x:v>1</x:v>
      </x:c>
      <x:c r="H1011" t="n">
        <x:v>1</x:v>
      </x:c>
      <x:c r="I1011" t="n">
        <x:f>G1011-H1011</x:f>
        <x:v>0</x:v>
      </x:c>
      <x:c r="J1011" s="20" t="n">
        <x:f>IFERROR(H1011/G1011,0)</x:f>
        <x:v>1</x:v>
      </x:c>
      <x:c r="K1011" t="n">
        <x:v>79577</x:v>
      </x:c>
      <x:c r="L1011" t="n">
        <x:v>79577</x:v>
      </x:c>
      <x:c r="M1011" t="n">
        <x:v>79577</x:v>
      </x:c>
      <x:c r="N1011" t="n">
        <x:v>79577</x:v>
      </x:c>
      <x:c r="O1011" t="n">
        <x:v>79577</x:v>
      </x:c>
    </x:row>
    <x:row r="1012">
      <x:c r="A1012" t="str">
        <x:v>Kerala</x:v>
      </x:c>
      <x:c r="B1012" t="str">
        <x:v>All India except Central University</x:v>
      </x:c>
      <x:c r="C1012" t="str">
        <x:v>904367</x:v>
      </x:c>
      <x:c r="D1012" t="str">
        <x:v>Government Medical College Kasaragod, Govt. Medical College, Kasaragod, Ukkinadka, Badiadka panchayath, Kerala-671552</x:v>
      </x:c>
      <x:c r="E1012" t="str">
        <x:v>All India</x:v>
      </x:c>
      <x:c r="F1012" t="str">
        <x:v>ST</x:v>
      </x:c>
      <x:c r="G1012" t="n">
        <x:v>1</x:v>
      </x:c>
      <x:c r="H1012" t="n">
        <x:v>1</x:v>
      </x:c>
      <x:c r="I1012" t="n">
        <x:f>G1012-H1012</x:f>
        <x:v>0</x:v>
      </x:c>
      <x:c r="J1012" s="20" t="n">
        <x:f>IFERROR(H1012/G1012,0)</x:f>
        <x:v>1</x:v>
      </x:c>
      <x:c r="K1012" t="n">
        <x:v>121466</x:v>
      </x:c>
      <x:c r="L1012" t="n">
        <x:v>121466</x:v>
      </x:c>
      <x:c r="M1012" t="n">
        <x:v>121466</x:v>
      </x:c>
      <x:c r="N1012" t="n">
        <x:v>121466</x:v>
      </x:c>
      <x:c r="O1012" t="n">
        <x:v>121466</x:v>
      </x:c>
    </x:row>
    <x:row r="1013">
      <x:c r="A1013" t="str">
        <x:v>Maharashtra</x:v>
      </x:c>
      <x:c r="B1013" t="str">
        <x:v>All India except Central University</x:v>
      </x:c>
      <x:c r="C1013" t="str">
        <x:v>902828</x:v>
      </x:c>
      <x:c r="D1013" t="str">
        <x:v>Government Medical College L.T. Marg, Near L.T. Marg Police Station, Mumbai - 400001, Gokuldas Tejpal Hospital Premises L T Marg Near L T Marg Police Station Near Crawford Market Mumbai</x:v>
      </x:c>
      <x:c r="E1013" t="str">
        <x:v>All India</x:v>
      </x:c>
      <x:c r="F1013" t="str">
        <x:v>OBC</x:v>
      </x:c>
      <x:c r="G1013" t="n">
        <x:v>2</x:v>
      </x:c>
      <x:c r="H1013" t="n">
        <x:v>2</x:v>
      </x:c>
      <x:c r="I1013" t="n">
        <x:f>G1013-H1013</x:f>
        <x:v>0</x:v>
      </x:c>
      <x:c r="J1013" s="20" t="n">
        <x:f>IFERROR(H1013/G1013,0)</x:f>
        <x:v>1</x:v>
      </x:c>
      <x:c r="K1013" t="n">
        <x:v>7476</x:v>
      </x:c>
      <x:c r="L1013" t="n">
        <x:v>7483.75</x:v>
      </x:c>
      <x:c r="M1013" t="n">
        <x:v>7491.5</x:v>
      </x:c>
      <x:c r="N1013" t="n">
        <x:v>7499.25</x:v>
      </x:c>
      <x:c r="O1013" t="n">
        <x:v>7507</x:v>
      </x:c>
    </x:row>
    <x:row r="1014">
      <x:c r="A1014" t="str">
        <x:v>Maharashtra</x:v>
      </x:c>
      <x:c r="B1014" t="str">
        <x:v>All India except Central University</x:v>
      </x:c>
      <x:c r="C1014" t="str">
        <x:v>902828</x:v>
      </x:c>
      <x:c r="D1014" t="str">
        <x:v>Government Medical College L.T. Marg, Near L.T. Marg Police Station, Mumbai - 400001, Gokuldas Tejpal Hospital Premises L T Marg Near L T Marg Police Station Near Crawford Market Mumbai</x:v>
      </x:c>
      <x:c r="E1014" t="str">
        <x:v>All India</x:v>
      </x:c>
      <x:c r="F1014" t="str">
        <x:v>Open</x:v>
      </x:c>
      <x:c r="G1014" t="n">
        <x:v>5</x:v>
      </x:c>
      <x:c r="H1014" t="n">
        <x:v>5</x:v>
      </x:c>
      <x:c r="I1014" t="n">
        <x:f>G1014-H1014</x:f>
        <x:v>0</x:v>
      </x:c>
      <x:c r="J1014" s="20" t="n">
        <x:f>IFERROR(H1014/G1014,0)</x:f>
        <x:v>1</x:v>
      </x:c>
      <x:c r="K1014" t="n">
        <x:v>4231</x:v>
      </x:c>
      <x:c r="L1014" t="n">
        <x:v>4634</x:v>
      </x:c>
      <x:c r="M1014" t="n">
        <x:v>4926</x:v>
      </x:c>
      <x:c r="N1014" t="n">
        <x:v>4977</x:v>
      </x:c>
      <x:c r="O1014" t="n">
        <x:v>5230</x:v>
      </x:c>
    </x:row>
    <x:row r="1015">
      <x:c r="A1015" t="str">
        <x:v>Maharashtra</x:v>
      </x:c>
      <x:c r="B1015" t="str">
        <x:v>All India except Central University</x:v>
      </x:c>
      <x:c r="C1015" t="str">
        <x:v>902828</x:v>
      </x:c>
      <x:c r="D1015" t="str">
        <x:v>Government Medical College L.T. Marg, Near L.T. Marg Police Station, Mumbai - 400001, Gokuldas Tejpal Hospital Premises L T Marg Near L T Marg Police Station Near Crawford Market Mumbai</x:v>
      </x:c>
      <x:c r="E1015" t="str">
        <x:v>All India</x:v>
      </x:c>
      <x:c r="F1015" t="str">
        <x:v>ST PwD</x:v>
      </x:c>
      <x:c r="G1015" t="n">
        <x:v>1</x:v>
      </x:c>
      <x:c r="H1015" t="n">
        <x:v>1</x:v>
      </x:c>
      <x:c r="I1015" t="n">
        <x:f>G1015-H1015</x:f>
        <x:v>0</x:v>
      </x:c>
      <x:c r="J1015" s="20" t="n">
        <x:f>IFERROR(H1015/G1015,0)</x:f>
        <x:v>1</x:v>
      </x:c>
      <x:c r="K1015" t="n">
        <x:v>1176835</x:v>
      </x:c>
      <x:c r="L1015" t="n">
        <x:v>1176835</x:v>
      </x:c>
      <x:c r="M1015" t="n">
        <x:v>1176835</x:v>
      </x:c>
      <x:c r="N1015" t="n">
        <x:v>1176835</x:v>
      </x:c>
      <x:c r="O1015" t="n">
        <x:v>1176835</x:v>
      </x:c>
    </x:row>
    <x:row r="1016">
      <x:c r="A1016" t="str">
        <x:v>Telangana</x:v>
      </x:c>
      <x:c r="B1016" t="str">
        <x:v>All India except Central University</x:v>
      </x:c>
      <x:c r="C1016" t="str">
        <x:v>903351</x:v>
      </x:c>
      <x:c r="D1016" t="str">
        <x:v>Government Medical College Medak, PILLIKOTYAL, MEDAK MANDAL, MEDAK DISTRICT</x:v>
      </x:c>
      <x:c r="E1016" t="str">
        <x:v>All India</x:v>
      </x:c>
      <x:c r="F1016" t="str">
        <x:v>OBC</x:v>
      </x:c>
      <x:c r="G1016" t="n">
        <x:v>2</x:v>
      </x:c>
      <x:c r="H1016" t="n">
        <x:v>2</x:v>
      </x:c>
      <x:c r="I1016" t="n">
        <x:f>G1016-H1016</x:f>
        <x:v>0</x:v>
      </x:c>
      <x:c r="J1016" s="20" t="n">
        <x:f>IFERROR(H1016/G1016,0)</x:f>
        <x:v>1</x:v>
      </x:c>
      <x:c r="K1016" t="n">
        <x:v>21841</x:v>
      </x:c>
      <x:c r="L1016" t="n">
        <x:v>21891.5</x:v>
      </x:c>
      <x:c r="M1016" t="n">
        <x:v>21942</x:v>
      </x:c>
      <x:c r="N1016" t="n">
        <x:v>21992.5</x:v>
      </x:c>
      <x:c r="O1016" t="n">
        <x:v>22043</x:v>
      </x:c>
    </x:row>
    <x:row r="1017">
      <x:c r="A1017" t="str">
        <x:v>Telangana</x:v>
      </x:c>
      <x:c r="B1017" t="str">
        <x:v>All India except Central University</x:v>
      </x:c>
      <x:c r="C1017" t="str">
        <x:v>903351</x:v>
      </x:c>
      <x:c r="D1017" t="str">
        <x:v>Government Medical College Medak, PILLIKOTYAL, MEDAK MANDAL, MEDAK DISTRICT</x:v>
      </x:c>
      <x:c r="E1017" t="str">
        <x:v>All India</x:v>
      </x:c>
      <x:c r="F1017" t="str">
        <x:v>Open</x:v>
      </x:c>
      <x:c r="G1017" t="n">
        <x:v>4</x:v>
      </x:c>
      <x:c r="H1017" t="n">
        <x:v>4</x:v>
      </x:c>
      <x:c r="I1017" t="n">
        <x:f>G1017-H1017</x:f>
        <x:v>0</x:v>
      </x:c>
      <x:c r="J1017" s="20" t="n">
        <x:f>IFERROR(H1017/G1017,0)</x:f>
        <x:v>1</x:v>
      </x:c>
      <x:c r="K1017" t="n">
        <x:v>18892</x:v>
      </x:c>
      <x:c r="L1017" t="n">
        <x:v>20745.25</x:v>
      </x:c>
      <x:c r="M1017" t="n">
        <x:v>21490.5</x:v>
      </x:c>
      <x:c r="N1017" t="n">
        <x:v>21635</x:v>
      </x:c>
      <x:c r="O1017" t="n">
        <x:v>21686</x:v>
      </x:c>
    </x:row>
    <x:row r="1018">
      <x:c r="A1018" t="str">
        <x:v>Telangana</x:v>
      </x:c>
      <x:c r="B1018" t="str">
        <x:v>All India except Central University</x:v>
      </x:c>
      <x:c r="C1018" t="str">
        <x:v>903351</x:v>
      </x:c>
      <x:c r="D1018" t="str">
        <x:v>Government Medical College Medak, PILLIKOTYAL, MEDAK MANDAL, MEDAK DISTRICT</x:v>
      </x:c>
      <x:c r="E1018" t="str">
        <x:v>All India</x:v>
      </x:c>
      <x:c r="F1018" t="str">
        <x:v>SC</x:v>
      </x:c>
      <x:c r="G1018" t="n">
        <x:v>1</x:v>
      </x:c>
      <x:c r="H1018" t="n">
        <x:v>1</x:v>
      </x:c>
      <x:c r="I1018" t="n">
        <x:f>G1018-H1018</x:f>
        <x:v>0</x:v>
      </x:c>
      <x:c r="J1018" s="20" t="n">
        <x:f>IFERROR(H1018/G1018,0)</x:f>
        <x:v>1</x:v>
      </x:c>
      <x:c r="K1018" t="n">
        <x:v>101660</x:v>
      </x:c>
      <x:c r="L1018" t="n">
        <x:v>101660</x:v>
      </x:c>
      <x:c r="M1018" t="n">
        <x:v>101660</x:v>
      </x:c>
      <x:c r="N1018" t="n">
        <x:v>101660</x:v>
      </x:c>
      <x:c r="O1018" t="n">
        <x:v>101660</x:v>
      </x:c>
    </x:row>
    <x:row r="1019">
      <x:c r="A1019" t="str">
        <x:v>Jammu And Kashmir</x:v>
      </x:c>
      <x:c r="B1019" t="str">
        <x:v>All India except Central University</x:v>
      </x:c>
      <x:c r="C1019" t="str">
        <x:v>200685</x:v>
      </x:c>
      <x:c r="D1019" t="str">
        <x:v>Government Medical College Udhampur, Dhar Road near Sallain Tallab opp Head Post Office Udhampur</x:v>
      </x:c>
      <x:c r="E1019" t="str">
        <x:v>All India</x:v>
      </x:c>
      <x:c r="F1019" t="str">
        <x:v>EWS</x:v>
      </x:c>
      <x:c r="G1019" t="n">
        <x:v>1</x:v>
      </x:c>
      <x:c r="H1019" t="n">
        <x:v>1</x:v>
      </x:c>
      <x:c r="I1019" t="n">
        <x:f>G1019-H1019</x:f>
        <x:v>0</x:v>
      </x:c>
      <x:c r="J1019" s="20" t="n">
        <x:f>IFERROR(H1019/G1019,0)</x:f>
        <x:v>1</x:v>
      </x:c>
      <x:c r="K1019" t="n">
        <x:v>18206</x:v>
      </x:c>
      <x:c r="L1019" t="n">
        <x:v>18206</x:v>
      </x:c>
      <x:c r="M1019" t="n">
        <x:v>18206</x:v>
      </x:c>
      <x:c r="N1019" t="n">
        <x:v>18206</x:v>
      </x:c>
      <x:c r="O1019" t="n">
        <x:v>18206</x:v>
      </x:c>
    </x:row>
    <x:row r="1020">
      <x:c r="A1020" t="str">
        <x:v>Jammu And Kashmir</x:v>
      </x:c>
      <x:c r="B1020" t="str">
        <x:v>All India except Central University</x:v>
      </x:c>
      <x:c r="C1020" t="str">
        <x:v>200685</x:v>
      </x:c>
      <x:c r="D1020" t="str">
        <x:v>Government Medical College Udhampur, Dhar Road near Sallain Tallab opp Head Post Office Udhampur</x:v>
      </x:c>
      <x:c r="E1020" t="str">
        <x:v>All India</x:v>
      </x:c>
      <x:c r="F1020" t="str">
        <x:v>OBC</x:v>
      </x:c>
      <x:c r="G1020" t="n">
        <x:v>3</x:v>
      </x:c>
      <x:c r="H1020" t="n">
        <x:v>3</x:v>
      </x:c>
      <x:c r="I1020" t="n">
        <x:f>G1020-H1020</x:f>
        <x:v>0</x:v>
      </x:c>
      <x:c r="J1020" s="20" t="n">
        <x:f>IFERROR(H1020/G1020,0)</x:f>
        <x:v>1</x:v>
      </x:c>
      <x:c r="K1020" t="n">
        <x:v>15442</x:v>
      </x:c>
      <x:c r="L1020" t="n">
        <x:v>15522.5</x:v>
      </x:c>
      <x:c r="M1020" t="n">
        <x:v>15603</x:v>
      </x:c>
      <x:c r="N1020" t="n">
        <x:v>15605.5</x:v>
      </x:c>
      <x:c r="O1020" t="n">
        <x:v>15608</x:v>
      </x:c>
    </x:row>
    <x:row r="1021">
      <x:c r="A1021" t="str">
        <x:v>Jammu And Kashmir</x:v>
      </x:c>
      <x:c r="B1021" t="str">
        <x:v>All India except Central University</x:v>
      </x:c>
      <x:c r="C1021" t="str">
        <x:v>200685</x:v>
      </x:c>
      <x:c r="D1021" t="str">
        <x:v>Government Medical College Udhampur, Dhar Road near Sallain Tallab opp Head Post Office Udhampur</x:v>
      </x:c>
      <x:c r="E1021" t="str">
        <x:v>All India</x:v>
      </x:c>
      <x:c r="F1021" t="str">
        <x:v>OBC PwD</x:v>
      </x:c>
      <x:c r="G1021" t="n">
        <x:v>1</x:v>
      </x:c>
      <x:c r="H1021" t="n">
        <x:v>1</x:v>
      </x:c>
      <x:c r="I1021" t="n">
        <x:f>G1021-H1021</x:f>
        <x:v>0</x:v>
      </x:c>
      <x:c r="J1021" s="20" t="n">
        <x:f>IFERROR(H1021/G1021,0)</x:f>
        <x:v>1</x:v>
      </x:c>
      <x:c r="K1021" t="n">
        <x:v>664167</x:v>
      </x:c>
      <x:c r="L1021" t="n">
        <x:v>664167</x:v>
      </x:c>
      <x:c r="M1021" t="n">
        <x:v>664167</x:v>
      </x:c>
      <x:c r="N1021" t="n">
        <x:v>664167</x:v>
      </x:c>
      <x:c r="O1021" t="n">
        <x:v>664167</x:v>
      </x:c>
    </x:row>
    <x:row r="1022">
      <x:c r="A1022" t="str">
        <x:v>Jammu And Kashmir</x:v>
      </x:c>
      <x:c r="B1022" t="str">
        <x:v>All India except Central University</x:v>
      </x:c>
      <x:c r="C1022" t="str">
        <x:v>200685</x:v>
      </x:c>
      <x:c r="D1022" t="str">
        <x:v>Government Medical College Udhampur, Dhar Road near Sallain Tallab opp Head Post Office Udhampur</x:v>
      </x:c>
      <x:c r="E1022" t="str">
        <x:v>All India</x:v>
      </x:c>
      <x:c r="F1022" t="str">
        <x:v>Open</x:v>
      </x:c>
      <x:c r="G1022" t="n">
        <x:v>5</x:v>
      </x:c>
      <x:c r="H1022" t="n">
        <x:v>5</x:v>
      </x:c>
      <x:c r="I1022" t="n">
        <x:f>G1022-H1022</x:f>
        <x:v>0</x:v>
      </x:c>
      <x:c r="J1022" s="20" t="n">
        <x:f>IFERROR(H1022/G1022,0)</x:f>
        <x:v>1</x:v>
      </x:c>
      <x:c r="K1022" t="n">
        <x:v>13857</x:v>
      </x:c>
      <x:c r="L1022" t="n">
        <x:v>13882</x:v>
      </x:c>
      <x:c r="M1022" t="n">
        <x:v>14665</x:v>
      </x:c>
      <x:c r="N1022" t="n">
        <x:v>14724</x:v>
      </x:c>
      <x:c r="O1022" t="n">
        <x:v>14833</x:v>
      </x:c>
    </x:row>
    <x:row r="1023">
      <x:c r="A1023" t="str">
        <x:v>Jammu And Kashmir</x:v>
      </x:c>
      <x:c r="B1023" t="str">
        <x:v>All India except Central University</x:v>
      </x:c>
      <x:c r="C1023" t="str">
        <x:v>200685</x:v>
      </x:c>
      <x:c r="D1023" t="str">
        <x:v>Government Medical College Udhampur, Dhar Road near Sallain Tallab opp Head Post Office Udhampur</x:v>
      </x:c>
      <x:c r="E1023" t="str">
        <x:v>All India</x:v>
      </x:c>
      <x:c r="F1023" t="str">
        <x:v>Open PwD</x:v>
      </x:c>
      <x:c r="G1023" t="n">
        <x:v>1</x:v>
      </x:c>
      <x:c r="H1023" t="n">
        <x:v>1</x:v>
      </x:c>
      <x:c r="I1023" t="n">
        <x:f>G1023-H1023</x:f>
        <x:v>0</x:v>
      </x:c>
      <x:c r="J1023" s="20" t="n">
        <x:f>IFERROR(H1023/G1023,0)</x:f>
        <x:v>1</x:v>
      </x:c>
      <x:c r="K1023" t="n">
        <x:v>409628</x:v>
      </x:c>
      <x:c r="L1023" t="n">
        <x:v>409628</x:v>
      </x:c>
      <x:c r="M1023" t="n">
        <x:v>409628</x:v>
      </x:c>
      <x:c r="N1023" t="n">
        <x:v>409628</x:v>
      </x:c>
      <x:c r="O1023" t="n">
        <x:v>409628</x:v>
      </x:c>
    </x:row>
    <x:row r="1024">
      <x:c r="A1024" t="str">
        <x:v>Jammu And Kashmir</x:v>
      </x:c>
      <x:c r="B1024" t="str">
        <x:v>All India except Central University</x:v>
      </x:c>
      <x:c r="C1024" t="str">
        <x:v>200685</x:v>
      </x:c>
      <x:c r="D1024" t="str">
        <x:v>Government Medical College Udhampur, Dhar Road near Sallain Tallab opp Head Post Office Udhampur</x:v>
      </x:c>
      <x:c r="E1024" t="str">
        <x:v>All India</x:v>
      </x:c>
      <x:c r="F1024" t="str">
        <x:v>SC</x:v>
      </x:c>
      <x:c r="G1024" t="n">
        <x:v>2</x:v>
      </x:c>
      <x:c r="H1024" t="n">
        <x:v>2</x:v>
      </x:c>
      <x:c r="I1024" t="n">
        <x:f>G1024-H1024</x:f>
        <x:v>0</x:v>
      </x:c>
      <x:c r="J1024" s="20" t="n">
        <x:f>IFERROR(H1024/G1024,0)</x:f>
        <x:v>1</x:v>
      </x:c>
      <x:c r="K1024" t="n">
        <x:v>67692</x:v>
      </x:c>
      <x:c r="L1024" t="n">
        <x:v>71827.75</x:v>
      </x:c>
      <x:c r="M1024" t="n">
        <x:v>75963.5</x:v>
      </x:c>
      <x:c r="N1024" t="n">
        <x:v>80099.25</x:v>
      </x:c>
      <x:c r="O1024" t="n">
        <x:v>84235</x:v>
      </x:c>
    </x:row>
    <x:row r="1025">
      <x:c r="A1025" t="str">
        <x:v>Jammu And Kashmir</x:v>
      </x:c>
      <x:c r="B1025" t="str">
        <x:v>All India except Central University</x:v>
      </x:c>
      <x:c r="C1025" t="str">
        <x:v>200685</x:v>
      </x:c>
      <x:c r="D1025" t="str">
        <x:v>Government Medical College Udhampur, Dhar Road near Sallain Tallab opp Head Post Office Udhampur</x:v>
      </x:c>
      <x:c r="E1025" t="str">
        <x:v>All India</x:v>
      </x:c>
      <x:c r="F1025" t="str">
        <x:v>SC PwD</x:v>
      </x:c>
      <x:c r="G1025" t="n">
        <x:v>1</x:v>
      </x:c>
      <x:c r="H1025" t="n">
        <x:v>1</x:v>
      </x:c>
      <x:c r="I1025" t="n">
        <x:f>G1025-H1025</x:f>
        <x:v>0</x:v>
      </x:c>
      <x:c r="J1025" s="20" t="n">
        <x:f>IFERROR(H1025/G1025,0)</x:f>
        <x:v>1</x:v>
      </x:c>
      <x:c r="K1025" t="n">
        <x:v>1132078</x:v>
      </x:c>
      <x:c r="L1025" t="n">
        <x:v>1132078</x:v>
      </x:c>
      <x:c r="M1025" t="n">
        <x:v>1132078</x:v>
      </x:c>
      <x:c r="N1025" t="n">
        <x:v>1132078</x:v>
      </x:c>
      <x:c r="O1025" t="n">
        <x:v>1132078</x:v>
      </x:c>
    </x:row>
    <x:row r="1026">
      <x:c r="A1026" t="str">
        <x:v>Jammu And Kashmir</x:v>
      </x:c>
      <x:c r="B1026" t="str">
        <x:v>All India except Central University</x:v>
      </x:c>
      <x:c r="C1026" t="str">
        <x:v>200685</x:v>
      </x:c>
      <x:c r="D1026" t="str">
        <x:v>Government Medical College Udhampur, Dhar Road near Sallain Tallab opp Head Post Office Udhampur</x:v>
      </x:c>
      <x:c r="E1026" t="str">
        <x:v>All India</x:v>
      </x:c>
      <x:c r="F1026" t="str">
        <x:v>ST PwD</x:v>
      </x:c>
      <x:c r="G1026" t="n">
        <x:v>1</x:v>
      </x:c>
      <x:c r="H1026" t="n">
        <x:v>1</x:v>
      </x:c>
      <x:c r="I1026" t="n">
        <x:f>G1026-H1026</x:f>
        <x:v>0</x:v>
      </x:c>
      <x:c r="J1026" s="20" t="n">
        <x:f>IFERROR(H1026/G1026,0)</x:f>
        <x:v>1</x:v>
      </x:c>
      <x:c r="K1026" t="n">
        <x:v>548390</x:v>
      </x:c>
      <x:c r="L1026" t="n">
        <x:v>548390</x:v>
      </x:c>
      <x:c r="M1026" t="n">
        <x:v>548390</x:v>
      </x:c>
      <x:c r="N1026" t="n">
        <x:v>548390</x:v>
      </x:c>
      <x:c r="O1026" t="n">
        <x:v>548390</x:v>
      </x:c>
    </x:row>
    <x:row r="1027">
      <x:c r="A1027" t="str">
        <x:v>Maharashtra</x:v>
      </x:c>
      <x:c r="B1027" t="str">
        <x:v>All India except Central University</x:v>
      </x:c>
      <x:c r="C1027" t="str">
        <x:v>200210</x:v>
      </x:c>
      <x:c r="D1027" t="str">
        <x:v>Government Medical College, Akola, Collector Office Road, Near Ashok Watika, Akola. State Maharashtra. Pin 444001</x:v>
      </x:c>
      <x:c r="E1027" t="str">
        <x:v>All India</x:v>
      </x:c>
      <x:c r="F1027" t="str">
        <x:v>EWS</x:v>
      </x:c>
      <x:c r="G1027" t="n">
        <x:v>3</x:v>
      </x:c>
      <x:c r="H1027" t="n">
        <x:v>3</x:v>
      </x:c>
      <x:c r="I1027" t="n">
        <x:f>G1027-H1027</x:f>
        <x:v>0</x:v>
      </x:c>
      <x:c r="J1027" s="20" t="n">
        <x:f>IFERROR(H1027/G1027,0)</x:f>
        <x:v>1</x:v>
      </x:c>
      <x:c r="K1027" t="n">
        <x:v>15297</x:v>
      </x:c>
      <x:c r="L1027" t="n">
        <x:v>16194.5</x:v>
      </x:c>
      <x:c r="M1027" t="n">
        <x:v>17092</x:v>
      </x:c>
      <x:c r="N1027" t="n">
        <x:v>17252</x:v>
      </x:c>
      <x:c r="O1027" t="n">
        <x:v>17412</x:v>
      </x:c>
    </x:row>
    <x:row r="1028">
      <x:c r="A1028" t="str">
        <x:v>Maharashtra</x:v>
      </x:c>
      <x:c r="B1028" t="str">
        <x:v>All India except Central University</x:v>
      </x:c>
      <x:c r="C1028" t="str">
        <x:v>200210</x:v>
      </x:c>
      <x:c r="D1028" t="str">
        <x:v>Government Medical College, Akola, Collector Office Road, Near Ashok Watika, Akola. State Maharashtra. Pin 444001</x:v>
      </x:c>
      <x:c r="E1028" t="str">
        <x:v>All India</x:v>
      </x:c>
      <x:c r="F1028" t="str">
        <x:v>OBC</x:v>
      </x:c>
      <x:c r="G1028" t="n">
        <x:v>8</x:v>
      </x:c>
      <x:c r="H1028" t="n">
        <x:v>8</x:v>
      </x:c>
      <x:c r="I1028" t="n">
        <x:f>G1028-H1028</x:f>
        <x:v>0</x:v>
      </x:c>
      <x:c r="J1028" s="20" t="n">
        <x:f>IFERROR(H1028/G1028,0)</x:f>
        <x:v>1</x:v>
      </x:c>
      <x:c r="K1028" t="n">
        <x:v>14156</x:v>
      </x:c>
      <x:c r="L1028" t="n">
        <x:v>14339.5</x:v>
      </x:c>
      <x:c r="M1028" t="n">
        <x:v>14615.5</x:v>
      </x:c>
      <x:c r="N1028" t="n">
        <x:v>14924.5</x:v>
      </x:c>
      <x:c r="O1028" t="n">
        <x:v>15099</x:v>
      </x:c>
    </x:row>
    <x:row r="1029">
      <x:c r="A1029" t="str">
        <x:v>Maharashtra</x:v>
      </x:c>
      <x:c r="B1029" t="str">
        <x:v>All India except Central University</x:v>
      </x:c>
      <x:c r="C1029" t="str">
        <x:v>200210</x:v>
      </x:c>
      <x:c r="D1029" t="str">
        <x:v>Government Medical College, Akola, Collector Office Road, Near Ashok Watika, Akola. State Maharashtra. Pin 444001</x:v>
      </x:c>
      <x:c r="E1029" t="str">
        <x:v>All India</x:v>
      </x:c>
      <x:c r="F1029" t="str">
        <x:v>Open</x:v>
      </x:c>
      <x:c r="G1029" t="n">
        <x:v>12</x:v>
      </x:c>
      <x:c r="H1029" t="n">
        <x:v>12</x:v>
      </x:c>
      <x:c r="I1029" t="n">
        <x:f>G1029-H1029</x:f>
        <x:v>0</x:v>
      </x:c>
      <x:c r="J1029" s="20" t="n">
        <x:f>IFERROR(H1029/G1029,0)</x:f>
        <x:v>1</x:v>
      </x:c>
      <x:c r="K1029" t="n">
        <x:v>10283</x:v>
      </x:c>
      <x:c r="L1029" t="n">
        <x:v>12547.25</x:v>
      </x:c>
      <x:c r="M1029" t="n">
        <x:v>13218.5</x:v>
      </x:c>
      <x:c r="N1029" t="n">
        <x:v>13615</x:v>
      </x:c>
      <x:c r="O1029" t="n">
        <x:v>13994</x:v>
      </x:c>
    </x:row>
    <x:row r="1030">
      <x:c r="A1030" t="str">
        <x:v>Maharashtra</x:v>
      </x:c>
      <x:c r="B1030" t="str">
        <x:v>All India except Central University</x:v>
      </x:c>
      <x:c r="C1030" t="str">
        <x:v>200210</x:v>
      </x:c>
      <x:c r="D1030" t="str">
        <x:v>Government Medical College, Akola, Collector Office Road, Near Ashok Watika, Akola. State Maharashtra. Pin 444001</x:v>
      </x:c>
      <x:c r="E1030" t="str">
        <x:v>All India</x:v>
      </x:c>
      <x:c r="F1030" t="str">
        <x:v>SC</x:v>
      </x:c>
      <x:c r="G1030" t="n">
        <x:v>5</x:v>
      </x:c>
      <x:c r="H1030" t="n">
        <x:v>5</x:v>
      </x:c>
      <x:c r="I1030" t="n">
        <x:f>G1030-H1030</x:f>
        <x:v>0</x:v>
      </x:c>
      <x:c r="J1030" s="20" t="n">
        <x:f>IFERROR(H1030/G1030,0)</x:f>
        <x:v>1</x:v>
      </x:c>
      <x:c r="K1030" t="n">
        <x:v>51582</x:v>
      </x:c>
      <x:c r="L1030" t="n">
        <x:v>58635</x:v>
      </x:c>
      <x:c r="M1030" t="n">
        <x:v>68372</x:v>
      </x:c>
      <x:c r="N1030" t="n">
        <x:v>72182</x:v>
      </x:c>
      <x:c r="O1030" t="n">
        <x:v>72318</x:v>
      </x:c>
    </x:row>
    <x:row r="1031">
      <x:c r="A1031" t="str">
        <x:v>Maharashtra</x:v>
      </x:c>
      <x:c r="B1031" t="str">
        <x:v>All India except Central University</x:v>
      </x:c>
      <x:c r="C1031" t="str">
        <x:v>200210</x:v>
      </x:c>
      <x:c r="D1031" t="str">
        <x:v>Government Medical College, Akola, Collector Office Road, Near Ashok Watika, Akola. State Maharashtra. Pin 444001</x:v>
      </x:c>
      <x:c r="E1031" t="str">
        <x:v>All India</x:v>
      </x:c>
      <x:c r="F1031" t="str">
        <x:v>ST</x:v>
      </x:c>
      <x:c r="G1031" t="n">
        <x:v>2</x:v>
      </x:c>
      <x:c r="H1031" t="n">
        <x:v>2</x:v>
      </x:c>
      <x:c r="I1031" t="n">
        <x:f>G1031-H1031</x:f>
        <x:v>0</x:v>
      </x:c>
      <x:c r="J1031" s="20" t="n">
        <x:f>IFERROR(H1031/G1031,0)</x:f>
        <x:v>1</x:v>
      </x:c>
      <x:c r="K1031" t="n">
        <x:v>96462</x:v>
      </x:c>
      <x:c r="L1031" t="n">
        <x:v>96869.25</x:v>
      </x:c>
      <x:c r="M1031" t="n">
        <x:v>97276.5</x:v>
      </x:c>
      <x:c r="N1031" t="n">
        <x:v>97683.75</x:v>
      </x:c>
      <x:c r="O1031" t="n">
        <x:v>98091</x:v>
      </x:c>
    </x:row>
    <x:row r="1032">
      <x:c r="A1032" t="str">
        <x:v>Maharashtra</x:v>
      </x:c>
      <x:c r="B1032" t="str">
        <x:v>All India except Central University</x:v>
      </x:c>
      <x:c r="C1032" t="str">
        <x:v>200579</x:v>
      </x:c>
      <x:c r="D1032" t="str">
        <x:v>Government Medical College, Alibag, Government Medical College, District Civil Hospital area, Beach Road, Limaye wadi, Alibag, Dist. Rai</x:v>
      </x:c>
      <x:c r="E1032" t="str">
        <x:v>All India</x:v>
      </x:c>
      <x:c r="F1032" t="str">
        <x:v>EWS</x:v>
      </x:c>
      <x:c r="G1032" t="n">
        <x:v>2</x:v>
      </x:c>
      <x:c r="H1032" t="n">
        <x:v>2</x:v>
      </x:c>
      <x:c r="I1032" t="n">
        <x:f>G1032-H1032</x:f>
        <x:v>0</x:v>
      </x:c>
      <x:c r="J1032" s="20" t="n">
        <x:f>IFERROR(H1032/G1032,0)</x:f>
        <x:v>1</x:v>
      </x:c>
      <x:c r="K1032" t="n">
        <x:v>19384</x:v>
      </x:c>
      <x:c r="L1032" t="n">
        <x:v>19568</x:v>
      </x:c>
      <x:c r="M1032" t="n">
        <x:v>19752</x:v>
      </x:c>
      <x:c r="N1032" t="n">
        <x:v>19936</x:v>
      </x:c>
      <x:c r="O1032" t="n">
        <x:v>20120</x:v>
      </x:c>
    </x:row>
    <x:row r="1033">
      <x:c r="A1033" t="str">
        <x:v>Maharashtra</x:v>
      </x:c>
      <x:c r="B1033" t="str">
        <x:v>All India except Central University</x:v>
      </x:c>
      <x:c r="C1033" t="str">
        <x:v>200579</x:v>
      </x:c>
      <x:c r="D1033" t="str">
        <x:v>Government Medical College, Alibag, Government Medical College, District Civil Hospital area, Beach Road, Limaye wadi, Alibag, Dist. Rai</x:v>
      </x:c>
      <x:c r="E1033" t="str">
        <x:v>All India</x:v>
      </x:c>
      <x:c r="F1033" t="str">
        <x:v>OBC</x:v>
      </x:c>
      <x:c r="G1033" t="n">
        <x:v>4</x:v>
      </x:c>
      <x:c r="H1033" t="n">
        <x:v>4</x:v>
      </x:c>
      <x:c r="I1033" t="n">
        <x:f>G1033-H1033</x:f>
        <x:v>0</x:v>
      </x:c>
      <x:c r="J1033" s="20" t="n">
        <x:f>IFERROR(H1033/G1033,0)</x:f>
        <x:v>1</x:v>
      </x:c>
      <x:c r="K1033" t="n">
        <x:v>16433</x:v>
      </x:c>
      <x:c r="L1033" t="n">
        <x:v>17030</x:v>
      </x:c>
      <x:c r="M1033" t="n">
        <x:v>17268.5</x:v>
      </x:c>
      <x:c r="N1033" t="n">
        <x:v>17371.25</x:v>
      </x:c>
      <x:c r="O1033" t="n">
        <x:v>17561</x:v>
      </x:c>
    </x:row>
    <x:row r="1034">
      <x:c r="A1034" t="str">
        <x:v>Maharashtra</x:v>
      </x:c>
      <x:c r="B1034" t="str">
        <x:v>All India except Central University</x:v>
      </x:c>
      <x:c r="C1034" t="str">
        <x:v>200579</x:v>
      </x:c>
      <x:c r="D1034" t="str">
        <x:v>Government Medical College, Alibag, Government Medical College, District Civil Hospital area, Beach Road, Limaye wadi, Alibag, Dist. Rai</x:v>
      </x:c>
      <x:c r="E1034" t="str">
        <x:v>All India</x:v>
      </x:c>
      <x:c r="F1034" t="str">
        <x:v>Open</x:v>
      </x:c>
      <x:c r="G1034" t="n">
        <x:v>5</x:v>
      </x:c>
      <x:c r="H1034" t="n">
        <x:v>5</x:v>
      </x:c>
      <x:c r="I1034" t="n">
        <x:f>G1034-H1034</x:f>
        <x:v>0</x:v>
      </x:c>
      <x:c r="J1034" s="20" t="n">
        <x:f>IFERROR(H1034/G1034,0)</x:f>
        <x:v>1</x:v>
      </x:c>
      <x:c r="K1034" t="n">
        <x:v>10328</x:v>
      </x:c>
      <x:c r="L1034" t="n">
        <x:v>12126</x:v>
      </x:c>
      <x:c r="M1034" t="n">
        <x:v>13657</x:v>
      </x:c>
      <x:c r="N1034" t="n">
        <x:v>14208</x:v>
      </x:c>
      <x:c r="O1034" t="n">
        <x:v>14395</x:v>
      </x:c>
    </x:row>
    <x:row r="1035">
      <x:c r="A1035" t="str">
        <x:v>Maharashtra</x:v>
      </x:c>
      <x:c r="B1035" t="str">
        <x:v>All India except Central University</x:v>
      </x:c>
      <x:c r="C1035" t="str">
        <x:v>200579</x:v>
      </x:c>
      <x:c r="D1035" t="str">
        <x:v>Government Medical College, Alibag, Government Medical College, District Civil Hospital area, Beach Road, Limaye wadi, Alibag, Dist. Rai</x:v>
      </x:c>
      <x:c r="E1035" t="str">
        <x:v>All India</x:v>
      </x:c>
      <x:c r="F1035" t="str">
        <x:v>Open PwD</x:v>
      </x:c>
      <x:c r="G1035" t="n">
        <x:v>1</x:v>
      </x:c>
      <x:c r="H1035" t="n">
        <x:v>1</x:v>
      </x:c>
      <x:c r="I1035" t="n">
        <x:f>G1035-H1035</x:f>
        <x:v>0</x:v>
      </x:c>
      <x:c r="J1035" s="20" t="n">
        <x:f>IFERROR(H1035/G1035,0)</x:f>
        <x:v>1</x:v>
      </x:c>
      <x:c r="K1035" t="n">
        <x:v>438543</x:v>
      </x:c>
      <x:c r="L1035" t="n">
        <x:v>438543</x:v>
      </x:c>
      <x:c r="M1035" t="n">
        <x:v>438543</x:v>
      </x:c>
      <x:c r="N1035" t="n">
        <x:v>438543</x:v>
      </x:c>
      <x:c r="O1035" t="n">
        <x:v>438543</x:v>
      </x:c>
    </x:row>
    <x:row r="1036">
      <x:c r="A1036" t="str">
        <x:v>Maharashtra</x:v>
      </x:c>
      <x:c r="B1036" t="str">
        <x:v>All India except Central University</x:v>
      </x:c>
      <x:c r="C1036" t="str">
        <x:v>200579</x:v>
      </x:c>
      <x:c r="D1036" t="str">
        <x:v>Government Medical College, Alibag, Government Medical College, District Civil Hospital area, Beach Road, Limaye wadi, Alibag, Dist. Rai</x:v>
      </x:c>
      <x:c r="E1036" t="str">
        <x:v>All India</x:v>
      </x:c>
      <x:c r="F1036" t="str">
        <x:v>SC</x:v>
      </x:c>
      <x:c r="G1036" t="n">
        <x:v>2</x:v>
      </x:c>
      <x:c r="H1036" t="n">
        <x:v>2</x:v>
      </x:c>
      <x:c r="I1036" t="n">
        <x:f>G1036-H1036</x:f>
        <x:v>0</x:v>
      </x:c>
      <x:c r="J1036" s="20" t="n">
        <x:f>IFERROR(H1036/G1036,0)</x:f>
        <x:v>1</x:v>
      </x:c>
      <x:c r="K1036" t="n">
        <x:v>69124</x:v>
      </x:c>
      <x:c r="L1036" t="n">
        <x:v>69414</x:v>
      </x:c>
      <x:c r="M1036" t="n">
        <x:v>69704</x:v>
      </x:c>
      <x:c r="N1036" t="n">
        <x:v>69994</x:v>
      </x:c>
      <x:c r="O1036" t="n">
        <x:v>70284</x:v>
      </x:c>
    </x:row>
    <x:row r="1037">
      <x:c r="A1037" t="str">
        <x:v>Maharashtra</x:v>
      </x:c>
      <x:c r="B1037" t="str">
        <x:v>All India except Central University</x:v>
      </x:c>
      <x:c r="C1037" t="str">
        <x:v>200579</x:v>
      </x:c>
      <x:c r="D1037" t="str">
        <x:v>Government Medical College, Alibag, Government Medical College, District Civil Hospital area, Beach Road, Limaye wadi, Alibag, Dist. Rai</x:v>
      </x:c>
      <x:c r="E1037" t="str">
        <x:v>All India</x:v>
      </x:c>
      <x:c r="F1037" t="str">
        <x:v>ST</x:v>
      </x:c>
      <x:c r="G1037" t="n">
        <x:v>1</x:v>
      </x:c>
      <x:c r="H1037" t="n">
        <x:v>1</x:v>
      </x:c>
      <x:c r="I1037" t="n">
        <x:f>G1037-H1037</x:f>
        <x:v>0</x:v>
      </x:c>
      <x:c r="J1037" s="20" t="n">
        <x:f>IFERROR(H1037/G1037,0)</x:f>
        <x:v>1</x:v>
      </x:c>
      <x:c r="K1037" t="n">
        <x:v>87720</x:v>
      </x:c>
      <x:c r="L1037" t="n">
        <x:v>87720</x:v>
      </x:c>
      <x:c r="M1037" t="n">
        <x:v>87720</x:v>
      </x:c>
      <x:c r="N1037" t="n">
        <x:v>87720</x:v>
      </x:c>
      <x:c r="O1037" t="n">
        <x:v>87720</x:v>
      </x:c>
    </x:row>
    <x:row r="1038">
      <x:c r="A1038" t="str">
        <x:v>Rajasthan</x:v>
      </x:c>
      <x:c r="B1038" t="str">
        <x:v>All India except Central University</x:v>
      </x:c>
      <x:c r="C1038" t="str">
        <x:v>200670</x:v>
      </x:c>
      <x:c r="D1038" t="str">
        <x:v>Government Medical College, Alwar, Government Medical College Alwar Jail Circle alwar</x:v>
      </x:c>
      <x:c r="E1038" t="str">
        <x:v>All India</x:v>
      </x:c>
      <x:c r="F1038" t="str">
        <x:v>EWS PwD</x:v>
      </x:c>
      <x:c r="G1038" t="n">
        <x:v>1</x:v>
      </x:c>
      <x:c r="H1038" t="n">
        <x:v>1</x:v>
      </x:c>
      <x:c r="I1038" t="n">
        <x:f>G1038-H1038</x:f>
        <x:v>0</x:v>
      </x:c>
      <x:c r="J1038" s="20" t="n">
        <x:f>IFERROR(H1038/G1038,0)</x:f>
        <x:v>1</x:v>
      </x:c>
      <x:c r="K1038" t="n">
        <x:v>621740</x:v>
      </x:c>
      <x:c r="L1038" t="n">
        <x:v>621740</x:v>
      </x:c>
      <x:c r="M1038" t="n">
        <x:v>621740</x:v>
      </x:c>
      <x:c r="N1038" t="n">
        <x:v>621740</x:v>
      </x:c>
      <x:c r="O1038" t="n">
        <x:v>621740</x:v>
      </x:c>
    </x:row>
    <x:row r="1039">
      <x:c r="A1039" t="str">
        <x:v>Rajasthan</x:v>
      </x:c>
      <x:c r="B1039" t="str">
        <x:v>All India except Central University</x:v>
      </x:c>
      <x:c r="C1039" t="str">
        <x:v>200670</x:v>
      </x:c>
      <x:c r="D1039" t="str">
        <x:v>Government Medical College, Alwar, Government Medical College Alwar Jail Circle alwar</x:v>
      </x:c>
      <x:c r="E1039" t="str">
        <x:v>All India</x:v>
      </x:c>
      <x:c r="F1039" t="str">
        <x:v>OBC</x:v>
      </x:c>
      <x:c r="G1039" t="n">
        <x:v>4</x:v>
      </x:c>
      <x:c r="H1039" t="n">
        <x:v>4</x:v>
      </x:c>
      <x:c r="I1039" t="n">
        <x:f>G1039-H1039</x:f>
        <x:v>0</x:v>
      </x:c>
      <x:c r="J1039" s="20" t="n">
        <x:f>IFERROR(H1039/G1039,0)</x:f>
        <x:v>1</x:v>
      </x:c>
      <x:c r="K1039" t="n">
        <x:v>8396</x:v>
      </x:c>
      <x:c r="L1039" t="n">
        <x:v>8456.75</x:v>
      </x:c>
      <x:c r="M1039" t="n">
        <x:v>8540.5</x:v>
      </x:c>
      <x:c r="N1039" t="n">
        <x:v>8641.75</x:v>
      </x:c>
      <x:c r="O1039" t="n">
        <x:v>8755</x:v>
      </x:c>
    </x:row>
    <x:row r="1040">
      <x:c r="A1040" t="str">
        <x:v>Rajasthan</x:v>
      </x:c>
      <x:c r="B1040" t="str">
        <x:v>All India except Central University</x:v>
      </x:c>
      <x:c r="C1040" t="str">
        <x:v>200670</x:v>
      </x:c>
      <x:c r="D1040" t="str">
        <x:v>Government Medical College, Alwar, Government Medical College Alwar Jail Circle alwar</x:v>
      </x:c>
      <x:c r="E1040" t="str">
        <x:v>All India</x:v>
      </x:c>
      <x:c r="F1040" t="str">
        <x:v>Open</x:v>
      </x:c>
      <x:c r="G1040" t="n">
        <x:v>6</x:v>
      </x:c>
      <x:c r="H1040" t="n">
        <x:v>6</x:v>
      </x:c>
      <x:c r="I1040" t="n">
        <x:f>G1040-H1040</x:f>
        <x:v>0</x:v>
      </x:c>
      <x:c r="J1040" s="20" t="n">
        <x:f>IFERROR(H1040/G1040,0)</x:f>
        <x:v>1</x:v>
      </x:c>
      <x:c r="K1040" t="n">
        <x:v>6819</x:v>
      </x:c>
      <x:c r="L1040" t="n">
        <x:v>7684</x:v>
      </x:c>
      <x:c r="M1040" t="n">
        <x:v>7943.5</x:v>
      </x:c>
      <x:c r="N1040" t="n">
        <x:v>8061.25</x:v>
      </x:c>
      <x:c r="O1040" t="n">
        <x:v>8212</x:v>
      </x:c>
    </x:row>
    <x:row r="1041">
      <x:c r="A1041" t="str">
        <x:v>Rajasthan</x:v>
      </x:c>
      <x:c r="B1041" t="str">
        <x:v>All India except Central University</x:v>
      </x:c>
      <x:c r="C1041" t="str">
        <x:v>200670</x:v>
      </x:c>
      <x:c r="D1041" t="str">
        <x:v>Government Medical College, Alwar, Government Medical College Alwar Jail Circle alwar</x:v>
      </x:c>
      <x:c r="E1041" t="str">
        <x:v>All India</x:v>
      </x:c>
      <x:c r="F1041" t="str">
        <x:v>SC</x:v>
      </x:c>
      <x:c r="G1041" t="n">
        <x:v>3</x:v>
      </x:c>
      <x:c r="H1041" t="n">
        <x:v>3</x:v>
      </x:c>
      <x:c r="I1041" t="n">
        <x:f>G1041-H1041</x:f>
        <x:v>0</x:v>
      </x:c>
      <x:c r="J1041" s="20" t="n">
        <x:f>IFERROR(H1041/G1041,0)</x:f>
        <x:v>1</x:v>
      </x:c>
      <x:c r="K1041" t="n">
        <x:v>48237</x:v>
      </x:c>
      <x:c r="L1041" t="n">
        <x:v>48489.5</x:v>
      </x:c>
      <x:c r="M1041" t="n">
        <x:v>48742</x:v>
      </x:c>
      <x:c r="N1041" t="n">
        <x:v>49079.5</x:v>
      </x:c>
      <x:c r="O1041" t="n">
        <x:v>49417</x:v>
      </x:c>
    </x:row>
    <x:row r="1042">
      <x:c r="A1042" t="str">
        <x:v>Rajasthan</x:v>
      </x:c>
      <x:c r="B1042" t="str">
        <x:v>All India except Central University</x:v>
      </x:c>
      <x:c r="C1042" t="str">
        <x:v>200670</x:v>
      </x:c>
      <x:c r="D1042" t="str">
        <x:v>Government Medical College, Alwar, Government Medical College Alwar Jail Circle alwar</x:v>
      </x:c>
      <x:c r="E1042" t="str">
        <x:v>All India</x:v>
      </x:c>
      <x:c r="F1042" t="str">
        <x:v>ST</x:v>
      </x:c>
      <x:c r="G1042" t="n">
        <x:v>1</x:v>
      </x:c>
      <x:c r="H1042" t="n">
        <x:v>1</x:v>
      </x:c>
      <x:c r="I1042" t="n">
        <x:f>G1042-H1042</x:f>
        <x:v>0</x:v>
      </x:c>
      <x:c r="J1042" s="20" t="n">
        <x:f>IFERROR(H1042/G1042,0)</x:f>
        <x:v>1</x:v>
      </x:c>
      <x:c r="K1042" t="n">
        <x:v>57661</x:v>
      </x:c>
      <x:c r="L1042" t="n">
        <x:v>57661</x:v>
      </x:c>
      <x:c r="M1042" t="n">
        <x:v>57661</x:v>
      </x:c>
      <x:c r="N1042" t="n">
        <x:v>57661</x:v>
      </x:c>
      <x:c r="O1042" t="n">
        <x:v>57661</x:v>
      </x:c>
    </x:row>
    <x:row r="1043">
      <x:c r="A1043" t="str">
        <x:v>Maharashtra</x:v>
      </x:c>
      <x:c r="B1043" t="str">
        <x:v>All India except Central University</x:v>
      </x:c>
      <x:c r="C1043" t="str">
        <x:v>903357</x:v>
      </x:c>
      <x:c r="D1043" t="str">
        <x:v>Government Medical College, Ambernath, Survey No.128, Jambhulgaon Road, Ambernath West, District Thane</x:v>
      </x:c>
      <x:c r="E1043" t="str">
        <x:v>All India</x:v>
      </x:c>
      <x:c r="F1043" t="str">
        <x:v>EWS</x:v>
      </x:c>
      <x:c r="G1043" t="n">
        <x:v>1</x:v>
      </x:c>
      <x:c r="H1043" t="n">
        <x:v>1</x:v>
      </x:c>
      <x:c r="I1043" t="n">
        <x:f>G1043-H1043</x:f>
        <x:v>0</x:v>
      </x:c>
      <x:c r="J1043" s="20" t="n">
        <x:f>IFERROR(H1043/G1043,0)</x:f>
        <x:v>1</x:v>
      </x:c>
      <x:c r="K1043" t="n">
        <x:v>16736</x:v>
      </x:c>
      <x:c r="L1043" t="n">
        <x:v>16736</x:v>
      </x:c>
      <x:c r="M1043" t="n">
        <x:v>16736</x:v>
      </x:c>
      <x:c r="N1043" t="n">
        <x:v>16736</x:v>
      </x:c>
      <x:c r="O1043" t="n">
        <x:v>16736</x:v>
      </x:c>
    </x:row>
    <x:row r="1044">
      <x:c r="A1044" t="str">
        <x:v>Maharashtra</x:v>
      </x:c>
      <x:c r="B1044" t="str">
        <x:v>All India except Central University</x:v>
      </x:c>
      <x:c r="C1044" t="str">
        <x:v>903357</x:v>
      </x:c>
      <x:c r="D1044" t="str">
        <x:v>Government Medical College, Ambernath, Survey No.128, Jambhulgaon Road, Ambernath West, District Thane</x:v>
      </x:c>
      <x:c r="E1044" t="str">
        <x:v>All India</x:v>
      </x:c>
      <x:c r="F1044" t="str">
        <x:v>OBC</x:v>
      </x:c>
      <x:c r="G1044" t="n">
        <x:v>4</x:v>
      </x:c>
      <x:c r="H1044" t="n">
        <x:v>4</x:v>
      </x:c>
      <x:c r="I1044" t="n">
        <x:f>G1044-H1044</x:f>
        <x:v>0</x:v>
      </x:c>
      <x:c r="J1044" s="20" t="n">
        <x:f>IFERROR(H1044/G1044,0)</x:f>
        <x:v>1</x:v>
      </x:c>
      <x:c r="K1044" t="n">
        <x:v>15794</x:v>
      </x:c>
      <x:c r="L1044" t="n">
        <x:v>16229.75</x:v>
      </x:c>
      <x:c r="M1044" t="n">
        <x:v>16384</x:v>
      </x:c>
      <x:c r="N1044" t="n">
        <x:v>16413.25</x:v>
      </x:c>
      <x:c r="O1044" t="n">
        <x:v>16474</x:v>
      </x:c>
    </x:row>
    <x:row r="1045">
      <x:c r="A1045" t="str">
        <x:v>Maharashtra</x:v>
      </x:c>
      <x:c r="B1045" t="str">
        <x:v>All India except Central University</x:v>
      </x:c>
      <x:c r="C1045" t="str">
        <x:v>903357</x:v>
      </x:c>
      <x:c r="D1045" t="str">
        <x:v>Government Medical College, Ambernath, Survey No.128, Jambhulgaon Road, Ambernath West, District Thane</x:v>
      </x:c>
      <x:c r="E1045" t="str">
        <x:v>All India</x:v>
      </x:c>
      <x:c r="F1045" t="str">
        <x:v>Open</x:v>
      </x:c>
      <x:c r="G1045" t="n">
        <x:v>7</x:v>
      </x:c>
      <x:c r="H1045" t="n">
        <x:v>7</x:v>
      </x:c>
      <x:c r="I1045" t="n">
        <x:f>G1045-H1045</x:f>
        <x:v>0</x:v>
      </x:c>
      <x:c r="J1045" s="20" t="n">
        <x:f>IFERROR(H1045/G1045,0)</x:f>
        <x:v>1</x:v>
      </x:c>
      <x:c r="K1045" t="n">
        <x:v>7231</x:v>
      </x:c>
      <x:c r="L1045" t="n">
        <x:v>10634.5</x:v>
      </x:c>
      <x:c r="M1045" t="n">
        <x:v>14326</x:v>
      </x:c>
      <x:c r="N1045" t="n">
        <x:v>14940.5</x:v>
      </x:c>
      <x:c r="O1045" t="n">
        <x:v>15669</x:v>
      </x:c>
    </x:row>
    <x:row r="1046">
      <x:c r="A1046" t="str">
        <x:v>Maharashtra</x:v>
      </x:c>
      <x:c r="B1046" t="str">
        <x:v>All India except Central University</x:v>
      </x:c>
      <x:c r="C1046" t="str">
        <x:v>903357</x:v>
      </x:c>
      <x:c r="D1046" t="str">
        <x:v>Government Medical College, Ambernath, Survey No.128, Jambhulgaon Road, Ambernath West, District Thane</x:v>
      </x:c>
      <x:c r="E1046" t="str">
        <x:v>All India</x:v>
      </x:c>
      <x:c r="F1046" t="str">
        <x:v>SC</x:v>
      </x:c>
      <x:c r="G1046" t="n">
        <x:v>2</x:v>
      </x:c>
      <x:c r="H1046" t="n">
        <x:v>2</x:v>
      </x:c>
      <x:c r="I1046" t="n">
        <x:f>G1046-H1046</x:f>
        <x:v>0</x:v>
      </x:c>
      <x:c r="J1046" s="20" t="n">
        <x:f>IFERROR(H1046/G1046,0)</x:f>
        <x:v>1</x:v>
      </x:c>
      <x:c r="K1046" t="n">
        <x:v>78284</x:v>
      </x:c>
      <x:c r="L1046" t="n">
        <x:v>78333</x:v>
      </x:c>
      <x:c r="M1046" t="n">
        <x:v>78382</x:v>
      </x:c>
      <x:c r="N1046" t="n">
        <x:v>78431</x:v>
      </x:c>
      <x:c r="O1046" t="n">
        <x:v>78480</x:v>
      </x:c>
    </x:row>
    <x:row r="1047">
      <x:c r="A1047" t="str">
        <x:v>Maharashtra</x:v>
      </x:c>
      <x:c r="B1047" t="str">
        <x:v>All India except Central University</x:v>
      </x:c>
      <x:c r="C1047" t="str">
        <x:v>903357</x:v>
      </x:c>
      <x:c r="D1047" t="str">
        <x:v>Government Medical College, Ambernath, Survey No.128, Jambhulgaon Road, Ambernath West, District Thane</x:v>
      </x:c>
      <x:c r="E1047" t="str">
        <x:v>All India</x:v>
      </x:c>
      <x:c r="F1047" t="str">
        <x:v>ST</x:v>
      </x:c>
      <x:c r="G1047" t="n">
        <x:v>1</x:v>
      </x:c>
      <x:c r="H1047" t="n">
        <x:v>1</x:v>
      </x:c>
      <x:c r="I1047" t="n">
        <x:f>G1047-H1047</x:f>
        <x:v>0</x:v>
      </x:c>
      <x:c r="J1047" s="20" t="n">
        <x:f>IFERROR(H1047/G1047,0)</x:f>
        <x:v>1</x:v>
      </x:c>
      <x:c r="K1047" t="n">
        <x:v>120581</x:v>
      </x:c>
      <x:c r="L1047" t="n">
        <x:v>120581</x:v>
      </x:c>
      <x:c r="M1047" t="n">
        <x:v>120581</x:v>
      </x:c>
      <x:c r="N1047" t="n">
        <x:v>120581</x:v>
      </x:c>
      <x:c r="O1047" t="n">
        <x:v>120581</x:v>
      </x:c>
    </x:row>
    <x:row r="1048">
      <x:c r="A1048" t="str">
        <x:v>Maharashtra</x:v>
      </x:c>
      <x:c r="B1048" t="str">
        <x:v>All India except Central University</x:v>
      </x:c>
      <x:c r="C1048" t="str">
        <x:v>903360</x:v>
      </x:c>
      <x:c r="D1048" t="str">
        <x:v>Government Medical College, Amravati, Government Medical College District Women Hospital Campus Daffrin Shrikrishna Peth Amravati</x:v>
      </x:c>
      <x:c r="E1048" t="str">
        <x:v>All India</x:v>
      </x:c>
      <x:c r="F1048" t="str">
        <x:v>EWS</x:v>
      </x:c>
      <x:c r="G1048" t="n">
        <x:v>1</x:v>
      </x:c>
      <x:c r="H1048" t="n">
        <x:v>1</x:v>
      </x:c>
      <x:c r="I1048" t="n">
        <x:f>G1048-H1048</x:f>
        <x:v>0</x:v>
      </x:c>
      <x:c r="J1048" s="20" t="n">
        <x:f>IFERROR(H1048/G1048,0)</x:f>
        <x:v>1</x:v>
      </x:c>
      <x:c r="K1048" t="n">
        <x:v>17755</x:v>
      </x:c>
      <x:c r="L1048" t="n">
        <x:v>17755</x:v>
      </x:c>
      <x:c r="M1048" t="n">
        <x:v>17755</x:v>
      </x:c>
      <x:c r="N1048" t="n">
        <x:v>17755</x:v>
      </x:c>
      <x:c r="O1048" t="n">
        <x:v>17755</x:v>
      </x:c>
    </x:row>
    <x:row r="1049">
      <x:c r="A1049" t="str">
        <x:v>Maharashtra</x:v>
      </x:c>
      <x:c r="B1049" t="str">
        <x:v>All India except Central University</x:v>
      </x:c>
      <x:c r="C1049" t="str">
        <x:v>903360</x:v>
      </x:c>
      <x:c r="D1049" t="str">
        <x:v>Government Medical College, Amravati, Government Medical College District Women Hospital Campus Daffrin Shrikrishna Peth Amravati</x:v>
      </x:c>
      <x:c r="E1049" t="str">
        <x:v>All India</x:v>
      </x:c>
      <x:c r="F1049" t="str">
        <x:v>OBC</x:v>
      </x:c>
      <x:c r="G1049" t="n">
        <x:v>3</x:v>
      </x:c>
      <x:c r="H1049" t="n">
        <x:v>3</x:v>
      </x:c>
      <x:c r="I1049" t="n">
        <x:f>G1049-H1049</x:f>
        <x:v>0</x:v>
      </x:c>
      <x:c r="J1049" s="20" t="n">
        <x:f>IFERROR(H1049/G1049,0)</x:f>
        <x:v>1</x:v>
      </x:c>
      <x:c r="K1049" t="n">
        <x:v>15697</x:v>
      </x:c>
      <x:c r="L1049" t="n">
        <x:v>16156</x:v>
      </x:c>
      <x:c r="M1049" t="n">
        <x:v>16615</x:v>
      </x:c>
      <x:c r="N1049" t="n">
        <x:v>16943.5</x:v>
      </x:c>
      <x:c r="O1049" t="n">
        <x:v>17272</x:v>
      </x:c>
    </x:row>
    <x:row r="1050">
      <x:c r="A1050" t="str">
        <x:v>Maharashtra</x:v>
      </x:c>
      <x:c r="B1050" t="str">
        <x:v>All India except Central University</x:v>
      </x:c>
      <x:c r="C1050" t="str">
        <x:v>903360</x:v>
      </x:c>
      <x:c r="D1050" t="str">
        <x:v>Government Medical College, Amravati, Government Medical College District Women Hospital Campus Daffrin Shrikrishna Peth Amravati</x:v>
      </x:c>
      <x:c r="E1050" t="str">
        <x:v>All India</x:v>
      </x:c>
      <x:c r="F1050" t="str">
        <x:v>OBC PwD</x:v>
      </x:c>
      <x:c r="G1050" t="n">
        <x:v>1</x:v>
      </x:c>
      <x:c r="H1050" t="n">
        <x:v>1</x:v>
      </x:c>
      <x:c r="I1050" t="n">
        <x:f>G1050-H1050</x:f>
        <x:v>0</x:v>
      </x:c>
      <x:c r="J1050" s="20" t="n">
        <x:f>IFERROR(H1050/G1050,0)</x:f>
        <x:v>1</x:v>
      </x:c>
      <x:c r="K1050" t="n">
        <x:v>396963</x:v>
      </x:c>
      <x:c r="L1050" t="n">
        <x:v>396963</x:v>
      </x:c>
      <x:c r="M1050" t="n">
        <x:v>396963</x:v>
      </x:c>
      <x:c r="N1050" t="n">
        <x:v>396963</x:v>
      </x:c>
      <x:c r="O1050" t="n">
        <x:v>396963</x:v>
      </x:c>
    </x:row>
    <x:row r="1051">
      <x:c r="A1051" t="str">
        <x:v>Maharashtra</x:v>
      </x:c>
      <x:c r="B1051" t="str">
        <x:v>All India except Central University</x:v>
      </x:c>
      <x:c r="C1051" t="str">
        <x:v>903360</x:v>
      </x:c>
      <x:c r="D1051" t="str">
        <x:v>Government Medical College, Amravati, Government Medical College District Women Hospital Campus Daffrin Shrikrishna Peth Amravati</x:v>
      </x:c>
      <x:c r="E1051" t="str">
        <x:v>All India</x:v>
      </x:c>
      <x:c r="F1051" t="str">
        <x:v>Open</x:v>
      </x:c>
      <x:c r="G1051" t="n">
        <x:v>5</x:v>
      </x:c>
      <x:c r="H1051" t="n">
        <x:v>5</x:v>
      </x:c>
      <x:c r="I1051" t="n">
        <x:f>G1051-H1051</x:f>
        <x:v>0</x:v>
      </x:c>
      <x:c r="J1051" s="20" t="n">
        <x:f>IFERROR(H1051/G1051,0)</x:f>
        <x:v>1</x:v>
      </x:c>
      <x:c r="K1051" t="n">
        <x:v>13459</x:v>
      </x:c>
      <x:c r="L1051" t="n">
        <x:v>13620</x:v>
      </x:c>
      <x:c r="M1051" t="n">
        <x:v>15094</x:v>
      </x:c>
      <x:c r="N1051" t="n">
        <x:v>15146</x:v>
      </x:c>
      <x:c r="O1051" t="n">
        <x:v>15208</x:v>
      </x:c>
    </x:row>
    <x:row r="1052">
      <x:c r="A1052" t="str">
        <x:v>Maharashtra</x:v>
      </x:c>
      <x:c r="B1052" t="str">
        <x:v>All India except Central University</x:v>
      </x:c>
      <x:c r="C1052" t="str">
        <x:v>903360</x:v>
      </x:c>
      <x:c r="D1052" t="str">
        <x:v>Government Medical College, Amravati, Government Medical College District Women Hospital Campus Daffrin Shrikrishna Peth Amravati</x:v>
      </x:c>
      <x:c r="E1052" t="str">
        <x:v>All India</x:v>
      </x:c>
      <x:c r="F1052" t="str">
        <x:v>SC</x:v>
      </x:c>
      <x:c r="G1052" t="n">
        <x:v>3</x:v>
      </x:c>
      <x:c r="H1052" t="n">
        <x:v>3</x:v>
      </x:c>
      <x:c r="I1052" t="n">
        <x:f>G1052-H1052</x:f>
        <x:v>0</x:v>
      </x:c>
      <x:c r="J1052" s="20" t="n">
        <x:f>IFERROR(H1052/G1052,0)</x:f>
        <x:v>1</x:v>
      </x:c>
      <x:c r="K1052" t="n">
        <x:v>60746</x:v>
      </x:c>
      <x:c r="L1052" t="n">
        <x:v>63277.5</x:v>
      </x:c>
      <x:c r="M1052" t="n">
        <x:v>65809</x:v>
      </x:c>
      <x:c r="N1052" t="n">
        <x:v>67623</x:v>
      </x:c>
      <x:c r="O1052" t="n">
        <x:v>69437</x:v>
      </x:c>
    </x:row>
    <x:row r="1053">
      <x:c r="A1053" t="str">
        <x:v>Maharashtra</x:v>
      </x:c>
      <x:c r="B1053" t="str">
        <x:v>All India except Central University</x:v>
      </x:c>
      <x:c r="C1053" t="str">
        <x:v>903360</x:v>
      </x:c>
      <x:c r="D1053" t="str">
        <x:v>Government Medical College, Amravati, Government Medical College District Women Hospital Campus Daffrin Shrikrishna Peth Amravati</x:v>
      </x:c>
      <x:c r="E1053" t="str">
        <x:v>All India</x:v>
      </x:c>
      <x:c r="F1053" t="str">
        <x:v>ST</x:v>
      </x:c>
      <x:c r="G1053" t="n">
        <x:v>2</x:v>
      </x:c>
      <x:c r="H1053" t="n">
        <x:v>2</x:v>
      </x:c>
      <x:c r="I1053" t="n">
        <x:f>G1053-H1053</x:f>
        <x:v>0</x:v>
      </x:c>
      <x:c r="J1053" s="20" t="n">
        <x:f>IFERROR(H1053/G1053,0)</x:f>
        <x:v>1</x:v>
      </x:c>
      <x:c r="K1053" t="n">
        <x:v>114137</x:v>
      </x:c>
      <x:c r="L1053" t="n">
        <x:v>114394.75</x:v>
      </x:c>
      <x:c r="M1053" t="n">
        <x:v>114652.5</x:v>
      </x:c>
      <x:c r="N1053" t="n">
        <x:v>114910.25</x:v>
      </x:c>
      <x:c r="O1053" t="n">
        <x:v>115168</x:v>
      </x:c>
    </x:row>
    <x:row r="1054">
      <x:c r="A1054" t="str">
        <x:v>Punjab</x:v>
      </x:c>
      <x:c r="B1054" t="str">
        <x:v>All India except Central University</x:v>
      </x:c>
      <x:c r="C1054" t="str">
        <x:v>200246</x:v>
      </x:c>
      <x:c r="D1054" t="str">
        <x:v>Government Medical College, Amritsar, CIRCULAR ROAD, AMRITSAR-143001</x:v>
      </x:c>
      <x:c r="E1054" t="str">
        <x:v>All India</x:v>
      </x:c>
      <x:c r="F1054" t="str">
        <x:v>EWS</x:v>
      </x:c>
      <x:c r="G1054" t="n">
        <x:v>4</x:v>
      </x:c>
      <x:c r="H1054" t="n">
        <x:v>4</x:v>
      </x:c>
      <x:c r="I1054" t="n">
        <x:f>G1054-H1054</x:f>
        <x:v>0</x:v>
      </x:c>
      <x:c r="J1054" s="20" t="n">
        <x:f>IFERROR(H1054/G1054,0)</x:f>
        <x:v>1</x:v>
      </x:c>
      <x:c r="K1054" t="n">
        <x:v>7573</x:v>
      </x:c>
      <x:c r="L1054" t="n">
        <x:v>9048.25</x:v>
      </x:c>
      <x:c r="M1054" t="n">
        <x:v>9543</x:v>
      </x:c>
      <x:c r="N1054" t="n">
        <x:v>9557</x:v>
      </x:c>
      <x:c r="O1054" t="n">
        <x:v>9590</x:v>
      </x:c>
    </x:row>
    <x:row r="1055">
      <x:c r="A1055" t="str">
        <x:v>Punjab</x:v>
      </x:c>
      <x:c r="B1055" t="str">
        <x:v>All India except Central University</x:v>
      </x:c>
      <x:c r="C1055" t="str">
        <x:v>200246</x:v>
      </x:c>
      <x:c r="D1055" t="str">
        <x:v>Government Medical College, Amritsar, CIRCULAR ROAD, AMRITSAR-143001</x:v>
      </x:c>
      <x:c r="E1055" t="str">
        <x:v>All India</x:v>
      </x:c>
      <x:c r="F1055" t="str">
        <x:v>OBC</x:v>
      </x:c>
      <x:c r="G1055" t="n">
        <x:v>10</x:v>
      </x:c>
      <x:c r="H1055" t="n">
        <x:v>10</x:v>
      </x:c>
      <x:c r="I1055" t="n">
        <x:f>G1055-H1055</x:f>
        <x:v>0</x:v>
      </x:c>
      <x:c r="J1055" s="20" t="n">
        <x:f>IFERROR(H1055/G1055,0)</x:f>
        <x:v>1</x:v>
      </x:c>
      <x:c r="K1055" t="n">
        <x:v>6744</x:v>
      </x:c>
      <x:c r="L1055" t="n">
        <x:v>7101</x:v>
      </x:c>
      <x:c r="M1055" t="n">
        <x:v>7362.5</x:v>
      </x:c>
      <x:c r="N1055" t="n">
        <x:v>7651.5</x:v>
      </x:c>
      <x:c r="O1055" t="n">
        <x:v>7896</x:v>
      </x:c>
    </x:row>
    <x:row r="1056">
      <x:c r="A1056" t="str">
        <x:v>Punjab</x:v>
      </x:c>
      <x:c r="B1056" t="str">
        <x:v>All India except Central University</x:v>
      </x:c>
      <x:c r="C1056" t="str">
        <x:v>200246</x:v>
      </x:c>
      <x:c r="D1056" t="str">
        <x:v>Government Medical College, Amritsar, CIRCULAR ROAD, AMRITSAR-143001</x:v>
      </x:c>
      <x:c r="E1056" t="str">
        <x:v>All India</x:v>
      </x:c>
      <x:c r="F1056" t="str">
        <x:v>Open</x:v>
      </x:c>
      <x:c r="G1056" t="n">
        <x:v>15</x:v>
      </x:c>
      <x:c r="H1056" t="n">
        <x:v>15</x:v>
      </x:c>
      <x:c r="I1056" t="n">
        <x:f>G1056-H1056</x:f>
        <x:v>0</x:v>
      </x:c>
      <x:c r="J1056" s="20" t="n">
        <x:f>IFERROR(H1056/G1056,0)</x:f>
        <x:v>1</x:v>
      </x:c>
      <x:c r="K1056" t="n">
        <x:v>3836</x:v>
      </x:c>
      <x:c r="L1056" t="n">
        <x:v>4456</x:v>
      </x:c>
      <x:c r="M1056" t="n">
        <x:v>4863</x:v>
      </x:c>
      <x:c r="N1056" t="n">
        <x:v>5426.5</x:v>
      </x:c>
      <x:c r="O1056" t="n">
        <x:v>5776</x:v>
      </x:c>
    </x:row>
    <x:row r="1057">
      <x:c r="A1057" t="str">
        <x:v>Punjab</x:v>
      </x:c>
      <x:c r="B1057" t="str">
        <x:v>All India except Central University</x:v>
      </x:c>
      <x:c r="C1057" t="str">
        <x:v>200246</x:v>
      </x:c>
      <x:c r="D1057" t="str">
        <x:v>Government Medical College, Amritsar, CIRCULAR ROAD, AMRITSAR-143001</x:v>
      </x:c>
      <x:c r="E1057" t="str">
        <x:v>All India</x:v>
      </x:c>
      <x:c r="F1057" t="str">
        <x:v>Open PwD</x:v>
      </x:c>
      <x:c r="G1057" t="n">
        <x:v>1</x:v>
      </x:c>
      <x:c r="H1057" t="n">
        <x:v>1</x:v>
      </x:c>
      <x:c r="I1057" t="n">
        <x:f>G1057-H1057</x:f>
        <x:v>0</x:v>
      </x:c>
      <x:c r="J1057" s="20" t="n">
        <x:f>IFERROR(H1057/G1057,0)</x:f>
        <x:v>1</x:v>
      </x:c>
      <x:c r="K1057" t="n">
        <x:v>345708</x:v>
      </x:c>
      <x:c r="L1057" t="n">
        <x:v>345708</x:v>
      </x:c>
      <x:c r="M1057" t="n">
        <x:v>345708</x:v>
      </x:c>
      <x:c r="N1057" t="n">
        <x:v>345708</x:v>
      </x:c>
      <x:c r="O1057" t="n">
        <x:v>345708</x:v>
      </x:c>
    </x:row>
    <x:row r="1058">
      <x:c r="A1058" t="str">
        <x:v>Punjab</x:v>
      </x:c>
      <x:c r="B1058" t="str">
        <x:v>All India except Central University</x:v>
      </x:c>
      <x:c r="C1058" t="str">
        <x:v>200246</x:v>
      </x:c>
      <x:c r="D1058" t="str">
        <x:v>Government Medical College, Amritsar, CIRCULAR ROAD, AMRITSAR-143001</x:v>
      </x:c>
      <x:c r="E1058" t="str">
        <x:v>All India</x:v>
      </x:c>
      <x:c r="F1058" t="str">
        <x:v>SC</x:v>
      </x:c>
      <x:c r="G1058" t="n">
        <x:v>5</x:v>
      </x:c>
      <x:c r="H1058" t="n">
        <x:v>5</x:v>
      </x:c>
      <x:c r="I1058" t="n">
        <x:f>G1058-H1058</x:f>
        <x:v>0</x:v>
      </x:c>
      <x:c r="J1058" s="20" t="n">
        <x:f>IFERROR(H1058/G1058,0)</x:f>
        <x:v>1</x:v>
      </x:c>
      <x:c r="K1058" t="n">
        <x:v>20344</x:v>
      </x:c>
      <x:c r="L1058" t="n">
        <x:v>27883</x:v>
      </x:c>
      <x:c r="M1058" t="n">
        <x:v>38152</x:v>
      </x:c>
      <x:c r="N1058" t="n">
        <x:v>39140</x:v>
      </x:c>
      <x:c r="O1058" t="n">
        <x:v>40440</x:v>
      </x:c>
    </x:row>
    <x:row r="1059">
      <x:c r="A1059" t="str">
        <x:v>Punjab</x:v>
      </x:c>
      <x:c r="B1059" t="str">
        <x:v>All India except Central University</x:v>
      </x:c>
      <x:c r="C1059" t="str">
        <x:v>200246</x:v>
      </x:c>
      <x:c r="D1059" t="str">
        <x:v>Government Medical College, Amritsar, CIRCULAR ROAD, AMRITSAR-143001</x:v>
      </x:c>
      <x:c r="E1059" t="str">
        <x:v>All India</x:v>
      </x:c>
      <x:c r="F1059" t="str">
        <x:v>ST</x:v>
      </x:c>
      <x:c r="G1059" t="n">
        <x:v>3</x:v>
      </x:c>
      <x:c r="H1059" t="n">
        <x:v>3</x:v>
      </x:c>
      <x:c r="I1059" t="n">
        <x:f>G1059-H1059</x:f>
        <x:v>0</x:v>
      </x:c>
      <x:c r="J1059" s="20" t="n">
        <x:f>IFERROR(H1059/G1059,0)</x:f>
        <x:v>1</x:v>
      </x:c>
      <x:c r="K1059" t="n">
        <x:v>75702</x:v>
      </x:c>
      <x:c r="L1059" t="n">
        <x:v>78332.5</x:v>
      </x:c>
      <x:c r="M1059" t="n">
        <x:v>80963</x:v>
      </x:c>
      <x:c r="N1059" t="n">
        <x:v>82341.5</x:v>
      </x:c>
      <x:c r="O1059" t="n">
        <x:v>83720</x:v>
      </x:c>
    </x:row>
    <x:row r="1060">
      <x:c r="A1060" t="str">
        <x:v>Andhra Pradesh</x:v>
      </x:c>
      <x:c r="B1060" t="str">
        <x:v>All India except Central University</x:v>
      </x:c>
      <x:c r="C1060" t="str">
        <x:v>200460</x:v>
      </x:c>
      <x:c r="D1060" t="str">
        <x:v>Government Medical College, Ananthapuram, GOVERNMENT MEDICAL COLLEGE ANANTHAPURAMU</x:v>
      </x:c>
      <x:c r="E1060" t="str">
        <x:v>All India</x:v>
      </x:c>
      <x:c r="F1060" t="str">
        <x:v>EWS</x:v>
      </x:c>
      <x:c r="G1060" t="n">
        <x:v>4</x:v>
      </x:c>
      <x:c r="H1060" t="n">
        <x:v>4</x:v>
      </x:c>
      <x:c r="I1060" t="n">
        <x:f>G1060-H1060</x:f>
        <x:v>0</x:v>
      </x:c>
      <x:c r="J1060" s="20" t="n">
        <x:f>IFERROR(H1060/G1060,0)</x:f>
        <x:v>1</x:v>
      </x:c>
      <x:c r="K1060" t="n">
        <x:v>18392</x:v>
      </x:c>
      <x:c r="L1060" t="n">
        <x:v>20697.5</x:v>
      </x:c>
      <x:c r="M1060" t="n">
        <x:v>21641.5</x:v>
      </x:c>
      <x:c r="N1060" t="n">
        <x:v>22156.5</x:v>
      </x:c>
      <x:c r="O1060" t="n">
        <x:v>23175</x:v>
      </x:c>
    </x:row>
    <x:row r="1061">
      <x:c r="A1061" t="str">
        <x:v>Andhra Pradesh</x:v>
      </x:c>
      <x:c r="B1061" t="str">
        <x:v>All India except Central University</x:v>
      </x:c>
      <x:c r="C1061" t="str">
        <x:v>200460</x:v>
      </x:c>
      <x:c r="D1061" t="str">
        <x:v>Government Medical College, Ananthapuram, GOVERNMENT MEDICAL COLLEGE ANANTHAPURAMU</x:v>
      </x:c>
      <x:c r="E1061" t="str">
        <x:v>All India</x:v>
      </x:c>
      <x:c r="F1061" t="str">
        <x:v>OBC</x:v>
      </x:c>
      <x:c r="G1061" t="n">
        <x:v>7</x:v>
      </x:c>
      <x:c r="H1061" t="n">
        <x:v>7</x:v>
      </x:c>
      <x:c r="I1061" t="n">
        <x:f>G1061-H1061</x:f>
        <x:v>0</x:v>
      </x:c>
      <x:c r="J1061" s="20" t="n">
        <x:f>IFERROR(H1061/G1061,0)</x:f>
        <x:v>1</x:v>
      </x:c>
      <x:c r="K1061" t="n">
        <x:v>15492</x:v>
      </x:c>
      <x:c r="L1061" t="n">
        <x:v>15787</x:v>
      </x:c>
      <x:c r="M1061" t="n">
        <x:v>16190</x:v>
      </x:c>
      <x:c r="N1061" t="n">
        <x:v>16420.5</x:v>
      </x:c>
      <x:c r="O1061" t="n">
        <x:v>16649</x:v>
      </x:c>
    </x:row>
    <x:row r="1062">
      <x:c r="A1062" t="str">
        <x:v>Andhra Pradesh</x:v>
      </x:c>
      <x:c r="B1062" t="str">
        <x:v>All India except Central University</x:v>
      </x:c>
      <x:c r="C1062" t="str">
        <x:v>200460</x:v>
      </x:c>
      <x:c r="D1062" t="str">
        <x:v>Government Medical College, Ananthapuram, GOVERNMENT MEDICAL COLLEGE ANANTHAPURAMU</x:v>
      </x:c>
      <x:c r="E1062" t="str">
        <x:v>All India</x:v>
      </x:c>
      <x:c r="F1062" t="str">
        <x:v>OBC PwD</x:v>
      </x:c>
      <x:c r="G1062" t="n">
        <x:v>1</x:v>
      </x:c>
      <x:c r="H1062" t="n">
        <x:v>1</x:v>
      </x:c>
      <x:c r="I1062" t="n">
        <x:f>G1062-H1062</x:f>
        <x:v>0</x:v>
      </x:c>
      <x:c r="J1062" s="20" t="n">
        <x:f>IFERROR(H1062/G1062,0)</x:f>
        <x:v>1</x:v>
      </x:c>
      <x:c r="K1062" t="n">
        <x:v>823909</x:v>
      </x:c>
      <x:c r="L1062" t="n">
        <x:v>823909</x:v>
      </x:c>
      <x:c r="M1062" t="n">
        <x:v>823909</x:v>
      </x:c>
      <x:c r="N1062" t="n">
        <x:v>823909</x:v>
      </x:c>
      <x:c r="O1062" t="n">
        <x:v>823909</x:v>
      </x:c>
    </x:row>
    <x:row r="1063">
      <x:c r="A1063" t="str">
        <x:v>Andhra Pradesh</x:v>
      </x:c>
      <x:c r="B1063" t="str">
        <x:v>All India except Central University</x:v>
      </x:c>
      <x:c r="C1063" t="str">
        <x:v>200460</x:v>
      </x:c>
      <x:c r="D1063" t="str">
        <x:v>Government Medical College, Ananthapuram, GOVERNMENT MEDICAL COLLEGE ANANTHAPURAMU</x:v>
      </x:c>
      <x:c r="E1063" t="str">
        <x:v>All India</x:v>
      </x:c>
      <x:c r="F1063" t="str">
        <x:v>Open</x:v>
      </x:c>
      <x:c r="G1063" t="n">
        <x:v>10</x:v>
      </x:c>
      <x:c r="H1063" t="n">
        <x:v>10</x:v>
      </x:c>
      <x:c r="I1063" t="n">
        <x:f>G1063-H1063</x:f>
        <x:v>0</x:v>
      </x:c>
      <x:c r="J1063" s="20" t="n">
        <x:f>IFERROR(H1063/G1063,0)</x:f>
        <x:v>1</x:v>
      </x:c>
      <x:c r="K1063" t="n">
        <x:v>10326</x:v>
      </x:c>
      <x:c r="L1063" t="n">
        <x:v>12744.25</x:v>
      </x:c>
      <x:c r="M1063" t="n">
        <x:v>13514</x:v>
      </x:c>
      <x:c r="N1063" t="n">
        <x:v>15008.5</x:v>
      </x:c>
      <x:c r="O1063" t="n">
        <x:v>15393</x:v>
      </x:c>
    </x:row>
    <x:row r="1064">
      <x:c r="A1064" t="str">
        <x:v>Andhra Pradesh</x:v>
      </x:c>
      <x:c r="B1064" t="str">
        <x:v>All India except Central University</x:v>
      </x:c>
      <x:c r="C1064" t="str">
        <x:v>200460</x:v>
      </x:c>
      <x:c r="D1064" t="str">
        <x:v>Government Medical College, Ananthapuram, GOVERNMENT MEDICAL COLLEGE ANANTHAPURAMU</x:v>
      </x:c>
      <x:c r="E1064" t="str">
        <x:v>All India</x:v>
      </x:c>
      <x:c r="F1064" t="str">
        <x:v>Open PwD</x:v>
      </x:c>
      <x:c r="G1064" t="n">
        <x:v>1</x:v>
      </x:c>
      <x:c r="H1064" t="n">
        <x:v>1</x:v>
      </x:c>
      <x:c r="I1064" t="n">
        <x:f>G1064-H1064</x:f>
        <x:v>0</x:v>
      </x:c>
      <x:c r="J1064" s="20" t="n">
        <x:f>IFERROR(H1064/G1064,0)</x:f>
        <x:v>1</x:v>
      </x:c>
      <x:c r="K1064" t="n">
        <x:v>351422</x:v>
      </x:c>
      <x:c r="L1064" t="n">
        <x:v>351422</x:v>
      </x:c>
      <x:c r="M1064" t="n">
        <x:v>351422</x:v>
      </x:c>
      <x:c r="N1064" t="n">
        <x:v>351422</x:v>
      </x:c>
      <x:c r="O1064" t="n">
        <x:v>351422</x:v>
      </x:c>
    </x:row>
    <x:row r="1065">
      <x:c r="A1065" t="str">
        <x:v>Andhra Pradesh</x:v>
      </x:c>
      <x:c r="B1065" t="str">
        <x:v>All India except Central University</x:v>
      </x:c>
      <x:c r="C1065" t="str">
        <x:v>200460</x:v>
      </x:c>
      <x:c r="D1065" t="str">
        <x:v>Government Medical College, Ananthapuram, GOVERNMENT MEDICAL COLLEGE ANANTHAPURAMU</x:v>
      </x:c>
      <x:c r="E1065" t="str">
        <x:v>All India</x:v>
      </x:c>
      <x:c r="F1065" t="str">
        <x:v>SC</x:v>
      </x:c>
      <x:c r="G1065" t="n">
        <x:v>4</x:v>
      </x:c>
      <x:c r="H1065" t="n">
        <x:v>4</x:v>
      </x:c>
      <x:c r="I1065" t="n">
        <x:f>G1065-H1065</x:f>
        <x:v>0</x:v>
      </x:c>
      <x:c r="J1065" s="20" t="n">
        <x:f>IFERROR(H1065/G1065,0)</x:f>
        <x:v>1</x:v>
      </x:c>
      <x:c r="K1065" t="n">
        <x:v>54467</x:v>
      </x:c>
      <x:c r="L1065" t="n">
        <x:v>67376</x:v>
      </x:c>
      <x:c r="M1065" t="n">
        <x:v>71855</x:v>
      </x:c>
      <x:c r="N1065" t="n">
        <x:v>72252.5</x:v>
      </x:c>
      <x:c r="O1065" t="n">
        <x:v>72917</x:v>
      </x:c>
    </x:row>
    <x:row r="1066">
      <x:c r="A1066" t="str">
        <x:v>Andhra Pradesh</x:v>
      </x:c>
      <x:c r="B1066" t="str">
        <x:v>All India except Central University</x:v>
      </x:c>
      <x:c r="C1066" t="str">
        <x:v>200460</x:v>
      </x:c>
      <x:c r="D1066" t="str">
        <x:v>Government Medical College, Ananthapuram, GOVERNMENT MEDICAL COLLEGE ANANTHAPURAMU</x:v>
      </x:c>
      <x:c r="E1066" t="str">
        <x:v>All India</x:v>
      </x:c>
      <x:c r="F1066" t="str">
        <x:v>ST</x:v>
      </x:c>
      <x:c r="G1066" t="n">
        <x:v>3</x:v>
      </x:c>
      <x:c r="H1066" t="n">
        <x:v>3</x:v>
      </x:c>
      <x:c r="I1066" t="n">
        <x:f>G1066-H1066</x:f>
        <x:v>0</x:v>
      </x:c>
      <x:c r="J1066" s="20" t="n">
        <x:f>IFERROR(H1066/G1066,0)</x:f>
        <x:v>1</x:v>
      </x:c>
      <x:c r="K1066" t="n">
        <x:v>31073</x:v>
      </x:c>
      <x:c r="L1066" t="n">
        <x:v>58614.5</x:v>
      </x:c>
      <x:c r="M1066" t="n">
        <x:v>86156</x:v>
      </x:c>
      <x:c r="N1066" t="n">
        <x:v>92483</x:v>
      </x:c>
      <x:c r="O1066" t="n">
        <x:v>98810</x:v>
      </x:c>
    </x:row>
    <x:row r="1067">
      <x:c r="A1067" t="str">
        <x:v>Jammu And Kashmir</x:v>
      </x:c>
      <x:c r="B1067" t="str">
        <x:v>All India except Central University</x:v>
      </x:c>
      <x:c r="C1067" t="str">
        <x:v>200631</x:v>
      </x:c>
      <x:c r="D1067" t="str">
        <x:v>Government Medical College, Anantnag, verinag Road Dialgam Anantnag 192210</x:v>
      </x:c>
      <x:c r="E1067" t="str">
        <x:v>All India</x:v>
      </x:c>
      <x:c r="F1067" t="str">
        <x:v>EWS</x:v>
      </x:c>
      <x:c r="G1067" t="n">
        <x:v>2</x:v>
      </x:c>
      <x:c r="H1067" t="n">
        <x:v>2</x:v>
      </x:c>
      <x:c r="I1067" t="n">
        <x:f>G1067-H1067</x:f>
        <x:v>0</x:v>
      </x:c>
      <x:c r="J1067" s="20" t="n">
        <x:f>IFERROR(H1067/G1067,0)</x:f>
        <x:v>1</x:v>
      </x:c>
      <x:c r="K1067" t="n">
        <x:v>14832</x:v>
      </x:c>
      <x:c r="L1067" t="n">
        <x:v>16031.25</x:v>
      </x:c>
      <x:c r="M1067" t="n">
        <x:v>17230.5</x:v>
      </x:c>
      <x:c r="N1067" t="n">
        <x:v>18429.75</x:v>
      </x:c>
      <x:c r="O1067" t="n">
        <x:v>19629</x:v>
      </x:c>
    </x:row>
    <x:row r="1068">
      <x:c r="A1068" t="str">
        <x:v>Jammu And Kashmir</x:v>
      </x:c>
      <x:c r="B1068" t="str">
        <x:v>All India except Central University</x:v>
      </x:c>
      <x:c r="C1068" t="str">
        <x:v>200631</x:v>
      </x:c>
      <x:c r="D1068" t="str">
        <x:v>Government Medical College, Anantnag, verinag Road Dialgam Anantnag 192210</x:v>
      </x:c>
      <x:c r="E1068" t="str">
        <x:v>All India</x:v>
      </x:c>
      <x:c r="F1068" t="str">
        <x:v>OBC</x:v>
      </x:c>
      <x:c r="G1068" t="n">
        <x:v>6</x:v>
      </x:c>
      <x:c r="H1068" t="n">
        <x:v>6</x:v>
      </x:c>
      <x:c r="I1068" t="n">
        <x:f>G1068-H1068</x:f>
        <x:v>0</x:v>
      </x:c>
      <x:c r="J1068" s="20" t="n">
        <x:f>IFERROR(H1068/G1068,0)</x:f>
        <x:v>1</x:v>
      </x:c>
      <x:c r="K1068" t="n">
        <x:v>15619</x:v>
      </x:c>
      <x:c r="L1068" t="n">
        <x:v>15644.75</x:v>
      </x:c>
      <x:c r="M1068" t="n">
        <x:v>16214.5</x:v>
      </x:c>
      <x:c r="N1068" t="n">
        <x:v>16761.75</x:v>
      </x:c>
      <x:c r="O1068" t="n">
        <x:v>17065</x:v>
      </x:c>
    </x:row>
    <x:row r="1069">
      <x:c r="A1069" t="str">
        <x:v>Jammu And Kashmir</x:v>
      </x:c>
      <x:c r="B1069" t="str">
        <x:v>All India except Central University</x:v>
      </x:c>
      <x:c r="C1069" t="str">
        <x:v>200631</x:v>
      </x:c>
      <x:c r="D1069" t="str">
        <x:v>Government Medical College, Anantnag, verinag Road Dialgam Anantnag 192210</x:v>
      </x:c>
      <x:c r="E1069" t="str">
        <x:v>All India</x:v>
      </x:c>
      <x:c r="F1069" t="str">
        <x:v>Open</x:v>
      </x:c>
      <x:c r="G1069" t="n">
        <x:v>9</x:v>
      </x:c>
      <x:c r="H1069" t="n">
        <x:v>9</x:v>
      </x:c>
      <x:c r="I1069" t="n">
        <x:f>G1069-H1069</x:f>
        <x:v>0</x:v>
      </x:c>
      <x:c r="J1069" s="20" t="n">
        <x:f>IFERROR(H1069/G1069,0)</x:f>
        <x:v>1</x:v>
      </x:c>
      <x:c r="K1069" t="n">
        <x:v>8537</x:v>
      </x:c>
      <x:c r="L1069" t="n">
        <x:v>9636</x:v>
      </x:c>
      <x:c r="M1069" t="n">
        <x:v>10654</x:v>
      </x:c>
      <x:c r="N1069" t="n">
        <x:v>12653</x:v>
      </x:c>
      <x:c r="O1069" t="n">
        <x:v>14239</x:v>
      </x:c>
    </x:row>
    <x:row r="1070">
      <x:c r="A1070" t="str">
        <x:v>Jammu And Kashmir</x:v>
      </x:c>
      <x:c r="B1070" t="str">
        <x:v>All India except Central University</x:v>
      </x:c>
      <x:c r="C1070" t="str">
        <x:v>200631</x:v>
      </x:c>
      <x:c r="D1070" t="str">
        <x:v>Government Medical College, Anantnag, verinag Road Dialgam Anantnag 192210</x:v>
      </x:c>
      <x:c r="E1070" t="str">
        <x:v>All India</x:v>
      </x:c>
      <x:c r="F1070" t="str">
        <x:v>SC</x:v>
      </x:c>
      <x:c r="G1070" t="n">
        <x:v>3</x:v>
      </x:c>
      <x:c r="H1070" t="n">
        <x:v>3</x:v>
      </x:c>
      <x:c r="I1070" t="n">
        <x:f>G1070-H1070</x:f>
        <x:v>0</x:v>
      </x:c>
      <x:c r="J1070" s="20" t="n">
        <x:f>IFERROR(H1070/G1070,0)</x:f>
        <x:v>1</x:v>
      </x:c>
      <x:c r="K1070" t="n">
        <x:v>77128</x:v>
      </x:c>
      <x:c r="L1070" t="n">
        <x:v>78435</x:v>
      </x:c>
      <x:c r="M1070" t="n">
        <x:v>79742</x:v>
      </x:c>
      <x:c r="N1070" t="n">
        <x:v>81284</x:v>
      </x:c>
      <x:c r="O1070" t="n">
        <x:v>82826</x:v>
      </x:c>
    </x:row>
    <x:row r="1071">
      <x:c r="A1071" t="str">
        <x:v>Jammu And Kashmir</x:v>
      </x:c>
      <x:c r="B1071" t="str">
        <x:v>All India except Central University</x:v>
      </x:c>
      <x:c r="C1071" t="str">
        <x:v>200631</x:v>
      </x:c>
      <x:c r="D1071" t="str">
        <x:v>Government Medical College, Anantnag, verinag Road Dialgam Anantnag 192210</x:v>
      </x:c>
      <x:c r="E1071" t="str">
        <x:v>All India</x:v>
      </x:c>
      <x:c r="F1071" t="str">
        <x:v>ST</x:v>
      </x:c>
      <x:c r="G1071" t="n">
        <x:v>2</x:v>
      </x:c>
      <x:c r="H1071" t="n">
        <x:v>2</x:v>
      </x:c>
      <x:c r="I1071" t="n">
        <x:f>G1071-H1071</x:f>
        <x:v>0</x:v>
      </x:c>
      <x:c r="J1071" s="20" t="n">
        <x:f>IFERROR(H1071/G1071,0)</x:f>
        <x:v>1</x:v>
      </x:c>
      <x:c r="K1071" t="n">
        <x:v>59717</x:v>
      </x:c>
      <x:c r="L1071" t="n">
        <x:v>60404.5</x:v>
      </x:c>
      <x:c r="M1071" t="n">
        <x:v>61092</x:v>
      </x:c>
      <x:c r="N1071" t="n">
        <x:v>61779.5</x:v>
      </x:c>
      <x:c r="O1071" t="n">
        <x:v>62467</x:v>
      </x:c>
    </x:row>
    <x:row r="1072">
      <x:c r="A1072" t="str">
        <x:v>Tamil Nadu</x:v>
      </x:c>
      <x:c r="B1072" t="str">
        <x:v>All India except Central University</x:v>
      </x:c>
      <x:c r="C1072" t="str">
        <x:v>200564</x:v>
      </x:c>
      <x:c r="D1072" t="str">
        <x:v>Government Medical College, Ariyalur, 1 COLLEGE ROAD GOVERNMENT MEDICAL COLLEGE ARIYALUR TAMIL NADU PIN 621713</x:v>
      </x:c>
      <x:c r="E1072" t="str">
        <x:v>All India</x:v>
      </x:c>
      <x:c r="F1072" t="str">
        <x:v>EWS</x:v>
      </x:c>
      <x:c r="G1072" t="n">
        <x:v>2</x:v>
      </x:c>
      <x:c r="H1072" t="n">
        <x:v>2</x:v>
      </x:c>
      <x:c r="I1072" t="n">
        <x:f>G1072-H1072</x:f>
        <x:v>0</x:v>
      </x:c>
      <x:c r="J1072" s="20" t="n">
        <x:f>IFERROR(H1072/G1072,0)</x:f>
        <x:v>1</x:v>
      </x:c>
      <x:c r="K1072" t="n">
        <x:v>26206</x:v>
      </x:c>
      <x:c r="L1072" t="n">
        <x:v>26434.25</x:v>
      </x:c>
      <x:c r="M1072" t="n">
        <x:v>26662.5</x:v>
      </x:c>
      <x:c r="N1072" t="n">
        <x:v>26890.75</x:v>
      </x:c>
      <x:c r="O1072" t="n">
        <x:v>27119</x:v>
      </x:c>
    </x:row>
    <x:row r="1073">
      <x:c r="A1073" t="str">
        <x:v>Tamil Nadu</x:v>
      </x:c>
      <x:c r="B1073" t="str">
        <x:v>All India except Central University</x:v>
      </x:c>
      <x:c r="C1073" t="str">
        <x:v>200564</x:v>
      </x:c>
      <x:c r="D1073" t="str">
        <x:v>Government Medical College, Ariyalur, 1 COLLEGE ROAD GOVERNMENT MEDICAL COLLEGE ARIYALUR TAMIL NADU PIN 621713</x:v>
      </x:c>
      <x:c r="E1073" t="str">
        <x:v>All India</x:v>
      </x:c>
      <x:c r="F1073" t="str">
        <x:v>OBC</x:v>
      </x:c>
      <x:c r="G1073" t="n">
        <x:v>5</x:v>
      </x:c>
      <x:c r="H1073" t="n">
        <x:v>5</x:v>
      </x:c>
      <x:c r="I1073" t="n">
        <x:f>G1073-H1073</x:f>
        <x:v>0</x:v>
      </x:c>
      <x:c r="J1073" s="20" t="n">
        <x:f>IFERROR(H1073/G1073,0)</x:f>
        <x:v>1</x:v>
      </x:c>
      <x:c r="K1073" t="n">
        <x:v>13915</x:v>
      </x:c>
      <x:c r="L1073" t="n">
        <x:v>13919</x:v>
      </x:c>
      <x:c r="M1073" t="n">
        <x:v>14094</x:v>
      </x:c>
      <x:c r="N1073" t="n">
        <x:v>14126</x:v>
      </x:c>
      <x:c r="O1073" t="n">
        <x:v>14164</x:v>
      </x:c>
    </x:row>
    <x:row r="1074">
      <x:c r="A1074" t="str">
        <x:v>Tamil Nadu</x:v>
      </x:c>
      <x:c r="B1074" t="str">
        <x:v>All India except Central University</x:v>
      </x:c>
      <x:c r="C1074" t="str">
        <x:v>200564</x:v>
      </x:c>
      <x:c r="D1074" t="str">
        <x:v>Government Medical College, Ariyalur, 1 COLLEGE ROAD GOVERNMENT MEDICAL COLLEGE ARIYALUR TAMIL NADU PIN 621713</x:v>
      </x:c>
      <x:c r="E1074" t="str">
        <x:v>All India</x:v>
      </x:c>
      <x:c r="F1074" t="str">
        <x:v>OBC PwD</x:v>
      </x:c>
      <x:c r="G1074" t="n">
        <x:v>1</x:v>
      </x:c>
      <x:c r="H1074" t="n">
        <x:v>1</x:v>
      </x:c>
      <x:c r="I1074" t="n">
        <x:f>G1074-H1074</x:f>
        <x:v>0</x:v>
      </x:c>
      <x:c r="J1074" s="20" t="n">
        <x:f>IFERROR(H1074/G1074,0)</x:f>
        <x:v>1</x:v>
      </x:c>
      <x:c r="K1074" t="n">
        <x:v>728532</x:v>
      </x:c>
      <x:c r="L1074" t="n">
        <x:v>728532</x:v>
      </x:c>
      <x:c r="M1074" t="n">
        <x:v>728532</x:v>
      </x:c>
      <x:c r="N1074" t="n">
        <x:v>728532</x:v>
      </x:c>
      <x:c r="O1074" t="n">
        <x:v>728532</x:v>
      </x:c>
    </x:row>
    <x:row r="1075">
      <x:c r="A1075" t="str">
        <x:v>Tamil Nadu</x:v>
      </x:c>
      <x:c r="B1075" t="str">
        <x:v>All India except Central University</x:v>
      </x:c>
      <x:c r="C1075" t="str">
        <x:v>200564</x:v>
      </x:c>
      <x:c r="D1075" t="str">
        <x:v>Government Medical College, Ariyalur, 1 COLLEGE ROAD GOVERNMENT MEDICAL COLLEGE ARIYALUR TAMIL NADU PIN 621713</x:v>
      </x:c>
      <x:c r="E1075" t="str">
        <x:v>All India</x:v>
      </x:c>
      <x:c r="F1075" t="str">
        <x:v>Open</x:v>
      </x:c>
      <x:c r="G1075" t="n">
        <x:v>9</x:v>
      </x:c>
      <x:c r="H1075" t="n">
        <x:v>9</x:v>
      </x:c>
      <x:c r="I1075" t="n">
        <x:f>G1075-H1075</x:f>
        <x:v>0</x:v>
      </x:c>
      <x:c r="J1075" s="20" t="n">
        <x:f>IFERROR(H1075/G1075,0)</x:f>
        <x:v>1</x:v>
      </x:c>
      <x:c r="K1075" t="n">
        <x:v>11260</x:v>
      </x:c>
      <x:c r="L1075" t="n">
        <x:v>13270</x:v>
      </x:c>
      <x:c r="M1075" t="n">
        <x:v>13484</x:v>
      </x:c>
      <x:c r="N1075" t="n">
        <x:v>13544</x:v>
      </x:c>
      <x:c r="O1075" t="n">
        <x:v>13855</x:v>
      </x:c>
    </x:row>
    <x:row r="1076">
      <x:c r="A1076" t="str">
        <x:v>Tamil Nadu</x:v>
      </x:c>
      <x:c r="B1076" t="str">
        <x:v>All India except Central University</x:v>
      </x:c>
      <x:c r="C1076" t="str">
        <x:v>200564</x:v>
      </x:c>
      <x:c r="D1076" t="str">
        <x:v>Government Medical College, Ariyalur, 1 COLLEGE ROAD GOVERNMENT MEDICAL COLLEGE ARIYALUR TAMIL NADU PIN 621713</x:v>
      </x:c>
      <x:c r="E1076" t="str">
        <x:v>All India</x:v>
      </x:c>
      <x:c r="F1076" t="str">
        <x:v>Open PwD</x:v>
      </x:c>
      <x:c r="G1076" t="n">
        <x:v>1</x:v>
      </x:c>
      <x:c r="H1076" t="n">
        <x:v>1</x:v>
      </x:c>
      <x:c r="I1076" t="n">
        <x:f>G1076-H1076</x:f>
        <x:v>0</x:v>
      </x:c>
      <x:c r="J1076" s="20" t="n">
        <x:f>IFERROR(H1076/G1076,0)</x:f>
        <x:v>1</x:v>
      </x:c>
      <x:c r="K1076" t="n">
        <x:v>651394</x:v>
      </x:c>
      <x:c r="L1076" t="n">
        <x:v>651394</x:v>
      </x:c>
      <x:c r="M1076" t="n">
        <x:v>651394</x:v>
      </x:c>
      <x:c r="N1076" t="n">
        <x:v>651394</x:v>
      </x:c>
      <x:c r="O1076" t="n">
        <x:v>651394</x:v>
      </x:c>
    </x:row>
    <x:row r="1077">
      <x:c r="A1077" t="str">
        <x:v>Tamil Nadu</x:v>
      </x:c>
      <x:c r="B1077" t="str">
        <x:v>All India except Central University</x:v>
      </x:c>
      <x:c r="C1077" t="str">
        <x:v>200564</x:v>
      </x:c>
      <x:c r="D1077" t="str">
        <x:v>Government Medical College, Ariyalur, 1 COLLEGE ROAD GOVERNMENT MEDICAL COLLEGE ARIYALUR TAMIL NADU PIN 621713</x:v>
      </x:c>
      <x:c r="E1077" t="str">
        <x:v>All India</x:v>
      </x:c>
      <x:c r="F1077" t="str">
        <x:v>SC</x:v>
      </x:c>
      <x:c r="G1077" t="n">
        <x:v>3</x:v>
      </x:c>
      <x:c r="H1077" t="n">
        <x:v>3</x:v>
      </x:c>
      <x:c r="I1077" t="n">
        <x:f>G1077-H1077</x:f>
        <x:v>0</x:v>
      </x:c>
      <x:c r="J1077" s="20" t="n">
        <x:f>IFERROR(H1077/G1077,0)</x:f>
        <x:v>1</x:v>
      </x:c>
      <x:c r="K1077" t="n">
        <x:v>70087</x:v>
      </x:c>
      <x:c r="L1077" t="n">
        <x:v>70829</x:v>
      </x:c>
      <x:c r="M1077" t="n">
        <x:v>71571</x:v>
      </x:c>
      <x:c r="N1077" t="n">
        <x:v>71916.5</x:v>
      </x:c>
      <x:c r="O1077" t="n">
        <x:v>72262</x:v>
      </x:c>
    </x:row>
    <x:row r="1078">
      <x:c r="A1078" t="str">
        <x:v>Tamil Nadu</x:v>
      </x:c>
      <x:c r="B1078" t="str">
        <x:v>All India except Central University</x:v>
      </x:c>
      <x:c r="C1078" t="str">
        <x:v>200564</x:v>
      </x:c>
      <x:c r="D1078" t="str">
        <x:v>Government Medical College, Ariyalur, 1 COLLEGE ROAD GOVERNMENT MEDICAL COLLEGE ARIYALUR TAMIL NADU PIN 621713</x:v>
      </x:c>
      <x:c r="E1078" t="str">
        <x:v>All India</x:v>
      </x:c>
      <x:c r="F1078" t="str">
        <x:v>ST</x:v>
      </x:c>
      <x:c r="G1078" t="n">
        <x:v>1</x:v>
      </x:c>
      <x:c r="H1078" t="n">
        <x:v>1</x:v>
      </x:c>
      <x:c r="I1078" t="n">
        <x:f>G1078-H1078</x:f>
        <x:v>0</x:v>
      </x:c>
      <x:c r="J1078" s="20" t="n">
        <x:f>IFERROR(H1078/G1078,0)</x:f>
        <x:v>1</x:v>
      </x:c>
      <x:c r="K1078" t="n">
        <x:v>126702</x:v>
      </x:c>
      <x:c r="L1078" t="n">
        <x:v>126702</x:v>
      </x:c>
      <x:c r="M1078" t="n">
        <x:v>126702</x:v>
      </x:c>
      <x:c r="N1078" t="n">
        <x:v>126702</x:v>
      </x:c>
      <x:c r="O1078" t="n">
        <x:v>126702</x:v>
      </x:c>
    </x:row>
    <x:row r="1079">
      <x:c r="A1079" t="str">
        <x:v>Maharashtra</x:v>
      </x:c>
      <x:c r="B1079" t="str">
        <x:v>All India except Central University</x:v>
      </x:c>
      <x:c r="C1079" t="str">
        <x:v>200218</x:v>
      </x:c>
      <x:c r="D1079" t="str">
        <x:v>Government Medical College, Aurangabad, Government Medical College, Aurangabad, Jubli Park, Panchakki Road, Aurangabad (M.S.).</x:v>
      </x:c>
      <x:c r="E1079" t="str">
        <x:v>All India</x:v>
      </x:c>
      <x:c r="F1079" t="str">
        <x:v>EWS</x:v>
      </x:c>
      <x:c r="G1079" t="n">
        <x:v>4</x:v>
      </x:c>
      <x:c r="H1079" t="n">
        <x:v>4</x:v>
      </x:c>
      <x:c r="I1079" t="n">
        <x:f>G1079-H1079</x:f>
        <x:v>0</x:v>
      </x:c>
      <x:c r="J1079" s="20" t="n">
        <x:f>IFERROR(H1079/G1079,0)</x:f>
        <x:v>1</x:v>
      </x:c>
      <x:c r="K1079" t="n">
        <x:v>8983</x:v>
      </x:c>
      <x:c r="L1079" t="n">
        <x:v>10462.75</x:v>
      </x:c>
      <x:c r="M1079" t="n">
        <x:v>11336</x:v>
      </x:c>
      <x:c r="N1079" t="n">
        <x:v>11798</x:v>
      </x:c>
      <x:c r="O1079" t="n">
        <x:v>12044</x:v>
      </x:c>
    </x:row>
    <x:row r="1080">
      <x:c r="A1080" t="str">
        <x:v>Maharashtra</x:v>
      </x:c>
      <x:c r="B1080" t="str">
        <x:v>All India except Central University</x:v>
      </x:c>
      <x:c r="C1080" t="str">
        <x:v>200218</x:v>
      </x:c>
      <x:c r="D1080" t="str">
        <x:v>Government Medical College, Aurangabad, Government Medical College, Aurangabad, Jubli Park, Panchakki Road, Aurangabad (M.S.).</x:v>
      </x:c>
      <x:c r="E1080" t="str">
        <x:v>All India</x:v>
      </x:c>
      <x:c r="F1080" t="str">
        <x:v>OBC</x:v>
      </x:c>
      <x:c r="G1080" t="n">
        <x:v>8</x:v>
      </x:c>
      <x:c r="H1080" t="n">
        <x:v>8</x:v>
      </x:c>
      <x:c r="I1080" t="n">
        <x:f>G1080-H1080</x:f>
        <x:v>0</x:v>
      </x:c>
      <x:c r="J1080" s="20" t="n">
        <x:f>IFERROR(H1080/G1080,0)</x:f>
        <x:v>1</x:v>
      </x:c>
      <x:c r="K1080" t="n">
        <x:v>7091</x:v>
      </x:c>
      <x:c r="L1080" t="n">
        <x:v>7752.25</x:v>
      </x:c>
      <x:c r="M1080" t="n">
        <x:v>8319.5</x:v>
      </x:c>
      <x:c r="N1080" t="n">
        <x:v>9408.75</x:v>
      </x:c>
      <x:c r="O1080" t="n">
        <x:v>9734</x:v>
      </x:c>
    </x:row>
    <x:row r="1081">
      <x:c r="A1081" t="str">
        <x:v>Maharashtra</x:v>
      </x:c>
      <x:c r="B1081" t="str">
        <x:v>All India except Central University</x:v>
      </x:c>
      <x:c r="C1081" t="str">
        <x:v>200218</x:v>
      </x:c>
      <x:c r="D1081" t="str">
        <x:v>Government Medical College, Aurangabad, Government Medical College, Aurangabad, Jubli Park, Panchakki Road, Aurangabad (M.S.).</x:v>
      </x:c>
      <x:c r="E1081" t="str">
        <x:v>All India</x:v>
      </x:c>
      <x:c r="F1081" t="str">
        <x:v>Open</x:v>
      </x:c>
      <x:c r="G1081" t="n">
        <x:v>11</x:v>
      </x:c>
      <x:c r="H1081" t="n">
        <x:v>11</x:v>
      </x:c>
      <x:c r="I1081" t="n">
        <x:f>G1081-H1081</x:f>
        <x:v>0</x:v>
      </x:c>
      <x:c r="J1081" s="20" t="n">
        <x:f>IFERROR(H1081/G1081,0)</x:f>
        <x:v>1</x:v>
      </x:c>
      <x:c r="K1081" t="n">
        <x:v>3129</x:v>
      </x:c>
      <x:c r="L1081" t="n">
        <x:v>5028.5</x:v>
      </x:c>
      <x:c r="M1081" t="n">
        <x:v>6011</x:v>
      </x:c>
      <x:c r="N1081" t="n">
        <x:v>6390.5</x:v>
      </x:c>
      <x:c r="O1081" t="n">
        <x:v>6928</x:v>
      </x:c>
    </x:row>
    <x:row r="1082">
      <x:c r="A1082" t="str">
        <x:v>Maharashtra</x:v>
      </x:c>
      <x:c r="B1082" t="str">
        <x:v>All India except Central University</x:v>
      </x:c>
      <x:c r="C1082" t="str">
        <x:v>200218</x:v>
      </x:c>
      <x:c r="D1082" t="str">
        <x:v>Government Medical College, Aurangabad, Government Medical College, Aurangabad, Jubli Park, Panchakki Road, Aurangabad (M.S.).</x:v>
      </x:c>
      <x:c r="E1082" t="str">
        <x:v>All India</x:v>
      </x:c>
      <x:c r="F1082" t="str">
        <x:v>Open PwD</x:v>
      </x:c>
      <x:c r="G1082" t="n">
        <x:v>1</x:v>
      </x:c>
      <x:c r="H1082" t="n">
        <x:v>1</x:v>
      </x:c>
      <x:c r="I1082" t="n">
        <x:f>G1082-H1082</x:f>
        <x:v>0</x:v>
      </x:c>
      <x:c r="J1082" s="20" t="n">
        <x:f>IFERROR(H1082/G1082,0)</x:f>
        <x:v>1</x:v>
      </x:c>
      <x:c r="K1082" t="n">
        <x:v>145996</x:v>
      </x:c>
      <x:c r="L1082" t="n">
        <x:v>145996</x:v>
      </x:c>
      <x:c r="M1082" t="n">
        <x:v>145996</x:v>
      </x:c>
      <x:c r="N1082" t="n">
        <x:v>145996</x:v>
      </x:c>
      <x:c r="O1082" t="n">
        <x:v>145996</x:v>
      </x:c>
    </x:row>
    <x:row r="1083">
      <x:c r="A1083" t="str">
        <x:v>Maharashtra</x:v>
      </x:c>
      <x:c r="B1083" t="str">
        <x:v>All India except Central University</x:v>
      </x:c>
      <x:c r="C1083" t="str">
        <x:v>200218</x:v>
      </x:c>
      <x:c r="D1083" t="str">
        <x:v>Government Medical College, Aurangabad, Government Medical College, Aurangabad, Jubli Park, Panchakki Road, Aurangabad (M.S.).</x:v>
      </x:c>
      <x:c r="E1083" t="str">
        <x:v>All India</x:v>
      </x:c>
      <x:c r="F1083" t="str">
        <x:v>SC</x:v>
      </x:c>
      <x:c r="G1083" t="n">
        <x:v>4</x:v>
      </x:c>
      <x:c r="H1083" t="n">
        <x:v>4</x:v>
      </x:c>
      <x:c r="I1083" t="n">
        <x:f>G1083-H1083</x:f>
        <x:v>0</x:v>
      </x:c>
      <x:c r="J1083" s="20" t="n">
        <x:f>IFERROR(H1083/G1083,0)</x:f>
        <x:v>1</x:v>
      </x:c>
      <x:c r="K1083" t="n">
        <x:v>35314</x:v>
      </x:c>
      <x:c r="L1083" t="n">
        <x:v>38989</x:v>
      </x:c>
      <x:c r="M1083" t="n">
        <x:v>44219</x:v>
      </x:c>
      <x:c r="N1083" t="n">
        <x:v>49260.5</x:v>
      </x:c>
      <x:c r="O1083" t="n">
        <x:v>52370</x:v>
      </x:c>
    </x:row>
    <x:row r="1084">
      <x:c r="A1084" t="str">
        <x:v>Maharashtra</x:v>
      </x:c>
      <x:c r="B1084" t="str">
        <x:v>All India except Central University</x:v>
      </x:c>
      <x:c r="C1084" t="str">
        <x:v>200218</x:v>
      </x:c>
      <x:c r="D1084" t="str">
        <x:v>Government Medical College, Aurangabad, Government Medical College, Aurangabad, Jubli Park, Panchakki Road, Aurangabad (M.S.).</x:v>
      </x:c>
      <x:c r="E1084" t="str">
        <x:v>All India</x:v>
      </x:c>
      <x:c r="F1084" t="str">
        <x:v>ST</x:v>
      </x:c>
      <x:c r="G1084" t="n">
        <x:v>2</x:v>
      </x:c>
      <x:c r="H1084" t="n">
        <x:v>2</x:v>
      </x:c>
      <x:c r="I1084" t="n">
        <x:f>G1084-H1084</x:f>
        <x:v>0</x:v>
      </x:c>
      <x:c r="J1084" s="20" t="n">
        <x:f>IFERROR(H1084/G1084,0)</x:f>
        <x:v>1</x:v>
      </x:c>
      <x:c r="K1084" t="n">
        <x:v>72279</x:v>
      </x:c>
      <x:c r="L1084" t="n">
        <x:v>72334.5</x:v>
      </x:c>
      <x:c r="M1084" t="n">
        <x:v>72390</x:v>
      </x:c>
      <x:c r="N1084" t="n">
        <x:v>72445.5</x:v>
      </x:c>
      <x:c r="O1084" t="n">
        <x:v>72501</x:v>
      </x:c>
    </x:row>
    <x:row r="1085">
      <x:c r="A1085" t="str">
        <x:v>Uttar Pradesh</x:v>
      </x:c>
      <x:c r="B1085" t="str">
        <x:v>All India except Central University</x:v>
      </x:c>
      <x:c r="C1085" t="str">
        <x:v>200493</x:v>
      </x:c>
      <x:c r="D1085" t="str">
        <x:v>Government Medical College, Badaun, U.P., Gunera Wazidpur Ujhani Road Badaun U.P. 243601</x:v>
      </x:c>
      <x:c r="E1085" t="str">
        <x:v>All India</x:v>
      </x:c>
      <x:c r="F1085" t="str">
        <x:v>EWS</x:v>
      </x:c>
      <x:c r="G1085" t="n">
        <x:v>2</x:v>
      </x:c>
      <x:c r="H1085" t="n">
        <x:v>2</x:v>
      </x:c>
      <x:c r="I1085" t="n">
        <x:f>G1085-H1085</x:f>
        <x:v>0</x:v>
      </x:c>
      <x:c r="J1085" s="20" t="n">
        <x:f>IFERROR(H1085/G1085,0)</x:f>
        <x:v>1</x:v>
      </x:c>
      <x:c r="K1085" t="n">
        <x:v>11977</x:v>
      </x:c>
      <x:c r="L1085" t="n">
        <x:v>12440.75</x:v>
      </x:c>
      <x:c r="M1085" t="n">
        <x:v>12904.5</x:v>
      </x:c>
      <x:c r="N1085" t="n">
        <x:v>13368.25</x:v>
      </x:c>
      <x:c r="O1085" t="n">
        <x:v>13832</x:v>
      </x:c>
    </x:row>
    <x:row r="1086">
      <x:c r="A1086" t="str">
        <x:v>Uttar Pradesh</x:v>
      </x:c>
      <x:c r="B1086" t="str">
        <x:v>All India except Central University</x:v>
      </x:c>
      <x:c r="C1086" t="str">
        <x:v>200493</x:v>
      </x:c>
      <x:c r="D1086" t="str">
        <x:v>Government Medical College, Badaun, U.P., Gunera Wazidpur Ujhani Road Badaun U.P. 243601</x:v>
      </x:c>
      <x:c r="E1086" t="str">
        <x:v>All India</x:v>
      </x:c>
      <x:c r="F1086" t="str">
        <x:v>OBC</x:v>
      </x:c>
      <x:c r="G1086" t="n">
        <x:v>4</x:v>
      </x:c>
      <x:c r="H1086" t="n">
        <x:v>4</x:v>
      </x:c>
      <x:c r="I1086" t="n">
        <x:f>G1086-H1086</x:f>
        <x:v>0</x:v>
      </x:c>
      <x:c r="J1086" s="20" t="n">
        <x:f>IFERROR(H1086/G1086,0)</x:f>
        <x:v>1</x:v>
      </x:c>
      <x:c r="K1086" t="n">
        <x:v>11973</x:v>
      </x:c>
      <x:c r="L1086" t="n">
        <x:v>12130.5</x:v>
      </x:c>
      <x:c r="M1086" t="n">
        <x:v>12309.5</x:v>
      </x:c>
      <x:c r="N1086" t="n">
        <x:v>12560.5</x:v>
      </x:c>
      <x:c r="O1086" t="n">
        <x:v>12934</x:v>
      </x:c>
    </x:row>
    <x:row r="1087">
      <x:c r="A1087" t="str">
        <x:v>Uttar Pradesh</x:v>
      </x:c>
      <x:c r="B1087" t="str">
        <x:v>All India except Central University</x:v>
      </x:c>
      <x:c r="C1087" t="str">
        <x:v>200493</x:v>
      </x:c>
      <x:c r="D1087" t="str">
        <x:v>Government Medical College, Badaun, U.P., Gunera Wazidpur Ujhani Road Badaun U.P. 243601</x:v>
      </x:c>
      <x:c r="E1087" t="str">
        <x:v>All India</x:v>
      </x:c>
      <x:c r="F1087" t="str">
        <x:v>Open</x:v>
      </x:c>
      <x:c r="G1087" t="n">
        <x:v>6</x:v>
      </x:c>
      <x:c r="H1087" t="n">
        <x:v>6</x:v>
      </x:c>
      <x:c r="I1087" t="n">
        <x:f>G1087-H1087</x:f>
        <x:v>0</x:v>
      </x:c>
      <x:c r="J1087" s="20" t="n">
        <x:f>IFERROR(H1087/G1087,0)</x:f>
        <x:v>1</x:v>
      </x:c>
      <x:c r="K1087" t="n">
        <x:v>9006</x:v>
      </x:c>
      <x:c r="L1087" t="n">
        <x:v>9647.75</x:v>
      </x:c>
      <x:c r="M1087" t="n">
        <x:v>10040.5</x:v>
      </x:c>
      <x:c r="N1087" t="n">
        <x:v>10842</x:v>
      </x:c>
      <x:c r="O1087" t="n">
        <x:v>11135</x:v>
      </x:c>
    </x:row>
    <x:row r="1088">
      <x:c r="A1088" t="str">
        <x:v>Uttar Pradesh</x:v>
      </x:c>
      <x:c r="B1088" t="str">
        <x:v>All India except Central University</x:v>
      </x:c>
      <x:c r="C1088" t="str">
        <x:v>200493</x:v>
      </x:c>
      <x:c r="D1088" t="str">
        <x:v>Government Medical College, Badaun, U.P., Gunera Wazidpur Ujhani Road Badaun U.P. 243601</x:v>
      </x:c>
      <x:c r="E1088" t="str">
        <x:v>All India</x:v>
      </x:c>
      <x:c r="F1088" t="str">
        <x:v>SC</x:v>
      </x:c>
      <x:c r="G1088" t="n">
        <x:v>2</x:v>
      </x:c>
      <x:c r="H1088" t="n">
        <x:v>2</x:v>
      </x:c>
      <x:c r="I1088" t="n">
        <x:f>G1088-H1088</x:f>
        <x:v>0</x:v>
      </x:c>
      <x:c r="J1088" s="20" t="n">
        <x:f>IFERROR(H1088/G1088,0)</x:f>
        <x:v>1</x:v>
      </x:c>
      <x:c r="K1088" t="n">
        <x:v>61842</x:v>
      </x:c>
      <x:c r="L1088" t="n">
        <x:v>62094.5</x:v>
      </x:c>
      <x:c r="M1088" t="n">
        <x:v>62347</x:v>
      </x:c>
      <x:c r="N1088" t="n">
        <x:v>62599.5</x:v>
      </x:c>
      <x:c r="O1088" t="n">
        <x:v>62852</x:v>
      </x:c>
    </x:row>
    <x:row r="1089">
      <x:c r="A1089" t="str">
        <x:v>Uttar Pradesh</x:v>
      </x:c>
      <x:c r="B1089" t="str">
        <x:v>All India except Central University</x:v>
      </x:c>
      <x:c r="C1089" t="str">
        <x:v>200493</x:v>
      </x:c>
      <x:c r="D1089" t="str">
        <x:v>Government Medical College, Badaun, U.P., Gunera Wazidpur Ujhani Road Badaun U.P. 243601</x:v>
      </x:c>
      <x:c r="E1089" t="str">
        <x:v>All India</x:v>
      </x:c>
      <x:c r="F1089" t="str">
        <x:v>ST</x:v>
      </x:c>
      <x:c r="G1089" t="n">
        <x:v>1</x:v>
      </x:c>
      <x:c r="H1089" t="n">
        <x:v>1</x:v>
      </x:c>
      <x:c r="I1089" t="n">
        <x:f>G1089-H1089</x:f>
        <x:v>0</x:v>
      </x:c>
      <x:c r="J1089" s="20" t="n">
        <x:f>IFERROR(H1089/G1089,0)</x:f>
        <x:v>1</x:v>
      </x:c>
      <x:c r="K1089" t="n">
        <x:v>97262</x:v>
      </x:c>
      <x:c r="L1089" t="n">
        <x:v>97262</x:v>
      </x:c>
      <x:c r="M1089" t="n">
        <x:v>97262</x:v>
      </x:c>
      <x:c r="N1089" t="n">
        <x:v>97262</x:v>
      </x:c>
      <x:c r="O1089" t="n">
        <x:v>97262</x:v>
      </x:c>
    </x:row>
    <x:row r="1090">
      <x:c r="A1090" t="str">
        <x:v>Rajasthan</x:v>
      </x:c>
      <x:c r="B1090" t="str">
        <x:v>All India except Central University</x:v>
      </x:c>
      <x:c r="C1090" t="str">
        <x:v>902866</x:v>
      </x:c>
      <x:c r="D1090" t="str">
        <x:v>Government Medical College, Banswara, MADARESHWAR, RATLAM ROAD BANSWARA</x:v>
      </x:c>
      <x:c r="E1090" t="str">
        <x:v>All India</x:v>
      </x:c>
      <x:c r="F1090" t="str">
        <x:v>EWS</x:v>
      </x:c>
      <x:c r="G1090" t="n">
        <x:v>2</x:v>
      </x:c>
      <x:c r="H1090" t="n">
        <x:v>2</x:v>
      </x:c>
      <x:c r="I1090" t="n">
        <x:f>G1090-H1090</x:f>
        <x:v>0</x:v>
      </x:c>
      <x:c r="J1090" s="20" t="n">
        <x:f>IFERROR(H1090/G1090,0)</x:f>
        <x:v>1</x:v>
      </x:c>
      <x:c r="K1090" t="n">
        <x:v>12149</x:v>
      </x:c>
      <x:c r="L1090" t="n">
        <x:v>12528.25</x:v>
      </x:c>
      <x:c r="M1090" t="n">
        <x:v>12907.5</x:v>
      </x:c>
      <x:c r="N1090" t="n">
        <x:v>13286.75</x:v>
      </x:c>
      <x:c r="O1090" t="n">
        <x:v>13666</x:v>
      </x:c>
    </x:row>
    <x:row r="1091">
      <x:c r="A1091" t="str">
        <x:v>Rajasthan</x:v>
      </x:c>
      <x:c r="B1091" t="str">
        <x:v>All India except Central University</x:v>
      </x:c>
      <x:c r="C1091" t="str">
        <x:v>902866</x:v>
      </x:c>
      <x:c r="D1091" t="str">
        <x:v>Government Medical College, Banswara, MADARESHWAR, RATLAM ROAD BANSWARA</x:v>
      </x:c>
      <x:c r="E1091" t="str">
        <x:v>All India</x:v>
      </x:c>
      <x:c r="F1091" t="str">
        <x:v>OBC</x:v>
      </x:c>
      <x:c r="G1091" t="n">
        <x:v>3</x:v>
      </x:c>
      <x:c r="H1091" t="n">
        <x:v>3</x:v>
      </x:c>
      <x:c r="I1091" t="n">
        <x:f>G1091-H1091</x:f>
        <x:v>0</x:v>
      </x:c>
      <x:c r="J1091" s="20" t="n">
        <x:f>IFERROR(H1091/G1091,0)</x:f>
        <x:v>1</x:v>
      </x:c>
      <x:c r="K1091" t="n">
        <x:v>11932</x:v>
      </x:c>
      <x:c r="L1091" t="n">
        <x:v>12125.5</x:v>
      </x:c>
      <x:c r="M1091" t="n">
        <x:v>12319</x:v>
      </x:c>
      <x:c r="N1091" t="n">
        <x:v>12468</x:v>
      </x:c>
      <x:c r="O1091" t="n">
        <x:v>12617</x:v>
      </x:c>
    </x:row>
    <x:row r="1092">
      <x:c r="A1092" t="str">
        <x:v>Rajasthan</x:v>
      </x:c>
      <x:c r="B1092" t="str">
        <x:v>All India except Central University</x:v>
      </x:c>
      <x:c r="C1092" t="str">
        <x:v>902866</x:v>
      </x:c>
      <x:c r="D1092" t="str">
        <x:v>Government Medical College, Banswara, MADARESHWAR, RATLAM ROAD BANSWARA</x:v>
      </x:c>
      <x:c r="E1092" t="str">
        <x:v>All India</x:v>
      </x:c>
      <x:c r="F1092" t="str">
        <x:v>OBC PwD</x:v>
      </x:c>
      <x:c r="G1092" t="n">
        <x:v>1</x:v>
      </x:c>
      <x:c r="H1092" t="n">
        <x:v>1</x:v>
      </x:c>
      <x:c r="I1092" t="n">
        <x:f>G1092-H1092</x:f>
        <x:v>0</x:v>
      </x:c>
      <x:c r="J1092" s="20" t="n">
        <x:f>IFERROR(H1092/G1092,0)</x:f>
        <x:v>1</x:v>
      </x:c>
      <x:c r="K1092" t="n">
        <x:v>527484</x:v>
      </x:c>
      <x:c r="L1092" t="n">
        <x:v>527484</x:v>
      </x:c>
      <x:c r="M1092" t="n">
        <x:v>527484</x:v>
      </x:c>
      <x:c r="N1092" t="n">
        <x:v>527484</x:v>
      </x:c>
      <x:c r="O1092" t="n">
        <x:v>527484</x:v>
      </x:c>
    </x:row>
    <x:row r="1093">
      <x:c r="A1093" t="str">
        <x:v>Rajasthan</x:v>
      </x:c>
      <x:c r="B1093" t="str">
        <x:v>All India except Central University</x:v>
      </x:c>
      <x:c r="C1093" t="str">
        <x:v>902866</x:v>
      </x:c>
      <x:c r="D1093" t="str">
        <x:v>Government Medical College, Banswara, MADARESHWAR, RATLAM ROAD BANSWARA</x:v>
      </x:c>
      <x:c r="E1093" t="str">
        <x:v>All India</x:v>
      </x:c>
      <x:c r="F1093" t="str">
        <x:v>Open</x:v>
      </x:c>
      <x:c r="G1093" t="n">
        <x:v>6</x:v>
      </x:c>
      <x:c r="H1093" t="n">
        <x:v>6</x:v>
      </x:c>
      <x:c r="I1093" t="n">
        <x:f>G1093-H1093</x:f>
        <x:v>0</x:v>
      </x:c>
      <x:c r="J1093" s="20" t="n">
        <x:f>IFERROR(H1093/G1093,0)</x:f>
        <x:v>1</x:v>
      </x:c>
      <x:c r="K1093" t="n">
        <x:v>10696</x:v>
      </x:c>
      <x:c r="L1093" t="n">
        <x:v>11011.5</x:v>
      </x:c>
      <x:c r="M1093" t="n">
        <x:v>11412.5</x:v>
      </x:c>
      <x:c r="N1093" t="n">
        <x:v>11559.25</x:v>
      </x:c>
      <x:c r="O1093" t="n">
        <x:v>11922</x:v>
      </x:c>
    </x:row>
    <x:row r="1094">
      <x:c r="A1094" t="str">
        <x:v>Rajasthan</x:v>
      </x:c>
      <x:c r="B1094" t="str">
        <x:v>All India except Central University</x:v>
      </x:c>
      <x:c r="C1094" t="str">
        <x:v>902866</x:v>
      </x:c>
      <x:c r="D1094" t="str">
        <x:v>Government Medical College, Banswara, MADARESHWAR, RATLAM ROAD BANSWARA</x:v>
      </x:c>
      <x:c r="E1094" t="str">
        <x:v>All India</x:v>
      </x:c>
      <x:c r="F1094" t="str">
        <x:v>SC</x:v>
      </x:c>
      <x:c r="G1094" t="n">
        <x:v>2</x:v>
      </x:c>
      <x:c r="H1094" t="n">
        <x:v>2</x:v>
      </x:c>
      <x:c r="I1094" t="n">
        <x:f>G1094-H1094</x:f>
        <x:v>0</x:v>
      </x:c>
      <x:c r="J1094" s="20" t="n">
        <x:f>IFERROR(H1094/G1094,0)</x:f>
        <x:v>1</x:v>
      </x:c>
      <x:c r="K1094" t="n">
        <x:v>58153</x:v>
      </x:c>
      <x:c r="L1094" t="n">
        <x:v>59418.25</x:v>
      </x:c>
      <x:c r="M1094" t="n">
        <x:v>60683.5</x:v>
      </x:c>
      <x:c r="N1094" t="n">
        <x:v>61948.75</x:v>
      </x:c>
      <x:c r="O1094" t="n">
        <x:v>63214</x:v>
      </x:c>
    </x:row>
    <x:row r="1095">
      <x:c r="A1095" t="str">
        <x:v>Rajasthan</x:v>
      </x:c>
      <x:c r="B1095" t="str">
        <x:v>All India except Central University</x:v>
      </x:c>
      <x:c r="C1095" t="str">
        <x:v>902866</x:v>
      </x:c>
      <x:c r="D1095" t="str">
        <x:v>Government Medical College, Banswara, MADARESHWAR, RATLAM ROAD BANSWARA</x:v>
      </x:c>
      <x:c r="E1095" t="str">
        <x:v>All India</x:v>
      </x:c>
      <x:c r="F1095" t="str">
        <x:v>ST</x:v>
      </x:c>
      <x:c r="G1095" t="n">
        <x:v>1</x:v>
      </x:c>
      <x:c r="H1095" t="n">
        <x:v>1</x:v>
      </x:c>
      <x:c r="I1095" t="n">
        <x:f>G1095-H1095</x:f>
        <x:v>0</x:v>
      </x:c>
      <x:c r="J1095" s="20" t="n">
        <x:f>IFERROR(H1095/G1095,0)</x:f>
        <x:v>1</x:v>
      </x:c>
      <x:c r="K1095" t="n">
        <x:v>80082</x:v>
      </x:c>
      <x:c r="L1095" t="n">
        <x:v>80082</x:v>
      </x:c>
      <x:c r="M1095" t="n">
        <x:v>80082</x:v>
      </x:c>
      <x:c r="N1095" t="n">
        <x:v>80082</x:v>
      </x:c>
      <x:c r="O1095" t="n">
        <x:v>80082</x:v>
      </x:c>
    </x:row>
    <x:row r="1096">
      <x:c r="A1096" t="str">
        <x:v>Jammu And Kashmir</x:v>
      </x:c>
      <x:c r="B1096" t="str">
        <x:v>All India except Central University</x:v>
      </x:c>
      <x:c r="C1096" t="str">
        <x:v>200634</x:v>
      </x:c>
      <x:c r="D1096" t="str">
        <x:v>Government Medical College, Baramulla, Kanth Bagh Baramulla, Jammu and Kashmir</x:v>
      </x:c>
      <x:c r="E1096" t="str">
        <x:v>All India</x:v>
      </x:c>
      <x:c r="F1096" t="str">
        <x:v>EWS</x:v>
      </x:c>
      <x:c r="G1096" t="n">
        <x:v>3</x:v>
      </x:c>
      <x:c r="H1096" t="n">
        <x:v>3</x:v>
      </x:c>
      <x:c r="I1096" t="n">
        <x:f>G1096-H1096</x:f>
        <x:v>0</x:v>
      </x:c>
      <x:c r="J1096" s="20" t="n">
        <x:f>IFERROR(H1096/G1096,0)</x:f>
        <x:v>1</x:v>
      </x:c>
      <x:c r="K1096" t="n">
        <x:v>18728</x:v>
      </x:c>
      <x:c r="L1096" t="n">
        <x:v>19281</x:v>
      </x:c>
      <x:c r="M1096" t="n">
        <x:v>19834</x:v>
      </x:c>
      <x:c r="N1096" t="n">
        <x:v>20089.5</x:v>
      </x:c>
      <x:c r="O1096" t="n">
        <x:v>20345</x:v>
      </x:c>
    </x:row>
    <x:row r="1097">
      <x:c r="A1097" t="str">
        <x:v>Jammu And Kashmir</x:v>
      </x:c>
      <x:c r="B1097" t="str">
        <x:v>All India except Central University</x:v>
      </x:c>
      <x:c r="C1097" t="str">
        <x:v>200634</x:v>
      </x:c>
      <x:c r="D1097" t="str">
        <x:v>Government Medical College, Baramulla, Kanth Bagh Baramulla, Jammu and Kashmir</x:v>
      </x:c>
      <x:c r="E1097" t="str">
        <x:v>All India</x:v>
      </x:c>
      <x:c r="F1097" t="str">
        <x:v>OBC</x:v>
      </x:c>
      <x:c r="G1097" t="n">
        <x:v>5</x:v>
      </x:c>
      <x:c r="H1097" t="n">
        <x:v>5</x:v>
      </x:c>
      <x:c r="I1097" t="n">
        <x:f>G1097-H1097</x:f>
        <x:v>0</x:v>
      </x:c>
      <x:c r="J1097" s="20" t="n">
        <x:f>IFERROR(H1097/G1097,0)</x:f>
        <x:v>1</x:v>
      </x:c>
      <x:c r="K1097" t="n">
        <x:v>17217</x:v>
      </x:c>
      <x:c r="L1097" t="n">
        <x:v>18417</x:v>
      </x:c>
      <x:c r="M1097" t="n">
        <x:v>18645</x:v>
      </x:c>
      <x:c r="N1097" t="n">
        <x:v>18965</x:v>
      </x:c>
      <x:c r="O1097" t="n">
        <x:v>19064</x:v>
      </x:c>
    </x:row>
    <x:row r="1098">
      <x:c r="A1098" t="str">
        <x:v>Jammu And Kashmir</x:v>
      </x:c>
      <x:c r="B1098" t="str">
        <x:v>All India except Central University</x:v>
      </x:c>
      <x:c r="C1098" t="str">
        <x:v>200634</x:v>
      </x:c>
      <x:c r="D1098" t="str">
        <x:v>Government Medical College, Baramulla, Kanth Bagh Baramulla, Jammu and Kashmir</x:v>
      </x:c>
      <x:c r="E1098" t="str">
        <x:v>All India</x:v>
      </x:c>
      <x:c r="F1098" t="str">
        <x:v>Open</x:v>
      </x:c>
      <x:c r="G1098" t="n">
        <x:v>9</x:v>
      </x:c>
      <x:c r="H1098" t="n">
        <x:v>9</x:v>
      </x:c>
      <x:c r="I1098" t="n">
        <x:f>G1098-H1098</x:f>
        <x:v>0</x:v>
      </x:c>
      <x:c r="J1098" s="20" t="n">
        <x:f>IFERROR(H1098/G1098,0)</x:f>
        <x:v>1</x:v>
      </x:c>
      <x:c r="K1098" t="n">
        <x:v>15452</x:v>
      </x:c>
      <x:c r="L1098" t="n">
        <x:v>15996</x:v>
      </x:c>
      <x:c r="M1098" t="n">
        <x:v>16604</x:v>
      </x:c>
      <x:c r="N1098" t="n">
        <x:v>16832</x:v>
      </x:c>
      <x:c r="O1098" t="n">
        <x:v>17201</x:v>
      </x:c>
    </x:row>
    <x:row r="1099">
      <x:c r="A1099" t="str">
        <x:v>Jammu And Kashmir</x:v>
      </x:c>
      <x:c r="B1099" t="str">
        <x:v>All India except Central University</x:v>
      </x:c>
      <x:c r="C1099" t="str">
        <x:v>200634</x:v>
      </x:c>
      <x:c r="D1099" t="str">
        <x:v>Government Medical College, Baramulla, Kanth Bagh Baramulla, Jammu and Kashmir</x:v>
      </x:c>
      <x:c r="E1099" t="str">
        <x:v>All India</x:v>
      </x:c>
      <x:c r="F1099" t="str">
        <x:v>Open PwD</x:v>
      </x:c>
      <x:c r="G1099" t="n">
        <x:v>1</x:v>
      </x:c>
      <x:c r="H1099" t="n">
        <x:v>1</x:v>
      </x:c>
      <x:c r="I1099" t="n">
        <x:f>G1099-H1099</x:f>
        <x:v>0</x:v>
      </x:c>
      <x:c r="J1099" s="20" t="n">
        <x:f>IFERROR(H1099/G1099,0)</x:f>
        <x:v>1</x:v>
      </x:c>
      <x:c r="K1099" t="n">
        <x:v>266428</x:v>
      </x:c>
      <x:c r="L1099" t="n">
        <x:v>266428</x:v>
      </x:c>
      <x:c r="M1099" t="n">
        <x:v>266428</x:v>
      </x:c>
      <x:c r="N1099" t="n">
        <x:v>266428</x:v>
      </x:c>
      <x:c r="O1099" t="n">
        <x:v>266428</x:v>
      </x:c>
    </x:row>
    <x:row r="1100">
      <x:c r="A1100" t="str">
        <x:v>Jammu And Kashmir</x:v>
      </x:c>
      <x:c r="B1100" t="str">
        <x:v>All India except Central University</x:v>
      </x:c>
      <x:c r="C1100" t="str">
        <x:v>200634</x:v>
      </x:c>
      <x:c r="D1100" t="str">
        <x:v>Government Medical College, Baramulla, Kanth Bagh Baramulla, Jammu and Kashmir</x:v>
      </x:c>
      <x:c r="E1100" t="str">
        <x:v>All India</x:v>
      </x:c>
      <x:c r="F1100" t="str">
        <x:v>SC</x:v>
      </x:c>
      <x:c r="G1100" t="n">
        <x:v>3</x:v>
      </x:c>
      <x:c r="H1100" t="n">
        <x:v>3</x:v>
      </x:c>
      <x:c r="I1100" t="n">
        <x:f>G1100-H1100</x:f>
        <x:v>0</x:v>
      </x:c>
      <x:c r="J1100" s="20" t="n">
        <x:f>IFERROR(H1100/G1100,0)</x:f>
        <x:v>1</x:v>
      </x:c>
      <x:c r="K1100" t="n">
        <x:v>76784</x:v>
      </x:c>
      <x:c r="L1100" t="n">
        <x:v>80362.5</x:v>
      </x:c>
      <x:c r="M1100" t="n">
        <x:v>83941</x:v>
      </x:c>
      <x:c r="N1100" t="n">
        <x:v>85243</x:v>
      </x:c>
      <x:c r="O1100" t="n">
        <x:v>86545</x:v>
      </x:c>
    </x:row>
    <x:row r="1101">
      <x:c r="A1101" t="str">
        <x:v>Jammu And Kashmir</x:v>
      </x:c>
      <x:c r="B1101" t="str">
        <x:v>All India except Central University</x:v>
      </x:c>
      <x:c r="C1101" t="str">
        <x:v>200634</x:v>
      </x:c>
      <x:c r="D1101" t="str">
        <x:v>Government Medical College, Baramulla, Kanth Bagh Baramulla, Jammu and Kashmir</x:v>
      </x:c>
      <x:c r="E1101" t="str">
        <x:v>All India</x:v>
      </x:c>
      <x:c r="F1101" t="str">
        <x:v>ST</x:v>
      </x:c>
      <x:c r="G1101" t="n">
        <x:v>1</x:v>
      </x:c>
      <x:c r="H1101" t="n">
        <x:v>1</x:v>
      </x:c>
      <x:c r="I1101" t="n">
        <x:f>G1101-H1101</x:f>
        <x:v>0</x:v>
      </x:c>
      <x:c r="J1101" s="20" t="n">
        <x:f>IFERROR(H1101/G1101,0)</x:f>
        <x:v>1</x:v>
      </x:c>
      <x:c r="K1101" t="n">
        <x:v>77590</x:v>
      </x:c>
      <x:c r="L1101" t="n">
        <x:v>77590</x:v>
      </x:c>
      <x:c r="M1101" t="n">
        <x:v>77590</x:v>
      </x:c>
      <x:c r="N1101" t="n">
        <x:v>77590</x:v>
      </x:c>
      <x:c r="O1101" t="n">
        <x:v>77590</x:v>
      </x:c>
    </x:row>
    <x:row r="1102">
      <x:c r="A1102" t="str">
        <x:v>Rajasthan</x:v>
      </x:c>
      <x:c r="B1102" t="str">
        <x:v>All India except Central University</x:v>
      </x:c>
      <x:c r="C1102" t="str">
        <x:v>903349</x:v>
      </x:c>
      <x:c r="D1102" t="str">
        <x:v>Government Medical College, Baran, Melkhedi, Chhapar Melkhedi Road Baran</x:v>
      </x:c>
      <x:c r="E1102" t="str">
        <x:v>All India</x:v>
      </x:c>
      <x:c r="F1102" t="str">
        <x:v>EWS</x:v>
      </x:c>
      <x:c r="G1102" t="n">
        <x:v>1</x:v>
      </x:c>
      <x:c r="H1102" t="n">
        <x:v>1</x:v>
      </x:c>
      <x:c r="I1102" t="n">
        <x:f>G1102-H1102</x:f>
        <x:v>0</x:v>
      </x:c>
      <x:c r="J1102" s="20" t="n">
        <x:f>IFERROR(H1102/G1102,0)</x:f>
        <x:v>1</x:v>
      </x:c>
      <x:c r="K1102" t="n">
        <x:v>13697</x:v>
      </x:c>
      <x:c r="L1102" t="n">
        <x:v>13697</x:v>
      </x:c>
      <x:c r="M1102" t="n">
        <x:v>13697</x:v>
      </x:c>
      <x:c r="N1102" t="n">
        <x:v>13697</x:v>
      </x:c>
      <x:c r="O1102" t="n">
        <x:v>13697</x:v>
      </x:c>
    </x:row>
    <x:row r="1103">
      <x:c r="A1103" t="str">
        <x:v>Rajasthan</x:v>
      </x:c>
      <x:c r="B1103" t="str">
        <x:v>All India except Central University</x:v>
      </x:c>
      <x:c r="C1103" t="str">
        <x:v>903349</x:v>
      </x:c>
      <x:c r="D1103" t="str">
        <x:v>Government Medical College, Baran, Melkhedi, Chhapar Melkhedi Road Baran</x:v>
      </x:c>
      <x:c r="E1103" t="str">
        <x:v>All India</x:v>
      </x:c>
      <x:c r="F1103" t="str">
        <x:v>OBC</x:v>
      </x:c>
      <x:c r="G1103" t="n">
        <x:v>4</x:v>
      </x:c>
      <x:c r="H1103" t="n">
        <x:v>4</x:v>
      </x:c>
      <x:c r="I1103" t="n">
        <x:f>G1103-H1103</x:f>
        <x:v>0</x:v>
      </x:c>
      <x:c r="J1103" s="20" t="n">
        <x:f>IFERROR(H1103/G1103,0)</x:f>
        <x:v>1</x:v>
      </x:c>
      <x:c r="K1103" t="n">
        <x:v>12907</x:v>
      </x:c>
      <x:c r="L1103" t="n">
        <x:v>12910.75</x:v>
      </x:c>
      <x:c r="M1103" t="n">
        <x:v>12980</x:v>
      </x:c>
      <x:c r="N1103" t="n">
        <x:v>13051.25</x:v>
      </x:c>
      <x:c r="O1103" t="n">
        <x:v>13061</x:v>
      </x:c>
    </x:row>
    <x:row r="1104">
      <x:c r="A1104" t="str">
        <x:v>Rajasthan</x:v>
      </x:c>
      <x:c r="B1104" t="str">
        <x:v>All India except Central University</x:v>
      </x:c>
      <x:c r="C1104" t="str">
        <x:v>903349</x:v>
      </x:c>
      <x:c r="D1104" t="str">
        <x:v>Government Medical College, Baran, Melkhedi, Chhapar Melkhedi Road Baran</x:v>
      </x:c>
      <x:c r="E1104" t="str">
        <x:v>All India</x:v>
      </x:c>
      <x:c r="F1104" t="str">
        <x:v>Open</x:v>
      </x:c>
      <x:c r="G1104" t="n">
        <x:v>6</x:v>
      </x:c>
      <x:c r="H1104" t="n">
        <x:v>6</x:v>
      </x:c>
      <x:c r="I1104" t="n">
        <x:f>G1104-H1104</x:f>
        <x:v>0</x:v>
      </x:c>
      <x:c r="J1104" s="20" t="n">
        <x:f>IFERROR(H1104/G1104,0)</x:f>
        <x:v>1</x:v>
      </x:c>
      <x:c r="K1104" t="n">
        <x:v>10756</x:v>
      </x:c>
      <x:c r="L1104" t="n">
        <x:v>12246.75</x:v>
      </x:c>
      <x:c r="M1104" t="n">
        <x:v>12511.5</x:v>
      </x:c>
      <x:c r="N1104" t="n">
        <x:v>12684</x:v>
      </x:c>
      <x:c r="O1104" t="n">
        <x:v>12759</x:v>
      </x:c>
    </x:row>
    <x:row r="1105">
      <x:c r="A1105" t="str">
        <x:v>Rajasthan</x:v>
      </x:c>
      <x:c r="B1105" t="str">
        <x:v>All India except Central University</x:v>
      </x:c>
      <x:c r="C1105" t="str">
        <x:v>903349</x:v>
      </x:c>
      <x:c r="D1105" t="str">
        <x:v>Government Medical College, Baran, Melkhedi, Chhapar Melkhedi Road Baran</x:v>
      </x:c>
      <x:c r="E1105" t="str">
        <x:v>All India</x:v>
      </x:c>
      <x:c r="F1105" t="str">
        <x:v>Open PwD</x:v>
      </x:c>
      <x:c r="G1105" t="n">
        <x:v>1</x:v>
      </x:c>
      <x:c r="H1105" t="n">
        <x:v>1</x:v>
      </x:c>
      <x:c r="I1105" t="n">
        <x:f>G1105-H1105</x:f>
        <x:v>0</x:v>
      </x:c>
      <x:c r="J1105" s="20" t="n">
        <x:f>IFERROR(H1105/G1105,0)</x:f>
        <x:v>1</x:v>
      </x:c>
      <x:c r="K1105" t="n">
        <x:v>519604</x:v>
      </x:c>
      <x:c r="L1105" t="n">
        <x:v>519604</x:v>
      </x:c>
      <x:c r="M1105" t="n">
        <x:v>519604</x:v>
      </x:c>
      <x:c r="N1105" t="n">
        <x:v>519604</x:v>
      </x:c>
      <x:c r="O1105" t="n">
        <x:v>519604</x:v>
      </x:c>
    </x:row>
    <x:row r="1106">
      <x:c r="A1106" t="str">
        <x:v>Rajasthan</x:v>
      </x:c>
      <x:c r="B1106" t="str">
        <x:v>All India except Central University</x:v>
      </x:c>
      <x:c r="C1106" t="str">
        <x:v>903349</x:v>
      </x:c>
      <x:c r="D1106" t="str">
        <x:v>Government Medical College, Baran, Melkhedi, Chhapar Melkhedi Road Baran</x:v>
      </x:c>
      <x:c r="E1106" t="str">
        <x:v>All India</x:v>
      </x:c>
      <x:c r="F1106" t="str">
        <x:v>SC</x:v>
      </x:c>
      <x:c r="G1106" t="n">
        <x:v>2</x:v>
      </x:c>
      <x:c r="H1106" t="n">
        <x:v>2</x:v>
      </x:c>
      <x:c r="I1106" t="n">
        <x:f>G1106-H1106</x:f>
        <x:v>0</x:v>
      </x:c>
      <x:c r="J1106" s="20" t="n">
        <x:f>IFERROR(H1106/G1106,0)</x:f>
        <x:v>1</x:v>
      </x:c>
      <x:c r="K1106" t="n">
        <x:v>52593</x:v>
      </x:c>
      <x:c r="L1106" t="n">
        <x:v>56027.5</x:v>
      </x:c>
      <x:c r="M1106" t="n">
        <x:v>59462</x:v>
      </x:c>
      <x:c r="N1106" t="n">
        <x:v>62896.5</x:v>
      </x:c>
      <x:c r="O1106" t="n">
        <x:v>66331</x:v>
      </x:c>
    </x:row>
    <x:row r="1107">
      <x:c r="A1107" t="str">
        <x:v>Rajasthan</x:v>
      </x:c>
      <x:c r="B1107" t="str">
        <x:v>All India except Central University</x:v>
      </x:c>
      <x:c r="C1107" t="str">
        <x:v>903349</x:v>
      </x:c>
      <x:c r="D1107" t="str">
        <x:v>Government Medical College, Baran, Melkhedi, Chhapar Melkhedi Road Baran</x:v>
      </x:c>
      <x:c r="E1107" t="str">
        <x:v>All India</x:v>
      </x:c>
      <x:c r="F1107" t="str">
        <x:v>ST</x:v>
      </x:c>
      <x:c r="G1107" t="n">
        <x:v>1</x:v>
      </x:c>
      <x:c r="H1107" t="n">
        <x:v>1</x:v>
      </x:c>
      <x:c r="I1107" t="n">
        <x:f>G1107-H1107</x:f>
        <x:v>0</x:v>
      </x:c>
      <x:c r="J1107" s="20" t="n">
        <x:f>IFERROR(H1107/G1107,0)</x:f>
        <x:v>1</x:v>
      </x:c>
      <x:c r="K1107" t="n">
        <x:v>61782</x:v>
      </x:c>
      <x:c r="L1107" t="n">
        <x:v>61782</x:v>
      </x:c>
      <x:c r="M1107" t="n">
        <x:v>61782</x:v>
      </x:c>
      <x:c r="N1107" t="n">
        <x:v>61782</x:v>
      </x:c>
      <x:c r="O1107" t="n">
        <x:v>61782</x:v>
      </x:c>
    </x:row>
    <x:row r="1108">
      <x:c r="A1108" t="str">
        <x:v>Rajasthan</x:v>
      </x:c>
      <x:c r="B1108" t="str">
        <x:v>All India except Central University</x:v>
      </x:c>
      <x:c r="C1108" t="str">
        <x:v>200478</x:v>
      </x:c>
      <x:c r="D1108" t="str">
        <x:v>Government Medical College, Barmer, NH-15, JAISALMER ROAD, VILLAGE-JALIPA, BARMER</x:v>
      </x:c>
      <x:c r="E1108" t="str">
        <x:v>All India</x:v>
      </x:c>
      <x:c r="F1108" t="str">
        <x:v>EWS</x:v>
      </x:c>
      <x:c r="G1108" t="n">
        <x:v>2</x:v>
      </x:c>
      <x:c r="H1108" t="n">
        <x:v>2</x:v>
      </x:c>
      <x:c r="I1108" t="n">
        <x:f>G1108-H1108</x:f>
        <x:v>0</x:v>
      </x:c>
      <x:c r="J1108" s="20" t="n">
        <x:f>IFERROR(H1108/G1108,0)</x:f>
        <x:v>1</x:v>
      </x:c>
      <x:c r="K1108" t="n">
        <x:v>10613</x:v>
      </x:c>
      <x:c r="L1108" t="n">
        <x:v>10664.25</x:v>
      </x:c>
      <x:c r="M1108" t="n">
        <x:v>10715.5</x:v>
      </x:c>
      <x:c r="N1108" t="n">
        <x:v>10766.75</x:v>
      </x:c>
      <x:c r="O1108" t="n">
        <x:v>10818</x:v>
      </x:c>
    </x:row>
    <x:row r="1109">
      <x:c r="A1109" t="str">
        <x:v>Rajasthan</x:v>
      </x:c>
      <x:c r="B1109" t="str">
        <x:v>All India except Central University</x:v>
      </x:c>
      <x:c r="C1109" t="str">
        <x:v>200478</x:v>
      </x:c>
      <x:c r="D1109" t="str">
        <x:v>Government Medical College, Barmer, NH-15, JAISALMER ROAD, VILLAGE-JALIPA, BARMER</x:v>
      </x:c>
      <x:c r="E1109" t="str">
        <x:v>All India</x:v>
      </x:c>
      <x:c r="F1109" t="str">
        <x:v>OBC</x:v>
      </x:c>
      <x:c r="G1109" t="n">
        <x:v>6</x:v>
      </x:c>
      <x:c r="H1109" t="n">
        <x:v>6</x:v>
      </x:c>
      <x:c r="I1109" t="n">
        <x:f>G1109-H1109</x:f>
        <x:v>0</x:v>
      </x:c>
      <x:c r="J1109" s="20" t="n">
        <x:f>IFERROR(H1109/G1109,0)</x:f>
        <x:v>1</x:v>
      </x:c>
      <x:c r="K1109" t="n">
        <x:v>9083</x:v>
      </x:c>
      <x:c r="L1109" t="n">
        <x:v>9375.75</x:v>
      </x:c>
      <x:c r="M1109" t="n">
        <x:v>9545.5</x:v>
      </x:c>
      <x:c r="N1109" t="n">
        <x:v>9813.5</x:v>
      </x:c>
      <x:c r="O1109" t="n">
        <x:v>10049</x:v>
      </x:c>
    </x:row>
    <x:row r="1110">
      <x:c r="A1110" t="str">
        <x:v>Rajasthan</x:v>
      </x:c>
      <x:c r="B1110" t="str">
        <x:v>All India except Central University</x:v>
      </x:c>
      <x:c r="C1110" t="str">
        <x:v>200478</x:v>
      </x:c>
      <x:c r="D1110" t="str">
        <x:v>Government Medical College, Barmer, NH-15, JAISALMER ROAD, VILLAGE-JALIPA, BARMER</x:v>
      </x:c>
      <x:c r="E1110" t="str">
        <x:v>All India</x:v>
      </x:c>
      <x:c r="F1110" t="str">
        <x:v>Open</x:v>
      </x:c>
      <x:c r="G1110" t="n">
        <x:v>7</x:v>
      </x:c>
      <x:c r="H1110" t="n">
        <x:v>7</x:v>
      </x:c>
      <x:c r="I1110" t="n">
        <x:f>G1110-H1110</x:f>
        <x:v>0</x:v>
      </x:c>
      <x:c r="J1110" s="20" t="n">
        <x:f>IFERROR(H1110/G1110,0)</x:f>
        <x:v>1</x:v>
      </x:c>
      <x:c r="K1110" t="n">
        <x:v>7460</x:v>
      </x:c>
      <x:c r="L1110" t="n">
        <x:v>8036</x:v>
      </x:c>
      <x:c r="M1110" t="n">
        <x:v>8610</x:v>
      </x:c>
      <x:c r="N1110" t="n">
        <x:v>8808</x:v>
      </x:c>
      <x:c r="O1110" t="n">
        <x:v>9004</x:v>
      </x:c>
    </x:row>
    <x:row r="1111">
      <x:c r="A1111" t="str">
        <x:v>Rajasthan</x:v>
      </x:c>
      <x:c r="B1111" t="str">
        <x:v>All India except Central University</x:v>
      </x:c>
      <x:c r="C1111" t="str">
        <x:v>200478</x:v>
      </x:c>
      <x:c r="D1111" t="str">
        <x:v>Government Medical College, Barmer, NH-15, JAISALMER ROAD, VILLAGE-JALIPA, BARMER</x:v>
      </x:c>
      <x:c r="E1111" t="str">
        <x:v>All India</x:v>
      </x:c>
      <x:c r="F1111" t="str">
        <x:v>SC</x:v>
      </x:c>
      <x:c r="G1111" t="n">
        <x:v>3</x:v>
      </x:c>
      <x:c r="H1111" t="n">
        <x:v>3</x:v>
      </x:c>
      <x:c r="I1111" t="n">
        <x:f>G1111-H1111</x:f>
        <x:v>0</x:v>
      </x:c>
      <x:c r="J1111" s="20" t="n">
        <x:f>IFERROR(H1111/G1111,0)</x:f>
        <x:v>1</x:v>
      </x:c>
      <x:c r="K1111" t="n">
        <x:v>54871</x:v>
      </x:c>
      <x:c r="L1111" t="n">
        <x:v>56665.5</x:v>
      </x:c>
      <x:c r="M1111" t="n">
        <x:v>58460</x:v>
      </x:c>
      <x:c r="N1111" t="n">
        <x:v>58644</x:v>
      </x:c>
      <x:c r="O1111" t="n">
        <x:v>58828</x:v>
      </x:c>
    </x:row>
    <x:row r="1112">
      <x:c r="A1112" t="str">
        <x:v>Rajasthan</x:v>
      </x:c>
      <x:c r="B1112" t="str">
        <x:v>All India except Central University</x:v>
      </x:c>
      <x:c r="C1112" t="str">
        <x:v>200478</x:v>
      </x:c>
      <x:c r="D1112" t="str">
        <x:v>Government Medical College, Barmer, NH-15, JAISALMER ROAD, VILLAGE-JALIPA, BARMER</x:v>
      </x:c>
      <x:c r="E1112" t="str">
        <x:v>All India</x:v>
      </x:c>
      <x:c r="F1112" t="str">
        <x:v>ST</x:v>
      </x:c>
      <x:c r="G1112" t="n">
        <x:v>2</x:v>
      </x:c>
      <x:c r="H1112" t="n">
        <x:v>2</x:v>
      </x:c>
      <x:c r="I1112" t="n">
        <x:f>G1112-H1112</x:f>
        <x:v>0</x:v>
      </x:c>
      <x:c r="J1112" s="20" t="n">
        <x:f>IFERROR(H1112/G1112,0)</x:f>
        <x:v>1</x:v>
      </x:c>
      <x:c r="K1112" t="n">
        <x:v>68557</x:v>
      </x:c>
      <x:c r="L1112" t="n">
        <x:v>70005.75</x:v>
      </x:c>
      <x:c r="M1112" t="n">
        <x:v>71454.5</x:v>
      </x:c>
      <x:c r="N1112" t="n">
        <x:v>72903.25</x:v>
      </x:c>
      <x:c r="O1112" t="n">
        <x:v>74352</x:v>
      </x:c>
    </x:row>
    <x:row r="1113">
      <x:c r="A1113" t="str">
        <x:v>Bihar</x:v>
      </x:c>
      <x:c r="B1113" t="str">
        <x:v>All India except Central University</x:v>
      </x:c>
      <x:c r="C1113" t="str">
        <x:v>200111</x:v>
      </x:c>
      <x:c r="D1113" t="str">
        <x:v>Government Medical College, Bettiah, Government Medical College Bettiah West Champaran Bihar- 845438</x:v>
      </x:c>
      <x:c r="E1113" t="str">
        <x:v>All India</x:v>
      </x:c>
      <x:c r="F1113" t="str">
        <x:v>EWS</x:v>
      </x:c>
      <x:c r="G1113" t="n">
        <x:v>2</x:v>
      </x:c>
      <x:c r="H1113" t="n">
        <x:v>2</x:v>
      </x:c>
      <x:c r="I1113" t="n">
        <x:f>G1113-H1113</x:f>
        <x:v>0</x:v>
      </x:c>
      <x:c r="J1113" s="20" t="n">
        <x:f>IFERROR(H1113/G1113,0)</x:f>
        <x:v>1</x:v>
      </x:c>
      <x:c r="K1113" t="n">
        <x:v>13373</x:v>
      </x:c>
      <x:c r="L1113" t="n">
        <x:v>13502.25</x:v>
      </x:c>
      <x:c r="M1113" t="n">
        <x:v>13631.5</x:v>
      </x:c>
      <x:c r="N1113" t="n">
        <x:v>13760.75</x:v>
      </x:c>
      <x:c r="O1113" t="n">
        <x:v>13890</x:v>
      </x:c>
    </x:row>
    <x:row r="1114">
      <x:c r="A1114" t="str">
        <x:v>Bihar</x:v>
      </x:c>
      <x:c r="B1114" t="str">
        <x:v>All India except Central University</x:v>
      </x:c>
      <x:c r="C1114" t="str">
        <x:v>200111</x:v>
      </x:c>
      <x:c r="D1114" t="str">
        <x:v>Government Medical College, Bettiah, Government Medical College Bettiah West Champaran Bihar- 845438</x:v>
      </x:c>
      <x:c r="E1114" t="str">
        <x:v>All India</x:v>
      </x:c>
      <x:c r="F1114" t="str">
        <x:v>OBC</x:v>
      </x:c>
      <x:c r="G1114" t="n">
        <x:v>5</x:v>
      </x:c>
      <x:c r="H1114" t="n">
        <x:v>5</x:v>
      </x:c>
      <x:c r="I1114" t="n">
        <x:f>G1114-H1114</x:f>
        <x:v>0</x:v>
      </x:c>
      <x:c r="J1114" s="20" t="n">
        <x:f>IFERROR(H1114/G1114,0)</x:f>
        <x:v>1</x:v>
      </x:c>
      <x:c r="K1114" t="n">
        <x:v>12856</x:v>
      </x:c>
      <x:c r="L1114" t="n">
        <x:v>13125</x:v>
      </x:c>
      <x:c r="M1114" t="n">
        <x:v>13549</x:v>
      </x:c>
      <x:c r="N1114" t="n">
        <x:v>13810</x:v>
      </x:c>
      <x:c r="O1114" t="n">
        <x:v>13818</x:v>
      </x:c>
    </x:row>
    <x:row r="1115">
      <x:c r="A1115" t="str">
        <x:v>Bihar</x:v>
      </x:c>
      <x:c r="B1115" t="str">
        <x:v>All India except Central University</x:v>
      </x:c>
      <x:c r="C1115" t="str">
        <x:v>200111</x:v>
      </x:c>
      <x:c r="D1115" t="str">
        <x:v>Government Medical College, Bettiah, Government Medical College Bettiah West Champaran Bihar- 845438</x:v>
      </x:c>
      <x:c r="E1115" t="str">
        <x:v>All India</x:v>
      </x:c>
      <x:c r="F1115" t="str">
        <x:v>Open</x:v>
      </x:c>
      <x:c r="G1115" t="n">
        <x:v>6</x:v>
      </x:c>
      <x:c r="H1115" t="n">
        <x:v>6</x:v>
      </x:c>
      <x:c r="I1115" t="n">
        <x:f>G1115-H1115</x:f>
        <x:v>0</x:v>
      </x:c>
      <x:c r="J1115" s="20" t="n">
        <x:f>IFERROR(H1115/G1115,0)</x:f>
        <x:v>1</x:v>
      </x:c>
      <x:c r="K1115" t="n">
        <x:v>9886</x:v>
      </x:c>
      <x:c r="L1115" t="n">
        <x:v>11461</x:v>
      </x:c>
      <x:c r="M1115" t="n">
        <x:v>12030.5</x:v>
      </x:c>
      <x:c r="N1115" t="n">
        <x:v>12388.5</x:v>
      </x:c>
      <x:c r="O1115" t="n">
        <x:v>12736</x:v>
      </x:c>
    </x:row>
    <x:row r="1116">
      <x:c r="A1116" t="str">
        <x:v>Bihar</x:v>
      </x:c>
      <x:c r="B1116" t="str">
        <x:v>All India except Central University</x:v>
      </x:c>
      <x:c r="C1116" t="str">
        <x:v>200111</x:v>
      </x:c>
      <x:c r="D1116" t="str">
        <x:v>Government Medical College, Bettiah, Government Medical College Bettiah West Champaran Bihar- 845438</x:v>
      </x:c>
      <x:c r="E1116" t="str">
        <x:v>All India</x:v>
      </x:c>
      <x:c r="F1116" t="str">
        <x:v>SC</x:v>
      </x:c>
      <x:c r="G1116" t="n">
        <x:v>3</x:v>
      </x:c>
      <x:c r="H1116" t="n">
        <x:v>3</x:v>
      </x:c>
      <x:c r="I1116" t="n">
        <x:f>G1116-H1116</x:f>
        <x:v>0</x:v>
      </x:c>
      <x:c r="J1116" s="20" t="n">
        <x:f>IFERROR(H1116/G1116,0)</x:f>
        <x:v>1</x:v>
      </x:c>
      <x:c r="K1116" t="n">
        <x:v>70906</x:v>
      </x:c>
      <x:c r="L1116" t="n">
        <x:v>71250.5</x:v>
      </x:c>
      <x:c r="M1116" t="n">
        <x:v>71595</x:v>
      </x:c>
      <x:c r="N1116" t="n">
        <x:v>72856.5</x:v>
      </x:c>
      <x:c r="O1116" t="n">
        <x:v>74118</x:v>
      </x:c>
    </x:row>
    <x:row r="1117">
      <x:c r="A1117" t="str">
        <x:v>Bihar</x:v>
      </x:c>
      <x:c r="B1117" t="str">
        <x:v>All India except Central University</x:v>
      </x:c>
      <x:c r="C1117" t="str">
        <x:v>200111</x:v>
      </x:c>
      <x:c r="D1117" t="str">
        <x:v>Government Medical College, Bettiah, Government Medical College Bettiah West Champaran Bihar- 845438</x:v>
      </x:c>
      <x:c r="E1117" t="str">
        <x:v>All India</x:v>
      </x:c>
      <x:c r="F1117" t="str">
        <x:v>ST</x:v>
      </x:c>
      <x:c r="G1117" t="n">
        <x:v>2</x:v>
      </x:c>
      <x:c r="H1117" t="n">
        <x:v>2</x:v>
      </x:c>
      <x:c r="I1117" t="n">
        <x:f>G1117-H1117</x:f>
        <x:v>0</x:v>
      </x:c>
      <x:c r="J1117" s="20" t="n">
        <x:f>IFERROR(H1117/G1117,0)</x:f>
        <x:v>1</x:v>
      </x:c>
      <x:c r="K1117" t="n">
        <x:v>96152</x:v>
      </x:c>
      <x:c r="L1117" t="n">
        <x:v>98406</x:v>
      </x:c>
      <x:c r="M1117" t="n">
        <x:v>100660</x:v>
      </x:c>
      <x:c r="N1117" t="n">
        <x:v>102914</x:v>
      </x:c>
      <x:c r="O1117" t="n">
        <x:v>105168</x:v>
      </x:c>
    </x:row>
    <x:row r="1118">
      <x:c r="A1118" t="str">
        <x:v>Telangana</x:v>
      </x:c>
      <x:c r="B1118" t="str">
        <x:v>All India except Central University</x:v>
      </x:c>
      <x:c r="C1118" t="str">
        <x:v>200598</x:v>
      </x:c>
      <x:c r="D1118" t="str">
        <x:v>Government Medical College, Bhadradri Kothagudem, Besides Sammakka Saarakka temple, Opp KSM Petrol bunk, end of 6th Battalion Rd, Palvancha, Telangana</x:v>
      </x:c>
      <x:c r="E1118" t="str">
        <x:v>All India</x:v>
      </x:c>
      <x:c r="F1118" t="str">
        <x:v>EWS</x:v>
      </x:c>
      <x:c r="G1118" t="n">
        <x:v>2</x:v>
      </x:c>
      <x:c r="H1118" t="n">
        <x:v>2</x:v>
      </x:c>
      <x:c r="I1118" t="n">
        <x:f>G1118-H1118</x:f>
        <x:v>0</x:v>
      </x:c>
      <x:c r="J1118" s="20" t="n">
        <x:f>IFERROR(H1118/G1118,0)</x:f>
        <x:v>1</x:v>
      </x:c>
      <x:c r="K1118" t="n">
        <x:v>24917</x:v>
      </x:c>
      <x:c r="L1118" t="n">
        <x:v>24977</x:v>
      </x:c>
      <x:c r="M1118" t="n">
        <x:v>25037</x:v>
      </x:c>
      <x:c r="N1118" t="n">
        <x:v>25097</x:v>
      </x:c>
      <x:c r="O1118" t="n">
        <x:v>25157</x:v>
      </x:c>
    </x:row>
    <x:row r="1119">
      <x:c r="A1119" t="str">
        <x:v>Telangana</x:v>
      </x:c>
      <x:c r="B1119" t="str">
        <x:v>All India except Central University</x:v>
      </x:c>
      <x:c r="C1119" t="str">
        <x:v>200598</x:v>
      </x:c>
      <x:c r="D1119" t="str">
        <x:v>Government Medical College, Bhadradri Kothagudem, Besides Sammakka Saarakka temple, Opp KSM Petrol bunk, end of 6th Battalion Rd, Palvancha, Telangana</x:v>
      </x:c>
      <x:c r="E1119" t="str">
        <x:v>All India</x:v>
      </x:c>
      <x:c r="F1119" t="str">
        <x:v>OBC</x:v>
      </x:c>
      <x:c r="G1119" t="n">
        <x:v>6</x:v>
      </x:c>
      <x:c r="H1119" t="n">
        <x:v>6</x:v>
      </x:c>
      <x:c r="I1119" t="n">
        <x:f>G1119-H1119</x:f>
        <x:v>0</x:v>
      </x:c>
      <x:c r="J1119" s="20" t="n">
        <x:f>IFERROR(H1119/G1119,0)</x:f>
        <x:v>1</x:v>
      </x:c>
      <x:c r="K1119" t="n">
        <x:v>21782</x:v>
      </x:c>
      <x:c r="L1119" t="n">
        <x:v>22101.5</x:v>
      </x:c>
      <x:c r="M1119" t="n">
        <x:v>22200.5</x:v>
      </x:c>
      <x:c r="N1119" t="n">
        <x:v>22416.5</x:v>
      </x:c>
      <x:c r="O1119" t="n">
        <x:v>22576</x:v>
      </x:c>
    </x:row>
    <x:row r="1120">
      <x:c r="A1120" t="str">
        <x:v>Telangana</x:v>
      </x:c>
      <x:c r="B1120" t="str">
        <x:v>All India except Central University</x:v>
      </x:c>
      <x:c r="C1120" t="str">
        <x:v>200598</x:v>
      </x:c>
      <x:c r="D1120" t="str">
        <x:v>Government Medical College, Bhadradri Kothagudem, Besides Sammakka Saarakka temple, Opp KSM Petrol bunk, end of 6th Battalion Rd, Palvancha, Telangana</x:v>
      </x:c>
      <x:c r="E1120" t="str">
        <x:v>All India</x:v>
      </x:c>
      <x:c r="F1120" t="str">
        <x:v>Open</x:v>
      </x:c>
      <x:c r="G1120" t="n">
        <x:v>8</x:v>
      </x:c>
      <x:c r="H1120" t="n">
        <x:v>8</x:v>
      </x:c>
      <x:c r="I1120" t="n">
        <x:f>G1120-H1120</x:f>
        <x:v>0</x:v>
      </x:c>
      <x:c r="J1120" s="20" t="n">
        <x:f>IFERROR(H1120/G1120,0)</x:f>
        <x:v>1</x:v>
      </x:c>
      <x:c r="K1120" t="n">
        <x:v>20737</x:v>
      </x:c>
      <x:c r="L1120" t="n">
        <x:v>21242.75</x:v>
      </x:c>
      <x:c r="M1120" t="n">
        <x:v>21386</x:v>
      </x:c>
      <x:c r="N1120" t="n">
        <x:v>21525.25</x:v>
      </x:c>
      <x:c r="O1120" t="n">
        <x:v>21579</x:v>
      </x:c>
    </x:row>
    <x:row r="1121">
      <x:c r="A1121" t="str">
        <x:v>Telangana</x:v>
      </x:c>
      <x:c r="B1121" t="str">
        <x:v>All India except Central University</x:v>
      </x:c>
      <x:c r="C1121" t="str">
        <x:v>200598</x:v>
      </x:c>
      <x:c r="D1121" t="str">
        <x:v>Government Medical College, Bhadradri Kothagudem, Besides Sammakka Saarakka temple, Opp KSM Petrol bunk, end of 6th Battalion Rd, Palvancha, Telangana</x:v>
      </x:c>
      <x:c r="E1121" t="str">
        <x:v>All India</x:v>
      </x:c>
      <x:c r="F1121" t="str">
        <x:v>SC</x:v>
      </x:c>
      <x:c r="G1121" t="n">
        <x:v>3</x:v>
      </x:c>
      <x:c r="H1121" t="n">
        <x:v>3</x:v>
      </x:c>
      <x:c r="I1121" t="n">
        <x:f>G1121-H1121</x:f>
        <x:v>0</x:v>
      </x:c>
      <x:c r="J1121" s="20" t="n">
        <x:f>IFERROR(H1121/G1121,0)</x:f>
        <x:v>1</x:v>
      </x:c>
      <x:c r="K1121" t="n">
        <x:v>101996</x:v>
      </x:c>
      <x:c r="L1121" t="n">
        <x:v>102107.5</x:v>
      </x:c>
      <x:c r="M1121" t="n">
        <x:v>102219</x:v>
      </x:c>
      <x:c r="N1121" t="n">
        <x:v>102310</x:v>
      </x:c>
      <x:c r="O1121" t="n">
        <x:v>102401</x:v>
      </x:c>
    </x:row>
    <x:row r="1122">
      <x:c r="A1122" t="str">
        <x:v>Telangana</x:v>
      </x:c>
      <x:c r="B1122" t="str">
        <x:v>All India except Central University</x:v>
      </x:c>
      <x:c r="C1122" t="str">
        <x:v>200598</x:v>
      </x:c>
      <x:c r="D1122" t="str">
        <x:v>Government Medical College, Bhadradri Kothagudem, Besides Sammakka Saarakka temple, Opp KSM Petrol bunk, end of 6th Battalion Rd, Palvancha, Telangana</x:v>
      </x:c>
      <x:c r="E1122" t="str">
        <x:v>All India</x:v>
      </x:c>
      <x:c r="F1122" t="str">
        <x:v>SC PwD</x:v>
      </x:c>
      <x:c r="G1122" t="n">
        <x:v>1</x:v>
      </x:c>
      <x:c r="H1122" t="n">
        <x:v>1</x:v>
      </x:c>
      <x:c r="I1122" t="n">
        <x:f>G1122-H1122</x:f>
        <x:v>0</x:v>
      </x:c>
      <x:c r="J1122" s="20" t="n">
        <x:f>IFERROR(H1122/G1122,0)</x:f>
        <x:v>1</x:v>
      </x:c>
      <x:c r="K1122" t="n">
        <x:v>1156130</x:v>
      </x:c>
      <x:c r="L1122" t="n">
        <x:v>1156130</x:v>
      </x:c>
      <x:c r="M1122" t="n">
        <x:v>1156130</x:v>
      </x:c>
      <x:c r="N1122" t="n">
        <x:v>1156130</x:v>
      </x:c>
      <x:c r="O1122" t="n">
        <x:v>1156130</x:v>
      </x:c>
    </x:row>
    <x:row r="1123">
      <x:c r="A1123" t="str">
        <x:v>Telangana</x:v>
      </x:c>
      <x:c r="B1123" t="str">
        <x:v>All India except Central University</x:v>
      </x:c>
      <x:c r="C1123" t="str">
        <x:v>200598</x:v>
      </x:c>
      <x:c r="D1123" t="str">
        <x:v>Government Medical College, Bhadradri Kothagudem, Besides Sammakka Saarakka temple, Opp KSM Petrol bunk, end of 6th Battalion Rd, Palvancha, Telangana</x:v>
      </x:c>
      <x:c r="E1123" t="str">
        <x:v>All India</x:v>
      </x:c>
      <x:c r="F1123" t="str">
        <x:v>ST</x:v>
      </x:c>
      <x:c r="G1123" t="n">
        <x:v>1</x:v>
      </x:c>
      <x:c r="H1123" t="n">
        <x:v>1</x:v>
      </x:c>
      <x:c r="I1123" t="n">
        <x:f>G1123-H1123</x:f>
        <x:v>0</x:v>
      </x:c>
      <x:c r="J1123" s="20" t="n">
        <x:f>IFERROR(H1123/G1123,0)</x:f>
        <x:v>1</x:v>
      </x:c>
      <x:c r="K1123" t="n">
        <x:v>126433</x:v>
      </x:c>
      <x:c r="L1123" t="n">
        <x:v>126433</x:v>
      </x:c>
      <x:c r="M1123" t="n">
        <x:v>126433</x:v>
      </x:c>
      <x:c r="N1123" t="n">
        <x:v>126433</x:v>
      </x:c>
      <x:c r="O1123" t="n">
        <x:v>126433</x:v>
      </x:c>
    </x:row>
    <x:row r="1124">
      <x:c r="A1124" t="str">
        <x:v>Telangana</x:v>
      </x:c>
      <x:c r="B1124" t="str">
        <x:v>All India except Central University</x:v>
      </x:c>
      <x:c r="C1124" t="str">
        <x:v>200598</x:v>
      </x:c>
      <x:c r="D1124" t="str">
        <x:v>Government Medical College, Bhadradri Kothagudem, Besides Sammakka Saarakka temple, Opp KSM Petrol bunk, end of 6th Battalion Rd, Palvancha, Telangana</x:v>
      </x:c>
      <x:c r="E1124" t="str">
        <x:v>All India</x:v>
      </x:c>
      <x:c r="F1124" t="str">
        <x:v>ST PwD</x:v>
      </x:c>
      <x:c r="G1124" t="n">
        <x:v>1</x:v>
      </x:c>
      <x:c r="H1124" t="n">
        <x:v>1</x:v>
      </x:c>
      <x:c r="I1124" t="n">
        <x:f>G1124-H1124</x:f>
        <x:v>0</x:v>
      </x:c>
      <x:c r="J1124" s="20" t="n">
        <x:f>IFERROR(H1124/G1124,0)</x:f>
        <x:v>1</x:v>
      </x:c>
      <x:c r="K1124" t="n">
        <x:v>915632</x:v>
      </x:c>
      <x:c r="L1124" t="n">
        <x:v>915632</x:v>
      </x:c>
      <x:c r="M1124" t="n">
        <x:v>915632</x:v>
      </x:c>
      <x:c r="N1124" t="n">
        <x:v>915632</x:v>
      </x:c>
      <x:c r="O1124" t="n">
        <x:v>915632</x:v>
      </x:c>
    </x:row>
    <x:row r="1125">
      <x:c r="A1125" t="str">
        <x:v>Maharashtra</x:v>
      </x:c>
      <x:c r="B1125" t="str">
        <x:v>All India except Central University</x:v>
      </x:c>
      <x:c r="C1125" t="str">
        <x:v>903359</x:v>
      </x:c>
      <x:c r="D1125" t="str">
        <x:v>Government Medical College, Bhandara, District Hospital Campus, Sant Kabir Ward, Bhandara</x:v>
      </x:c>
      <x:c r="E1125" t="str">
        <x:v>All India</x:v>
      </x:c>
      <x:c r="F1125" t="str">
        <x:v>EWS</x:v>
      </x:c>
      <x:c r="G1125" t="n">
        <x:v>1</x:v>
      </x:c>
      <x:c r="H1125" t="n">
        <x:v>1</x:v>
      </x:c>
      <x:c r="I1125" t="n">
        <x:f>G1125-H1125</x:f>
        <x:v>0</x:v>
      </x:c>
      <x:c r="J1125" s="20" t="n">
        <x:f>IFERROR(H1125/G1125,0)</x:f>
        <x:v>1</x:v>
      </x:c>
      <x:c r="K1125" t="n">
        <x:v>21903</x:v>
      </x:c>
      <x:c r="L1125" t="n">
        <x:v>21903</x:v>
      </x:c>
      <x:c r="M1125" t="n">
        <x:v>21903</x:v>
      </x:c>
      <x:c r="N1125" t="n">
        <x:v>21903</x:v>
      </x:c>
      <x:c r="O1125" t="n">
        <x:v>21903</x:v>
      </x:c>
    </x:row>
    <x:row r="1126">
      <x:c r="A1126" t="str">
        <x:v>Maharashtra</x:v>
      </x:c>
      <x:c r="B1126" t="str">
        <x:v>All India except Central University</x:v>
      </x:c>
      <x:c r="C1126" t="str">
        <x:v>903359</x:v>
      </x:c>
      <x:c r="D1126" t="str">
        <x:v>Government Medical College, Bhandara, District Hospital Campus, Sant Kabir Ward, Bhandara</x:v>
      </x:c>
      <x:c r="E1126" t="str">
        <x:v>All India</x:v>
      </x:c>
      <x:c r="F1126" t="str">
        <x:v>OBC</x:v>
      </x:c>
      <x:c r="G1126" t="n">
        <x:v>5</x:v>
      </x:c>
      <x:c r="H1126" t="n">
        <x:v>5</x:v>
      </x:c>
      <x:c r="I1126" t="n">
        <x:f>G1126-H1126</x:f>
        <x:v>0</x:v>
      </x:c>
      <x:c r="J1126" s="20" t="n">
        <x:f>IFERROR(H1126/G1126,0)</x:f>
        <x:v>1</x:v>
      </x:c>
      <x:c r="K1126" t="n">
        <x:v>18713</x:v>
      </x:c>
      <x:c r="L1126" t="n">
        <x:v>19143</x:v>
      </x:c>
      <x:c r="M1126" t="n">
        <x:v>19278</x:v>
      </x:c>
      <x:c r="N1126" t="n">
        <x:v>19297</x:v>
      </x:c>
      <x:c r="O1126" t="n">
        <x:v>19352</x:v>
      </x:c>
    </x:row>
    <x:row r="1127">
      <x:c r="A1127" t="str">
        <x:v>Maharashtra</x:v>
      </x:c>
      <x:c r="B1127" t="str">
        <x:v>All India except Central University</x:v>
      </x:c>
      <x:c r="C1127" t="str">
        <x:v>903359</x:v>
      </x:c>
      <x:c r="D1127" t="str">
        <x:v>Government Medical College, Bhandara, District Hospital Campus, Sant Kabir Ward, Bhandara</x:v>
      </x:c>
      <x:c r="E1127" t="str">
        <x:v>All India</x:v>
      </x:c>
      <x:c r="F1127" t="str">
        <x:v>Open</x:v>
      </x:c>
      <x:c r="G1127" t="n">
        <x:v>6</x:v>
      </x:c>
      <x:c r="H1127" t="n">
        <x:v>6</x:v>
      </x:c>
      <x:c r="I1127" t="n">
        <x:f>G1127-H1127</x:f>
        <x:v>0</x:v>
      </x:c>
      <x:c r="J1127" s="20" t="n">
        <x:f>IFERROR(H1127/G1127,0)</x:f>
        <x:v>1</x:v>
      </x:c>
      <x:c r="K1127" t="n">
        <x:v>16568</x:v>
      </x:c>
      <x:c r="L1127" t="n">
        <x:v>18053</x:v>
      </x:c>
      <x:c r="M1127" t="n">
        <x:v>18305</x:v>
      </x:c>
      <x:c r="N1127" t="n">
        <x:v>18426.5</x:v>
      </x:c>
      <x:c r="O1127" t="n">
        <x:v>18616</x:v>
      </x:c>
    </x:row>
    <x:row r="1128">
      <x:c r="A1128" t="str">
        <x:v>Maharashtra</x:v>
      </x:c>
      <x:c r="B1128" t="str">
        <x:v>All India except Central University</x:v>
      </x:c>
      <x:c r="C1128" t="str">
        <x:v>903359</x:v>
      </x:c>
      <x:c r="D1128" t="str">
        <x:v>Government Medical College, Bhandara, District Hospital Campus, Sant Kabir Ward, Bhandara</x:v>
      </x:c>
      <x:c r="E1128" t="str">
        <x:v>All India</x:v>
      </x:c>
      <x:c r="F1128" t="str">
        <x:v>SC</x:v>
      </x:c>
      <x:c r="G1128" t="n">
        <x:v>2</x:v>
      </x:c>
      <x:c r="H1128" t="n">
        <x:v>2</x:v>
      </x:c>
      <x:c r="I1128" t="n">
        <x:f>G1128-H1128</x:f>
        <x:v>0</x:v>
      </x:c>
      <x:c r="J1128" s="20" t="n">
        <x:f>IFERROR(H1128/G1128,0)</x:f>
        <x:v>1</x:v>
      </x:c>
      <x:c r="K1128" t="n">
        <x:v>89237</x:v>
      </x:c>
      <x:c r="L1128" t="n">
        <x:v>89984</x:v>
      </x:c>
      <x:c r="M1128" t="n">
        <x:v>90731</x:v>
      </x:c>
      <x:c r="N1128" t="n">
        <x:v>91478</x:v>
      </x:c>
      <x:c r="O1128" t="n">
        <x:v>92225</x:v>
      </x:c>
    </x:row>
    <x:row r="1129">
      <x:c r="A1129" t="str">
        <x:v>Maharashtra</x:v>
      </x:c>
      <x:c r="B1129" t="str">
        <x:v>All India except Central University</x:v>
      </x:c>
      <x:c r="C1129" t="str">
        <x:v>903359</x:v>
      </x:c>
      <x:c r="D1129" t="str">
        <x:v>Government Medical College, Bhandara, District Hospital Campus, Sant Kabir Ward, Bhandara</x:v>
      </x:c>
      <x:c r="E1129" t="str">
        <x:v>All India</x:v>
      </x:c>
      <x:c r="F1129" t="str">
        <x:v>ST</x:v>
      </x:c>
      <x:c r="G1129" t="n">
        <x:v>1</x:v>
      </x:c>
      <x:c r="H1129" t="n">
        <x:v>1</x:v>
      </x:c>
      <x:c r="I1129" t="n">
        <x:f>G1129-H1129</x:f>
        <x:v>0</x:v>
      </x:c>
      <x:c r="J1129" s="20" t="n">
        <x:f>IFERROR(H1129/G1129,0)</x:f>
        <x:v>1</x:v>
      </x:c>
      <x:c r="K1129" t="n">
        <x:v>117072</x:v>
      </x:c>
      <x:c r="L1129" t="n">
        <x:v>117072</x:v>
      </x:c>
      <x:c r="M1129" t="n">
        <x:v>117072</x:v>
      </x:c>
      <x:c r="N1129" t="n">
        <x:v>117072</x:v>
      </x:c>
      <x:c r="O1129" t="n">
        <x:v>117072</x:v>
      </x:c>
    </x:row>
    <x:row r="1130">
      <x:c r="A1130" t="str">
        <x:v>Rajasthan</x:v>
      </x:c>
      <x:c r="B1130" t="str">
        <x:v>All India except Central University</x:v>
      </x:c>
      <x:c r="C1130" t="str">
        <x:v>200432</x:v>
      </x:c>
      <x:c r="D1130" t="str">
        <x:v>Government Medical College, Bharatpur, Rajasthan, Rampura, NH- 21,Sever Road,Bharatpur,Rajasthan</x:v>
      </x:c>
      <x:c r="E1130" t="str">
        <x:v>All India</x:v>
      </x:c>
      <x:c r="F1130" t="str">
        <x:v>EWS</x:v>
      </x:c>
      <x:c r="G1130" t="n">
        <x:v>2</x:v>
      </x:c>
      <x:c r="H1130" t="n">
        <x:v>2</x:v>
      </x:c>
      <x:c r="I1130" t="n">
        <x:f>G1130-H1130</x:f>
        <x:v>0</x:v>
      </x:c>
      <x:c r="J1130" s="20" t="n">
        <x:f>IFERROR(H1130/G1130,0)</x:f>
        <x:v>1</x:v>
      </x:c>
      <x:c r="K1130" t="n">
        <x:v>8141</x:v>
      </x:c>
      <x:c r="L1130" t="n">
        <x:v>8414.25</x:v>
      </x:c>
      <x:c r="M1130" t="n">
        <x:v>8687.5</x:v>
      </x:c>
      <x:c r="N1130" t="n">
        <x:v>8960.75</x:v>
      </x:c>
      <x:c r="O1130" t="n">
        <x:v>9234</x:v>
      </x:c>
    </x:row>
    <x:row r="1131">
      <x:c r="A1131" t="str">
        <x:v>Rajasthan</x:v>
      </x:c>
      <x:c r="B1131" t="str">
        <x:v>All India except Central University</x:v>
      </x:c>
      <x:c r="C1131" t="str">
        <x:v>200432</x:v>
      </x:c>
      <x:c r="D1131" t="str">
        <x:v>Government Medical College, Bharatpur, Rajasthan, Rampura, NH- 21,Sever Road,Bharatpur,Rajasthan</x:v>
      </x:c>
      <x:c r="E1131" t="str">
        <x:v>All India</x:v>
      </x:c>
      <x:c r="F1131" t="str">
        <x:v>OBC</x:v>
      </x:c>
      <x:c r="G1131" t="n">
        <x:v>6</x:v>
      </x:c>
      <x:c r="H1131" t="n">
        <x:v>6</x:v>
      </x:c>
      <x:c r="I1131" t="n">
        <x:f>G1131-H1131</x:f>
        <x:v>0</x:v>
      </x:c>
      <x:c r="J1131" s="20" t="n">
        <x:f>IFERROR(H1131/G1131,0)</x:f>
        <x:v>1</x:v>
      </x:c>
      <x:c r="K1131" t="n">
        <x:v>8059</x:v>
      </x:c>
      <x:c r="L1131" t="n">
        <x:v>8097.25</x:v>
      </x:c>
      <x:c r="M1131" t="n">
        <x:v>8535.5</x:v>
      </x:c>
      <x:c r="N1131" t="n">
        <x:v>8904.75</x:v>
      </x:c>
      <x:c r="O1131" t="n">
        <x:v>9031</x:v>
      </x:c>
    </x:row>
    <x:row r="1132">
      <x:c r="A1132" t="str">
        <x:v>Rajasthan</x:v>
      </x:c>
      <x:c r="B1132" t="str">
        <x:v>All India except Central University</x:v>
      </x:c>
      <x:c r="C1132" t="str">
        <x:v>200432</x:v>
      </x:c>
      <x:c r="D1132" t="str">
        <x:v>Government Medical College, Bharatpur, Rajasthan, Rampura, NH- 21,Sever Road,Bharatpur,Rajasthan</x:v>
      </x:c>
      <x:c r="E1132" t="str">
        <x:v>All India</x:v>
      </x:c>
      <x:c r="F1132" t="str">
        <x:v>Open</x:v>
      </x:c>
      <x:c r="G1132" t="n">
        <x:v>9</x:v>
      </x:c>
      <x:c r="H1132" t="n">
        <x:v>9</x:v>
      </x:c>
      <x:c r="I1132" t="n">
        <x:f>G1132-H1132</x:f>
        <x:v>0</x:v>
      </x:c>
      <x:c r="J1132" s="20" t="n">
        <x:f>IFERROR(H1132/G1132,0)</x:f>
        <x:v>1</x:v>
      </x:c>
      <x:c r="K1132" t="n">
        <x:v>4533</x:v>
      </x:c>
      <x:c r="L1132" t="n">
        <x:v>7479</x:v>
      </x:c>
      <x:c r="M1132" t="n">
        <x:v>7627</x:v>
      </x:c>
      <x:c r="N1132" t="n">
        <x:v>7788</x:v>
      </x:c>
      <x:c r="O1132" t="n">
        <x:v>7942</x:v>
      </x:c>
    </x:row>
    <x:row r="1133">
      <x:c r="A1133" t="str">
        <x:v>Rajasthan</x:v>
      </x:c>
      <x:c r="B1133" t="str">
        <x:v>All India except Central University</x:v>
      </x:c>
      <x:c r="C1133" t="str">
        <x:v>200432</x:v>
      </x:c>
      <x:c r="D1133" t="str">
        <x:v>Government Medical College, Bharatpur, Rajasthan, Rampura, NH- 21,Sever Road,Bharatpur,Rajasthan</x:v>
      </x:c>
      <x:c r="E1133" t="str">
        <x:v>All India</x:v>
      </x:c>
      <x:c r="F1133" t="str">
        <x:v>Open PwD</x:v>
      </x:c>
      <x:c r="G1133" t="n">
        <x:v>1</x:v>
      </x:c>
      <x:c r="H1133" t="n">
        <x:v>1</x:v>
      </x:c>
      <x:c r="I1133" t="n">
        <x:f>G1133-H1133</x:f>
        <x:v>0</x:v>
      </x:c>
      <x:c r="J1133" s="20" t="n">
        <x:f>IFERROR(H1133/G1133,0)</x:f>
        <x:v>1</x:v>
      </x:c>
      <x:c r="K1133" t="n">
        <x:v>448924</x:v>
      </x:c>
      <x:c r="L1133" t="n">
        <x:v>448924</x:v>
      </x:c>
      <x:c r="M1133" t="n">
        <x:v>448924</x:v>
      </x:c>
      <x:c r="N1133" t="n">
        <x:v>448924</x:v>
      </x:c>
      <x:c r="O1133" t="n">
        <x:v>448924</x:v>
      </x:c>
    </x:row>
    <x:row r="1134">
      <x:c r="A1134" t="str">
        <x:v>Rajasthan</x:v>
      </x:c>
      <x:c r="B1134" t="str">
        <x:v>All India except Central University</x:v>
      </x:c>
      <x:c r="C1134" t="str">
        <x:v>200432</x:v>
      </x:c>
      <x:c r="D1134" t="str">
        <x:v>Government Medical College, Bharatpur, Rajasthan, Rampura, NH- 21,Sever Road,Bharatpur,Rajasthan</x:v>
      </x:c>
      <x:c r="E1134" t="str">
        <x:v>All India</x:v>
      </x:c>
      <x:c r="F1134" t="str">
        <x:v>SC</x:v>
      </x:c>
      <x:c r="G1134" t="n">
        <x:v>2</x:v>
      </x:c>
      <x:c r="H1134" t="n">
        <x:v>2</x:v>
      </x:c>
      <x:c r="I1134" t="n">
        <x:f>G1134-H1134</x:f>
        <x:v>0</x:v>
      </x:c>
      <x:c r="J1134" s="20" t="n">
        <x:f>IFERROR(H1134/G1134,0)</x:f>
        <x:v>1</x:v>
      </x:c>
      <x:c r="K1134" t="n">
        <x:v>52458</x:v>
      </x:c>
      <x:c r="L1134" t="n">
        <x:v>52465</x:v>
      </x:c>
      <x:c r="M1134" t="n">
        <x:v>52472</x:v>
      </x:c>
      <x:c r="N1134" t="n">
        <x:v>52479</x:v>
      </x:c>
      <x:c r="O1134" t="n">
        <x:v>52486</x:v>
      </x:c>
    </x:row>
    <x:row r="1135">
      <x:c r="A1135" t="str">
        <x:v>Rajasthan</x:v>
      </x:c>
      <x:c r="B1135" t="str">
        <x:v>All India except Central University</x:v>
      </x:c>
      <x:c r="C1135" t="str">
        <x:v>200432</x:v>
      </x:c>
      <x:c r="D1135" t="str">
        <x:v>Government Medical College, Bharatpur, Rajasthan, Rampura, NH- 21,Sever Road,Bharatpur,Rajasthan</x:v>
      </x:c>
      <x:c r="E1135" t="str">
        <x:v>All India</x:v>
      </x:c>
      <x:c r="F1135" t="str">
        <x:v>SC PwD</x:v>
      </x:c>
      <x:c r="G1135" t="n">
        <x:v>1</x:v>
      </x:c>
      <x:c r="H1135" t="n">
        <x:v>1</x:v>
      </x:c>
      <x:c r="I1135" t="n">
        <x:f>G1135-H1135</x:f>
        <x:v>0</x:v>
      </x:c>
      <x:c r="J1135" s="20" t="n">
        <x:f>IFERROR(H1135/G1135,0)</x:f>
        <x:v>1</x:v>
      </x:c>
      <x:c r="K1135" t="n">
        <x:v>1020776</x:v>
      </x:c>
      <x:c r="L1135" t="n">
        <x:v>1020776</x:v>
      </x:c>
      <x:c r="M1135" t="n">
        <x:v>1020776</x:v>
      </x:c>
      <x:c r="N1135" t="n">
        <x:v>1020776</x:v>
      </x:c>
      <x:c r="O1135" t="n">
        <x:v>1020776</x:v>
      </x:c>
    </x:row>
    <x:row r="1136">
      <x:c r="A1136" t="str">
        <x:v>Rajasthan</x:v>
      </x:c>
      <x:c r="B1136" t="str">
        <x:v>All India except Central University</x:v>
      </x:c>
      <x:c r="C1136" t="str">
        <x:v>200432</x:v>
      </x:c>
      <x:c r="D1136" t="str">
        <x:v>Government Medical College, Bharatpur, Rajasthan, Rampura, NH- 21,Sever Road,Bharatpur,Rajasthan</x:v>
      </x:c>
      <x:c r="E1136" t="str">
        <x:v>All India</x:v>
      </x:c>
      <x:c r="F1136" t="str">
        <x:v>ST</x:v>
      </x:c>
      <x:c r="G1136" t="n">
        <x:v>1</x:v>
      </x:c>
      <x:c r="H1136" t="n">
        <x:v>1</x:v>
      </x:c>
      <x:c r="I1136" t="n">
        <x:f>G1136-H1136</x:f>
        <x:v>0</x:v>
      </x:c>
      <x:c r="J1136" s="20" t="n">
        <x:f>IFERROR(H1136/G1136,0)</x:f>
        <x:v>1</x:v>
      </x:c>
      <x:c r="K1136" t="n">
        <x:v>45737</x:v>
      </x:c>
      <x:c r="L1136" t="n">
        <x:v>45737</x:v>
      </x:c>
      <x:c r="M1136" t="n">
        <x:v>45737</x:v>
      </x:c>
      <x:c r="N1136" t="n">
        <x:v>45737</x:v>
      </x:c>
      <x:c r="O1136" t="n">
        <x:v>45737</x:v>
      </x:c>
    </x:row>
    <x:row r="1137">
      <x:c r="A1137" t="str">
        <x:v>Gujarat</x:v>
      </x:c>
      <x:c r="B1137" t="str">
        <x:v>All India except Central University</x:v>
      </x:c>
      <x:c r="C1137" t="str">
        <x:v>200143</x:v>
      </x:c>
      <x:c r="D1137" t="str">
        <x:v>Government Medical College, Bhavnagar, Government Medical College, Near Life Science Department, Gradi Gate, Maharaja Krishnakumarsinghji B</x:v>
      </x:c>
      <x:c r="E1137" t="str">
        <x:v>All India</x:v>
      </x:c>
      <x:c r="F1137" t="str">
        <x:v>EWS</x:v>
      </x:c>
      <x:c r="G1137" t="n">
        <x:v>3</x:v>
      </x:c>
      <x:c r="H1137" t="n">
        <x:v>3</x:v>
      </x:c>
      <x:c r="I1137" t="n">
        <x:f>G1137-H1137</x:f>
        <x:v>0</x:v>
      </x:c>
      <x:c r="J1137" s="20" t="n">
        <x:f>IFERROR(H1137/G1137,0)</x:f>
        <x:v>1</x:v>
      </x:c>
      <x:c r="K1137" t="n">
        <x:v>9297</x:v>
      </x:c>
      <x:c r="L1137" t="n">
        <x:v>9536</x:v>
      </x:c>
      <x:c r="M1137" t="n">
        <x:v>9775</x:v>
      </x:c>
      <x:c r="N1137" t="n">
        <x:v>9886</x:v>
      </x:c>
      <x:c r="O1137" t="n">
        <x:v>9997</x:v>
      </x:c>
    </x:row>
    <x:row r="1138">
      <x:c r="A1138" t="str">
        <x:v>Gujarat</x:v>
      </x:c>
      <x:c r="B1138" t="str">
        <x:v>All India except Central University</x:v>
      </x:c>
      <x:c r="C1138" t="str">
        <x:v>200143</x:v>
      </x:c>
      <x:c r="D1138" t="str">
        <x:v>Government Medical College, Bhavnagar, Government Medical College, Near Life Science Department, Gradi Gate, Maharaja Krishnakumarsinghji B</x:v>
      </x:c>
      <x:c r="E1138" t="str">
        <x:v>All India</x:v>
      </x:c>
      <x:c r="F1138" t="str">
        <x:v>OBC</x:v>
      </x:c>
      <x:c r="G1138" t="n">
        <x:v>8</x:v>
      </x:c>
      <x:c r="H1138" t="n">
        <x:v>8</x:v>
      </x:c>
      <x:c r="I1138" t="n">
        <x:f>G1138-H1138</x:f>
        <x:v>0</x:v>
      </x:c>
      <x:c r="J1138" s="20" t="n">
        <x:f>IFERROR(H1138/G1138,0)</x:f>
        <x:v>1</x:v>
      </x:c>
      <x:c r="K1138" t="n">
        <x:v>7548</x:v>
      </x:c>
      <x:c r="L1138" t="n">
        <x:v>7883.25</x:v>
      </x:c>
      <x:c r="M1138" t="n">
        <x:v>8019</x:v>
      </x:c>
      <x:c r="N1138" t="n">
        <x:v>8041.5</x:v>
      </x:c>
      <x:c r="O1138" t="n">
        <x:v>8063</x:v>
      </x:c>
    </x:row>
    <x:row r="1139">
      <x:c r="A1139" t="str">
        <x:v>Gujarat</x:v>
      </x:c>
      <x:c r="B1139" t="str">
        <x:v>All India except Central University</x:v>
      </x:c>
      <x:c r="C1139" t="str">
        <x:v>200143</x:v>
      </x:c>
      <x:c r="D1139" t="str">
        <x:v>Government Medical College, Bhavnagar, Government Medical College, Near Life Science Department, Gradi Gate, Maharaja Krishnakumarsinghji B</x:v>
      </x:c>
      <x:c r="E1139" t="str">
        <x:v>All India</x:v>
      </x:c>
      <x:c r="F1139" t="str">
        <x:v>Open</x:v>
      </x:c>
      <x:c r="G1139" t="n">
        <x:v>11</x:v>
      </x:c>
      <x:c r="H1139" t="n">
        <x:v>11</x:v>
      </x:c>
      <x:c r="I1139" t="n">
        <x:f>G1139-H1139</x:f>
        <x:v>0</x:v>
      </x:c>
      <x:c r="J1139" s="20" t="n">
        <x:f>IFERROR(H1139/G1139,0)</x:f>
        <x:v>1</x:v>
      </x:c>
      <x:c r="K1139" t="n">
        <x:v>5536</x:v>
      </x:c>
      <x:c r="L1139" t="n">
        <x:v>5971</x:v>
      </x:c>
      <x:c r="M1139" t="n">
        <x:v>7075</x:v>
      </x:c>
      <x:c r="N1139" t="n">
        <x:v>7284.5</x:v>
      </x:c>
      <x:c r="O1139" t="n">
        <x:v>7473</x:v>
      </x:c>
    </x:row>
    <x:row r="1140">
      <x:c r="A1140" t="str">
        <x:v>Gujarat</x:v>
      </x:c>
      <x:c r="B1140" t="str">
        <x:v>All India except Central University</x:v>
      </x:c>
      <x:c r="C1140" t="str">
        <x:v>200143</x:v>
      </x:c>
      <x:c r="D1140" t="str">
        <x:v>Government Medical College, Bhavnagar, Government Medical College, Near Life Science Department, Gradi Gate, Maharaja Krishnakumarsinghji B</x:v>
      </x:c>
      <x:c r="E1140" t="str">
        <x:v>All India</x:v>
      </x:c>
      <x:c r="F1140" t="str">
        <x:v>Open PwD</x:v>
      </x:c>
      <x:c r="G1140" t="n">
        <x:v>1</x:v>
      </x:c>
      <x:c r="H1140" t="n">
        <x:v>1</x:v>
      </x:c>
      <x:c r="I1140" t="n">
        <x:f>G1140-H1140</x:f>
        <x:v>0</x:v>
      </x:c>
      <x:c r="J1140" s="20" t="n">
        <x:f>IFERROR(H1140/G1140,0)</x:f>
        <x:v>1</x:v>
      </x:c>
      <x:c r="K1140" t="n">
        <x:v>485662</x:v>
      </x:c>
      <x:c r="L1140" t="n">
        <x:v>485662</x:v>
      </x:c>
      <x:c r="M1140" t="n">
        <x:v>485662</x:v>
      </x:c>
      <x:c r="N1140" t="n">
        <x:v>485662</x:v>
      </x:c>
      <x:c r="O1140" t="n">
        <x:v>485662</x:v>
      </x:c>
    </x:row>
    <x:row r="1141">
      <x:c r="A1141" t="str">
        <x:v>Gujarat</x:v>
      </x:c>
      <x:c r="B1141" t="str">
        <x:v>All India except Central University</x:v>
      </x:c>
      <x:c r="C1141" t="str">
        <x:v>200143</x:v>
      </x:c>
      <x:c r="D1141" t="str">
        <x:v>Government Medical College, Bhavnagar, Government Medical College, Near Life Science Department, Gradi Gate, Maharaja Krishnakumarsinghji B</x:v>
      </x:c>
      <x:c r="E1141" t="str">
        <x:v>All India</x:v>
      </x:c>
      <x:c r="F1141" t="str">
        <x:v>SC</x:v>
      </x:c>
      <x:c r="G1141" t="n">
        <x:v>4</x:v>
      </x:c>
      <x:c r="H1141" t="n">
        <x:v>4</x:v>
      </x:c>
      <x:c r="I1141" t="n">
        <x:f>G1141-H1141</x:f>
        <x:v>0</x:v>
      </x:c>
      <x:c r="J1141" s="20" t="n">
        <x:f>IFERROR(H1141/G1141,0)</x:f>
        <x:v>1</x:v>
      </x:c>
      <x:c r="K1141" t="n">
        <x:v>42835</x:v>
      </x:c>
      <x:c r="L1141" t="n">
        <x:v>45922</x:v>
      </x:c>
      <x:c r="M1141" t="n">
        <x:v>47056.5</x:v>
      </x:c>
      <x:c r="N1141" t="n">
        <x:v>47233.25</x:v>
      </x:c>
      <x:c r="O1141" t="n">
        <x:v>47447</x:v>
      </x:c>
    </x:row>
    <x:row r="1142">
      <x:c r="A1142" t="str">
        <x:v>Gujarat</x:v>
      </x:c>
      <x:c r="B1142" t="str">
        <x:v>All India except Central University</x:v>
      </x:c>
      <x:c r="C1142" t="str">
        <x:v>200143</x:v>
      </x:c>
      <x:c r="D1142" t="str">
        <x:v>Government Medical College, Bhavnagar, Government Medical College, Near Life Science Department, Gradi Gate, Maharaja Krishnakumarsinghji B</x:v>
      </x:c>
      <x:c r="E1142" t="str">
        <x:v>All India</x:v>
      </x:c>
      <x:c r="F1142" t="str">
        <x:v>ST</x:v>
      </x:c>
      <x:c r="G1142" t="n">
        <x:v>3</x:v>
      </x:c>
      <x:c r="H1142" t="n">
        <x:v>3</x:v>
      </x:c>
      <x:c r="I1142" t="n">
        <x:f>G1142-H1142</x:f>
        <x:v>0</x:v>
      </x:c>
      <x:c r="J1142" s="20" t="n">
        <x:f>IFERROR(H1142/G1142,0)</x:f>
        <x:v>1</x:v>
      </x:c>
      <x:c r="K1142" t="n">
        <x:v>67369</x:v>
      </x:c>
      <x:c r="L1142" t="n">
        <x:v>67434</x:v>
      </x:c>
      <x:c r="M1142" t="n">
        <x:v>67499</x:v>
      </x:c>
      <x:c r="N1142" t="n">
        <x:v>67509.5</x:v>
      </x:c>
      <x:c r="O1142" t="n">
        <x:v>67520</x:v>
      </x:c>
    </x:row>
    <x:row r="1143">
      <x:c r="A1143" t="str">
        <x:v>Rajasthan</x:v>
      </x:c>
      <x:c r="B1143" t="str">
        <x:v>All India except Central University</x:v>
      </x:c>
      <x:c r="C1143" t="str">
        <x:v>200433</x:v>
      </x:c>
      <x:c r="D1143" t="str">
        <x:v>Government Medical College, Bhilwara, Rajasthan, Sindari Ke Balaji Road, Sanganer, Bhilwara</x:v>
      </x:c>
      <x:c r="E1143" t="str">
        <x:v>All India</x:v>
      </x:c>
      <x:c r="F1143" t="str">
        <x:v>EWS</x:v>
      </x:c>
      <x:c r="G1143" t="n">
        <x:v>3</x:v>
      </x:c>
      <x:c r="H1143" t="n">
        <x:v>3</x:v>
      </x:c>
      <x:c r="I1143" t="n">
        <x:f>G1143-H1143</x:f>
        <x:v>0</x:v>
      </x:c>
      <x:c r="J1143" s="20" t="n">
        <x:f>IFERROR(H1143/G1143,0)</x:f>
        <x:v>1</x:v>
      </x:c>
      <x:c r="K1143" t="n">
        <x:v>7983</x:v>
      </x:c>
      <x:c r="L1143" t="n">
        <x:v>8585</x:v>
      </x:c>
      <x:c r="M1143" t="n">
        <x:v>9187</x:v>
      </x:c>
      <x:c r="N1143" t="n">
        <x:v>9589.5</x:v>
      </x:c>
      <x:c r="O1143" t="n">
        <x:v>9992</x:v>
      </x:c>
    </x:row>
    <x:row r="1144">
      <x:c r="A1144" t="str">
        <x:v>Rajasthan</x:v>
      </x:c>
      <x:c r="B1144" t="str">
        <x:v>All India except Central University</x:v>
      </x:c>
      <x:c r="C1144" t="str">
        <x:v>200433</x:v>
      </x:c>
      <x:c r="D1144" t="str">
        <x:v>Government Medical College, Bhilwara, Rajasthan, Sindari Ke Balaji Road, Sanganer, Bhilwara</x:v>
      </x:c>
      <x:c r="E1144" t="str">
        <x:v>All India</x:v>
      </x:c>
      <x:c r="F1144" t="str">
        <x:v>OBC</x:v>
      </x:c>
      <x:c r="G1144" t="n">
        <x:v>5</x:v>
      </x:c>
      <x:c r="H1144" t="n">
        <x:v>5</x:v>
      </x:c>
      <x:c r="I1144" t="n">
        <x:f>G1144-H1144</x:f>
        <x:v>0</x:v>
      </x:c>
      <x:c r="J1144" s="20" t="n">
        <x:f>IFERROR(H1144/G1144,0)</x:f>
        <x:v>1</x:v>
      </x:c>
      <x:c r="K1144" t="n">
        <x:v>7557</x:v>
      </x:c>
      <x:c r="L1144" t="n">
        <x:v>7580</x:v>
      </x:c>
      <x:c r="M1144" t="n">
        <x:v>7610</x:v>
      </x:c>
      <x:c r="N1144" t="n">
        <x:v>7780</x:v>
      </x:c>
      <x:c r="O1144" t="n">
        <x:v>7858</x:v>
      </x:c>
    </x:row>
    <x:row r="1145">
      <x:c r="A1145" t="str">
        <x:v>Rajasthan</x:v>
      </x:c>
      <x:c r="B1145" t="str">
        <x:v>All India except Central University</x:v>
      </x:c>
      <x:c r="C1145" t="str">
        <x:v>200433</x:v>
      </x:c>
      <x:c r="D1145" t="str">
        <x:v>Government Medical College, Bhilwara, Rajasthan, Sindari Ke Balaji Road, Sanganer, Bhilwara</x:v>
      </x:c>
      <x:c r="E1145" t="str">
        <x:v>All India</x:v>
      </x:c>
      <x:c r="F1145" t="str">
        <x:v>OBC PwD</x:v>
      </x:c>
      <x:c r="G1145" t="n">
        <x:v>1</x:v>
      </x:c>
      <x:c r="H1145" t="n">
        <x:v>1</x:v>
      </x:c>
      <x:c r="I1145" t="n">
        <x:f>G1145-H1145</x:f>
        <x:v>0</x:v>
      </x:c>
      <x:c r="J1145" s="20" t="n">
        <x:f>IFERROR(H1145/G1145,0)</x:f>
        <x:v>1</x:v>
      </x:c>
      <x:c r="K1145" t="n">
        <x:v>452056</x:v>
      </x:c>
      <x:c r="L1145" t="n">
        <x:v>452056</x:v>
      </x:c>
      <x:c r="M1145" t="n">
        <x:v>452056</x:v>
      </x:c>
      <x:c r="N1145" t="n">
        <x:v>452056</x:v>
      </x:c>
      <x:c r="O1145" t="n">
        <x:v>452056</x:v>
      </x:c>
    </x:row>
    <x:row r="1146">
      <x:c r="A1146" t="str">
        <x:v>Rajasthan</x:v>
      </x:c>
      <x:c r="B1146" t="str">
        <x:v>All India except Central University</x:v>
      </x:c>
      <x:c r="C1146" t="str">
        <x:v>200433</x:v>
      </x:c>
      <x:c r="D1146" t="str">
        <x:v>Government Medical College, Bhilwara, Rajasthan, Sindari Ke Balaji Road, Sanganer, Bhilwara</x:v>
      </x:c>
      <x:c r="E1146" t="str">
        <x:v>All India</x:v>
      </x:c>
      <x:c r="F1146" t="str">
        <x:v>Open</x:v>
      </x:c>
      <x:c r="G1146" t="n">
        <x:v>7</x:v>
      </x:c>
      <x:c r="H1146" t="n">
        <x:v>7</x:v>
      </x:c>
      <x:c r="I1146" t="n">
        <x:f>G1146-H1146</x:f>
        <x:v>0</x:v>
      </x:c>
      <x:c r="J1146" s="20" t="n">
        <x:f>IFERROR(H1146/G1146,0)</x:f>
        <x:v>1</x:v>
      </x:c>
      <x:c r="K1146" t="n">
        <x:v>6072</x:v>
      </x:c>
      <x:c r="L1146" t="n">
        <x:v>6894</x:v>
      </x:c>
      <x:c r="M1146" t="n">
        <x:v>7100</x:v>
      </x:c>
      <x:c r="N1146" t="n">
        <x:v>7427.5</x:v>
      </x:c>
      <x:c r="O1146" t="n">
        <x:v>7501</x:v>
      </x:c>
    </x:row>
    <x:row r="1147">
      <x:c r="A1147" t="str">
        <x:v>Rajasthan</x:v>
      </x:c>
      <x:c r="B1147" t="str">
        <x:v>All India except Central University</x:v>
      </x:c>
      <x:c r="C1147" t="str">
        <x:v>200433</x:v>
      </x:c>
      <x:c r="D1147" t="str">
        <x:v>Government Medical College, Bhilwara, Rajasthan, Sindari Ke Balaji Road, Sanganer, Bhilwara</x:v>
      </x:c>
      <x:c r="E1147" t="str">
        <x:v>All India</x:v>
      </x:c>
      <x:c r="F1147" t="str">
        <x:v>SC</x:v>
      </x:c>
      <x:c r="G1147" t="n">
        <x:v>4</x:v>
      </x:c>
      <x:c r="H1147" t="n">
        <x:v>4</x:v>
      </x:c>
      <x:c r="I1147" t="n">
        <x:f>G1147-H1147</x:f>
        <x:v>0</x:v>
      </x:c>
      <x:c r="J1147" s="20" t="n">
        <x:f>IFERROR(H1147/G1147,0)</x:f>
        <x:v>1</x:v>
      </x:c>
      <x:c r="K1147" t="n">
        <x:v>45206</x:v>
      </x:c>
      <x:c r="L1147" t="n">
        <x:v>46913</x:v>
      </x:c>
      <x:c r="M1147" t="n">
        <x:v>49100</x:v>
      </x:c>
      <x:c r="N1147" t="n">
        <x:v>50769.25</x:v>
      </x:c>
      <x:c r="O1147" t="n">
        <x:v>50923</x:v>
      </x:c>
    </x:row>
    <x:row r="1148">
      <x:c r="A1148" t="str">
        <x:v>Rajasthan</x:v>
      </x:c>
      <x:c r="B1148" t="str">
        <x:v>All India except Central University</x:v>
      </x:c>
      <x:c r="C1148" t="str">
        <x:v>200433</x:v>
      </x:c>
      <x:c r="D1148" t="str">
        <x:v>Government Medical College, Bhilwara, Rajasthan, Sindari Ke Balaji Road, Sanganer, Bhilwara</x:v>
      </x:c>
      <x:c r="E1148" t="str">
        <x:v>All India</x:v>
      </x:c>
      <x:c r="F1148" t="str">
        <x:v>ST</x:v>
      </x:c>
      <x:c r="G1148" t="n">
        <x:v>2</x:v>
      </x:c>
      <x:c r="H1148" t="n">
        <x:v>2</x:v>
      </x:c>
      <x:c r="I1148" t="n">
        <x:f>G1148-H1148</x:f>
        <x:v>0</x:v>
      </x:c>
      <x:c r="J1148" s="20" t="n">
        <x:f>IFERROR(H1148/G1148,0)</x:f>
        <x:v>1</x:v>
      </x:c>
      <x:c r="K1148" t="n">
        <x:v>60773</x:v>
      </x:c>
      <x:c r="L1148" t="n">
        <x:v>62064.5</x:v>
      </x:c>
      <x:c r="M1148" t="n">
        <x:v>63356</x:v>
      </x:c>
      <x:c r="N1148" t="n">
        <x:v>64647.5</x:v>
      </x:c>
      <x:c r="O1148" t="n">
        <x:v>65939</x:v>
      </x:c>
    </x:row>
    <x:row r="1149">
      <x:c r="A1149" t="str">
        <x:v>Maharashtra</x:v>
      </x:c>
      <x:c r="B1149" t="str">
        <x:v>All India except Central University</x:v>
      </x:c>
      <x:c r="C1149" t="str">
        <x:v>903356</x:v>
      </x:c>
      <x:c r="D1149" t="str">
        <x:v>Government Medical College, Buldhana, DISTRICT WOMEN HOSPITAL, T.B. HOSPITAL CAMPUS, DHAD ROAD, BULDHANA.</x:v>
      </x:c>
      <x:c r="E1149" t="str">
        <x:v>All India</x:v>
      </x:c>
      <x:c r="F1149" t="str">
        <x:v>EWS</x:v>
      </x:c>
      <x:c r="G1149" t="n">
        <x:v>1</x:v>
      </x:c>
      <x:c r="H1149" t="n">
        <x:v>1</x:v>
      </x:c>
      <x:c r="I1149" t="n">
        <x:f>G1149-H1149</x:f>
        <x:v>0</x:v>
      </x:c>
      <x:c r="J1149" s="20" t="n">
        <x:f>IFERROR(H1149/G1149,0)</x:f>
        <x:v>1</x:v>
      </x:c>
      <x:c r="K1149" t="n">
        <x:v>21652</x:v>
      </x:c>
      <x:c r="L1149" t="n">
        <x:v>21652</x:v>
      </x:c>
      <x:c r="M1149" t="n">
        <x:v>21652</x:v>
      </x:c>
      <x:c r="N1149" t="n">
        <x:v>21652</x:v>
      </x:c>
      <x:c r="O1149" t="n">
        <x:v>21652</x:v>
      </x:c>
    </x:row>
    <x:row r="1150">
      <x:c r="A1150" t="str">
        <x:v>Maharashtra</x:v>
      </x:c>
      <x:c r="B1150" t="str">
        <x:v>All India except Central University</x:v>
      </x:c>
      <x:c r="C1150" t="str">
        <x:v>903356</x:v>
      </x:c>
      <x:c r="D1150" t="str">
        <x:v>Government Medical College, Buldhana, DISTRICT WOMEN HOSPITAL, T.B. HOSPITAL CAMPUS, DHAD ROAD, BULDHANA.</x:v>
      </x:c>
      <x:c r="E1150" t="str">
        <x:v>All India</x:v>
      </x:c>
      <x:c r="F1150" t="str">
        <x:v>OBC</x:v>
      </x:c>
      <x:c r="G1150" t="n">
        <x:v>4</x:v>
      </x:c>
      <x:c r="H1150" t="n">
        <x:v>4</x:v>
      </x:c>
      <x:c r="I1150" t="n">
        <x:f>G1150-H1150</x:f>
        <x:v>0</x:v>
      </x:c>
      <x:c r="J1150" s="20" t="n">
        <x:f>IFERROR(H1150/G1150,0)</x:f>
        <x:v>1</x:v>
      </x:c>
      <x:c r="K1150" t="n">
        <x:v>18489</x:v>
      </x:c>
      <x:c r="L1150" t="n">
        <x:v>18568.5</x:v>
      </x:c>
      <x:c r="M1150" t="n">
        <x:v>18611</x:v>
      </x:c>
      <x:c r="N1150" t="n">
        <x:v>18766</x:v>
      </x:c>
      <x:c r="O1150" t="n">
        <x:v>19183</x:v>
      </x:c>
    </x:row>
    <x:row r="1151">
      <x:c r="A1151" t="str">
        <x:v>Maharashtra</x:v>
      </x:c>
      <x:c r="B1151" t="str">
        <x:v>All India except Central University</x:v>
      </x:c>
      <x:c r="C1151" t="str">
        <x:v>903356</x:v>
      </x:c>
      <x:c r="D1151" t="str">
        <x:v>Government Medical College, Buldhana, DISTRICT WOMEN HOSPITAL, T.B. HOSPITAL CAMPUS, DHAD ROAD, BULDHANA.</x:v>
      </x:c>
      <x:c r="E1151" t="str">
        <x:v>All India</x:v>
      </x:c>
      <x:c r="F1151" t="str">
        <x:v>Open</x:v>
      </x:c>
      <x:c r="G1151" t="n">
        <x:v>6</x:v>
      </x:c>
      <x:c r="H1151" t="n">
        <x:v>6</x:v>
      </x:c>
      <x:c r="I1151" t="n">
        <x:f>G1151-H1151</x:f>
        <x:v>0</x:v>
      </x:c>
      <x:c r="J1151" s="20" t="n">
        <x:f>IFERROR(H1151/G1151,0)</x:f>
        <x:v>1</x:v>
      </x:c>
      <x:c r="K1151" t="n">
        <x:v>14175</x:v>
      </x:c>
      <x:c r="L1151" t="n">
        <x:v>18055.5</x:v>
      </x:c>
      <x:c r="M1151" t="n">
        <x:v>18197.5</x:v>
      </x:c>
      <x:c r="N1151" t="n">
        <x:v>18254</x:v>
      </x:c>
      <x:c r="O1151" t="n">
        <x:v>18456</x:v>
      </x:c>
    </x:row>
    <x:row r="1152">
      <x:c r="A1152" t="str">
        <x:v>Maharashtra</x:v>
      </x:c>
      <x:c r="B1152" t="str">
        <x:v>All India except Central University</x:v>
      </x:c>
      <x:c r="C1152" t="str">
        <x:v>903356</x:v>
      </x:c>
      <x:c r="D1152" t="str">
        <x:v>Government Medical College, Buldhana, DISTRICT WOMEN HOSPITAL, T.B. HOSPITAL CAMPUS, DHAD ROAD, BULDHANA.</x:v>
      </x:c>
      <x:c r="E1152" t="str">
        <x:v>All India</x:v>
      </x:c>
      <x:c r="F1152" t="str">
        <x:v>SC</x:v>
      </x:c>
      <x:c r="G1152" t="n">
        <x:v>2</x:v>
      </x:c>
      <x:c r="H1152" t="n">
        <x:v>2</x:v>
      </x:c>
      <x:c r="I1152" t="n">
        <x:f>G1152-H1152</x:f>
        <x:v>0</x:v>
      </x:c>
      <x:c r="J1152" s="20" t="n">
        <x:f>IFERROR(H1152/G1152,0)</x:f>
        <x:v>1</x:v>
      </x:c>
      <x:c r="K1152" t="n">
        <x:v>83080</x:v>
      </x:c>
      <x:c r="L1152" t="n">
        <x:v>83687.25</x:v>
      </x:c>
      <x:c r="M1152" t="n">
        <x:v>84294.5</x:v>
      </x:c>
      <x:c r="N1152" t="n">
        <x:v>84901.75</x:v>
      </x:c>
      <x:c r="O1152" t="n">
        <x:v>85509</x:v>
      </x:c>
    </x:row>
    <x:row r="1153">
      <x:c r="A1153" t="str">
        <x:v>Maharashtra</x:v>
      </x:c>
      <x:c r="B1153" t="str">
        <x:v>All India except Central University</x:v>
      </x:c>
      <x:c r="C1153" t="str">
        <x:v>903356</x:v>
      </x:c>
      <x:c r="D1153" t="str">
        <x:v>Government Medical College, Buldhana, DISTRICT WOMEN HOSPITAL, T.B. HOSPITAL CAMPUS, DHAD ROAD, BULDHANA.</x:v>
      </x:c>
      <x:c r="E1153" t="str">
        <x:v>All India</x:v>
      </x:c>
      <x:c r="F1153" t="str">
        <x:v>SC PwD</x:v>
      </x:c>
      <x:c r="G1153" t="n">
        <x:v>1</x:v>
      </x:c>
      <x:c r="H1153" t="n">
        <x:v>1</x:v>
      </x:c>
      <x:c r="I1153" t="n">
        <x:f>G1153-H1153</x:f>
        <x:v>0</x:v>
      </x:c>
      <x:c r="J1153" s="20" t="n">
        <x:f>IFERROR(H1153/G1153,0)</x:f>
        <x:v>1</x:v>
      </x:c>
      <x:c r="K1153" t="n">
        <x:v>702168</x:v>
      </x:c>
      <x:c r="L1153" t="n">
        <x:v>702168</x:v>
      </x:c>
      <x:c r="M1153" t="n">
        <x:v>702168</x:v>
      </x:c>
      <x:c r="N1153" t="n">
        <x:v>702168</x:v>
      </x:c>
      <x:c r="O1153" t="n">
        <x:v>702168</x:v>
      </x:c>
    </x:row>
    <x:row r="1154">
      <x:c r="A1154" t="str">
        <x:v>Maharashtra</x:v>
      </x:c>
      <x:c r="B1154" t="str">
        <x:v>All India except Central University</x:v>
      </x:c>
      <x:c r="C1154" t="str">
        <x:v>903356</x:v>
      </x:c>
      <x:c r="D1154" t="str">
        <x:v>Government Medical College, Buldhana, DISTRICT WOMEN HOSPITAL, T.B. HOSPITAL CAMPUS, DHAD ROAD, BULDHANA.</x:v>
      </x:c>
      <x:c r="E1154" t="str">
        <x:v>All India</x:v>
      </x:c>
      <x:c r="F1154" t="str">
        <x:v>ST</x:v>
      </x:c>
      <x:c r="G1154" t="n">
        <x:v>1</x:v>
      </x:c>
      <x:c r="H1154" t="n">
        <x:v>1</x:v>
      </x:c>
      <x:c r="I1154" t="n">
        <x:f>G1154-H1154</x:f>
        <x:v>0</x:v>
      </x:c>
      <x:c r="J1154" s="20" t="n">
        <x:f>IFERROR(H1154/G1154,0)</x:f>
        <x:v>1</x:v>
      </x:c>
      <x:c r="K1154" t="n">
        <x:v>117206</x:v>
      </x:c>
      <x:c r="L1154" t="n">
        <x:v>117206</x:v>
      </x:c>
      <x:c r="M1154" t="n">
        <x:v>117206</x:v>
      </x:c>
      <x:c r="N1154" t="n">
        <x:v>117206</x:v>
      </x:c>
      <x:c r="O1154" t="n">
        <x:v>117206</x:v>
      </x:c>
    </x:row>
    <x:row r="1155">
      <x:c r="A1155" t="str">
        <x:v>Rajasthan</x:v>
      </x:c>
      <x:c r="B1155" t="str">
        <x:v>All India except Central University</x:v>
      </x:c>
      <x:c r="C1155" t="str">
        <x:v>200686</x:v>
      </x:c>
      <x:c r="D1155" t="str">
        <x:v>Government Medical College, Bundi, GOVT MEDICAL COLLEGE BUNDI</x:v>
      </x:c>
      <x:c r="E1155" t="str">
        <x:v>All India</x:v>
      </x:c>
      <x:c r="F1155" t="str">
        <x:v>EWS</x:v>
      </x:c>
      <x:c r="G1155" t="n">
        <x:v>1</x:v>
      </x:c>
      <x:c r="H1155" t="n">
        <x:v>1</x:v>
      </x:c>
      <x:c r="I1155" t="n">
        <x:f>G1155-H1155</x:f>
        <x:v>0</x:v>
      </x:c>
      <x:c r="J1155" s="20" t="n">
        <x:f>IFERROR(H1155/G1155,0)</x:f>
        <x:v>1</x:v>
      </x:c>
      <x:c r="K1155" t="n">
        <x:v>13565</x:v>
      </x:c>
      <x:c r="L1155" t="n">
        <x:v>13565</x:v>
      </x:c>
      <x:c r="M1155" t="n">
        <x:v>13565</x:v>
      </x:c>
      <x:c r="N1155" t="n">
        <x:v>13565</x:v>
      </x:c>
      <x:c r="O1155" t="n">
        <x:v>13565</x:v>
      </x:c>
    </x:row>
    <x:row r="1156">
      <x:c r="A1156" t="str">
        <x:v>Rajasthan</x:v>
      </x:c>
      <x:c r="B1156" t="str">
        <x:v>All India except Central University</x:v>
      </x:c>
      <x:c r="C1156" t="str">
        <x:v>200686</x:v>
      </x:c>
      <x:c r="D1156" t="str">
        <x:v>Government Medical College, Bundi, GOVT MEDICAL COLLEGE BUNDI</x:v>
      </x:c>
      <x:c r="E1156" t="str">
        <x:v>All India</x:v>
      </x:c>
      <x:c r="F1156" t="str">
        <x:v>OBC</x:v>
      </x:c>
      <x:c r="G1156" t="n">
        <x:v>4</x:v>
      </x:c>
      <x:c r="H1156" t="n">
        <x:v>4</x:v>
      </x:c>
      <x:c r="I1156" t="n">
        <x:f>G1156-H1156</x:f>
        <x:v>0</x:v>
      </x:c>
      <x:c r="J1156" s="20" t="n">
        <x:f>IFERROR(H1156/G1156,0)</x:f>
        <x:v>1</x:v>
      </x:c>
      <x:c r="K1156" t="n">
        <x:v>10691</x:v>
      </x:c>
      <x:c r="L1156" t="n">
        <x:v>11131.25</x:v>
      </x:c>
      <x:c r="M1156" t="n">
        <x:v>11330.5</x:v>
      </x:c>
      <x:c r="N1156" t="n">
        <x:v>11431.25</x:v>
      </x:c>
      <x:c r="O1156" t="n">
        <x:v>11576</x:v>
      </x:c>
    </x:row>
    <x:row r="1157">
      <x:c r="A1157" t="str">
        <x:v>Rajasthan</x:v>
      </x:c>
      <x:c r="B1157" t="str">
        <x:v>All India except Central University</x:v>
      </x:c>
      <x:c r="C1157" t="str">
        <x:v>200686</x:v>
      </x:c>
      <x:c r="D1157" t="str">
        <x:v>Government Medical College, Bundi, GOVT MEDICAL COLLEGE BUNDI</x:v>
      </x:c>
      <x:c r="E1157" t="str">
        <x:v>All India</x:v>
      </x:c>
      <x:c r="F1157" t="str">
        <x:v>Open</x:v>
      </x:c>
      <x:c r="G1157" t="n">
        <x:v>7</x:v>
      </x:c>
      <x:c r="H1157" t="n">
        <x:v>7</x:v>
      </x:c>
      <x:c r="I1157" t="n">
        <x:f>G1157-H1157</x:f>
        <x:v>0</x:v>
      </x:c>
      <x:c r="J1157" s="20" t="n">
        <x:f>IFERROR(H1157/G1157,0)</x:f>
        <x:v>1</x:v>
      </x:c>
      <x:c r="K1157" t="n">
        <x:v>8167</x:v>
      </x:c>
      <x:c r="L1157" t="n">
        <x:v>10093</x:v>
      </x:c>
      <x:c r="M1157" t="n">
        <x:v>10346</x:v>
      </x:c>
      <x:c r="N1157" t="n">
        <x:v>10448.5</x:v>
      </x:c>
      <x:c r="O1157" t="n">
        <x:v>10638</x:v>
      </x:c>
    </x:row>
    <x:row r="1158">
      <x:c r="A1158" t="str">
        <x:v>Rajasthan</x:v>
      </x:c>
      <x:c r="B1158" t="str">
        <x:v>All India except Central University</x:v>
      </x:c>
      <x:c r="C1158" t="str">
        <x:v>200686</x:v>
      </x:c>
      <x:c r="D1158" t="str">
        <x:v>Government Medical College, Bundi, GOVT MEDICAL COLLEGE BUNDI</x:v>
      </x:c>
      <x:c r="E1158" t="str">
        <x:v>All India</x:v>
      </x:c>
      <x:c r="F1158" t="str">
        <x:v>SC</x:v>
      </x:c>
      <x:c r="G1158" t="n">
        <x:v>2</x:v>
      </x:c>
      <x:c r="H1158" t="n">
        <x:v>2</x:v>
      </x:c>
      <x:c r="I1158" t="n">
        <x:f>G1158-H1158</x:f>
        <x:v>0</x:v>
      </x:c>
      <x:c r="J1158" s="20" t="n">
        <x:f>IFERROR(H1158/G1158,0)</x:f>
        <x:v>1</x:v>
      </x:c>
      <x:c r="K1158" t="n">
        <x:v>51151</x:v>
      </x:c>
      <x:c r="L1158" t="n">
        <x:v>54652.75</x:v>
      </x:c>
      <x:c r="M1158" t="n">
        <x:v>58154.5</x:v>
      </x:c>
      <x:c r="N1158" t="n">
        <x:v>61656.25</x:v>
      </x:c>
      <x:c r="O1158" t="n">
        <x:v>65158</x:v>
      </x:c>
    </x:row>
    <x:row r="1159">
      <x:c r="A1159" t="str">
        <x:v>Rajasthan</x:v>
      </x:c>
      <x:c r="B1159" t="str">
        <x:v>All India except Central University</x:v>
      </x:c>
      <x:c r="C1159" t="str">
        <x:v>200686</x:v>
      </x:c>
      <x:c r="D1159" t="str">
        <x:v>Government Medical College, Bundi, GOVT MEDICAL COLLEGE BUNDI</x:v>
      </x:c>
      <x:c r="E1159" t="str">
        <x:v>All India</x:v>
      </x:c>
      <x:c r="F1159" t="str">
        <x:v>ST</x:v>
      </x:c>
      <x:c r="G1159" t="n">
        <x:v>1</x:v>
      </x:c>
      <x:c r="H1159" t="n">
        <x:v>1</x:v>
      </x:c>
      <x:c r="I1159" t="n">
        <x:f>G1159-H1159</x:f>
        <x:v>0</x:v>
      </x:c>
      <x:c r="J1159" s="20" t="n">
        <x:f>IFERROR(H1159/G1159,0)</x:f>
        <x:v>1</x:v>
      </x:c>
      <x:c r="K1159" t="n">
        <x:v>70746</x:v>
      </x:c>
      <x:c r="L1159" t="n">
        <x:v>70746</x:v>
      </x:c>
      <x:c r="M1159" t="n">
        <x:v>70746</x:v>
      </x:c>
      <x:c r="N1159" t="n">
        <x:v>70746</x:v>
      </x:c>
      <x:c r="O1159" t="n">
        <x:v>70746</x:v>
      </x:c>
    </x:row>
    <x:row r="1160">
      <x:c r="A1160" t="str">
        <x:v>Chandigarh</x:v>
      </x:c>
      <x:c r="B1160" t="str">
        <x:v>All India except Central University</x:v>
      </x:c>
      <x:c r="C1160" t="str">
        <x:v>200119</x:v>
      </x:c>
      <x:c r="D1160" t="str">
        <x:v>Government Medical College, Chandigarh, GOVERNMENT MEDICAL COLLEGE AND HOSPITAL, SECTOR 32, CHANDIGARH</x:v>
      </x:c>
      <x:c r="E1160" t="str">
        <x:v>All India</x:v>
      </x:c>
      <x:c r="F1160" t="str">
        <x:v>EWS</x:v>
      </x:c>
      <x:c r="G1160" t="n">
        <x:v>4</x:v>
      </x:c>
      <x:c r="H1160" t="n">
        <x:v>4</x:v>
      </x:c>
      <x:c r="I1160" t="n">
        <x:f>G1160-H1160</x:f>
        <x:v>0</x:v>
      </x:c>
      <x:c r="J1160" s="20" t="n">
        <x:f>IFERROR(H1160/G1160,0)</x:f>
        <x:v>1</x:v>
      </x:c>
      <x:c r="K1160" t="n">
        <x:v>1293</x:v>
      </x:c>
      <x:c r="L1160" t="n">
        <x:v>1308</x:v>
      </x:c>
      <x:c r="M1160" t="n">
        <x:v>1506</x:v>
      </x:c>
      <x:c r="N1160" t="n">
        <x:v>1791.75</x:v>
      </x:c>
      <x:c r="O1160" t="n">
        <x:v>2070</x:v>
      </x:c>
    </x:row>
    <x:row r="1161">
      <x:c r="A1161" t="str">
        <x:v>Chandigarh</x:v>
      </x:c>
      <x:c r="B1161" t="str">
        <x:v>All India except Central University</x:v>
      </x:c>
      <x:c r="C1161" t="str">
        <x:v>200119</x:v>
      </x:c>
      <x:c r="D1161" t="str">
        <x:v>Government Medical College, Chandigarh, GOVERNMENT MEDICAL COLLEGE AND HOSPITAL, SECTOR 32, CHANDIGARH</x:v>
      </x:c>
      <x:c r="E1161" t="str">
        <x:v>All India</x:v>
      </x:c>
      <x:c r="F1161" t="str">
        <x:v>OBC</x:v>
      </x:c>
      <x:c r="G1161" t="n">
        <x:v>8</x:v>
      </x:c>
      <x:c r="H1161" t="n">
        <x:v>8</x:v>
      </x:c>
      <x:c r="I1161" t="n">
        <x:f>G1161-H1161</x:f>
        <x:v>0</x:v>
      </x:c>
      <x:c r="J1161" s="20" t="n">
        <x:f>IFERROR(H1161/G1161,0)</x:f>
        <x:v>1</x:v>
      </x:c>
      <x:c r="K1161" t="n">
        <x:v>1589</x:v>
      </x:c>
      <x:c r="L1161" t="n">
        <x:v>2114.25</x:v>
      </x:c>
      <x:c r="M1161" t="n">
        <x:v>2270</x:v>
      </x:c>
      <x:c r="N1161" t="n">
        <x:v>2341.25</x:v>
      </x:c>
      <x:c r="O1161" t="n">
        <x:v>2476</x:v>
      </x:c>
    </x:row>
    <x:row r="1162">
      <x:c r="A1162" t="str">
        <x:v>Chandigarh</x:v>
      </x:c>
      <x:c r="B1162" t="str">
        <x:v>All India except Central University</x:v>
      </x:c>
      <x:c r="C1162" t="str">
        <x:v>200119</x:v>
      </x:c>
      <x:c r="D1162" t="str">
        <x:v>Government Medical College, Chandigarh, GOVERNMENT MEDICAL COLLEGE AND HOSPITAL, SECTOR 32, CHANDIGARH</x:v>
      </x:c>
      <x:c r="E1162" t="str">
        <x:v>All India</x:v>
      </x:c>
      <x:c r="F1162" t="str">
        <x:v>Open</x:v>
      </x:c>
      <x:c r="G1162" t="n">
        <x:v>11</x:v>
      </x:c>
      <x:c r="H1162" t="n">
        <x:v>11</x:v>
      </x:c>
      <x:c r="I1162" t="n">
        <x:f>G1162-H1162</x:f>
        <x:v>0</x:v>
      </x:c>
      <x:c r="J1162" s="20" t="n">
        <x:f>IFERROR(H1162/G1162,0)</x:f>
        <x:v>1</x:v>
      </x:c>
      <x:c r="K1162" t="n">
        <x:v>139</x:v>
      </x:c>
      <x:c r="L1162" t="n">
        <x:v>334</x:v>
      </x:c>
      <x:c r="M1162" t="n">
        <x:v>529</x:v>
      </x:c>
      <x:c r="N1162" t="n">
        <x:v>694.5</x:v>
      </x:c>
      <x:c r="O1162" t="n">
        <x:v>704</x:v>
      </x:c>
    </x:row>
    <x:row r="1163">
      <x:c r="A1163" t="str">
        <x:v>Chandigarh</x:v>
      </x:c>
      <x:c r="B1163" t="str">
        <x:v>All India except Central University</x:v>
      </x:c>
      <x:c r="C1163" t="str">
        <x:v>200119</x:v>
      </x:c>
      <x:c r="D1163" t="str">
        <x:v>Government Medical College, Chandigarh, GOVERNMENT MEDICAL COLLEGE AND HOSPITAL, SECTOR 32, CHANDIGARH</x:v>
      </x:c>
      <x:c r="E1163" t="str">
        <x:v>All India</x:v>
      </x:c>
      <x:c r="F1163" t="str">
        <x:v>SC</x:v>
      </x:c>
      <x:c r="G1163" t="n">
        <x:v>4</x:v>
      </x:c>
      <x:c r="H1163" t="n">
        <x:v>4</x:v>
      </x:c>
      <x:c r="I1163" t="n">
        <x:f>G1163-H1163</x:f>
        <x:v>0</x:v>
      </x:c>
      <x:c r="J1163" s="20" t="n">
        <x:f>IFERROR(H1163/G1163,0)</x:f>
        <x:v>1</x:v>
      </x:c>
      <x:c r="K1163" t="n">
        <x:v>6772</x:v>
      </x:c>
      <x:c r="L1163" t="n">
        <x:v>7322.5</x:v>
      </x:c>
      <x:c r="M1163" t="n">
        <x:v>10983.5</x:v>
      </x:c>
      <x:c r="N1163" t="n">
        <x:v>14989.25</x:v>
      </x:c>
      <x:c r="O1163" t="n">
        <x:v>16574</x:v>
      </x:c>
    </x:row>
    <x:row r="1164">
      <x:c r="A1164" t="str">
        <x:v>Chandigarh</x:v>
      </x:c>
      <x:c r="B1164" t="str">
        <x:v>All India except Central University</x:v>
      </x:c>
      <x:c r="C1164" t="str">
        <x:v>200119</x:v>
      </x:c>
      <x:c r="D1164" t="str">
        <x:v>Government Medical College, Chandigarh, GOVERNMENT MEDICAL COLLEGE AND HOSPITAL, SECTOR 32, CHANDIGARH</x:v>
      </x:c>
      <x:c r="E1164" t="str">
        <x:v>All India</x:v>
      </x:c>
      <x:c r="F1164" t="str">
        <x:v>ST</x:v>
      </x:c>
      <x:c r="G1164" t="n">
        <x:v>3</x:v>
      </x:c>
      <x:c r="H1164" t="n">
        <x:v>3</x:v>
      </x:c>
      <x:c r="I1164" t="n">
        <x:f>G1164-H1164</x:f>
        <x:v>0</x:v>
      </x:c>
      <x:c r="J1164" s="20" t="n">
        <x:f>IFERROR(H1164/G1164,0)</x:f>
        <x:v>1</x:v>
      </x:c>
      <x:c r="K1164" t="n">
        <x:v>19083</x:v>
      </x:c>
      <x:c r="L1164" t="n">
        <x:v>22159</x:v>
      </x:c>
      <x:c r="M1164" t="n">
        <x:v>25235</x:v>
      </x:c>
      <x:c r="N1164" t="n">
        <x:v>28049</x:v>
      </x:c>
      <x:c r="O1164" t="n">
        <x:v>30863</x:v>
      </x:c>
    </x:row>
    <x:row r="1165">
      <x:c r="A1165" t="str">
        <x:v>Maharashtra</x:v>
      </x:c>
      <x:c r="B1165" t="str">
        <x:v>All India except Central University</x:v>
      </x:c>
      <x:c r="C1165" t="str">
        <x:v>200216</x:v>
      </x:c>
      <x:c r="D1165" t="str">
        <x:v>Government Medical College, Chandrapur, KMSK GOVT. MEDICAL COLLEGE CHANDRAPUR, RAM NAGAR, CHANDRAPUR</x:v>
      </x:c>
      <x:c r="E1165" t="str">
        <x:v>All India</x:v>
      </x:c>
      <x:c r="F1165" t="str">
        <x:v>EWS</x:v>
      </x:c>
      <x:c r="G1165" t="n">
        <x:v>2</x:v>
      </x:c>
      <x:c r="H1165" t="n">
        <x:v>2</x:v>
      </x:c>
      <x:c r="I1165" t="n">
        <x:f>G1165-H1165</x:f>
        <x:v>0</x:v>
      </x:c>
      <x:c r="J1165" s="20" t="n">
        <x:f>IFERROR(H1165/G1165,0)</x:f>
        <x:v>1</x:v>
      </x:c>
      <x:c r="K1165" t="n">
        <x:v>19045</x:v>
      </x:c>
      <x:c r="L1165" t="n">
        <x:v>19077.5</x:v>
      </x:c>
      <x:c r="M1165" t="n">
        <x:v>19110</x:v>
      </x:c>
      <x:c r="N1165" t="n">
        <x:v>19142.5</x:v>
      </x:c>
      <x:c r="O1165" t="n">
        <x:v>19175</x:v>
      </x:c>
    </x:row>
    <x:row r="1166">
      <x:c r="A1166" t="str">
        <x:v>Maharashtra</x:v>
      </x:c>
      <x:c r="B1166" t="str">
        <x:v>All India except Central University</x:v>
      </x:c>
      <x:c r="C1166" t="str">
        <x:v>200216</x:v>
      </x:c>
      <x:c r="D1166" t="str">
        <x:v>Government Medical College, Chandrapur, KMSK GOVT. MEDICAL COLLEGE CHANDRAPUR, RAM NAGAR, CHANDRAPUR</x:v>
      </x:c>
      <x:c r="E1166" t="str">
        <x:v>All India</x:v>
      </x:c>
      <x:c r="F1166" t="str">
        <x:v>OBC</x:v>
      </x:c>
      <x:c r="G1166" t="n">
        <x:v>5</x:v>
      </x:c>
      <x:c r="H1166" t="n">
        <x:v>5</x:v>
      </x:c>
      <x:c r="I1166" t="n">
        <x:f>G1166-H1166</x:f>
        <x:v>0</x:v>
      </x:c>
      <x:c r="J1166" s="20" t="n">
        <x:f>IFERROR(H1166/G1166,0)</x:f>
        <x:v>1</x:v>
      </x:c>
      <x:c r="K1166" t="n">
        <x:v>15438</x:v>
      </x:c>
      <x:c r="L1166" t="n">
        <x:v>15883</x:v>
      </x:c>
      <x:c r="M1166" t="n">
        <x:v>15887</x:v>
      </x:c>
      <x:c r="N1166" t="n">
        <x:v>16362</x:v>
      </x:c>
      <x:c r="O1166" t="n">
        <x:v>16378</x:v>
      </x:c>
    </x:row>
    <x:row r="1167">
      <x:c r="A1167" t="str">
        <x:v>Maharashtra</x:v>
      </x:c>
      <x:c r="B1167" t="str">
        <x:v>All India except Central University</x:v>
      </x:c>
      <x:c r="C1167" t="str">
        <x:v>200216</x:v>
      </x:c>
      <x:c r="D1167" t="str">
        <x:v>Government Medical College, Chandrapur, KMSK GOVT. MEDICAL COLLEGE CHANDRAPUR, RAM NAGAR, CHANDRAPUR</x:v>
      </x:c>
      <x:c r="E1167" t="str">
        <x:v>All India</x:v>
      </x:c>
      <x:c r="F1167" t="str">
        <x:v>OBC PwD</x:v>
      </x:c>
      <x:c r="G1167" t="n">
        <x:v>1</x:v>
      </x:c>
      <x:c r="H1167" t="n">
        <x:v>1</x:v>
      </x:c>
      <x:c r="I1167" t="n">
        <x:f>G1167-H1167</x:f>
        <x:v>0</x:v>
      </x:c>
      <x:c r="J1167" s="20" t="n">
        <x:f>IFERROR(H1167/G1167,0)</x:f>
        <x:v>1</x:v>
      </x:c>
      <x:c r="K1167" t="n">
        <x:v>545532</x:v>
      </x:c>
      <x:c r="L1167" t="n">
        <x:v>545532</x:v>
      </x:c>
      <x:c r="M1167" t="n">
        <x:v>545532</x:v>
      </x:c>
      <x:c r="N1167" t="n">
        <x:v>545532</x:v>
      </x:c>
      <x:c r="O1167" t="n">
        <x:v>545532</x:v>
      </x:c>
    </x:row>
    <x:row r="1168">
      <x:c r="A1168" t="str">
        <x:v>Maharashtra</x:v>
      </x:c>
      <x:c r="B1168" t="str">
        <x:v>All India except Central University</x:v>
      </x:c>
      <x:c r="C1168" t="str">
        <x:v>200216</x:v>
      </x:c>
      <x:c r="D1168" t="str">
        <x:v>Government Medical College, Chandrapur, KMSK GOVT. MEDICAL COLLEGE CHANDRAPUR, RAM NAGAR, CHANDRAPUR</x:v>
      </x:c>
      <x:c r="E1168" t="str">
        <x:v>All India</x:v>
      </x:c>
      <x:c r="F1168" t="str">
        <x:v>Open</x:v>
      </x:c>
      <x:c r="G1168" t="n">
        <x:v>8</x:v>
      </x:c>
      <x:c r="H1168" t="n">
        <x:v>8</x:v>
      </x:c>
      <x:c r="I1168" t="n">
        <x:f>G1168-H1168</x:f>
        <x:v>0</x:v>
      </x:c>
      <x:c r="J1168" s="20" t="n">
        <x:f>IFERROR(H1168/G1168,0)</x:f>
        <x:v>1</x:v>
      </x:c>
      <x:c r="K1168" t="n">
        <x:v>8176</x:v>
      </x:c>
      <x:c r="L1168" t="n">
        <x:v>14000.5</x:v>
      </x:c>
      <x:c r="M1168" t="n">
        <x:v>14672.5</x:v>
      </x:c>
      <x:c r="N1168" t="n">
        <x:v>14806.25</x:v>
      </x:c>
      <x:c r="O1168" t="n">
        <x:v>15048</x:v>
      </x:c>
    </x:row>
    <x:row r="1169">
      <x:c r="A1169" t="str">
        <x:v>Maharashtra</x:v>
      </x:c>
      <x:c r="B1169" t="str">
        <x:v>All India except Central University</x:v>
      </x:c>
      <x:c r="C1169" t="str">
        <x:v>200216</x:v>
      </x:c>
      <x:c r="D1169" t="str">
        <x:v>Government Medical College, Chandrapur, KMSK GOVT. MEDICAL COLLEGE CHANDRAPUR, RAM NAGAR, CHANDRAPUR</x:v>
      </x:c>
      <x:c r="E1169" t="str">
        <x:v>All India</x:v>
      </x:c>
      <x:c r="F1169" t="str">
        <x:v>Open PwD</x:v>
      </x:c>
      <x:c r="G1169" t="n">
        <x:v>1</x:v>
      </x:c>
      <x:c r="H1169" t="n">
        <x:v>1</x:v>
      </x:c>
      <x:c r="I1169" t="n">
        <x:f>G1169-H1169</x:f>
        <x:v>0</x:v>
      </x:c>
      <x:c r="J1169" s="20" t="n">
        <x:f>IFERROR(H1169/G1169,0)</x:f>
        <x:v>1</x:v>
      </x:c>
      <x:c r="K1169" t="n">
        <x:v>382754</x:v>
      </x:c>
      <x:c r="L1169" t="n">
        <x:v>382754</x:v>
      </x:c>
      <x:c r="M1169" t="n">
        <x:v>382754</x:v>
      </x:c>
      <x:c r="N1169" t="n">
        <x:v>382754</x:v>
      </x:c>
      <x:c r="O1169" t="n">
        <x:v>382754</x:v>
      </x:c>
    </x:row>
    <x:row r="1170">
      <x:c r="A1170" t="str">
        <x:v>Maharashtra</x:v>
      </x:c>
      <x:c r="B1170" t="str">
        <x:v>All India except Central University</x:v>
      </x:c>
      <x:c r="C1170" t="str">
        <x:v>200216</x:v>
      </x:c>
      <x:c r="D1170" t="str">
        <x:v>Government Medical College, Chandrapur, KMSK GOVT. MEDICAL COLLEGE CHANDRAPUR, RAM NAGAR, CHANDRAPUR</x:v>
      </x:c>
      <x:c r="E1170" t="str">
        <x:v>All India</x:v>
      </x:c>
      <x:c r="F1170" t="str">
        <x:v>SC</x:v>
      </x:c>
      <x:c r="G1170" t="n">
        <x:v>3</x:v>
      </x:c>
      <x:c r="H1170" t="n">
        <x:v>3</x:v>
      </x:c>
      <x:c r="I1170" t="n">
        <x:f>G1170-H1170</x:f>
        <x:v>0</x:v>
      </x:c>
      <x:c r="J1170" s="20" t="n">
        <x:f>IFERROR(H1170/G1170,0)</x:f>
        <x:v>1</x:v>
      </x:c>
      <x:c r="K1170" t="n">
        <x:v>65042</x:v>
      </x:c>
      <x:c r="L1170" t="n">
        <x:v>66332</x:v>
      </x:c>
      <x:c r="M1170" t="n">
        <x:v>67622</x:v>
      </x:c>
      <x:c r="N1170" t="n">
        <x:v>68699</x:v>
      </x:c>
      <x:c r="O1170" t="n">
        <x:v>69776</x:v>
      </x:c>
    </x:row>
    <x:row r="1171">
      <x:c r="A1171" t="str">
        <x:v>Maharashtra</x:v>
      </x:c>
      <x:c r="B1171" t="str">
        <x:v>All India except Central University</x:v>
      </x:c>
      <x:c r="C1171" t="str">
        <x:v>200216</x:v>
      </x:c>
      <x:c r="D1171" t="str">
        <x:v>Government Medical College, Chandrapur, KMSK GOVT. MEDICAL COLLEGE CHANDRAPUR, RAM NAGAR, CHANDRAPUR</x:v>
      </x:c>
      <x:c r="E1171" t="str">
        <x:v>All India</x:v>
      </x:c>
      <x:c r="F1171" t="str">
        <x:v>ST</x:v>
      </x:c>
      <x:c r="G1171" t="n">
        <x:v>2</x:v>
      </x:c>
      <x:c r="H1171" t="n">
        <x:v>2</x:v>
      </x:c>
      <x:c r="I1171" t="n">
        <x:f>G1171-H1171</x:f>
        <x:v>0</x:v>
      </x:c>
      <x:c r="J1171" s="20" t="n">
        <x:f>IFERROR(H1171/G1171,0)</x:f>
        <x:v>1</x:v>
      </x:c>
      <x:c r="K1171" t="n">
        <x:v>108876</x:v>
      </x:c>
      <x:c r="L1171" t="n">
        <x:v>109028.75</x:v>
      </x:c>
      <x:c r="M1171" t="n">
        <x:v>109181.5</x:v>
      </x:c>
      <x:c r="N1171" t="n">
        <x:v>109334.25</x:v>
      </x:c>
      <x:c r="O1171" t="n">
        <x:v>109487</x:v>
      </x:c>
    </x:row>
    <x:row r="1172">
      <x:c r="A1172" t="str">
        <x:v>Madhya Pradesh</x:v>
      </x:c>
      <x:c r="B1172" t="str">
        <x:v>All India except Central University</x:v>
      </x:c>
      <x:c r="C1172" t="str">
        <x:v>200468</x:v>
      </x:c>
      <x:c r="D1172" t="str">
        <x:v>Government Medical College, Chhindwara, MP, Teachers Colony, Chhindwara, Madhya Pradesh 480001</x:v>
      </x:c>
      <x:c r="E1172" t="str">
        <x:v>All India</x:v>
      </x:c>
      <x:c r="F1172" t="str">
        <x:v>EWS</x:v>
      </x:c>
      <x:c r="G1172" t="n">
        <x:v>1</x:v>
      </x:c>
      <x:c r="H1172" t="n">
        <x:v>1</x:v>
      </x:c>
      <x:c r="I1172" t="n">
        <x:f>G1172-H1172</x:f>
        <x:v>0</x:v>
      </x:c>
      <x:c r="J1172" s="20" t="n">
        <x:f>IFERROR(H1172/G1172,0)</x:f>
        <x:v>1</x:v>
      </x:c>
      <x:c r="K1172" t="n">
        <x:v>14845</x:v>
      </x:c>
      <x:c r="L1172" t="n">
        <x:v>14845</x:v>
      </x:c>
      <x:c r="M1172" t="n">
        <x:v>14845</x:v>
      </x:c>
      <x:c r="N1172" t="n">
        <x:v>14845</x:v>
      </x:c>
      <x:c r="O1172" t="n">
        <x:v>14845</x:v>
      </x:c>
    </x:row>
    <x:row r="1173">
      <x:c r="A1173" t="str">
        <x:v>Madhya Pradesh</x:v>
      </x:c>
      <x:c r="B1173" t="str">
        <x:v>All India except Central University</x:v>
      </x:c>
      <x:c r="C1173" t="str">
        <x:v>200468</x:v>
      </x:c>
      <x:c r="D1173" t="str">
        <x:v>Government Medical College, Chhindwara, MP, Teachers Colony, Chhindwara, Madhya Pradesh 480001</x:v>
      </x:c>
      <x:c r="E1173" t="str">
        <x:v>All India</x:v>
      </x:c>
      <x:c r="F1173" t="str">
        <x:v>EWS PwD</x:v>
      </x:c>
      <x:c r="G1173" t="n">
        <x:v>1</x:v>
      </x:c>
      <x:c r="H1173" t="n">
        <x:v>1</x:v>
      </x:c>
      <x:c r="I1173" t="n">
        <x:f>G1173-H1173</x:f>
        <x:v>0</x:v>
      </x:c>
      <x:c r="J1173" s="20" t="n">
        <x:f>IFERROR(H1173/G1173,0)</x:f>
        <x:v>1</x:v>
      </x:c>
      <x:c r="K1173" t="n">
        <x:v>735935</x:v>
      </x:c>
      <x:c r="L1173" t="n">
        <x:v>735935</x:v>
      </x:c>
      <x:c r="M1173" t="n">
        <x:v>735935</x:v>
      </x:c>
      <x:c r="N1173" t="n">
        <x:v>735935</x:v>
      </x:c>
      <x:c r="O1173" t="n">
        <x:v>735935</x:v>
      </x:c>
    </x:row>
    <x:row r="1174">
      <x:c r="A1174" t="str">
        <x:v>Madhya Pradesh</x:v>
      </x:c>
      <x:c r="B1174" t="str">
        <x:v>All India except Central University</x:v>
      </x:c>
      <x:c r="C1174" t="str">
        <x:v>200468</x:v>
      </x:c>
      <x:c r="D1174" t="str">
        <x:v>Government Medical College, Chhindwara, MP, Teachers Colony, Chhindwara, Madhya Pradesh 480001</x:v>
      </x:c>
      <x:c r="E1174" t="str">
        <x:v>All India</x:v>
      </x:c>
      <x:c r="F1174" t="str">
        <x:v>OBC</x:v>
      </x:c>
      <x:c r="G1174" t="n">
        <x:v>6</x:v>
      </x:c>
      <x:c r="H1174" t="n">
        <x:v>6</x:v>
      </x:c>
      <x:c r="I1174" t="n">
        <x:f>G1174-H1174</x:f>
        <x:v>0</x:v>
      </x:c>
      <x:c r="J1174" s="20" t="n">
        <x:f>IFERROR(H1174/G1174,0)</x:f>
        <x:v>1</x:v>
      </x:c>
      <x:c r="K1174" t="n">
        <x:v>14412</x:v>
      </x:c>
      <x:c r="L1174" t="n">
        <x:v>14691.25</x:v>
      </x:c>
      <x:c r="M1174" t="n">
        <x:v>15544.5</x:v>
      </x:c>
      <x:c r="N1174" t="n">
        <x:v>15806.75</x:v>
      </x:c>
      <x:c r="O1174" t="n">
        <x:v>16144</x:v>
      </x:c>
    </x:row>
    <x:row r="1175">
      <x:c r="A1175" t="str">
        <x:v>Madhya Pradesh</x:v>
      </x:c>
      <x:c r="B1175" t="str">
        <x:v>All India except Central University</x:v>
      </x:c>
      <x:c r="C1175" t="str">
        <x:v>200468</x:v>
      </x:c>
      <x:c r="D1175" t="str">
        <x:v>Government Medical College, Chhindwara, MP, Teachers Colony, Chhindwara, Madhya Pradesh 480001</x:v>
      </x:c>
      <x:c r="E1175" t="str">
        <x:v>All India</x:v>
      </x:c>
      <x:c r="F1175" t="str">
        <x:v>Open</x:v>
      </x:c>
      <x:c r="G1175" t="n">
        <x:v>10</x:v>
      </x:c>
      <x:c r="H1175" t="n">
        <x:v>10</x:v>
      </x:c>
      <x:c r="I1175" t="n">
        <x:f>G1175-H1175</x:f>
        <x:v>0</x:v>
      </x:c>
      <x:c r="J1175" s="20" t="n">
        <x:f>IFERROR(H1175/G1175,0)</x:f>
        <x:v>1</x:v>
      </x:c>
      <x:c r="K1175" t="n">
        <x:v>8300</x:v>
      </x:c>
      <x:c r="L1175" t="n">
        <x:v>12985.75</x:v>
      </x:c>
      <x:c r="M1175" t="n">
        <x:v>13339</x:v>
      </x:c>
      <x:c r="N1175" t="n">
        <x:v>13729.5</x:v>
      </x:c>
      <x:c r="O1175" t="n">
        <x:v>14251</x:v>
      </x:c>
    </x:row>
    <x:row r="1176">
      <x:c r="A1176" t="str">
        <x:v>Madhya Pradesh</x:v>
      </x:c>
      <x:c r="B1176" t="str">
        <x:v>All India except Central University</x:v>
      </x:c>
      <x:c r="C1176" t="str">
        <x:v>200468</x:v>
      </x:c>
      <x:c r="D1176" t="str">
        <x:v>Government Medical College, Chhindwara, MP, Teachers Colony, Chhindwara, Madhya Pradesh 480001</x:v>
      </x:c>
      <x:c r="E1176" t="str">
        <x:v>All India</x:v>
      </x:c>
      <x:c r="F1176" t="str">
        <x:v>SC</x:v>
      </x:c>
      <x:c r="G1176" t="n">
        <x:v>2</x:v>
      </x:c>
      <x:c r="H1176" t="n">
        <x:v>2</x:v>
      </x:c>
      <x:c r="I1176" t="n">
        <x:f>G1176-H1176</x:f>
        <x:v>0</x:v>
      </x:c>
      <x:c r="J1176" s="20" t="n">
        <x:f>IFERROR(H1176/G1176,0)</x:f>
        <x:v>1</x:v>
      </x:c>
      <x:c r="K1176" t="n">
        <x:v>75230</x:v>
      </x:c>
      <x:c r="L1176" t="n">
        <x:v>75401</x:v>
      </x:c>
      <x:c r="M1176" t="n">
        <x:v>75572</x:v>
      </x:c>
      <x:c r="N1176" t="n">
        <x:v>75743</x:v>
      </x:c>
      <x:c r="O1176" t="n">
        <x:v>75914</x:v>
      </x:c>
    </x:row>
    <x:row r="1177">
      <x:c r="A1177" t="str">
        <x:v>Madhya Pradesh</x:v>
      </x:c>
      <x:c r="B1177" t="str">
        <x:v>All India except Central University</x:v>
      </x:c>
      <x:c r="C1177" t="str">
        <x:v>200468</x:v>
      </x:c>
      <x:c r="D1177" t="str">
        <x:v>Government Medical College, Chhindwara, MP, Teachers Colony, Chhindwara, Madhya Pradesh 480001</x:v>
      </x:c>
      <x:c r="E1177" t="str">
        <x:v>All India</x:v>
      </x:c>
      <x:c r="F1177" t="str">
        <x:v>SC PwD</x:v>
      </x:c>
      <x:c r="G1177" t="n">
        <x:v>1</x:v>
      </x:c>
      <x:c r="H1177" t="n">
        <x:v>1</x:v>
      </x:c>
      <x:c r="I1177" t="n">
        <x:f>G1177-H1177</x:f>
        <x:v>0</x:v>
      </x:c>
      <x:c r="J1177" s="20" t="n">
        <x:f>IFERROR(H1177/G1177,0)</x:f>
        <x:v>1</x:v>
      </x:c>
      <x:c r="K1177" t="n">
        <x:v>1151916</x:v>
      </x:c>
      <x:c r="L1177" t="n">
        <x:v>1151916</x:v>
      </x:c>
      <x:c r="M1177" t="n">
        <x:v>1151916</x:v>
      </x:c>
      <x:c r="N1177" t="n">
        <x:v>1151916</x:v>
      </x:c>
      <x:c r="O1177" t="n">
        <x:v>1151916</x:v>
      </x:c>
    </x:row>
    <x:row r="1178">
      <x:c r="A1178" t="str">
        <x:v>Madhya Pradesh</x:v>
      </x:c>
      <x:c r="B1178" t="str">
        <x:v>All India except Central University</x:v>
      </x:c>
      <x:c r="C1178" t="str">
        <x:v>200468</x:v>
      </x:c>
      <x:c r="D1178" t="str">
        <x:v>Government Medical College, Chhindwara, MP, Teachers Colony, Chhindwara, Madhya Pradesh 480001</x:v>
      </x:c>
      <x:c r="E1178" t="str">
        <x:v>All India</x:v>
      </x:c>
      <x:c r="F1178" t="str">
        <x:v>ST</x:v>
      </x:c>
      <x:c r="G1178" t="n">
        <x:v>2</x:v>
      </x:c>
      <x:c r="H1178" t="n">
        <x:v>2</x:v>
      </x:c>
      <x:c r="I1178" t="n">
        <x:f>G1178-H1178</x:f>
        <x:v>0</x:v>
      </x:c>
      <x:c r="J1178" s="20" t="n">
        <x:f>IFERROR(H1178/G1178,0)</x:f>
        <x:v>1</x:v>
      </x:c>
      <x:c r="K1178" t="n">
        <x:v>98660</x:v>
      </x:c>
      <x:c r="L1178" t="n">
        <x:v>98951.5</x:v>
      </x:c>
      <x:c r="M1178" t="n">
        <x:v>99243</x:v>
      </x:c>
      <x:c r="N1178" t="n">
        <x:v>99534.5</x:v>
      </x:c>
      <x:c r="O1178" t="n">
        <x:v>99826</x:v>
      </x:c>
    </x:row>
    <x:row r="1179">
      <x:c r="A1179" t="str">
        <x:v>Rajasthan</x:v>
      </x:c>
      <x:c r="B1179" t="str">
        <x:v>All India except Central University</x:v>
      </x:c>
      <x:c r="C1179" t="str">
        <x:v>200607</x:v>
      </x:c>
      <x:c r="D1179" t="str">
        <x:v>Government Medical College, Chittorgarh, Government Medical College Chittorgarh Bojunda - Udaipur Road Chittorgarh</x:v>
      </x:c>
      <x:c r="E1179" t="str">
        <x:v>All India</x:v>
      </x:c>
      <x:c r="F1179" t="str">
        <x:v>EWS</x:v>
      </x:c>
      <x:c r="G1179" t="n">
        <x:v>2</x:v>
      </x:c>
      <x:c r="H1179" t="n">
        <x:v>2</x:v>
      </x:c>
      <x:c r="I1179" t="n">
        <x:f>G1179-H1179</x:f>
        <x:v>0</x:v>
      </x:c>
      <x:c r="J1179" s="20" t="n">
        <x:f>IFERROR(H1179/G1179,0)</x:f>
        <x:v>1</x:v>
      </x:c>
      <x:c r="K1179" t="n">
        <x:v>11733</x:v>
      </x:c>
      <x:c r="L1179" t="n">
        <x:v>11769</x:v>
      </x:c>
      <x:c r="M1179" t="n">
        <x:v>11805</x:v>
      </x:c>
      <x:c r="N1179" t="n">
        <x:v>11841</x:v>
      </x:c>
      <x:c r="O1179" t="n">
        <x:v>11877</x:v>
      </x:c>
    </x:row>
    <x:row r="1180">
      <x:c r="A1180" t="str">
        <x:v>Rajasthan</x:v>
      </x:c>
      <x:c r="B1180" t="str">
        <x:v>All India except Central University</x:v>
      </x:c>
      <x:c r="C1180" t="str">
        <x:v>200607</x:v>
      </x:c>
      <x:c r="D1180" t="str">
        <x:v>Government Medical College, Chittorgarh, Government Medical College Chittorgarh Bojunda - Udaipur Road Chittorgarh</x:v>
      </x:c>
      <x:c r="E1180" t="str">
        <x:v>All India</x:v>
      </x:c>
      <x:c r="F1180" t="str">
        <x:v>OBC</x:v>
      </x:c>
      <x:c r="G1180" t="n">
        <x:v>4</x:v>
      </x:c>
      <x:c r="H1180" t="n">
        <x:v>4</x:v>
      </x:c>
      <x:c r="I1180" t="n">
        <x:f>G1180-H1180</x:f>
        <x:v>0</x:v>
      </x:c>
      <x:c r="J1180" s="20" t="n">
        <x:f>IFERROR(H1180/G1180,0)</x:f>
        <x:v>1</x:v>
      </x:c>
      <x:c r="K1180" t="n">
        <x:v>8702</x:v>
      </x:c>
      <x:c r="L1180" t="n">
        <x:v>9063.5</x:v>
      </x:c>
      <x:c r="M1180" t="n">
        <x:v>9186.5</x:v>
      </x:c>
      <x:c r="N1180" t="n">
        <x:v>9230.5</x:v>
      </x:c>
      <x:c r="O1180" t="n">
        <x:v>9355</x:v>
      </x:c>
    </x:row>
    <x:row r="1181">
      <x:c r="A1181" t="str">
        <x:v>Rajasthan</x:v>
      </x:c>
      <x:c r="B1181" t="str">
        <x:v>All India except Central University</x:v>
      </x:c>
      <x:c r="C1181" t="str">
        <x:v>200607</x:v>
      </x:c>
      <x:c r="D1181" t="str">
        <x:v>Government Medical College, Chittorgarh, Government Medical College Chittorgarh Bojunda - Udaipur Road Chittorgarh</x:v>
      </x:c>
      <x:c r="E1181" t="str">
        <x:v>All India</x:v>
      </x:c>
      <x:c r="F1181" t="str">
        <x:v>Open</x:v>
      </x:c>
      <x:c r="G1181" t="n">
        <x:v>5</x:v>
      </x:c>
      <x:c r="H1181" t="n">
        <x:v>5</x:v>
      </x:c>
      <x:c r="I1181" t="n">
        <x:f>G1181-H1181</x:f>
        <x:v>0</x:v>
      </x:c>
      <x:c r="J1181" s="20" t="n">
        <x:f>IFERROR(H1181/G1181,0)</x:f>
        <x:v>1</x:v>
      </x:c>
      <x:c r="K1181" t="n">
        <x:v>7961</x:v>
      </x:c>
      <x:c r="L1181" t="n">
        <x:v>8025</x:v>
      </x:c>
      <x:c r="M1181" t="n">
        <x:v>8175</x:v>
      </x:c>
      <x:c r="N1181" t="n">
        <x:v>8410</x:v>
      </x:c>
      <x:c r="O1181" t="n">
        <x:v>8528</x:v>
      </x:c>
    </x:row>
    <x:row r="1182">
      <x:c r="A1182" t="str">
        <x:v>Rajasthan</x:v>
      </x:c>
      <x:c r="B1182" t="str">
        <x:v>All India except Central University</x:v>
      </x:c>
      <x:c r="C1182" t="str">
        <x:v>200607</x:v>
      </x:c>
      <x:c r="D1182" t="str">
        <x:v>Government Medical College, Chittorgarh, Government Medical College Chittorgarh Bojunda - Udaipur Road Chittorgarh</x:v>
      </x:c>
      <x:c r="E1182" t="str">
        <x:v>All India</x:v>
      </x:c>
      <x:c r="F1182" t="str">
        <x:v>Open PwD</x:v>
      </x:c>
      <x:c r="G1182" t="n">
        <x:v>1</x:v>
      </x:c>
      <x:c r="H1182" t="n">
        <x:v>1</x:v>
      </x:c>
      <x:c r="I1182" t="n">
        <x:f>G1182-H1182</x:f>
        <x:v>0</x:v>
      </x:c>
      <x:c r="J1182" s="20" t="n">
        <x:f>IFERROR(H1182/G1182,0)</x:f>
        <x:v>1</x:v>
      </x:c>
      <x:c r="K1182" t="n">
        <x:v>456632</x:v>
      </x:c>
      <x:c r="L1182" t="n">
        <x:v>456632</x:v>
      </x:c>
      <x:c r="M1182" t="n">
        <x:v>456632</x:v>
      </x:c>
      <x:c r="N1182" t="n">
        <x:v>456632</x:v>
      </x:c>
      <x:c r="O1182" t="n">
        <x:v>456632</x:v>
      </x:c>
    </x:row>
    <x:row r="1183">
      <x:c r="A1183" t="str">
        <x:v>Rajasthan</x:v>
      </x:c>
      <x:c r="B1183" t="str">
        <x:v>All India except Central University</x:v>
      </x:c>
      <x:c r="C1183" t="str">
        <x:v>200607</x:v>
      </x:c>
      <x:c r="D1183" t="str">
        <x:v>Government Medical College, Chittorgarh, Government Medical College Chittorgarh Bojunda - Udaipur Road Chittorgarh</x:v>
      </x:c>
      <x:c r="E1183" t="str">
        <x:v>All India</x:v>
      </x:c>
      <x:c r="F1183" t="str">
        <x:v>SC</x:v>
      </x:c>
      <x:c r="G1183" t="n">
        <x:v>2</x:v>
      </x:c>
      <x:c r="H1183" t="n">
        <x:v>2</x:v>
      </x:c>
      <x:c r="I1183" t="n">
        <x:f>G1183-H1183</x:f>
        <x:v>0</x:v>
      </x:c>
      <x:c r="J1183" s="20" t="n">
        <x:f>IFERROR(H1183/G1183,0)</x:f>
        <x:v>1</x:v>
      </x:c>
      <x:c r="K1183" t="n">
        <x:v>27490</x:v>
      </x:c>
      <x:c r="L1183" t="n">
        <x:v>33931.25</x:v>
      </x:c>
      <x:c r="M1183" t="n">
        <x:v>40372.5</x:v>
      </x:c>
      <x:c r="N1183" t="n">
        <x:v>46813.75</x:v>
      </x:c>
      <x:c r="O1183" t="n">
        <x:v>53255</x:v>
      </x:c>
    </x:row>
    <x:row r="1184">
      <x:c r="A1184" t="str">
        <x:v>Rajasthan</x:v>
      </x:c>
      <x:c r="B1184" t="str">
        <x:v>All India except Central University</x:v>
      </x:c>
      <x:c r="C1184" t="str">
        <x:v>200607</x:v>
      </x:c>
      <x:c r="D1184" t="str">
        <x:v>Government Medical College, Chittorgarh, Government Medical College Chittorgarh Bojunda - Udaipur Road Chittorgarh</x:v>
      </x:c>
      <x:c r="E1184" t="str">
        <x:v>All India</x:v>
      </x:c>
      <x:c r="F1184" t="str">
        <x:v>ST</x:v>
      </x:c>
      <x:c r="G1184" t="n">
        <x:v>1</x:v>
      </x:c>
      <x:c r="H1184" t="n">
        <x:v>1</x:v>
      </x:c>
      <x:c r="I1184" t="n">
        <x:f>G1184-H1184</x:f>
        <x:v>0</x:v>
      </x:c>
      <x:c r="J1184" s="20" t="n">
        <x:f>IFERROR(H1184/G1184,0)</x:f>
        <x:v>1</x:v>
      </x:c>
      <x:c r="K1184" t="n">
        <x:v>72452</x:v>
      </x:c>
      <x:c r="L1184" t="n">
        <x:v>72452</x:v>
      </x:c>
      <x:c r="M1184" t="n">
        <x:v>72452</x:v>
      </x:c>
      <x:c r="N1184" t="n">
        <x:v>72452</x:v>
      </x:c>
      <x:c r="O1184" t="n">
        <x:v>72452</x:v>
      </x:c>
    </x:row>
    <x:row r="1185">
      <x:c r="A1185" t="str">
        <x:v>Manipur</x:v>
      </x:c>
      <x:c r="B1185" t="str">
        <x:v>All India except Central University</x:v>
      </x:c>
      <x:c r="C1185" t="str">
        <x:v>200592</x:v>
      </x:c>
      <x:c r="D1185" t="str">
        <x:v>Government Medical College, Churachandpur, Hiangtam Lamka, I.B. Road, Churachandpur District</x:v>
      </x:c>
      <x:c r="E1185" t="str">
        <x:v>All India</x:v>
      </x:c>
      <x:c r="F1185" t="str">
        <x:v>EWS</x:v>
      </x:c>
      <x:c r="G1185" t="n">
        <x:v>1</x:v>
      </x:c>
      <x:c r="H1185" t="n">
        <x:v>1</x:v>
      </x:c>
      <x:c r="I1185" t="n">
        <x:f>G1185-H1185</x:f>
        <x:v>0</x:v>
      </x:c>
      <x:c r="J1185" s="20" t="n">
        <x:f>IFERROR(H1185/G1185,0)</x:f>
        <x:v>1</x:v>
      </x:c>
      <x:c r="K1185" t="n">
        <x:v>24846</x:v>
      </x:c>
      <x:c r="L1185" t="n">
        <x:v>24846</x:v>
      </x:c>
      <x:c r="M1185" t="n">
        <x:v>24846</x:v>
      </x:c>
      <x:c r="N1185" t="n">
        <x:v>24846</x:v>
      </x:c>
      <x:c r="O1185" t="n">
        <x:v>24846</x:v>
      </x:c>
    </x:row>
    <x:row r="1186">
      <x:c r="A1186" t="str">
        <x:v>Manipur</x:v>
      </x:c>
      <x:c r="B1186" t="str">
        <x:v>All India except Central University</x:v>
      </x:c>
      <x:c r="C1186" t="str">
        <x:v>200592</x:v>
      </x:c>
      <x:c r="D1186" t="str">
        <x:v>Government Medical College, Churachandpur, Hiangtam Lamka, I.B. Road, Churachandpur District</x:v>
      </x:c>
      <x:c r="E1186" t="str">
        <x:v>All India</x:v>
      </x:c>
      <x:c r="F1186" t="str">
        <x:v>EWS PwD</x:v>
      </x:c>
      <x:c r="G1186" t="n">
        <x:v>1</x:v>
      </x:c>
      <x:c r="H1186" t="n">
        <x:v>1</x:v>
      </x:c>
      <x:c r="I1186" t="n">
        <x:f>G1186-H1186</x:f>
        <x:v>0</x:v>
      </x:c>
      <x:c r="J1186" s="20" t="n">
        <x:f>IFERROR(H1186/G1186,0)</x:f>
        <x:v>1</x:v>
      </x:c>
      <x:c r="K1186" t="n">
        <x:v>837404</x:v>
      </x:c>
      <x:c r="L1186" t="n">
        <x:v>837404</x:v>
      </x:c>
      <x:c r="M1186" t="n">
        <x:v>837404</x:v>
      </x:c>
      <x:c r="N1186" t="n">
        <x:v>837404</x:v>
      </x:c>
      <x:c r="O1186" t="n">
        <x:v>837404</x:v>
      </x:c>
    </x:row>
    <x:row r="1187">
      <x:c r="A1187" t="str">
        <x:v>Manipur</x:v>
      </x:c>
      <x:c r="B1187" t="str">
        <x:v>All India except Central University</x:v>
      </x:c>
      <x:c r="C1187" t="str">
        <x:v>200592</x:v>
      </x:c>
      <x:c r="D1187" t="str">
        <x:v>Government Medical College, Churachandpur, Hiangtam Lamka, I.B. Road, Churachandpur District</x:v>
      </x:c>
      <x:c r="E1187" t="str">
        <x:v>All India</x:v>
      </x:c>
      <x:c r="F1187" t="str">
        <x:v>OBC</x:v>
      </x:c>
      <x:c r="G1187" t="n">
        <x:v>4</x:v>
      </x:c>
      <x:c r="H1187" t="n">
        <x:v>4</x:v>
      </x:c>
      <x:c r="I1187" t="n">
        <x:f>G1187-H1187</x:f>
        <x:v>0</x:v>
      </x:c>
      <x:c r="J1187" s="20" t="n">
        <x:f>IFERROR(H1187/G1187,0)</x:f>
        <x:v>1</x:v>
      </x:c>
      <x:c r="K1187" t="n">
        <x:v>20757</x:v>
      </x:c>
      <x:c r="L1187" t="n">
        <x:v>21164.25</x:v>
      </x:c>
      <x:c r="M1187" t="n">
        <x:v>21366</x:v>
      </x:c>
      <x:c r="N1187" t="n">
        <x:v>21482.25</x:v>
      </x:c>
      <x:c r="O1187" t="n">
        <x:v>21633</x:v>
      </x:c>
    </x:row>
    <x:row r="1188">
      <x:c r="A1188" t="str">
        <x:v>Manipur</x:v>
      </x:c>
      <x:c r="B1188" t="str">
        <x:v>All India except Central University</x:v>
      </x:c>
      <x:c r="C1188" t="str">
        <x:v>200592</x:v>
      </x:c>
      <x:c r="D1188" t="str">
        <x:v>Government Medical College, Churachandpur, Hiangtam Lamka, I.B. Road, Churachandpur District</x:v>
      </x:c>
      <x:c r="E1188" t="str">
        <x:v>All India</x:v>
      </x:c>
      <x:c r="F1188" t="str">
        <x:v>Open</x:v>
      </x:c>
      <x:c r="G1188" t="n">
        <x:v>6</x:v>
      </x:c>
      <x:c r="H1188" t="n">
        <x:v>6</x:v>
      </x:c>
      <x:c r="I1188" t="n">
        <x:f>G1188-H1188</x:f>
        <x:v>0</x:v>
      </x:c>
      <x:c r="J1188" s="20" t="n">
        <x:f>IFERROR(H1188/G1188,0)</x:f>
        <x:v>1</x:v>
      </x:c>
      <x:c r="K1188" t="n">
        <x:v>15965</x:v>
      </x:c>
      <x:c r="L1188" t="n">
        <x:v>19069.75</x:v>
      </x:c>
      <x:c r="M1188" t="n">
        <x:v>19722.5</x:v>
      </x:c>
      <x:c r="N1188" t="n">
        <x:v>19955.25</x:v>
      </x:c>
      <x:c r="O1188" t="n">
        <x:v>20082</x:v>
      </x:c>
    </x:row>
    <x:row r="1189">
      <x:c r="A1189" t="str">
        <x:v>Manipur</x:v>
      </x:c>
      <x:c r="B1189" t="str">
        <x:v>All India except Central University</x:v>
      </x:c>
      <x:c r="C1189" t="str">
        <x:v>200592</x:v>
      </x:c>
      <x:c r="D1189" t="str">
        <x:v>Government Medical College, Churachandpur, Hiangtam Lamka, I.B. Road, Churachandpur District</x:v>
      </x:c>
      <x:c r="E1189" t="str">
        <x:v>All India</x:v>
      </x:c>
      <x:c r="F1189" t="str">
        <x:v>SC</x:v>
      </x:c>
      <x:c r="G1189" t="n">
        <x:v>1</x:v>
      </x:c>
      <x:c r="H1189" t="n">
        <x:v>1</x:v>
      </x:c>
      <x:c r="I1189" t="n">
        <x:f>G1189-H1189</x:f>
        <x:v>0</x:v>
      </x:c>
      <x:c r="J1189" s="20" t="n">
        <x:f>IFERROR(H1189/G1189,0)</x:f>
        <x:v>1</x:v>
      </x:c>
      <x:c r="K1189" t="n">
        <x:v>97368</x:v>
      </x:c>
      <x:c r="L1189" t="n">
        <x:v>97368</x:v>
      </x:c>
      <x:c r="M1189" t="n">
        <x:v>97368</x:v>
      </x:c>
      <x:c r="N1189" t="n">
        <x:v>97368</x:v>
      </x:c>
      <x:c r="O1189" t="n">
        <x:v>97368</x:v>
      </x:c>
    </x:row>
    <x:row r="1190">
      <x:c r="A1190" t="str">
        <x:v>Manipur</x:v>
      </x:c>
      <x:c r="B1190" t="str">
        <x:v>All India except Central University</x:v>
      </x:c>
      <x:c r="C1190" t="str">
        <x:v>200592</x:v>
      </x:c>
      <x:c r="D1190" t="str">
        <x:v>Government Medical College, Churachandpur, Hiangtam Lamka, I.B. Road, Churachandpur District</x:v>
      </x:c>
      <x:c r="E1190" t="str">
        <x:v>All India</x:v>
      </x:c>
      <x:c r="F1190" t="str">
        <x:v>SC PwD</x:v>
      </x:c>
      <x:c r="G1190" t="n">
        <x:v>1</x:v>
      </x:c>
      <x:c r="H1190" t="n">
        <x:v>1</x:v>
      </x:c>
      <x:c r="I1190" t="n">
        <x:f>G1190-H1190</x:f>
        <x:v>0</x:v>
      </x:c>
      <x:c r="J1190" s="20" t="n">
        <x:f>IFERROR(H1190/G1190,0)</x:f>
        <x:v>1</x:v>
      </x:c>
      <x:c r="K1190" t="n">
        <x:v>614320</x:v>
      </x:c>
      <x:c r="L1190" t="n">
        <x:v>614320</x:v>
      </x:c>
      <x:c r="M1190" t="n">
        <x:v>614320</x:v>
      </x:c>
      <x:c r="N1190" t="n">
        <x:v>614320</x:v>
      </x:c>
      <x:c r="O1190" t="n">
        <x:v>614320</x:v>
      </x:c>
    </x:row>
    <x:row r="1191">
      <x:c r="A1191" t="str">
        <x:v>Manipur</x:v>
      </x:c>
      <x:c r="B1191" t="str">
        <x:v>All India except Central University</x:v>
      </x:c>
      <x:c r="C1191" t="str">
        <x:v>200592</x:v>
      </x:c>
      <x:c r="D1191" t="str">
        <x:v>Government Medical College, Churachandpur, Hiangtam Lamka, I.B. Road, Churachandpur District</x:v>
      </x:c>
      <x:c r="E1191" t="str">
        <x:v>All India</x:v>
      </x:c>
      <x:c r="F1191" t="str">
        <x:v>ST PwD</x:v>
      </x:c>
      <x:c r="G1191" t="n">
        <x:v>1</x:v>
      </x:c>
      <x:c r="H1191" t="n">
        <x:v>0</x:v>
      </x:c>
      <x:c r="I1191" t="n">
        <x:f>G1191-H1191</x:f>
        <x:v>1</x:v>
      </x:c>
      <x:c r="J1191" s="20" t="n">
        <x:f>IFERROR(H1191/G1191,0)</x:f>
        <x:v>0</x:v>
      </x:c>
      <x:c r="K1191"/>
      <x:c r="L1191"/>
      <x:c r="M1191"/>
      <x:c r="N1191"/>
      <x:c r="O1191"/>
    </x:row>
    <x:row r="1192">
      <x:c r="A1192" t="str">
        <x:v>Rajasthan</x:v>
      </x:c>
      <x:c r="B1192" t="str">
        <x:v>All India except Central University</x:v>
      </x:c>
      <x:c r="C1192" t="str">
        <x:v>200430</x:v>
      </x:c>
      <x:c r="D1192" t="str">
        <x:v>Government Medical College, Churu, Shekhawat Colony, Civil Lines Road,Churu</x:v>
      </x:c>
      <x:c r="E1192" t="str">
        <x:v>All India</x:v>
      </x:c>
      <x:c r="F1192" t="str">
        <x:v>EWS</x:v>
      </x:c>
      <x:c r="G1192" t="n">
        <x:v>2</x:v>
      </x:c>
      <x:c r="H1192" t="n">
        <x:v>2</x:v>
      </x:c>
      <x:c r="I1192" t="n">
        <x:f>G1192-H1192</x:f>
        <x:v>0</x:v>
      </x:c>
      <x:c r="J1192" s="20" t="n">
        <x:f>IFERROR(H1192/G1192,0)</x:f>
        <x:v>1</x:v>
      </x:c>
      <x:c r="K1192" t="n">
        <x:v>10155</x:v>
      </x:c>
      <x:c r="L1192" t="n">
        <x:v>10292.25</x:v>
      </x:c>
      <x:c r="M1192" t="n">
        <x:v>10429.5</x:v>
      </x:c>
      <x:c r="N1192" t="n">
        <x:v>10566.75</x:v>
      </x:c>
      <x:c r="O1192" t="n">
        <x:v>10704</x:v>
      </x:c>
    </x:row>
    <x:row r="1193">
      <x:c r="A1193" t="str">
        <x:v>Rajasthan</x:v>
      </x:c>
      <x:c r="B1193" t="str">
        <x:v>All India except Central University</x:v>
      </x:c>
      <x:c r="C1193" t="str">
        <x:v>200430</x:v>
      </x:c>
      <x:c r="D1193" t="str">
        <x:v>Government Medical College, Churu, Shekhawat Colony, Civil Lines Road,Churu</x:v>
      </x:c>
      <x:c r="E1193" t="str">
        <x:v>All India</x:v>
      </x:c>
      <x:c r="F1193" t="str">
        <x:v>OBC</x:v>
      </x:c>
      <x:c r="G1193" t="n">
        <x:v>6</x:v>
      </x:c>
      <x:c r="H1193" t="n">
        <x:v>6</x:v>
      </x:c>
      <x:c r="I1193" t="n">
        <x:f>G1193-H1193</x:f>
        <x:v>0</x:v>
      </x:c>
      <x:c r="J1193" s="20" t="n">
        <x:f>IFERROR(H1193/G1193,0)</x:f>
        <x:v>1</x:v>
      </x:c>
      <x:c r="K1193" t="n">
        <x:v>8269</x:v>
      </x:c>
      <x:c r="L1193" t="n">
        <x:v>8574</x:v>
      </x:c>
      <x:c r="M1193" t="n">
        <x:v>8709.5</x:v>
      </x:c>
      <x:c r="N1193" t="n">
        <x:v>8943.25</x:v>
      </x:c>
      <x:c r="O1193" t="n">
        <x:v>9114</x:v>
      </x:c>
    </x:row>
    <x:row r="1194">
      <x:c r="A1194" t="str">
        <x:v>Rajasthan</x:v>
      </x:c>
      <x:c r="B1194" t="str">
        <x:v>All India except Central University</x:v>
      </x:c>
      <x:c r="C1194" t="str">
        <x:v>200430</x:v>
      </x:c>
      <x:c r="D1194" t="str">
        <x:v>Government Medical College, Churu, Shekhawat Colony, Civil Lines Road,Churu</x:v>
      </x:c>
      <x:c r="E1194" t="str">
        <x:v>All India</x:v>
      </x:c>
      <x:c r="F1194" t="str">
        <x:v>Open</x:v>
      </x:c>
      <x:c r="G1194" t="n">
        <x:v>9</x:v>
      </x:c>
      <x:c r="H1194" t="n">
        <x:v>9</x:v>
      </x:c>
      <x:c r="I1194" t="n">
        <x:f>G1194-H1194</x:f>
        <x:v>0</x:v>
      </x:c>
      <x:c r="J1194" s="20" t="n">
        <x:f>IFERROR(H1194/G1194,0)</x:f>
        <x:v>1</x:v>
      </x:c>
      <x:c r="K1194" t="n">
        <x:v>5407</x:v>
      </x:c>
      <x:c r="L1194" t="n">
        <x:v>6334</x:v>
      </x:c>
      <x:c r="M1194" t="n">
        <x:v>7561</x:v>
      </x:c>
      <x:c r="N1194" t="n">
        <x:v>7681</x:v>
      </x:c>
      <x:c r="O1194" t="n">
        <x:v>8131</x:v>
      </x:c>
    </x:row>
    <x:row r="1195">
      <x:c r="A1195" t="str">
        <x:v>Rajasthan</x:v>
      </x:c>
      <x:c r="B1195" t="str">
        <x:v>All India except Central University</x:v>
      </x:c>
      <x:c r="C1195" t="str">
        <x:v>200430</x:v>
      </x:c>
      <x:c r="D1195" t="str">
        <x:v>Government Medical College, Churu, Shekhawat Colony, Civil Lines Road,Churu</x:v>
      </x:c>
      <x:c r="E1195" t="str">
        <x:v>All India</x:v>
      </x:c>
      <x:c r="F1195" t="str">
        <x:v>SC</x:v>
      </x:c>
      <x:c r="G1195" t="n">
        <x:v>4</x:v>
      </x:c>
      <x:c r="H1195" t="n">
        <x:v>4</x:v>
      </x:c>
      <x:c r="I1195" t="n">
        <x:f>G1195-H1195</x:f>
        <x:v>0</x:v>
      </x:c>
      <x:c r="J1195" s="20" t="n">
        <x:f>IFERROR(H1195/G1195,0)</x:f>
        <x:v>1</x:v>
      </x:c>
      <x:c r="K1195" t="n">
        <x:v>52629</x:v>
      </x:c>
      <x:c r="L1195" t="n">
        <x:v>53063.25</x:v>
      </x:c>
      <x:c r="M1195" t="n">
        <x:v>54634</x:v>
      </x:c>
      <x:c r="N1195" t="n">
        <x:v>56142.5</x:v>
      </x:c>
      <x:c r="O1195" t="n">
        <x:v>56390</x:v>
      </x:c>
    </x:row>
    <x:row r="1196">
      <x:c r="A1196" t="str">
        <x:v>Rajasthan</x:v>
      </x:c>
      <x:c r="B1196" t="str">
        <x:v>All India except Central University</x:v>
      </x:c>
      <x:c r="C1196" t="str">
        <x:v>200430</x:v>
      </x:c>
      <x:c r="D1196" t="str">
        <x:v>Government Medical College, Churu, Shekhawat Colony, Civil Lines Road,Churu</x:v>
      </x:c>
      <x:c r="E1196" t="str">
        <x:v>All India</x:v>
      </x:c>
      <x:c r="F1196" t="str">
        <x:v>ST</x:v>
      </x:c>
      <x:c r="G1196" t="n">
        <x:v>2</x:v>
      </x:c>
      <x:c r="H1196" t="n">
        <x:v>2</x:v>
      </x:c>
      <x:c r="I1196" t="n">
        <x:f>G1196-H1196</x:f>
        <x:v>0</x:v>
      </x:c>
      <x:c r="J1196" s="20" t="n">
        <x:f>IFERROR(H1196/G1196,0)</x:f>
        <x:v>1</x:v>
      </x:c>
      <x:c r="K1196" t="n">
        <x:v>65499</x:v>
      </x:c>
      <x:c r="L1196" t="n">
        <x:v>65987</x:v>
      </x:c>
      <x:c r="M1196" t="n">
        <x:v>66475</x:v>
      </x:c>
      <x:c r="N1196" t="n">
        <x:v>66963</x:v>
      </x:c>
      <x:c r="O1196" t="n">
        <x:v>67451</x:v>
      </x:c>
    </x:row>
    <x:row r="1197">
      <x:c r="A1197" t="str">
        <x:v>Madhya Pradesh</x:v>
      </x:c>
      <x:c r="B1197" t="str">
        <x:v>All India except Central University</x:v>
      </x:c>
      <x:c r="C1197" t="str">
        <x:v>200431</x:v>
      </x:c>
      <x:c r="D1197" t="str">
        <x:v>Government Medical College, Datia, MP, NEAR 29TH BATTALION, N.H.75, DATIA</x:v>
      </x:c>
      <x:c r="E1197" t="str">
        <x:v>All India</x:v>
      </x:c>
      <x:c r="F1197" t="str">
        <x:v>EWS</x:v>
      </x:c>
      <x:c r="G1197" t="n">
        <x:v>2</x:v>
      </x:c>
      <x:c r="H1197" t="n">
        <x:v>2</x:v>
      </x:c>
      <x:c r="I1197" t="n">
        <x:f>G1197-H1197</x:f>
        <x:v>0</x:v>
      </x:c>
      <x:c r="J1197" s="20" t="n">
        <x:f>IFERROR(H1197/G1197,0)</x:f>
        <x:v>1</x:v>
      </x:c>
      <x:c r="K1197" t="n">
        <x:v>13463</x:v>
      </x:c>
      <x:c r="L1197" t="n">
        <x:v>13731</x:v>
      </x:c>
      <x:c r="M1197" t="n">
        <x:v>13999</x:v>
      </x:c>
      <x:c r="N1197" t="n">
        <x:v>14267</x:v>
      </x:c>
      <x:c r="O1197" t="n">
        <x:v>14535</x:v>
      </x:c>
    </x:row>
    <x:row r="1198">
      <x:c r="A1198" t="str">
        <x:v>Madhya Pradesh</x:v>
      </x:c>
      <x:c r="B1198" t="str">
        <x:v>All India except Central University</x:v>
      </x:c>
      <x:c r="C1198" t="str">
        <x:v>200431</x:v>
      </x:c>
      <x:c r="D1198" t="str">
        <x:v>Government Medical College, Datia, MP, NEAR 29TH BATTALION, N.H.75, DATIA</x:v>
      </x:c>
      <x:c r="E1198" t="str">
        <x:v>All India</x:v>
      </x:c>
      <x:c r="F1198" t="str">
        <x:v>OBC</x:v>
      </x:c>
      <x:c r="G1198" t="n">
        <x:v>4</x:v>
      </x:c>
      <x:c r="H1198" t="n">
        <x:v>4</x:v>
      </x:c>
      <x:c r="I1198" t="n">
        <x:f>G1198-H1198</x:f>
        <x:v>0</x:v>
      </x:c>
      <x:c r="J1198" s="20" t="n">
        <x:f>IFERROR(H1198/G1198,0)</x:f>
        <x:v>1</x:v>
      </x:c>
      <x:c r="K1198" t="n">
        <x:v>13279</x:v>
      </x:c>
      <x:c r="L1198" t="n">
        <x:v>13385.5</x:v>
      </x:c>
      <x:c r="M1198" t="n">
        <x:v>13552</x:v>
      </x:c>
      <x:c r="N1198" t="n">
        <x:v>13743.25</x:v>
      </x:c>
      <x:c r="O1198" t="n">
        <x:v>13924</x:v>
      </x:c>
    </x:row>
    <x:row r="1199">
      <x:c r="A1199" t="str">
        <x:v>Madhya Pradesh</x:v>
      </x:c>
      <x:c r="B1199" t="str">
        <x:v>All India except Central University</x:v>
      </x:c>
      <x:c r="C1199" t="str">
        <x:v>200431</x:v>
      </x:c>
      <x:c r="D1199" t="str">
        <x:v>Government Medical College, Datia, MP, NEAR 29TH BATTALION, N.H.75, DATIA</x:v>
      </x:c>
      <x:c r="E1199" t="str">
        <x:v>All India</x:v>
      </x:c>
      <x:c r="F1199" t="str">
        <x:v>OBC PwD</x:v>
      </x:c>
      <x:c r="G1199" t="n">
        <x:v>1</x:v>
      </x:c>
      <x:c r="H1199" t="n">
        <x:v>1</x:v>
      </x:c>
      <x:c r="I1199" t="n">
        <x:f>G1199-H1199</x:f>
        <x:v>0</x:v>
      </x:c>
      <x:c r="J1199" s="20" t="n">
        <x:f>IFERROR(H1199/G1199,0)</x:f>
        <x:v>1</x:v>
      </x:c>
      <x:c r="K1199" t="n">
        <x:v>645537</x:v>
      </x:c>
      <x:c r="L1199" t="n">
        <x:v>645537</x:v>
      </x:c>
      <x:c r="M1199" t="n">
        <x:v>645537</x:v>
      </x:c>
      <x:c r="N1199" t="n">
        <x:v>645537</x:v>
      </x:c>
      <x:c r="O1199" t="n">
        <x:v>645537</x:v>
      </x:c>
    </x:row>
    <x:row r="1200">
      <x:c r="A1200" t="str">
        <x:v>Madhya Pradesh</x:v>
      </x:c>
      <x:c r="B1200" t="str">
        <x:v>All India except Central University</x:v>
      </x:c>
      <x:c r="C1200" t="str">
        <x:v>200431</x:v>
      </x:c>
      <x:c r="D1200" t="str">
        <x:v>Government Medical College, Datia, MP, NEAR 29TH BATTALION, N.H.75, DATIA</x:v>
      </x:c>
      <x:c r="E1200" t="str">
        <x:v>All India</x:v>
      </x:c>
      <x:c r="F1200" t="str">
        <x:v>Open</x:v>
      </x:c>
      <x:c r="G1200" t="n">
        <x:v>6</x:v>
      </x:c>
      <x:c r="H1200" t="n">
        <x:v>6</x:v>
      </x:c>
      <x:c r="I1200" t="n">
        <x:f>G1200-H1200</x:f>
        <x:v>0</x:v>
      </x:c>
      <x:c r="J1200" s="20" t="n">
        <x:f>IFERROR(H1200/G1200,0)</x:f>
        <x:v>1</x:v>
      </x:c>
      <x:c r="K1200" t="n">
        <x:v>12175</x:v>
      </x:c>
      <x:c r="L1200" t="n">
        <x:v>12391.5</x:v>
      </x:c>
      <x:c r="M1200" t="n">
        <x:v>12496.5</x:v>
      </x:c>
      <x:c r="N1200" t="n">
        <x:v>12699.75</x:v>
      </x:c>
      <x:c r="O1200" t="n">
        <x:v>13019</x:v>
      </x:c>
    </x:row>
    <x:row r="1201">
      <x:c r="A1201" t="str">
        <x:v>Madhya Pradesh</x:v>
      </x:c>
      <x:c r="B1201" t="str">
        <x:v>All India except Central University</x:v>
      </x:c>
      <x:c r="C1201" t="str">
        <x:v>200431</x:v>
      </x:c>
      <x:c r="D1201" t="str">
        <x:v>Government Medical College, Datia, MP, NEAR 29TH BATTALION, N.H.75, DATIA</x:v>
      </x:c>
      <x:c r="E1201" t="str">
        <x:v>All India</x:v>
      </x:c>
      <x:c r="F1201" t="str">
        <x:v>Open PwD</x:v>
      </x:c>
      <x:c r="G1201" t="n">
        <x:v>1</x:v>
      </x:c>
      <x:c r="H1201" t="n">
        <x:v>1</x:v>
      </x:c>
      <x:c r="I1201" t="n">
        <x:f>G1201-H1201</x:f>
        <x:v>0</x:v>
      </x:c>
      <x:c r="J1201" s="20" t="n">
        <x:f>IFERROR(H1201/G1201,0)</x:f>
        <x:v>1</x:v>
      </x:c>
      <x:c r="K1201" t="n">
        <x:v>545702</x:v>
      </x:c>
      <x:c r="L1201" t="n">
        <x:v>545702</x:v>
      </x:c>
      <x:c r="M1201" t="n">
        <x:v>545702</x:v>
      </x:c>
      <x:c r="N1201" t="n">
        <x:v>545702</x:v>
      </x:c>
      <x:c r="O1201" t="n">
        <x:v>545702</x:v>
      </x:c>
    </x:row>
    <x:row r="1202">
      <x:c r="A1202" t="str">
        <x:v>Madhya Pradesh</x:v>
      </x:c>
      <x:c r="B1202" t="str">
        <x:v>All India except Central University</x:v>
      </x:c>
      <x:c r="C1202" t="str">
        <x:v>200431</x:v>
      </x:c>
      <x:c r="D1202" t="str">
        <x:v>Government Medical College, Datia, MP, NEAR 29TH BATTALION, N.H.75, DATIA</x:v>
      </x:c>
      <x:c r="E1202" t="str">
        <x:v>All India</x:v>
      </x:c>
      <x:c r="F1202" t="str">
        <x:v>SC</x:v>
      </x:c>
      <x:c r="G1202" t="n">
        <x:v>3</x:v>
      </x:c>
      <x:c r="H1202" t="n">
        <x:v>3</x:v>
      </x:c>
      <x:c r="I1202" t="n">
        <x:f>G1202-H1202</x:f>
        <x:v>0</x:v>
      </x:c>
      <x:c r="J1202" s="20" t="n">
        <x:f>IFERROR(H1202/G1202,0)</x:f>
        <x:v>1</x:v>
      </x:c>
      <x:c r="K1202" t="n">
        <x:v>60996</x:v>
      </x:c>
      <x:c r="L1202" t="n">
        <x:v>67209.5</x:v>
      </x:c>
      <x:c r="M1202" t="n">
        <x:v>73423</x:v>
      </x:c>
      <x:c r="N1202" t="n">
        <x:v>74308.5</x:v>
      </x:c>
      <x:c r="O1202" t="n">
        <x:v>75194</x:v>
      </x:c>
    </x:row>
    <x:row r="1203">
      <x:c r="A1203" t="str">
        <x:v>Madhya Pradesh</x:v>
      </x:c>
      <x:c r="B1203" t="str">
        <x:v>All India except Central University</x:v>
      </x:c>
      <x:c r="C1203" t="str">
        <x:v>200431</x:v>
      </x:c>
      <x:c r="D1203" t="str">
        <x:v>Government Medical College, Datia, MP, NEAR 29TH BATTALION, N.H.75, DATIA</x:v>
      </x:c>
      <x:c r="E1203" t="str">
        <x:v>All India</x:v>
      </x:c>
      <x:c r="F1203" t="str">
        <x:v>ST</x:v>
      </x:c>
      <x:c r="G1203" t="n">
        <x:v>1</x:v>
      </x:c>
      <x:c r="H1203" t="n">
        <x:v>1</x:v>
      </x:c>
      <x:c r="I1203" t="n">
        <x:f>G1203-H1203</x:f>
        <x:v>0</x:v>
      </x:c>
      <x:c r="J1203" s="20" t="n">
        <x:f>IFERROR(H1203/G1203,0)</x:f>
        <x:v>1</x:v>
      </x:c>
      <x:c r="K1203" t="n">
        <x:v>82903</x:v>
      </x:c>
      <x:c r="L1203" t="n">
        <x:v>82903</x:v>
      </x:c>
      <x:c r="M1203" t="n">
        <x:v>82903</x:v>
      </x:c>
      <x:c r="N1203" t="n">
        <x:v>82903</x:v>
      </x:c>
      <x:c r="O1203" t="n">
        <x:v>82903</x:v>
      </x:c>
    </x:row>
    <x:row r="1204">
      <x:c r="A1204" t="str">
        <x:v>Rajasthan</x:v>
      </x:c>
      <x:c r="B1204" t="str">
        <x:v>All India except Central University</x:v>
      </x:c>
      <x:c r="C1204" t="str">
        <x:v>200663</x:v>
      </x:c>
      <x:c r="D1204" t="str">
        <x:v>Government Medical College, Dausa, GMC DAUSA MITRAPURA BHANDAREJ MOD DAUSA</x:v>
      </x:c>
      <x:c r="E1204" t="str">
        <x:v>All India</x:v>
      </x:c>
      <x:c r="F1204" t="str">
        <x:v>EWS</x:v>
      </x:c>
      <x:c r="G1204" t="n">
        <x:v>1</x:v>
      </x:c>
      <x:c r="H1204" t="n">
        <x:v>1</x:v>
      </x:c>
      <x:c r="I1204" t="n">
        <x:f>G1204-H1204</x:f>
        <x:v>0</x:v>
      </x:c>
      <x:c r="J1204" s="20" t="n">
        <x:f>IFERROR(H1204/G1204,0)</x:f>
        <x:v>1</x:v>
      </x:c>
      <x:c r="K1204" t="n">
        <x:v>11628</x:v>
      </x:c>
      <x:c r="L1204" t="n">
        <x:v>11628</x:v>
      </x:c>
      <x:c r="M1204" t="n">
        <x:v>11628</x:v>
      </x:c>
      <x:c r="N1204" t="n">
        <x:v>11628</x:v>
      </x:c>
      <x:c r="O1204" t="n">
        <x:v>11628</x:v>
      </x:c>
    </x:row>
    <x:row r="1205">
      <x:c r="A1205" t="str">
        <x:v>Rajasthan</x:v>
      </x:c>
      <x:c r="B1205" t="str">
        <x:v>All India except Central University</x:v>
      </x:c>
      <x:c r="C1205" t="str">
        <x:v>200663</x:v>
      </x:c>
      <x:c r="D1205" t="str">
        <x:v>Government Medical College, Dausa, GMC DAUSA MITRAPURA BHANDAREJ MOD DAUSA</x:v>
      </x:c>
      <x:c r="E1205" t="str">
        <x:v>All India</x:v>
      </x:c>
      <x:c r="F1205" t="str">
        <x:v>OBC</x:v>
      </x:c>
      <x:c r="G1205" t="n">
        <x:v>3</x:v>
      </x:c>
      <x:c r="H1205" t="n">
        <x:v>3</x:v>
      </x:c>
      <x:c r="I1205" t="n">
        <x:f>G1205-H1205</x:f>
        <x:v>0</x:v>
      </x:c>
      <x:c r="J1205" s="20" t="n">
        <x:f>IFERROR(H1205/G1205,0)</x:f>
        <x:v>1</x:v>
      </x:c>
      <x:c r="K1205" t="n">
        <x:v>10448</x:v>
      </x:c>
      <x:c r="L1205" t="n">
        <x:v>10453.5</x:v>
      </x:c>
      <x:c r="M1205" t="n">
        <x:v>10459</x:v>
      </x:c>
      <x:c r="N1205" t="n">
        <x:v>10548</x:v>
      </x:c>
      <x:c r="O1205" t="n">
        <x:v>10637</x:v>
      </x:c>
    </x:row>
    <x:row r="1206">
      <x:c r="A1206" t="str">
        <x:v>Rajasthan</x:v>
      </x:c>
      <x:c r="B1206" t="str">
        <x:v>All India except Central University</x:v>
      </x:c>
      <x:c r="C1206" t="str">
        <x:v>200663</x:v>
      </x:c>
      <x:c r="D1206" t="str">
        <x:v>Government Medical College, Dausa, GMC DAUSA MITRAPURA BHANDAREJ MOD DAUSA</x:v>
      </x:c>
      <x:c r="E1206" t="str">
        <x:v>All India</x:v>
      </x:c>
      <x:c r="F1206" t="str">
        <x:v>OBC PwD</x:v>
      </x:c>
      <x:c r="G1206" t="n">
        <x:v>1</x:v>
      </x:c>
      <x:c r="H1206" t="n">
        <x:v>1</x:v>
      </x:c>
      <x:c r="I1206" t="n">
        <x:f>G1206-H1206</x:f>
        <x:v>0</x:v>
      </x:c>
      <x:c r="J1206" s="20" t="n">
        <x:f>IFERROR(H1206/G1206,0)</x:f>
        <x:v>1</x:v>
      </x:c>
      <x:c r="K1206" t="n">
        <x:v>469339</x:v>
      </x:c>
      <x:c r="L1206" t="n">
        <x:v>469339</x:v>
      </x:c>
      <x:c r="M1206" t="n">
        <x:v>469339</x:v>
      </x:c>
      <x:c r="N1206" t="n">
        <x:v>469339</x:v>
      </x:c>
      <x:c r="O1206" t="n">
        <x:v>469339</x:v>
      </x:c>
    </x:row>
    <x:row r="1207">
      <x:c r="A1207" t="str">
        <x:v>Rajasthan</x:v>
      </x:c>
      <x:c r="B1207" t="str">
        <x:v>All India except Central University</x:v>
      </x:c>
      <x:c r="C1207" t="str">
        <x:v>200663</x:v>
      </x:c>
      <x:c r="D1207" t="str">
        <x:v>Government Medical College, Dausa, GMC DAUSA MITRAPURA BHANDAREJ MOD DAUSA</x:v>
      </x:c>
      <x:c r="E1207" t="str">
        <x:v>All India</x:v>
      </x:c>
      <x:c r="F1207" t="str">
        <x:v>Open</x:v>
      </x:c>
      <x:c r="G1207" t="n">
        <x:v>7</x:v>
      </x:c>
      <x:c r="H1207" t="n">
        <x:v>7</x:v>
      </x:c>
      <x:c r="I1207" t="n">
        <x:f>G1207-H1207</x:f>
        <x:v>0</x:v>
      </x:c>
      <x:c r="J1207" s="20" t="n">
        <x:f>IFERROR(H1207/G1207,0)</x:f>
        <x:v>1</x:v>
      </x:c>
      <x:c r="K1207" t="n">
        <x:v>8720</x:v>
      </x:c>
      <x:c r="L1207" t="n">
        <x:v>8936.5</x:v>
      </x:c>
      <x:c r="M1207" t="n">
        <x:v>9619</x:v>
      </x:c>
      <x:c r="N1207" t="n">
        <x:v>10150.5</x:v>
      </x:c>
      <x:c r="O1207" t="n">
        <x:v>10214</x:v>
      </x:c>
    </x:row>
    <x:row r="1208">
      <x:c r="A1208" t="str">
        <x:v>Rajasthan</x:v>
      </x:c>
      <x:c r="B1208" t="str">
        <x:v>All India except Central University</x:v>
      </x:c>
      <x:c r="C1208" t="str">
        <x:v>200663</x:v>
      </x:c>
      <x:c r="D1208" t="str">
        <x:v>Government Medical College, Dausa, GMC DAUSA MITRAPURA BHANDAREJ MOD DAUSA</x:v>
      </x:c>
      <x:c r="E1208" t="str">
        <x:v>All India</x:v>
      </x:c>
      <x:c r="F1208" t="str">
        <x:v>SC</x:v>
      </x:c>
      <x:c r="G1208" t="n">
        <x:v>2</x:v>
      </x:c>
      <x:c r="H1208" t="n">
        <x:v>2</x:v>
      </x:c>
      <x:c r="I1208" t="n">
        <x:f>G1208-H1208</x:f>
        <x:v>0</x:v>
      </x:c>
      <x:c r="J1208" s="20" t="n">
        <x:f>IFERROR(H1208/G1208,0)</x:f>
        <x:v>1</x:v>
      </x:c>
      <x:c r="K1208" t="n">
        <x:v>52185</x:v>
      </x:c>
      <x:c r="L1208" t="n">
        <x:v>52297.5</x:v>
      </x:c>
      <x:c r="M1208" t="n">
        <x:v>52410</x:v>
      </x:c>
      <x:c r="N1208" t="n">
        <x:v>52522.5</x:v>
      </x:c>
      <x:c r="O1208" t="n">
        <x:v>52635</x:v>
      </x:c>
    </x:row>
    <x:row r="1209">
      <x:c r="A1209" t="str">
        <x:v>Rajasthan</x:v>
      </x:c>
      <x:c r="B1209" t="str">
        <x:v>All India except Central University</x:v>
      </x:c>
      <x:c r="C1209" t="str">
        <x:v>200663</x:v>
      </x:c>
      <x:c r="D1209" t="str">
        <x:v>Government Medical College, Dausa, GMC DAUSA MITRAPURA BHANDAREJ MOD DAUSA</x:v>
      </x:c>
      <x:c r="E1209" t="str">
        <x:v>All India</x:v>
      </x:c>
      <x:c r="F1209" t="str">
        <x:v>ST</x:v>
      </x:c>
      <x:c r="G1209" t="n">
        <x:v>1</x:v>
      </x:c>
      <x:c r="H1209" t="n">
        <x:v>1</x:v>
      </x:c>
      <x:c r="I1209" t="n">
        <x:f>G1209-H1209</x:f>
        <x:v>0</x:v>
      </x:c>
      <x:c r="J1209" s="20" t="n">
        <x:f>IFERROR(H1209/G1209,0)</x:f>
        <x:v>1</x:v>
      </x:c>
      <x:c r="K1209" t="n">
        <x:v>53320</x:v>
      </x:c>
      <x:c r="L1209" t="n">
        <x:v>53320</x:v>
      </x:c>
      <x:c r="M1209" t="n">
        <x:v>53320</x:v>
      </x:c>
      <x:c r="N1209" t="n">
        <x:v>53320</x:v>
      </x:c>
      <x:c r="O1209" t="n">
        <x:v>53320</x:v>
      </x:c>
    </x:row>
    <x:row r="1210">
      <x:c r="A1210" t="str">
        <x:v>Rajasthan</x:v>
      </x:c>
      <x:c r="B1210" t="str">
        <x:v>All India except Central University</x:v>
      </x:c>
      <x:c r="C1210" t="str">
        <x:v>200603</x:v>
      </x:c>
      <x:c r="D1210" t="str">
        <x:v>Government Medical College, Dholpur, 411, OLD BARI ROAD, DHOLPUR</x:v>
      </x:c>
      <x:c r="E1210" t="str">
        <x:v>All India</x:v>
      </x:c>
      <x:c r="F1210" t="str">
        <x:v>EWS</x:v>
      </x:c>
      <x:c r="G1210" t="n">
        <x:v>2</x:v>
      </x:c>
      <x:c r="H1210" t="n">
        <x:v>2</x:v>
      </x:c>
      <x:c r="I1210" t="n">
        <x:f>G1210-H1210</x:f>
        <x:v>0</x:v>
      </x:c>
      <x:c r="J1210" s="20" t="n">
        <x:f>IFERROR(H1210/G1210,0)</x:f>
        <x:v>1</x:v>
      </x:c>
      <x:c r="K1210" t="n">
        <x:v>12074</x:v>
      </x:c>
      <x:c r="L1210" t="n">
        <x:v>12189.75</x:v>
      </x:c>
      <x:c r="M1210" t="n">
        <x:v>12305.5</x:v>
      </x:c>
      <x:c r="N1210" t="n">
        <x:v>12421.25</x:v>
      </x:c>
      <x:c r="O1210" t="n">
        <x:v>12537</x:v>
      </x:c>
    </x:row>
    <x:row r="1211">
      <x:c r="A1211" t="str">
        <x:v>Rajasthan</x:v>
      </x:c>
      <x:c r="B1211" t="str">
        <x:v>All India except Central University</x:v>
      </x:c>
      <x:c r="C1211" t="str">
        <x:v>200603</x:v>
      </x:c>
      <x:c r="D1211" t="str">
        <x:v>Government Medical College, Dholpur, 411, OLD BARI ROAD, DHOLPUR</x:v>
      </x:c>
      <x:c r="E1211" t="str">
        <x:v>All India</x:v>
      </x:c>
      <x:c r="F1211" t="str">
        <x:v>OBC</x:v>
      </x:c>
      <x:c r="G1211" t="n">
        <x:v>4</x:v>
      </x:c>
      <x:c r="H1211" t="n">
        <x:v>4</x:v>
      </x:c>
      <x:c r="I1211" t="n">
        <x:f>G1211-H1211</x:f>
        <x:v>0</x:v>
      </x:c>
      <x:c r="J1211" s="20" t="n">
        <x:f>IFERROR(H1211/G1211,0)</x:f>
        <x:v>1</x:v>
      </x:c>
      <x:c r="K1211" t="n">
        <x:v>11817</x:v>
      </x:c>
      <x:c r="L1211" t="n">
        <x:v>11949.75</x:v>
      </x:c>
      <x:c r="M1211" t="n">
        <x:v>12054</x:v>
      </x:c>
      <x:c r="N1211" t="n">
        <x:v>12153</x:v>
      </x:c>
      <x:c r="O1211" t="n">
        <x:v>12270</x:v>
      </x:c>
    </x:row>
    <x:row r="1212">
      <x:c r="A1212" t="str">
        <x:v>Rajasthan</x:v>
      </x:c>
      <x:c r="B1212" t="str">
        <x:v>All India except Central University</x:v>
      </x:c>
      <x:c r="C1212" t="str">
        <x:v>200603</x:v>
      </x:c>
      <x:c r="D1212" t="str">
        <x:v>Government Medical College, Dholpur, 411, OLD BARI ROAD, DHOLPUR</x:v>
      </x:c>
      <x:c r="E1212" t="str">
        <x:v>All India</x:v>
      </x:c>
      <x:c r="F1212" t="str">
        <x:v>Open</x:v>
      </x:c>
      <x:c r="G1212" t="n">
        <x:v>5</x:v>
      </x:c>
      <x:c r="H1212" t="n">
        <x:v>5</x:v>
      </x:c>
      <x:c r="I1212" t="n">
        <x:f>G1212-H1212</x:f>
        <x:v>0</x:v>
      </x:c>
      <x:c r="J1212" s="20" t="n">
        <x:f>IFERROR(H1212/G1212,0)</x:f>
        <x:v>1</x:v>
      </x:c>
      <x:c r="K1212" t="n">
        <x:v>10135</x:v>
      </x:c>
      <x:c r="L1212" t="n">
        <x:v>10476</x:v>
      </x:c>
      <x:c r="M1212" t="n">
        <x:v>10717</x:v>
      </x:c>
      <x:c r="N1212" t="n">
        <x:v>10921</x:v>
      </x:c>
      <x:c r="O1212" t="n">
        <x:v>11127</x:v>
      </x:c>
    </x:row>
    <x:row r="1213">
      <x:c r="A1213" t="str">
        <x:v>Rajasthan</x:v>
      </x:c>
      <x:c r="B1213" t="str">
        <x:v>All India except Central University</x:v>
      </x:c>
      <x:c r="C1213" t="str">
        <x:v>200603</x:v>
      </x:c>
      <x:c r="D1213" t="str">
        <x:v>Government Medical College, Dholpur, 411, OLD BARI ROAD, DHOLPUR</x:v>
      </x:c>
      <x:c r="E1213" t="str">
        <x:v>All India</x:v>
      </x:c>
      <x:c r="F1213" t="str">
        <x:v>Open PwD</x:v>
      </x:c>
      <x:c r="G1213" t="n">
        <x:v>1</x:v>
      </x:c>
      <x:c r="H1213" t="n">
        <x:v>1</x:v>
      </x:c>
      <x:c r="I1213" t="n">
        <x:f>G1213-H1213</x:f>
        <x:v>0</x:v>
      </x:c>
      <x:c r="J1213" s="20" t="n">
        <x:f>IFERROR(H1213/G1213,0)</x:f>
        <x:v>1</x:v>
      </x:c>
      <x:c r="K1213" t="n">
        <x:v>506520</x:v>
      </x:c>
      <x:c r="L1213" t="n">
        <x:v>506520</x:v>
      </x:c>
      <x:c r="M1213" t="n">
        <x:v>506520</x:v>
      </x:c>
      <x:c r="N1213" t="n">
        <x:v>506520</x:v>
      </x:c>
      <x:c r="O1213" t="n">
        <x:v>506520</x:v>
      </x:c>
    </x:row>
    <x:row r="1214">
      <x:c r="A1214" t="str">
        <x:v>Rajasthan</x:v>
      </x:c>
      <x:c r="B1214" t="str">
        <x:v>All India except Central University</x:v>
      </x:c>
      <x:c r="C1214" t="str">
        <x:v>200603</x:v>
      </x:c>
      <x:c r="D1214" t="str">
        <x:v>Government Medical College, Dholpur, 411, OLD BARI ROAD, DHOLPUR</x:v>
      </x:c>
      <x:c r="E1214" t="str">
        <x:v>All India</x:v>
      </x:c>
      <x:c r="F1214" t="str">
        <x:v>SC</x:v>
      </x:c>
      <x:c r="G1214" t="n">
        <x:v>2</x:v>
      </x:c>
      <x:c r="H1214" t="n">
        <x:v>2</x:v>
      </x:c>
      <x:c r="I1214" t="n">
        <x:f>G1214-H1214</x:f>
        <x:v>0</x:v>
      </x:c>
      <x:c r="J1214" s="20" t="n">
        <x:f>IFERROR(H1214/G1214,0)</x:f>
        <x:v>1</x:v>
      </x:c>
      <x:c r="K1214" t="n">
        <x:v>56794</x:v>
      </x:c>
      <x:c r="L1214" t="n">
        <x:v>57028.5</x:v>
      </x:c>
      <x:c r="M1214" t="n">
        <x:v>57263</x:v>
      </x:c>
      <x:c r="N1214" t="n">
        <x:v>57497.5</x:v>
      </x:c>
      <x:c r="O1214" t="n">
        <x:v>57732</x:v>
      </x:c>
    </x:row>
    <x:row r="1215">
      <x:c r="A1215" t="str">
        <x:v>Rajasthan</x:v>
      </x:c>
      <x:c r="B1215" t="str">
        <x:v>All India except Central University</x:v>
      </x:c>
      <x:c r="C1215" t="str">
        <x:v>200603</x:v>
      </x:c>
      <x:c r="D1215" t="str">
        <x:v>Government Medical College, Dholpur, 411, OLD BARI ROAD, DHOLPUR</x:v>
      </x:c>
      <x:c r="E1215" t="str">
        <x:v>All India</x:v>
      </x:c>
      <x:c r="F1215" t="str">
        <x:v>ST</x:v>
      </x:c>
      <x:c r="G1215" t="n">
        <x:v>1</x:v>
      </x:c>
      <x:c r="H1215" t="n">
        <x:v>1</x:v>
      </x:c>
      <x:c r="I1215" t="n">
        <x:f>G1215-H1215</x:f>
        <x:v>0</x:v>
      </x:c>
      <x:c r="J1215" s="20" t="n">
        <x:f>IFERROR(H1215/G1215,0)</x:f>
        <x:v>1</x:v>
      </x:c>
      <x:c r="K1215" t="n">
        <x:v>79688</x:v>
      </x:c>
      <x:c r="L1215" t="n">
        <x:v>79688</x:v>
      </x:c>
      <x:c r="M1215" t="n">
        <x:v>79688</x:v>
      </x:c>
      <x:c r="N1215" t="n">
        <x:v>79688</x:v>
      </x:c>
      <x:c r="O1215" t="n">
        <x:v>79688</x:v>
      </x:c>
    </x:row>
    <x:row r="1216">
      <x:c r="A1216" t="str">
        <x:v>Tamil Nadu</x:v>
      </x:c>
      <x:c r="B1216" t="str">
        <x:v>All India except Central University</x:v>
      </x:c>
      <x:c r="C1216" t="str">
        <x:v>200566</x:v>
      </x:c>
      <x:c r="D1216" t="str">
        <x:v>Government Medical College, Dindigul, 1 Nallampatti Road Adiyanoothu village Dindigul</x:v>
      </x:c>
      <x:c r="E1216" t="str">
        <x:v>All India</x:v>
      </x:c>
      <x:c r="F1216" t="str">
        <x:v>EWS</x:v>
      </x:c>
      <x:c r="G1216" t="n">
        <x:v>2</x:v>
      </x:c>
      <x:c r="H1216" t="n">
        <x:v>2</x:v>
      </x:c>
      <x:c r="I1216" t="n">
        <x:f>G1216-H1216</x:f>
        <x:v>0</x:v>
      </x:c>
      <x:c r="J1216" s="20" t="n">
        <x:f>IFERROR(H1216/G1216,0)</x:f>
        <x:v>1</x:v>
      </x:c>
      <x:c r="K1216" t="n">
        <x:v>24967</x:v>
      </x:c>
      <x:c r="L1216" t="n">
        <x:v>25127</x:v>
      </x:c>
      <x:c r="M1216" t="n">
        <x:v>25287</x:v>
      </x:c>
      <x:c r="N1216" t="n">
        <x:v>25447</x:v>
      </x:c>
      <x:c r="O1216" t="n">
        <x:v>25607</x:v>
      </x:c>
    </x:row>
    <x:row r="1217">
      <x:c r="A1217" t="str">
        <x:v>Tamil Nadu</x:v>
      </x:c>
      <x:c r="B1217" t="str">
        <x:v>All India except Central University</x:v>
      </x:c>
      <x:c r="C1217" t="str">
        <x:v>200566</x:v>
      </x:c>
      <x:c r="D1217" t="str">
        <x:v>Government Medical College, Dindigul, 1 Nallampatti Road Adiyanoothu village Dindigul</x:v>
      </x:c>
      <x:c r="E1217" t="str">
        <x:v>All India</x:v>
      </x:c>
      <x:c r="F1217" t="str">
        <x:v>OBC</x:v>
      </x:c>
      <x:c r="G1217" t="n">
        <x:v>6</x:v>
      </x:c>
      <x:c r="H1217" t="n">
        <x:v>6</x:v>
      </x:c>
      <x:c r="I1217" t="n">
        <x:f>G1217-H1217</x:f>
        <x:v>0</x:v>
      </x:c>
      <x:c r="J1217" s="20" t="n">
        <x:f>IFERROR(H1217/G1217,0)</x:f>
        <x:v>1</x:v>
      </x:c>
      <x:c r="K1217" t="n">
        <x:v>12092</x:v>
      </x:c>
      <x:c r="L1217" t="n">
        <x:v>13121.5</x:v>
      </x:c>
      <x:c r="M1217" t="n">
        <x:v>13260.5</x:v>
      </x:c>
      <x:c r="N1217" t="n">
        <x:v>13380.75</x:v>
      </x:c>
      <x:c r="O1217" t="n">
        <x:v>13450</x:v>
      </x:c>
    </x:row>
    <x:row r="1218">
      <x:c r="A1218" t="str">
        <x:v>Tamil Nadu</x:v>
      </x:c>
      <x:c r="B1218" t="str">
        <x:v>All India except Central University</x:v>
      </x:c>
      <x:c r="C1218" t="str">
        <x:v>200566</x:v>
      </x:c>
      <x:c r="D1218" t="str">
        <x:v>Government Medical College, Dindigul, 1 Nallampatti Road Adiyanoothu village Dindigul</x:v>
      </x:c>
      <x:c r="E1218" t="str">
        <x:v>All India</x:v>
      </x:c>
      <x:c r="F1218" t="str">
        <x:v>Open</x:v>
      </x:c>
      <x:c r="G1218" t="n">
        <x:v>8</x:v>
      </x:c>
      <x:c r="H1218" t="n">
        <x:v>8</x:v>
      </x:c>
      <x:c r="I1218" t="n">
        <x:f>G1218-H1218</x:f>
        <x:v>0</x:v>
      </x:c>
      <x:c r="J1218" s="20" t="n">
        <x:f>IFERROR(H1218/G1218,0)</x:f>
        <x:v>1</x:v>
      </x:c>
      <x:c r="K1218" t="n">
        <x:v>6132</x:v>
      </x:c>
      <x:c r="L1218" t="n">
        <x:v>8893.5</x:v>
      </x:c>
      <x:c r="M1218" t="n">
        <x:v>10336.5</x:v>
      </x:c>
      <x:c r="N1218" t="n">
        <x:v>10726.25</x:v>
      </x:c>
      <x:c r="O1218" t="n">
        <x:v>11310</x:v>
      </x:c>
    </x:row>
    <x:row r="1219">
      <x:c r="A1219" t="str">
        <x:v>Tamil Nadu</x:v>
      </x:c>
      <x:c r="B1219" t="str">
        <x:v>All India except Central University</x:v>
      </x:c>
      <x:c r="C1219" t="str">
        <x:v>200566</x:v>
      </x:c>
      <x:c r="D1219" t="str">
        <x:v>Government Medical College, Dindigul, 1 Nallampatti Road Adiyanoothu village Dindigul</x:v>
      </x:c>
      <x:c r="E1219" t="str">
        <x:v>All India</x:v>
      </x:c>
      <x:c r="F1219" t="str">
        <x:v>SC</x:v>
      </x:c>
      <x:c r="G1219" t="n">
        <x:v>4</x:v>
      </x:c>
      <x:c r="H1219" t="n">
        <x:v>4</x:v>
      </x:c>
      <x:c r="I1219" t="n">
        <x:f>G1219-H1219</x:f>
        <x:v>0</x:v>
      </x:c>
      <x:c r="J1219" s="20" t="n">
        <x:f>IFERROR(H1219/G1219,0)</x:f>
        <x:v>1</x:v>
      </x:c>
      <x:c r="K1219" t="n">
        <x:v>46483</x:v>
      </x:c>
      <x:c r="L1219" t="n">
        <x:v>54753.25</x:v>
      </x:c>
      <x:c r="M1219" t="n">
        <x:v>58197.5</x:v>
      </x:c>
      <x:c r="N1219" t="n">
        <x:v>59626.75</x:v>
      </x:c>
      <x:c r="O1219" t="n">
        <x:v>61852</x:v>
      </x:c>
    </x:row>
    <x:row r="1220">
      <x:c r="A1220" t="str">
        <x:v>Tamil Nadu</x:v>
      </x:c>
      <x:c r="B1220" t="str">
        <x:v>All India except Central University</x:v>
      </x:c>
      <x:c r="C1220" t="str">
        <x:v>200566</x:v>
      </x:c>
      <x:c r="D1220" t="str">
        <x:v>Government Medical College, Dindigul, 1 Nallampatti Road Adiyanoothu village Dindigul</x:v>
      </x:c>
      <x:c r="E1220" t="str">
        <x:v>All India</x:v>
      </x:c>
      <x:c r="F1220" t="str">
        <x:v>ST</x:v>
      </x:c>
      <x:c r="G1220" t="n">
        <x:v>2</x:v>
      </x:c>
      <x:c r="H1220" t="n">
        <x:v>2</x:v>
      </x:c>
      <x:c r="I1220" t="n">
        <x:f>G1220-H1220</x:f>
        <x:v>0</x:v>
      </x:c>
      <x:c r="J1220" s="20" t="n">
        <x:f>IFERROR(H1220/G1220,0)</x:f>
        <x:v>1</x:v>
      </x:c>
      <x:c r="K1220" t="n">
        <x:v>129632</x:v>
      </x:c>
      <x:c r="L1220" t="n">
        <x:v>129639.25</x:v>
      </x:c>
      <x:c r="M1220" t="n">
        <x:v>129646.5</x:v>
      </x:c>
      <x:c r="N1220" t="n">
        <x:v>129653.75</x:v>
      </x:c>
      <x:c r="O1220" t="n">
        <x:v>129661</x:v>
      </x:c>
    </x:row>
    <x:row r="1221">
      <x:c r="A1221" t="str">
        <x:v>Rajasthan</x:v>
      </x:c>
      <x:c r="B1221" t="str">
        <x:v>All India except Central University</x:v>
      </x:c>
      <x:c r="C1221" t="str">
        <x:v>200429</x:v>
      </x:c>
      <x:c r="D1221" t="str">
        <x:v>Government Medical College, Dungarpur, VILLAGE- THANA DUNGARPUR</x:v>
      </x:c>
      <x:c r="E1221" t="str">
        <x:v>All India</x:v>
      </x:c>
      <x:c r="F1221" t="str">
        <x:v>EWS</x:v>
      </x:c>
      <x:c r="G1221" t="n">
        <x:v>1</x:v>
      </x:c>
      <x:c r="H1221" t="n">
        <x:v>1</x:v>
      </x:c>
      <x:c r="I1221" t="n">
        <x:f>G1221-H1221</x:f>
        <x:v>0</x:v>
      </x:c>
      <x:c r="J1221" s="20" t="n">
        <x:f>IFERROR(H1221/G1221,0)</x:f>
        <x:v>1</x:v>
      </x:c>
      <x:c r="K1221" t="n">
        <x:v>11154</x:v>
      </x:c>
      <x:c r="L1221" t="n">
        <x:v>11154</x:v>
      </x:c>
      <x:c r="M1221" t="n">
        <x:v>11154</x:v>
      </x:c>
      <x:c r="N1221" t="n">
        <x:v>11154</x:v>
      </x:c>
      <x:c r="O1221" t="n">
        <x:v>11154</x:v>
      </x:c>
    </x:row>
    <x:row r="1222">
      <x:c r="A1222" t="str">
        <x:v>Rajasthan</x:v>
      </x:c>
      <x:c r="B1222" t="str">
        <x:v>All India except Central University</x:v>
      </x:c>
      <x:c r="C1222" t="str">
        <x:v>200429</x:v>
      </x:c>
      <x:c r="D1222" t="str">
        <x:v>Government Medical College, Dungarpur, VILLAGE- THANA DUNGARPUR</x:v>
      </x:c>
      <x:c r="E1222" t="str">
        <x:v>All India</x:v>
      </x:c>
      <x:c r="F1222" t="str">
        <x:v>EWS PwD</x:v>
      </x:c>
      <x:c r="G1222" t="n">
        <x:v>1</x:v>
      </x:c>
      <x:c r="H1222" t="n">
        <x:v>1</x:v>
      </x:c>
      <x:c r="I1222" t="n">
        <x:f>G1222-H1222</x:f>
        <x:v>0</x:v>
      </x:c>
      <x:c r="J1222" s="20" t="n">
        <x:f>IFERROR(H1222/G1222,0)</x:f>
        <x:v>1</x:v>
      </x:c>
      <x:c r="K1222" t="n">
        <x:v>641551</x:v>
      </x:c>
      <x:c r="L1222" t="n">
        <x:v>641551</x:v>
      </x:c>
      <x:c r="M1222" t="n">
        <x:v>641551</x:v>
      </x:c>
      <x:c r="N1222" t="n">
        <x:v>641551</x:v>
      </x:c>
      <x:c r="O1222" t="n">
        <x:v>641551</x:v>
      </x:c>
    </x:row>
    <x:row r="1223">
      <x:c r="A1223" t="str">
        <x:v>Rajasthan</x:v>
      </x:c>
      <x:c r="B1223" t="str">
        <x:v>All India except Central University</x:v>
      </x:c>
      <x:c r="C1223" t="str">
        <x:v>200429</x:v>
      </x:c>
      <x:c r="D1223" t="str">
        <x:v>Government Medical College, Dungarpur, VILLAGE- THANA DUNGARPUR</x:v>
      </x:c>
      <x:c r="E1223" t="str">
        <x:v>All India</x:v>
      </x:c>
      <x:c r="F1223" t="str">
        <x:v>OBC</x:v>
      </x:c>
      <x:c r="G1223" t="n">
        <x:v>6</x:v>
      </x:c>
      <x:c r="H1223" t="n">
        <x:v>6</x:v>
      </x:c>
      <x:c r="I1223" t="n">
        <x:f>G1223-H1223</x:f>
        <x:v>0</x:v>
      </x:c>
      <x:c r="J1223" s="20" t="n">
        <x:f>IFERROR(H1223/G1223,0)</x:f>
        <x:v>1</x:v>
      </x:c>
      <x:c r="K1223" t="n">
        <x:v>10721</x:v>
      </x:c>
      <x:c r="L1223" t="n">
        <x:v>10892.25</x:v>
      </x:c>
      <x:c r="M1223" t="n">
        <x:v>11207.5</x:v>
      </x:c>
      <x:c r="N1223" t="n">
        <x:v>11510.75</x:v>
      </x:c>
      <x:c r="O1223" t="n">
        <x:v>11861</x:v>
      </x:c>
    </x:row>
    <x:row r="1224">
      <x:c r="A1224" t="str">
        <x:v>Rajasthan</x:v>
      </x:c>
      <x:c r="B1224" t="str">
        <x:v>All India except Central University</x:v>
      </x:c>
      <x:c r="C1224" t="str">
        <x:v>200429</x:v>
      </x:c>
      <x:c r="D1224" t="str">
        <x:v>Government Medical College, Dungarpur, VILLAGE- THANA DUNGARPUR</x:v>
      </x:c>
      <x:c r="E1224" t="str">
        <x:v>All India</x:v>
      </x:c>
      <x:c r="F1224" t="str">
        <x:v>Open</x:v>
      </x:c>
      <x:c r="G1224" t="n">
        <x:v>9</x:v>
      </x:c>
      <x:c r="H1224" t="n">
        <x:v>9</x:v>
      </x:c>
      <x:c r="I1224" t="n">
        <x:f>G1224-H1224</x:f>
        <x:v>0</x:v>
      </x:c>
      <x:c r="J1224" s="20" t="n">
        <x:f>IFERROR(H1224/G1224,0)</x:f>
        <x:v>1</x:v>
      </x:c>
      <x:c r="K1224" t="n">
        <x:v>8730</x:v>
      </x:c>
      <x:c r="L1224" t="n">
        <x:v>9494</x:v>
      </x:c>
      <x:c r="M1224" t="n">
        <x:v>9819</x:v>
      </x:c>
      <x:c r="N1224" t="n">
        <x:v>10302</x:v>
      </x:c>
      <x:c r="O1224" t="n">
        <x:v>10395</x:v>
      </x:c>
    </x:row>
    <x:row r="1225">
      <x:c r="A1225" t="str">
        <x:v>Rajasthan</x:v>
      </x:c>
      <x:c r="B1225" t="str">
        <x:v>All India except Central University</x:v>
      </x:c>
      <x:c r="C1225" t="str">
        <x:v>200429</x:v>
      </x:c>
      <x:c r="D1225" t="str">
        <x:v>Government Medical College, Dungarpur, VILLAGE- THANA DUNGARPUR</x:v>
      </x:c>
      <x:c r="E1225" t="str">
        <x:v>All India</x:v>
      </x:c>
      <x:c r="F1225" t="str">
        <x:v>SC</x:v>
      </x:c>
      <x:c r="G1225" t="n">
        <x:v>2</x:v>
      </x:c>
      <x:c r="H1225" t="n">
        <x:v>2</x:v>
      </x:c>
      <x:c r="I1225" t="n">
        <x:f>G1225-H1225</x:f>
        <x:v>0</x:v>
      </x:c>
      <x:c r="J1225" s="20" t="n">
        <x:f>IFERROR(H1225/G1225,0)</x:f>
        <x:v>1</x:v>
      </x:c>
      <x:c r="K1225" t="n">
        <x:v>54327</x:v>
      </x:c>
      <x:c r="L1225" t="n">
        <x:v>55269.25</x:v>
      </x:c>
      <x:c r="M1225" t="n">
        <x:v>56211.5</x:v>
      </x:c>
      <x:c r="N1225" t="n">
        <x:v>57153.75</x:v>
      </x:c>
      <x:c r="O1225" t="n">
        <x:v>58096</x:v>
      </x:c>
    </x:row>
    <x:row r="1226">
      <x:c r="A1226" t="str">
        <x:v>Rajasthan</x:v>
      </x:c>
      <x:c r="B1226" t="str">
        <x:v>All India except Central University</x:v>
      </x:c>
      <x:c r="C1226" t="str">
        <x:v>200429</x:v>
      </x:c>
      <x:c r="D1226" t="str">
        <x:v>Government Medical College, Dungarpur, VILLAGE- THANA DUNGARPUR</x:v>
      </x:c>
      <x:c r="E1226" t="str">
        <x:v>All India</x:v>
      </x:c>
      <x:c r="F1226" t="str">
        <x:v>SC PwD</x:v>
      </x:c>
      <x:c r="G1226" t="n">
        <x:v>1</x:v>
      </x:c>
      <x:c r="H1226" t="n">
        <x:v>1</x:v>
      </x:c>
      <x:c r="I1226" t="n">
        <x:f>G1226-H1226</x:f>
        <x:v>0</x:v>
      </x:c>
      <x:c r="J1226" s="20" t="n">
        <x:f>IFERROR(H1226/G1226,0)</x:f>
        <x:v>1</x:v>
      </x:c>
      <x:c r="K1226" t="n">
        <x:v>771042</x:v>
      </x:c>
      <x:c r="L1226" t="n">
        <x:v>771042</x:v>
      </x:c>
      <x:c r="M1226" t="n">
        <x:v>771042</x:v>
      </x:c>
      <x:c r="N1226" t="n">
        <x:v>771042</x:v>
      </x:c>
      <x:c r="O1226" t="n">
        <x:v>771042</x:v>
      </x:c>
    </x:row>
    <x:row r="1227">
      <x:c r="A1227" t="str">
        <x:v>Rajasthan</x:v>
      </x:c>
      <x:c r="B1227" t="str">
        <x:v>All India except Central University</x:v>
      </x:c>
      <x:c r="C1227" t="str">
        <x:v>200429</x:v>
      </x:c>
      <x:c r="D1227" t="str">
        <x:v>Government Medical College, Dungarpur, VILLAGE- THANA DUNGARPUR</x:v>
      </x:c>
      <x:c r="E1227" t="str">
        <x:v>All India</x:v>
      </x:c>
      <x:c r="F1227" t="str">
        <x:v>ST</x:v>
      </x:c>
      <x:c r="G1227" t="n">
        <x:v>1</x:v>
      </x:c>
      <x:c r="H1227" t="n">
        <x:v>1</x:v>
      </x:c>
      <x:c r="I1227" t="n">
        <x:f>G1227-H1227</x:f>
        <x:v>0</x:v>
      </x:c>
      <x:c r="J1227" s="20" t="n">
        <x:f>IFERROR(H1227/G1227,0)</x:f>
        <x:v>1</x:v>
      </x:c>
      <x:c r="K1227" t="n">
        <x:v>76008</x:v>
      </x:c>
      <x:c r="L1227" t="n">
        <x:v>76008</x:v>
      </x:c>
      <x:c r="M1227" t="n">
        <x:v>76008</x:v>
      </x:c>
      <x:c r="N1227" t="n">
        <x:v>76008</x:v>
      </x:c>
      <x:c r="O1227" t="n">
        <x:v>76008</x:v>
      </x:c>
    </x:row>
    <x:row r="1228">
      <x:c r="A1228" t="str">
        <x:v>Rajasthan</x:v>
      </x:c>
      <x:c r="B1228" t="str">
        <x:v>All India except Central University</x:v>
      </x:c>
      <x:c r="C1228" t="str">
        <x:v>200429</x:v>
      </x:c>
      <x:c r="D1228" t="str">
        <x:v>Government Medical College, Dungarpur, VILLAGE- THANA DUNGARPUR</x:v>
      </x:c>
      <x:c r="E1228" t="str">
        <x:v>All India</x:v>
      </x:c>
      <x:c r="F1228" t="str">
        <x:v>ST PwD</x:v>
      </x:c>
      <x:c r="G1228" t="n">
        <x:v>1</x:v>
      </x:c>
      <x:c r="H1228" t="n">
        <x:v>0</x:v>
      </x:c>
      <x:c r="I1228" t="n">
        <x:f>G1228-H1228</x:f>
        <x:v>1</x:v>
      </x:c>
      <x:c r="J1228" s="20" t="n">
        <x:f>IFERROR(H1228/G1228,0)</x:f>
        <x:v>0</x:v>
      </x:c>
      <x:c r="K1228"/>
      <x:c r="L1228"/>
      <x:c r="M1228"/>
      <x:c r="N1228"/>
      <x:c r="O1228"/>
    </x:row>
    <x:row r="1229">
      <x:c r="A1229" t="str">
        <x:v>Andhra Pradesh</x:v>
      </x:c>
      <x:c r="B1229" t="str">
        <x:v>All India except Central University</x:v>
      </x:c>
      <x:c r="C1229" t="str">
        <x:v>200672</x:v>
      </x:c>
      <x:c r="D1229" t="str">
        <x:v>Government Medical College, Eluru, SURVEY NO 60, BEHIND OLD BUS STAND, ELURU</x:v>
      </x:c>
      <x:c r="E1229" t="str">
        <x:v>All India</x:v>
      </x:c>
      <x:c r="F1229" t="str">
        <x:v>EWS</x:v>
      </x:c>
      <x:c r="G1229" t="n">
        <x:v>1</x:v>
      </x:c>
      <x:c r="H1229" t="n">
        <x:v>1</x:v>
      </x:c>
      <x:c r="I1229" t="n">
        <x:f>G1229-H1229</x:f>
        <x:v>0</x:v>
      </x:c>
      <x:c r="J1229" s="20" t="n">
        <x:f>IFERROR(H1229/G1229,0)</x:f>
        <x:v>1</x:v>
      </x:c>
      <x:c r="K1229" t="n">
        <x:v>23731</x:v>
      </x:c>
      <x:c r="L1229" t="n">
        <x:v>23731</x:v>
      </x:c>
      <x:c r="M1229" t="n">
        <x:v>23731</x:v>
      </x:c>
      <x:c r="N1229" t="n">
        <x:v>23731</x:v>
      </x:c>
      <x:c r="O1229" t="n">
        <x:v>23731</x:v>
      </x:c>
    </x:row>
    <x:row r="1230">
      <x:c r="A1230" t="str">
        <x:v>Andhra Pradesh</x:v>
      </x:c>
      <x:c r="B1230" t="str">
        <x:v>All India except Central University</x:v>
      </x:c>
      <x:c r="C1230" t="str">
        <x:v>200672</x:v>
      </x:c>
      <x:c r="D1230" t="str">
        <x:v>Government Medical College, Eluru, SURVEY NO 60, BEHIND OLD BUS STAND, ELURU</x:v>
      </x:c>
      <x:c r="E1230" t="str">
        <x:v>All India</x:v>
      </x:c>
      <x:c r="F1230" t="str">
        <x:v>EWS PwD</x:v>
      </x:c>
      <x:c r="G1230" t="n">
        <x:v>1</x:v>
      </x:c>
      <x:c r="H1230" t="n">
        <x:v>1</x:v>
      </x:c>
      <x:c r="I1230" t="n">
        <x:f>G1230-H1230</x:f>
        <x:v>0</x:v>
      </x:c>
      <x:c r="J1230" s="20" t="n">
        <x:f>IFERROR(H1230/G1230,0)</x:f>
        <x:v>1</x:v>
      </x:c>
      <x:c r="K1230" t="n">
        <x:v>663704</x:v>
      </x:c>
      <x:c r="L1230" t="n">
        <x:v>663704</x:v>
      </x:c>
      <x:c r="M1230" t="n">
        <x:v>663704</x:v>
      </x:c>
      <x:c r="N1230" t="n">
        <x:v>663704</x:v>
      </x:c>
      <x:c r="O1230" t="n">
        <x:v>663704</x:v>
      </x:c>
    </x:row>
    <x:row r="1231">
      <x:c r="A1231" t="str">
        <x:v>Andhra Pradesh</x:v>
      </x:c>
      <x:c r="B1231" t="str">
        <x:v>All India except Central University</x:v>
      </x:c>
      <x:c r="C1231" t="str">
        <x:v>200672</x:v>
      </x:c>
      <x:c r="D1231" t="str">
        <x:v>Government Medical College, Eluru, SURVEY NO 60, BEHIND OLD BUS STAND, ELURU</x:v>
      </x:c>
      <x:c r="E1231" t="str">
        <x:v>All India</x:v>
      </x:c>
      <x:c r="F1231" t="str">
        <x:v>OBC</x:v>
      </x:c>
      <x:c r="G1231" t="n">
        <x:v>6</x:v>
      </x:c>
      <x:c r="H1231" t="n">
        <x:v>6</x:v>
      </x:c>
      <x:c r="I1231" t="n">
        <x:f>G1231-H1231</x:f>
        <x:v>0</x:v>
      </x:c>
      <x:c r="J1231" s="20" t="n">
        <x:f>IFERROR(H1231/G1231,0)</x:f>
        <x:v>1</x:v>
      </x:c>
      <x:c r="K1231" t="n">
        <x:v>20167</x:v>
      </x:c>
      <x:c r="L1231" t="n">
        <x:v>20422.25</x:v>
      </x:c>
      <x:c r="M1231" t="n">
        <x:v>20571.5</x:v>
      </x:c>
      <x:c r="N1231" t="n">
        <x:v>20716.25</x:v>
      </x:c>
      <x:c r="O1231" t="n">
        <x:v>21108</x:v>
      </x:c>
    </x:row>
    <x:row r="1232">
      <x:c r="A1232" t="str">
        <x:v>Andhra Pradesh</x:v>
      </x:c>
      <x:c r="B1232" t="str">
        <x:v>All India except Central University</x:v>
      </x:c>
      <x:c r="C1232" t="str">
        <x:v>200672</x:v>
      </x:c>
      <x:c r="D1232" t="str">
        <x:v>Government Medical College, Eluru, SURVEY NO 60, BEHIND OLD BUS STAND, ELURU</x:v>
      </x:c>
      <x:c r="E1232" t="str">
        <x:v>All India</x:v>
      </x:c>
      <x:c r="F1232" t="str">
        <x:v>Open</x:v>
      </x:c>
      <x:c r="G1232" t="n">
        <x:v>9</x:v>
      </x:c>
      <x:c r="H1232" t="n">
        <x:v>9</x:v>
      </x:c>
      <x:c r="I1232" t="n">
        <x:f>G1232-H1232</x:f>
        <x:v>0</x:v>
      </x:c>
      <x:c r="J1232" s="20" t="n">
        <x:f>IFERROR(H1232/G1232,0)</x:f>
        <x:v>1</x:v>
      </x:c>
      <x:c r="K1232" t="n">
        <x:v>12108</x:v>
      </x:c>
      <x:c r="L1232" t="n">
        <x:v>17549</x:v>
      </x:c>
      <x:c r="M1232" t="n">
        <x:v>18708</x:v>
      </x:c>
      <x:c r="N1232" t="n">
        <x:v>19665</x:v>
      </x:c>
      <x:c r="O1232" t="n">
        <x:v>19957</x:v>
      </x:c>
    </x:row>
    <x:row r="1233">
      <x:c r="A1233" t="str">
        <x:v>Andhra Pradesh</x:v>
      </x:c>
      <x:c r="B1233" t="str">
        <x:v>All India except Central University</x:v>
      </x:c>
      <x:c r="C1233" t="str">
        <x:v>200672</x:v>
      </x:c>
      <x:c r="D1233" t="str">
        <x:v>Government Medical College, Eluru, SURVEY NO 60, BEHIND OLD BUS STAND, ELURU</x:v>
      </x:c>
      <x:c r="E1233" t="str">
        <x:v>All India</x:v>
      </x:c>
      <x:c r="F1233" t="str">
        <x:v>Open PwD</x:v>
      </x:c>
      <x:c r="G1233" t="n">
        <x:v>1</x:v>
      </x:c>
      <x:c r="H1233" t="n">
        <x:v>1</x:v>
      </x:c>
      <x:c r="I1233" t="n">
        <x:f>G1233-H1233</x:f>
        <x:v>0</x:v>
      </x:c>
      <x:c r="J1233" s="20" t="n">
        <x:f>IFERROR(H1233/G1233,0)</x:f>
        <x:v>1</x:v>
      </x:c>
      <x:c r="K1233" t="n">
        <x:v>590674</x:v>
      </x:c>
      <x:c r="L1233" t="n">
        <x:v>590674</x:v>
      </x:c>
      <x:c r="M1233" t="n">
        <x:v>590674</x:v>
      </x:c>
      <x:c r="N1233" t="n">
        <x:v>590674</x:v>
      </x:c>
      <x:c r="O1233" t="n">
        <x:v>590674</x:v>
      </x:c>
    </x:row>
    <x:row r="1234">
      <x:c r="A1234" t="str">
        <x:v>Andhra Pradesh</x:v>
      </x:c>
      <x:c r="B1234" t="str">
        <x:v>All India except Central University</x:v>
      </x:c>
      <x:c r="C1234" t="str">
        <x:v>200672</x:v>
      </x:c>
      <x:c r="D1234" t="str">
        <x:v>Government Medical College, Eluru, SURVEY NO 60, BEHIND OLD BUS STAND, ELURU</x:v>
      </x:c>
      <x:c r="E1234" t="str">
        <x:v>All India</x:v>
      </x:c>
      <x:c r="F1234" t="str">
        <x:v>SC</x:v>
      </x:c>
      <x:c r="G1234" t="n">
        <x:v>2</x:v>
      </x:c>
      <x:c r="H1234" t="n">
        <x:v>2</x:v>
      </x:c>
      <x:c r="I1234" t="n">
        <x:f>G1234-H1234</x:f>
        <x:v>0</x:v>
      </x:c>
      <x:c r="J1234" s="20" t="n">
        <x:f>IFERROR(H1234/G1234,0)</x:f>
        <x:v>1</x:v>
      </x:c>
      <x:c r="K1234" t="n">
        <x:v>60260</x:v>
      </x:c>
      <x:c r="L1234" t="n">
        <x:v>63025.5</x:v>
      </x:c>
      <x:c r="M1234" t="n">
        <x:v>65791</x:v>
      </x:c>
      <x:c r="N1234" t="n">
        <x:v>68556.5</x:v>
      </x:c>
      <x:c r="O1234" t="n">
        <x:v>71322</x:v>
      </x:c>
    </x:row>
    <x:row r="1235">
      <x:c r="A1235" t="str">
        <x:v>Andhra Pradesh</x:v>
      </x:c>
      <x:c r="B1235" t="str">
        <x:v>All India except Central University</x:v>
      </x:c>
      <x:c r="C1235" t="str">
        <x:v>200672</x:v>
      </x:c>
      <x:c r="D1235" t="str">
        <x:v>Government Medical College, Eluru, SURVEY NO 60, BEHIND OLD BUS STAND, ELURU</x:v>
      </x:c>
      <x:c r="E1235" t="str">
        <x:v>All India</x:v>
      </x:c>
      <x:c r="F1235" t="str">
        <x:v>SC PwD</x:v>
      </x:c>
      <x:c r="G1235" t="n">
        <x:v>1</x:v>
      </x:c>
      <x:c r="H1235" t="n">
        <x:v>1</x:v>
      </x:c>
      <x:c r="I1235" t="n">
        <x:f>G1235-H1235</x:f>
        <x:v>0</x:v>
      </x:c>
      <x:c r="J1235" s="20" t="n">
        <x:f>IFERROR(H1235/G1235,0)</x:f>
        <x:v>1</x:v>
      </x:c>
      <x:c r="K1235" t="n">
        <x:v>832005</x:v>
      </x:c>
      <x:c r="L1235" t="n">
        <x:v>832005</x:v>
      </x:c>
      <x:c r="M1235" t="n">
        <x:v>832005</x:v>
      </x:c>
      <x:c r="N1235" t="n">
        <x:v>832005</x:v>
      </x:c>
      <x:c r="O1235" t="n">
        <x:v>832005</x:v>
      </x:c>
    </x:row>
    <x:row r="1236">
      <x:c r="A1236" t="str">
        <x:v>Andhra Pradesh</x:v>
      </x:c>
      <x:c r="B1236" t="str">
        <x:v>All India except Central University</x:v>
      </x:c>
      <x:c r="C1236" t="str">
        <x:v>200672</x:v>
      </x:c>
      <x:c r="D1236" t="str">
        <x:v>Government Medical College, Eluru, SURVEY NO 60, BEHIND OLD BUS STAND, ELURU</x:v>
      </x:c>
      <x:c r="E1236" t="str">
        <x:v>All India</x:v>
      </x:c>
      <x:c r="F1236" t="str">
        <x:v>ST PwD</x:v>
      </x:c>
      <x:c r="G1236" t="n">
        <x:v>1</x:v>
      </x:c>
      <x:c r="H1236" t="n">
        <x:v>1</x:v>
      </x:c>
      <x:c r="I1236" t="n">
        <x:f>G1236-H1236</x:f>
        <x:v>0</x:v>
      </x:c>
      <x:c r="J1236" s="20" t="n">
        <x:f>IFERROR(H1236/G1236,0)</x:f>
        <x:v>1</x:v>
      </x:c>
      <x:c r="K1236" t="n">
        <x:v>997144</x:v>
      </x:c>
      <x:c r="L1236" t="n">
        <x:v>997144</x:v>
      </x:c>
      <x:c r="M1236" t="n">
        <x:v>997144</x:v>
      </x:c>
      <x:c r="N1236" t="n">
        <x:v>997144</x:v>
      </x:c>
      <x:c r="O1236" t="n">
        <x:v>997144</x:v>
      </x:c>
    </x:row>
    <x:row r="1237">
      <x:c r="A1237" t="str">
        <x:v>Kerala</x:v>
      </x:c>
      <x:c r="B1237" t="str">
        <x:v>All India except Central University</x:v>
      </x:c>
      <x:c r="C1237" t="str">
        <x:v>200187</x:v>
      </x:c>
      <x:c r="D1237" t="str">
        <x:v>Government Medical College, Ernakulam, HMT COLONY P O, KALAMASSERY, ERNAKULAM DISTRICT</x:v>
      </x:c>
      <x:c r="E1237" t="str">
        <x:v>All India</x:v>
      </x:c>
      <x:c r="F1237" t="str">
        <x:v>EWS</x:v>
      </x:c>
      <x:c r="G1237" t="n">
        <x:v>2</x:v>
      </x:c>
      <x:c r="H1237" t="n">
        <x:v>2</x:v>
      </x:c>
      <x:c r="I1237" t="n">
        <x:f>G1237-H1237</x:f>
        <x:v>0</x:v>
      </x:c>
      <x:c r="J1237" s="20" t="n">
        <x:f>IFERROR(H1237/G1237,0)</x:f>
        <x:v>1</x:v>
      </x:c>
      <x:c r="K1237" t="n">
        <x:v>15708</x:v>
      </x:c>
      <x:c r="L1237" t="n">
        <x:v>15731</x:v>
      </x:c>
      <x:c r="M1237" t="n">
        <x:v>15754</x:v>
      </x:c>
      <x:c r="N1237" t="n">
        <x:v>15777</x:v>
      </x:c>
      <x:c r="O1237" t="n">
        <x:v>15800</x:v>
      </x:c>
    </x:row>
    <x:row r="1238">
      <x:c r="A1238" t="str">
        <x:v>Kerala</x:v>
      </x:c>
      <x:c r="B1238" t="str">
        <x:v>All India except Central University</x:v>
      </x:c>
      <x:c r="C1238" t="str">
        <x:v>200187</x:v>
      </x:c>
      <x:c r="D1238" t="str">
        <x:v>Government Medical College, Ernakulam, HMT COLONY P O, KALAMASSERY, ERNAKULAM DISTRICT</x:v>
      </x:c>
      <x:c r="E1238" t="str">
        <x:v>All India</x:v>
      </x:c>
      <x:c r="F1238" t="str">
        <x:v>OBC</x:v>
      </x:c>
      <x:c r="G1238" t="n">
        <x:v>4</x:v>
      </x:c>
      <x:c r="H1238" t="n">
        <x:v>4</x:v>
      </x:c>
      <x:c r="I1238" t="n">
        <x:f>G1238-H1238</x:f>
        <x:v>0</x:v>
      </x:c>
      <x:c r="J1238" s="20" t="n">
        <x:f>IFERROR(H1238/G1238,0)</x:f>
        <x:v>1</x:v>
      </x:c>
      <x:c r="K1238" t="n">
        <x:v>5004</x:v>
      </x:c>
      <x:c r="L1238" t="n">
        <x:v>5099.25</x:v>
      </x:c>
      <x:c r="M1238" t="n">
        <x:v>5137.5</x:v>
      </x:c>
      <x:c r="N1238" t="n">
        <x:v>5156</x:v>
      </x:c>
      <x:c r="O1238" t="n">
        <x:v>5192</x:v>
      </x:c>
    </x:row>
    <x:row r="1239">
      <x:c r="A1239" t="str">
        <x:v>Kerala</x:v>
      </x:c>
      <x:c r="B1239" t="str">
        <x:v>All India except Central University</x:v>
      </x:c>
      <x:c r="C1239" t="str">
        <x:v>200187</x:v>
      </x:c>
      <x:c r="D1239" t="str">
        <x:v>Government Medical College, Ernakulam, HMT COLONY P O, KALAMASSERY, ERNAKULAM DISTRICT</x:v>
      </x:c>
      <x:c r="E1239" t="str">
        <x:v>All India</x:v>
      </x:c>
      <x:c r="F1239" t="str">
        <x:v>OBC PwD</x:v>
      </x:c>
      <x:c r="G1239" t="n">
        <x:v>1</x:v>
      </x:c>
      <x:c r="H1239" t="n">
        <x:v>1</x:v>
      </x:c>
      <x:c r="I1239" t="n">
        <x:f>G1239-H1239</x:f>
        <x:v>0</x:v>
      </x:c>
      <x:c r="J1239" s="20" t="n">
        <x:f>IFERROR(H1239/G1239,0)</x:f>
        <x:v>1</x:v>
      </x:c>
      <x:c r="K1239" t="n">
        <x:v>379418</x:v>
      </x:c>
      <x:c r="L1239" t="n">
        <x:v>379418</x:v>
      </x:c>
      <x:c r="M1239" t="n">
        <x:v>379418</x:v>
      </x:c>
      <x:c r="N1239" t="n">
        <x:v>379418</x:v>
      </x:c>
      <x:c r="O1239" t="n">
        <x:v>379418</x:v>
      </x:c>
    </x:row>
    <x:row r="1240">
      <x:c r="A1240" t="str">
        <x:v>Kerala</x:v>
      </x:c>
      <x:c r="B1240" t="str">
        <x:v>All India except Central University</x:v>
      </x:c>
      <x:c r="C1240" t="str">
        <x:v>200187</x:v>
      </x:c>
      <x:c r="D1240" t="str">
        <x:v>Government Medical College, Ernakulam, HMT COLONY P O, KALAMASSERY, ERNAKULAM DISTRICT</x:v>
      </x:c>
      <x:c r="E1240" t="str">
        <x:v>All India</x:v>
      </x:c>
      <x:c r="F1240" t="str">
        <x:v>Open</x:v>
      </x:c>
      <x:c r="G1240" t="n">
        <x:v>6</x:v>
      </x:c>
      <x:c r="H1240" t="n">
        <x:v>6</x:v>
      </x:c>
      <x:c r="I1240" t="n">
        <x:f>G1240-H1240</x:f>
        <x:v>0</x:v>
      </x:c>
      <x:c r="J1240" s="20" t="n">
        <x:f>IFERROR(H1240/G1240,0)</x:f>
        <x:v>1</x:v>
      </x:c>
      <x:c r="K1240" t="n">
        <x:v>3523</x:v>
      </x:c>
      <x:c r="L1240" t="n">
        <x:v>3731</x:v>
      </x:c>
      <x:c r="M1240" t="n">
        <x:v>4206.5</x:v>
      </x:c>
      <x:c r="N1240" t="n">
        <x:v>4388</x:v>
      </x:c>
      <x:c r="O1240" t="n">
        <x:v>4582</x:v>
      </x:c>
    </x:row>
    <x:row r="1241">
      <x:c r="A1241" t="str">
        <x:v>Kerala</x:v>
      </x:c>
      <x:c r="B1241" t="str">
        <x:v>All India except Central University</x:v>
      </x:c>
      <x:c r="C1241" t="str">
        <x:v>200187</x:v>
      </x:c>
      <x:c r="D1241" t="str">
        <x:v>Government Medical College, Ernakulam, HMT COLONY P O, KALAMASSERY, ERNAKULAM DISTRICT</x:v>
      </x:c>
      <x:c r="E1241" t="str">
        <x:v>All India</x:v>
      </x:c>
      <x:c r="F1241" t="str">
        <x:v>SC</x:v>
      </x:c>
      <x:c r="G1241" t="n">
        <x:v>3</x:v>
      </x:c>
      <x:c r="H1241" t="n">
        <x:v>3</x:v>
      </x:c>
      <x:c r="I1241" t="n">
        <x:f>G1241-H1241</x:f>
        <x:v>0</x:v>
      </x:c>
      <x:c r="J1241" s="20" t="n">
        <x:f>IFERROR(H1241/G1241,0)</x:f>
        <x:v>1</x:v>
      </x:c>
      <x:c r="K1241" t="n">
        <x:v>53484</x:v>
      </x:c>
      <x:c r="L1241" t="n">
        <x:v>53971.5</x:v>
      </x:c>
      <x:c r="M1241" t="n">
        <x:v>54459</x:v>
      </x:c>
      <x:c r="N1241" t="n">
        <x:v>59676.5</x:v>
      </x:c>
      <x:c r="O1241" t="n">
        <x:v>64894</x:v>
      </x:c>
    </x:row>
    <x:row r="1242">
      <x:c r="A1242" t="str">
        <x:v>Kerala</x:v>
      </x:c>
      <x:c r="B1242" t="str">
        <x:v>All India except Central University</x:v>
      </x:c>
      <x:c r="C1242" t="str">
        <x:v>200187</x:v>
      </x:c>
      <x:c r="D1242" t="str">
        <x:v>Government Medical College, Ernakulam, HMT COLONY P O, KALAMASSERY, ERNAKULAM DISTRICT</x:v>
      </x:c>
      <x:c r="E1242" t="str">
        <x:v>All India</x:v>
      </x:c>
      <x:c r="F1242" t="str">
        <x:v>ST</x:v>
      </x:c>
      <x:c r="G1242" t="n">
        <x:v>1</x:v>
      </x:c>
      <x:c r="H1242" t="n">
        <x:v>1</x:v>
      </x:c>
      <x:c r="I1242" t="n">
        <x:f>G1242-H1242</x:f>
        <x:v>0</x:v>
      </x:c>
      <x:c r="J1242" s="20" t="n">
        <x:f>IFERROR(H1242/G1242,0)</x:f>
        <x:v>1</x:v>
      </x:c>
      <x:c r="K1242" t="n">
        <x:v>80017</x:v>
      </x:c>
      <x:c r="L1242" t="n">
        <x:v>80017</x:v>
      </x:c>
      <x:c r="M1242" t="n">
        <x:v>80017</x:v>
      </x:c>
      <x:c r="N1242" t="n">
        <x:v>80017</x:v>
      </x:c>
      <x:c r="O1242" t="n">
        <x:v>80017</x:v>
      </x:c>
    </x:row>
    <x:row r="1243">
      <x:c r="A1243" t="str">
        <x:v>Uttar Pradesh</x:v>
      </x:c>
      <x:c r="B1243" t="str">
        <x:v>All India except Central University</x:v>
      </x:c>
      <x:c r="C1243" t="str">
        <x:v>200489</x:v>
      </x:c>
      <x:c r="D1243" t="str">
        <x:v>Government Medical College, Faizabad, GANJA PARGANA- HAVELI AWADH, TAHSIL- SADAR AYODHYA (FAIZABAD)</x:v>
      </x:c>
      <x:c r="E1243" t="str">
        <x:v>All India</x:v>
      </x:c>
      <x:c r="F1243" t="str">
        <x:v>EWS</x:v>
      </x:c>
      <x:c r="G1243" t="n">
        <x:v>1</x:v>
      </x:c>
      <x:c r="H1243" t="n">
        <x:v>1</x:v>
      </x:c>
      <x:c r="I1243" t="n">
        <x:f>G1243-H1243</x:f>
        <x:v>0</x:v>
      </x:c>
      <x:c r="J1243" s="20" t="n">
        <x:f>IFERROR(H1243/G1243,0)</x:f>
        <x:v>1</x:v>
      </x:c>
      <x:c r="K1243" t="n">
        <x:v>13429</x:v>
      </x:c>
      <x:c r="L1243" t="n">
        <x:v>13429</x:v>
      </x:c>
      <x:c r="M1243" t="n">
        <x:v>13429</x:v>
      </x:c>
      <x:c r="N1243" t="n">
        <x:v>13429</x:v>
      </x:c>
      <x:c r="O1243" t="n">
        <x:v>13429</x:v>
      </x:c>
    </x:row>
    <x:row r="1244">
      <x:c r="A1244" t="str">
        <x:v>Uttar Pradesh</x:v>
      </x:c>
      <x:c r="B1244" t="str">
        <x:v>All India except Central University</x:v>
      </x:c>
      <x:c r="C1244" t="str">
        <x:v>200489</x:v>
      </x:c>
      <x:c r="D1244" t="str">
        <x:v>Government Medical College, Faizabad, GANJA PARGANA- HAVELI AWADH, TAHSIL- SADAR AYODHYA (FAIZABAD)</x:v>
      </x:c>
      <x:c r="E1244" t="str">
        <x:v>All India</x:v>
      </x:c>
      <x:c r="F1244" t="str">
        <x:v>OBC</x:v>
      </x:c>
      <x:c r="G1244" t="n">
        <x:v>4</x:v>
      </x:c>
      <x:c r="H1244" t="n">
        <x:v>4</x:v>
      </x:c>
      <x:c r="I1244" t="n">
        <x:f>G1244-H1244</x:f>
        <x:v>0</x:v>
      </x:c>
      <x:c r="J1244" s="20" t="n">
        <x:f>IFERROR(H1244/G1244,0)</x:f>
        <x:v>1</x:v>
      </x:c>
      <x:c r="K1244" t="n">
        <x:v>10736</x:v>
      </x:c>
      <x:c r="L1244" t="n">
        <x:v>10765.25</x:v>
      </x:c>
      <x:c r="M1244" t="n">
        <x:v>11203.5</x:v>
      </x:c>
      <x:c r="N1244" t="n">
        <x:v>11700</x:v>
      </x:c>
      <x:c r="O1244" t="n">
        <x:v>11904</x:v>
      </x:c>
    </x:row>
    <x:row r="1245">
      <x:c r="A1245" t="str">
        <x:v>Uttar Pradesh</x:v>
      </x:c>
      <x:c r="B1245" t="str">
        <x:v>All India except Central University</x:v>
      </x:c>
      <x:c r="C1245" t="str">
        <x:v>200489</x:v>
      </x:c>
      <x:c r="D1245" t="str">
        <x:v>Government Medical College, Faizabad, GANJA PARGANA- HAVELI AWADH, TAHSIL- SADAR AYODHYA (FAIZABAD)</x:v>
      </x:c>
      <x:c r="E1245" t="str">
        <x:v>All India</x:v>
      </x:c>
      <x:c r="F1245" t="str">
        <x:v>Open</x:v>
      </x:c>
      <x:c r="G1245" t="n">
        <x:v>6</x:v>
      </x:c>
      <x:c r="H1245" t="n">
        <x:v>6</x:v>
      </x:c>
      <x:c r="I1245" t="n">
        <x:f>G1245-H1245</x:f>
        <x:v>0</x:v>
      </x:c>
      <x:c r="J1245" s="20" t="n">
        <x:f>IFERROR(H1245/G1245,0)</x:f>
        <x:v>1</x:v>
      </x:c>
      <x:c r="K1245" t="n">
        <x:v>7966</x:v>
      </x:c>
      <x:c r="L1245" t="n">
        <x:v>9575.25</x:v>
      </x:c>
      <x:c r="M1245" t="n">
        <x:v>10269</x:v>
      </x:c>
      <x:c r="N1245" t="n">
        <x:v>10365.75</x:v>
      </x:c>
      <x:c r="O1245" t="n">
        <x:v>10487</x:v>
      </x:c>
    </x:row>
    <x:row r="1246">
      <x:c r="A1246" t="str">
        <x:v>Uttar Pradesh</x:v>
      </x:c>
      <x:c r="B1246" t="str">
        <x:v>All India except Central University</x:v>
      </x:c>
      <x:c r="C1246" t="str">
        <x:v>200489</x:v>
      </x:c>
      <x:c r="D1246" t="str">
        <x:v>Government Medical College, Faizabad, GANJA PARGANA- HAVELI AWADH, TAHSIL- SADAR AYODHYA (FAIZABAD)</x:v>
      </x:c>
      <x:c r="E1246" t="str">
        <x:v>All India</x:v>
      </x:c>
      <x:c r="F1246" t="str">
        <x:v>Open PwD</x:v>
      </x:c>
      <x:c r="G1246" t="n">
        <x:v>1</x:v>
      </x:c>
      <x:c r="H1246" t="n">
        <x:v>1</x:v>
      </x:c>
      <x:c r="I1246" t="n">
        <x:f>G1246-H1246</x:f>
        <x:v>0</x:v>
      </x:c>
      <x:c r="J1246" s="20" t="n">
        <x:f>IFERROR(H1246/G1246,0)</x:f>
        <x:v>1</x:v>
      </x:c>
      <x:c r="K1246" t="n">
        <x:v>454254</x:v>
      </x:c>
      <x:c r="L1246" t="n">
        <x:v>454254</x:v>
      </x:c>
      <x:c r="M1246" t="n">
        <x:v>454254</x:v>
      </x:c>
      <x:c r="N1246" t="n">
        <x:v>454254</x:v>
      </x:c>
      <x:c r="O1246" t="n">
        <x:v>454254</x:v>
      </x:c>
    </x:row>
    <x:row r="1247">
      <x:c r="A1247" t="str">
        <x:v>Uttar Pradesh</x:v>
      </x:c>
      <x:c r="B1247" t="str">
        <x:v>All India except Central University</x:v>
      </x:c>
      <x:c r="C1247" t="str">
        <x:v>200489</x:v>
      </x:c>
      <x:c r="D1247" t="str">
        <x:v>Government Medical College, Faizabad, GANJA PARGANA- HAVELI AWADH, TAHSIL- SADAR AYODHYA (FAIZABAD)</x:v>
      </x:c>
      <x:c r="E1247" t="str">
        <x:v>All India</x:v>
      </x:c>
      <x:c r="F1247" t="str">
        <x:v>SC</x:v>
      </x:c>
      <x:c r="G1247" t="n">
        <x:v>2</x:v>
      </x:c>
      <x:c r="H1247" t="n">
        <x:v>2</x:v>
      </x:c>
      <x:c r="I1247" t="n">
        <x:f>G1247-H1247</x:f>
        <x:v>0</x:v>
      </x:c>
      <x:c r="J1247" s="20" t="n">
        <x:f>IFERROR(H1247/G1247,0)</x:f>
        <x:v>1</x:v>
      </x:c>
      <x:c r="K1247" t="n">
        <x:v>62928</x:v>
      </x:c>
      <x:c r="L1247" t="n">
        <x:v>64428.75</x:v>
      </x:c>
      <x:c r="M1247" t="n">
        <x:v>65929.5</x:v>
      </x:c>
      <x:c r="N1247" t="n">
        <x:v>67430.25</x:v>
      </x:c>
      <x:c r="O1247" t="n">
        <x:v>68931</x:v>
      </x:c>
    </x:row>
    <x:row r="1248">
      <x:c r="A1248" t="str">
        <x:v>Uttar Pradesh</x:v>
      </x:c>
      <x:c r="B1248" t="str">
        <x:v>All India except Central University</x:v>
      </x:c>
      <x:c r="C1248" t="str">
        <x:v>200489</x:v>
      </x:c>
      <x:c r="D1248" t="str">
        <x:v>Government Medical College, Faizabad, GANJA PARGANA- HAVELI AWADH, TAHSIL- SADAR AYODHYA (FAIZABAD)</x:v>
      </x:c>
      <x:c r="E1248" t="str">
        <x:v>All India</x:v>
      </x:c>
      <x:c r="F1248" t="str">
        <x:v>ST</x:v>
      </x:c>
      <x:c r="G1248" t="n">
        <x:v>1</x:v>
      </x:c>
      <x:c r="H1248" t="n">
        <x:v>1</x:v>
      </x:c>
      <x:c r="I1248" t="n">
        <x:f>G1248-H1248</x:f>
        <x:v>0</x:v>
      </x:c>
      <x:c r="J1248" s="20" t="n">
        <x:f>IFERROR(H1248/G1248,0)</x:f>
        <x:v>1</x:v>
      </x:c>
      <x:c r="K1248" t="n">
        <x:v>76589</x:v>
      </x:c>
      <x:c r="L1248" t="n">
        <x:v>76589</x:v>
      </x:c>
      <x:c r="M1248" t="n">
        <x:v>76589</x:v>
      </x:c>
      <x:c r="N1248" t="n">
        <x:v>76589</x:v>
      </x:c>
      <x:c r="O1248" t="n">
        <x:v>76589</x:v>
      </x:c>
    </x:row>
    <x:row r="1249">
      <x:c r="A1249" t="str">
        <x:v>Uttar Pradesh</x:v>
      </x:c>
      <x:c r="B1249" t="str">
        <x:v>All India except Central University</x:v>
      </x:c>
      <x:c r="C1249" t="str">
        <x:v>200473</x:v>
      </x:c>
      <x:c r="D1249" t="str">
        <x:v>Government Medical College, Firozabad, DAULATTAPUR JALESHAR ROAD NARKHI FIROZABAD</x:v>
      </x:c>
      <x:c r="E1249" t="str">
        <x:v>All India</x:v>
      </x:c>
      <x:c r="F1249" t="str">
        <x:v>EWS</x:v>
      </x:c>
      <x:c r="G1249" t="n">
        <x:v>1</x:v>
      </x:c>
      <x:c r="H1249" t="n">
        <x:v>1</x:v>
      </x:c>
      <x:c r="I1249" t="n">
        <x:f>G1249-H1249</x:f>
        <x:v>0</x:v>
      </x:c>
      <x:c r="J1249" s="20" t="n">
        <x:f>IFERROR(H1249/G1249,0)</x:f>
        <x:v>1</x:v>
      </x:c>
      <x:c r="K1249" t="n">
        <x:v>13352</x:v>
      </x:c>
      <x:c r="L1249" t="n">
        <x:v>13352</x:v>
      </x:c>
      <x:c r="M1249" t="n">
        <x:v>13352</x:v>
      </x:c>
      <x:c r="N1249" t="n">
        <x:v>13352</x:v>
      </x:c>
      <x:c r="O1249" t="n">
        <x:v>13352</x:v>
      </x:c>
    </x:row>
    <x:row r="1250">
      <x:c r="A1250" t="str">
        <x:v>Uttar Pradesh</x:v>
      </x:c>
      <x:c r="B1250" t="str">
        <x:v>All India except Central University</x:v>
      </x:c>
      <x:c r="C1250" t="str">
        <x:v>200473</x:v>
      </x:c>
      <x:c r="D1250" t="str">
        <x:v>Government Medical College, Firozabad, DAULATTAPUR JALESHAR ROAD NARKHI FIROZABAD</x:v>
      </x:c>
      <x:c r="E1250" t="str">
        <x:v>All India</x:v>
      </x:c>
      <x:c r="F1250" t="str">
        <x:v>OBC</x:v>
      </x:c>
      <x:c r="G1250" t="n">
        <x:v>4</x:v>
      </x:c>
      <x:c r="H1250" t="n">
        <x:v>4</x:v>
      </x:c>
      <x:c r="I1250" t="n">
        <x:f>G1250-H1250</x:f>
        <x:v>0</x:v>
      </x:c>
      <x:c r="J1250" s="20" t="n">
        <x:f>IFERROR(H1250/G1250,0)</x:f>
        <x:v>1</x:v>
      </x:c>
      <x:c r="K1250" t="n">
        <x:v>11665</x:v>
      </x:c>
      <x:c r="L1250" t="n">
        <x:v>11813.5</x:v>
      </x:c>
      <x:c r="M1250" t="n">
        <x:v>12022</x:v>
      </x:c>
      <x:c r="N1250" t="n">
        <x:v>12262</x:v>
      </x:c>
      <x:c r="O1250" t="n">
        <x:v>12505</x:v>
      </x:c>
    </x:row>
    <x:row r="1251">
      <x:c r="A1251" t="str">
        <x:v>Uttar Pradesh</x:v>
      </x:c>
      <x:c r="B1251" t="str">
        <x:v>All India except Central University</x:v>
      </x:c>
      <x:c r="C1251" t="str">
        <x:v>200473</x:v>
      </x:c>
      <x:c r="D1251" t="str">
        <x:v>Government Medical College, Firozabad, DAULATTAPUR JALESHAR ROAD NARKHI FIROZABAD</x:v>
      </x:c>
      <x:c r="E1251" t="str">
        <x:v>All India</x:v>
      </x:c>
      <x:c r="F1251" t="str">
        <x:v>Open</x:v>
      </x:c>
      <x:c r="G1251" t="n">
        <x:v>6</x:v>
      </x:c>
      <x:c r="H1251" t="n">
        <x:v>6</x:v>
      </x:c>
      <x:c r="I1251" t="n">
        <x:f>G1251-H1251</x:f>
        <x:v>0</x:v>
      </x:c>
      <x:c r="J1251" s="20" t="n">
        <x:f>IFERROR(H1251/G1251,0)</x:f>
        <x:v>1</x:v>
      </x:c>
      <x:c r="K1251" t="n">
        <x:v>9148</x:v>
      </x:c>
      <x:c r="L1251" t="n">
        <x:v>10713</x:v>
      </x:c>
      <x:c r="M1251" t="n">
        <x:v>11272.5</x:v>
      </x:c>
      <x:c r="N1251" t="n">
        <x:v>11408.25</x:v>
      </x:c>
      <x:c r="O1251" t="n">
        <x:v>11443</x:v>
      </x:c>
    </x:row>
    <x:row r="1252">
      <x:c r="A1252" t="str">
        <x:v>Uttar Pradesh</x:v>
      </x:c>
      <x:c r="B1252" t="str">
        <x:v>All India except Central University</x:v>
      </x:c>
      <x:c r="C1252" t="str">
        <x:v>200473</x:v>
      </x:c>
      <x:c r="D1252" t="str">
        <x:v>Government Medical College, Firozabad, DAULATTAPUR JALESHAR ROAD NARKHI FIROZABAD</x:v>
      </x:c>
      <x:c r="E1252" t="str">
        <x:v>All India</x:v>
      </x:c>
      <x:c r="F1252" t="str">
        <x:v>SC</x:v>
      </x:c>
      <x:c r="G1252" t="n">
        <x:v>3</x:v>
      </x:c>
      <x:c r="H1252" t="n">
        <x:v>3</x:v>
      </x:c>
      <x:c r="I1252" t="n">
        <x:f>G1252-H1252</x:f>
        <x:v>0</x:v>
      </x:c>
      <x:c r="J1252" s="20" t="n">
        <x:f>IFERROR(H1252/G1252,0)</x:f>
        <x:v>1</x:v>
      </x:c>
      <x:c r="K1252" t="n">
        <x:v>48846</x:v>
      </x:c>
      <x:c r="L1252" t="n">
        <x:v>53110</x:v>
      </x:c>
      <x:c r="M1252" t="n">
        <x:v>57374</x:v>
      </x:c>
      <x:c r="N1252" t="n">
        <x:v>59634.5</x:v>
      </x:c>
      <x:c r="O1252" t="n">
        <x:v>61895</x:v>
      </x:c>
    </x:row>
    <x:row r="1253">
      <x:c r="A1253" t="str">
        <x:v>Uttar Pradesh</x:v>
      </x:c>
      <x:c r="B1253" t="str">
        <x:v>All India except Central University</x:v>
      </x:c>
      <x:c r="C1253" t="str">
        <x:v>200473</x:v>
      </x:c>
      <x:c r="D1253" t="str">
        <x:v>Government Medical College, Firozabad, DAULATTAPUR JALESHAR ROAD NARKHI FIROZABAD</x:v>
      </x:c>
      <x:c r="E1253" t="str">
        <x:v>All India</x:v>
      </x:c>
      <x:c r="F1253" t="str">
        <x:v>ST</x:v>
      </x:c>
      <x:c r="G1253" t="n">
        <x:v>1</x:v>
      </x:c>
      <x:c r="H1253" t="n">
        <x:v>1</x:v>
      </x:c>
      <x:c r="I1253" t="n">
        <x:f>G1253-H1253</x:f>
        <x:v>0</x:v>
      </x:c>
      <x:c r="J1253" s="20" t="n">
        <x:f>IFERROR(H1253/G1253,0)</x:f>
        <x:v>1</x:v>
      </x:c>
      <x:c r="K1253" t="n">
        <x:v>66841</x:v>
      </x:c>
      <x:c r="L1253" t="n">
        <x:v>66841</x:v>
      </x:c>
      <x:c r="M1253" t="n">
        <x:v>66841</x:v>
      </x:c>
      <x:c r="N1253" t="n">
        <x:v>66841</x:v>
      </x:c>
      <x:c r="O1253" t="n">
        <x:v>66841</x:v>
      </x:c>
    </x:row>
    <x:row r="1254">
      <x:c r="A1254" t="str">
        <x:v>Maharashtra</x:v>
      </x:c>
      <x:c r="B1254" t="str">
        <x:v>All India except Central University</x:v>
      </x:c>
      <x:c r="C1254" t="str">
        <x:v>903363</x:v>
      </x:c>
      <x:c r="D1254" t="str">
        <x:v>Government Medical College, Gadchiroli, Government Medical College, Mul road complex, Gadchiroli</x:v>
      </x:c>
      <x:c r="E1254" t="str">
        <x:v>All India</x:v>
      </x:c>
      <x:c r="F1254" t="str">
        <x:v>EWS</x:v>
      </x:c>
      <x:c r="G1254" t="n">
        <x:v>2</x:v>
      </x:c>
      <x:c r="H1254" t="n">
        <x:v>2</x:v>
      </x:c>
      <x:c r="I1254" t="n">
        <x:f>G1254-H1254</x:f>
        <x:v>0</x:v>
      </x:c>
      <x:c r="J1254" s="20" t="n">
        <x:f>IFERROR(H1254/G1254,0)</x:f>
        <x:v>1</x:v>
      </x:c>
      <x:c r="K1254" t="n">
        <x:v>21920</x:v>
      </x:c>
      <x:c r="L1254" t="n">
        <x:v>22204.25</x:v>
      </x:c>
      <x:c r="M1254" t="n">
        <x:v>22488.5</x:v>
      </x:c>
      <x:c r="N1254" t="n">
        <x:v>22772.75</x:v>
      </x:c>
      <x:c r="O1254" t="n">
        <x:v>23057</x:v>
      </x:c>
    </x:row>
    <x:row r="1255">
      <x:c r="A1255" t="str">
        <x:v>Maharashtra</x:v>
      </x:c>
      <x:c r="B1255" t="str">
        <x:v>All India except Central University</x:v>
      </x:c>
      <x:c r="C1255" t="str">
        <x:v>903363</x:v>
      </x:c>
      <x:c r="D1255" t="str">
        <x:v>Government Medical College, Gadchiroli, Government Medical College, Mul road complex, Gadchiroli</x:v>
      </x:c>
      <x:c r="E1255" t="str">
        <x:v>All India</x:v>
      </x:c>
      <x:c r="F1255" t="str">
        <x:v>OBC</x:v>
      </x:c>
      <x:c r="G1255" t="n">
        <x:v>4</x:v>
      </x:c>
      <x:c r="H1255" t="n">
        <x:v>4</x:v>
      </x:c>
      <x:c r="I1255" t="n">
        <x:f>G1255-H1255</x:f>
        <x:v>0</x:v>
      </x:c>
      <x:c r="J1255" s="20" t="n">
        <x:f>IFERROR(H1255/G1255,0)</x:f>
        <x:v>1</x:v>
      </x:c>
      <x:c r="K1255" t="n">
        <x:v>19375</x:v>
      </x:c>
      <x:c r="L1255" t="n">
        <x:v>19619.5</x:v>
      </x:c>
      <x:c r="M1255" t="n">
        <x:v>19848</x:v>
      </x:c>
      <x:c r="N1255" t="n">
        <x:v>20010.5</x:v>
      </x:c>
      <x:c r="O1255" t="n">
        <x:v>20057</x:v>
      </x:c>
    </x:row>
    <x:row r="1256">
      <x:c r="A1256" t="str">
        <x:v>Maharashtra</x:v>
      </x:c>
      <x:c r="B1256" t="str">
        <x:v>All India except Central University</x:v>
      </x:c>
      <x:c r="C1256" t="str">
        <x:v>903363</x:v>
      </x:c>
      <x:c r="D1256" t="str">
        <x:v>Government Medical College, Gadchiroli, Government Medical College, Mul road complex, Gadchiroli</x:v>
      </x:c>
      <x:c r="E1256" t="str">
        <x:v>All India</x:v>
      </x:c>
      <x:c r="F1256" t="str">
        <x:v>Open</x:v>
      </x:c>
      <x:c r="G1256" t="n">
        <x:v>6</x:v>
      </x:c>
      <x:c r="H1256" t="n">
        <x:v>6</x:v>
      </x:c>
      <x:c r="I1256" t="n">
        <x:f>G1256-H1256</x:f>
        <x:v>0</x:v>
      </x:c>
      <x:c r="J1256" s="20" t="n">
        <x:f>IFERROR(H1256/G1256,0)</x:f>
        <x:v>1</x:v>
      </x:c>
      <x:c r="K1256" t="n">
        <x:v>17676</x:v>
      </x:c>
      <x:c r="L1256" t="n">
        <x:v>17740.25</x:v>
      </x:c>
      <x:c r="M1256" t="n">
        <x:v>18084</x:v>
      </x:c>
      <x:c r="N1256" t="n">
        <x:v>18779.5</x:v>
      </x:c>
      <x:c r="O1256" t="n">
        <x:v>19220</x:v>
      </x:c>
    </x:row>
    <x:row r="1257">
      <x:c r="A1257" t="str">
        <x:v>Maharashtra</x:v>
      </x:c>
      <x:c r="B1257" t="str">
        <x:v>All India except Central University</x:v>
      </x:c>
      <x:c r="C1257" t="str">
        <x:v>903363</x:v>
      </x:c>
      <x:c r="D1257" t="str">
        <x:v>Government Medical College, Gadchiroli, Government Medical College, Mul road complex, Gadchiroli</x:v>
      </x:c>
      <x:c r="E1257" t="str">
        <x:v>All India</x:v>
      </x:c>
      <x:c r="F1257" t="str">
        <x:v>SC</x:v>
      </x:c>
      <x:c r="G1257" t="n">
        <x:v>2</x:v>
      </x:c>
      <x:c r="H1257" t="n">
        <x:v>2</x:v>
      </x:c>
      <x:c r="I1257" t="n">
        <x:f>G1257-H1257</x:f>
        <x:v>0</x:v>
      </x:c>
      <x:c r="J1257" s="20" t="n">
        <x:f>IFERROR(H1257/G1257,0)</x:f>
        <x:v>1</x:v>
      </x:c>
      <x:c r="K1257" t="n">
        <x:v>94522</x:v>
      </x:c>
      <x:c r="L1257" t="n">
        <x:v>94617.5</x:v>
      </x:c>
      <x:c r="M1257" t="n">
        <x:v>94713</x:v>
      </x:c>
      <x:c r="N1257" t="n">
        <x:v>94808.5</x:v>
      </x:c>
      <x:c r="O1257" t="n">
        <x:v>94904</x:v>
      </x:c>
    </x:row>
    <x:row r="1258">
      <x:c r="A1258" t="str">
        <x:v>Maharashtra</x:v>
      </x:c>
      <x:c r="B1258" t="str">
        <x:v>All India except Central University</x:v>
      </x:c>
      <x:c r="C1258" t="str">
        <x:v>903363</x:v>
      </x:c>
      <x:c r="D1258" t="str">
        <x:v>Government Medical College, Gadchiroli, Government Medical College, Mul road complex, Gadchiroli</x:v>
      </x:c>
      <x:c r="E1258" t="str">
        <x:v>All India</x:v>
      </x:c>
      <x:c r="F1258" t="str">
        <x:v>ST</x:v>
      </x:c>
      <x:c r="G1258" t="n">
        <x:v>1</x:v>
      </x:c>
      <x:c r="H1258" t="n">
        <x:v>1</x:v>
      </x:c>
      <x:c r="I1258" t="n">
        <x:f>G1258-H1258</x:f>
        <x:v>0</x:v>
      </x:c>
      <x:c r="J1258" s="20" t="n">
        <x:f>IFERROR(H1258/G1258,0)</x:f>
        <x:v>1</x:v>
      </x:c>
      <x:c r="K1258" t="n">
        <x:v>123137</x:v>
      </x:c>
      <x:c r="L1258" t="n">
        <x:v>123137</x:v>
      </x:c>
      <x:c r="M1258" t="n">
        <x:v>123137</x:v>
      </x:c>
      <x:c r="N1258" t="n">
        <x:v>123137</x:v>
      </x:c>
      <x:c r="O1258" t="n">
        <x:v>123137</x:v>
      </x:c>
    </x:row>
    <x:row r="1259">
      <x:c r="A1259" t="str">
        <x:v>Maharashtra</x:v>
      </x:c>
      <x:c r="B1259" t="str">
        <x:v>All India except Central University</x:v>
      </x:c>
      <x:c r="C1259" t="str">
        <x:v>200209</x:v>
      </x:c>
      <x:c r="D1259" t="str">
        <x:v>Government Medical College, Gondia, NEAR NEHRU CHOWK, K.T.S. HOSPITAL CAMPUS, GONDIA.</x:v>
      </x:c>
      <x:c r="E1259" t="str">
        <x:v>All India</x:v>
      </x:c>
      <x:c r="F1259" t="str">
        <x:v>EWS</x:v>
      </x:c>
      <x:c r="G1259" t="n">
        <x:v>2</x:v>
      </x:c>
      <x:c r="H1259" t="n">
        <x:v>2</x:v>
      </x:c>
      <x:c r="I1259" t="n">
        <x:f>G1259-H1259</x:f>
        <x:v>0</x:v>
      </x:c>
      <x:c r="J1259" s="20" t="n">
        <x:f>IFERROR(H1259/G1259,0)</x:f>
        <x:v>1</x:v>
      </x:c>
      <x:c r="K1259" t="n">
        <x:v>19527</x:v>
      </x:c>
      <x:c r="L1259" t="n">
        <x:v>19554.75</x:v>
      </x:c>
      <x:c r="M1259" t="n">
        <x:v>19582.5</x:v>
      </x:c>
      <x:c r="N1259" t="n">
        <x:v>19610.25</x:v>
      </x:c>
      <x:c r="O1259" t="n">
        <x:v>19638</x:v>
      </x:c>
    </x:row>
    <x:row r="1260">
      <x:c r="A1260" t="str">
        <x:v>Maharashtra</x:v>
      </x:c>
      <x:c r="B1260" t="str">
        <x:v>All India except Central University</x:v>
      </x:c>
      <x:c r="C1260" t="str">
        <x:v>200209</x:v>
      </x:c>
      <x:c r="D1260" t="str">
        <x:v>Government Medical College, Gondia, NEAR NEHRU CHOWK, K.T.S. HOSPITAL CAMPUS, GONDIA.</x:v>
      </x:c>
      <x:c r="E1260" t="str">
        <x:v>All India</x:v>
      </x:c>
      <x:c r="F1260" t="str">
        <x:v>EWS PwD</x:v>
      </x:c>
      <x:c r="G1260" t="n">
        <x:v>1</x:v>
      </x:c>
      <x:c r="H1260" t="n">
        <x:v>1</x:v>
      </x:c>
      <x:c r="I1260" t="n">
        <x:f>G1260-H1260</x:f>
        <x:v>0</x:v>
      </x:c>
      <x:c r="J1260" s="20" t="n">
        <x:f>IFERROR(H1260/G1260,0)</x:f>
        <x:v>1</x:v>
      </x:c>
      <x:c r="K1260" t="n">
        <x:v>888270</x:v>
      </x:c>
      <x:c r="L1260" t="n">
        <x:v>888270</x:v>
      </x:c>
      <x:c r="M1260" t="n">
        <x:v>888270</x:v>
      </x:c>
      <x:c r="N1260" t="n">
        <x:v>888270</x:v>
      </x:c>
      <x:c r="O1260" t="n">
        <x:v>888270</x:v>
      </x:c>
    </x:row>
    <x:row r="1261">
      <x:c r="A1261" t="str">
        <x:v>Maharashtra</x:v>
      </x:c>
      <x:c r="B1261" t="str">
        <x:v>All India except Central University</x:v>
      </x:c>
      <x:c r="C1261" t="str">
        <x:v>200209</x:v>
      </x:c>
      <x:c r="D1261" t="str">
        <x:v>Government Medical College, Gondia, NEAR NEHRU CHOWK, K.T.S. HOSPITAL CAMPUS, GONDIA.</x:v>
      </x:c>
      <x:c r="E1261" t="str">
        <x:v>All India</x:v>
      </x:c>
      <x:c r="F1261" t="str">
        <x:v>OBC</x:v>
      </x:c>
      <x:c r="G1261" t="n">
        <x:v>6</x:v>
      </x:c>
      <x:c r="H1261" t="n">
        <x:v>6</x:v>
      </x:c>
      <x:c r="I1261" t="n">
        <x:f>G1261-H1261</x:f>
        <x:v>0</x:v>
      </x:c>
      <x:c r="J1261" s="20" t="n">
        <x:f>IFERROR(H1261/G1261,0)</x:f>
        <x:v>1</x:v>
      </x:c>
      <x:c r="K1261" t="n">
        <x:v>16656</x:v>
      </x:c>
      <x:c r="L1261" t="n">
        <x:v>16705.25</x:v>
      </x:c>
      <x:c r="M1261" t="n">
        <x:v>16763.5</x:v>
      </x:c>
      <x:c r="N1261" t="n">
        <x:v>16914</x:v>
      </x:c>
      <x:c r="O1261" t="n">
        <x:v>16966</x:v>
      </x:c>
    </x:row>
    <x:row r="1262">
      <x:c r="A1262" t="str">
        <x:v>Maharashtra</x:v>
      </x:c>
      <x:c r="B1262" t="str">
        <x:v>All India except Central University</x:v>
      </x:c>
      <x:c r="C1262" t="str">
        <x:v>200209</x:v>
      </x:c>
      <x:c r="D1262" t="str">
        <x:v>Government Medical College, Gondia, NEAR NEHRU CHOWK, K.T.S. HOSPITAL CAMPUS, GONDIA.</x:v>
      </x:c>
      <x:c r="E1262" t="str">
        <x:v>All India</x:v>
      </x:c>
      <x:c r="F1262" t="str">
        <x:v>Open</x:v>
      </x:c>
      <x:c r="G1262" t="n">
        <x:v>6</x:v>
      </x:c>
      <x:c r="H1262" t="n">
        <x:v>6</x:v>
      </x:c>
      <x:c r="I1262" t="n">
        <x:f>G1262-H1262</x:f>
        <x:v>0</x:v>
      </x:c>
      <x:c r="J1262" s="20" t="n">
        <x:f>IFERROR(H1262/G1262,0)</x:f>
        <x:v>1</x:v>
      </x:c>
      <x:c r="K1262" t="n">
        <x:v>14977</x:v>
      </x:c>
      <x:c r="L1262" t="n">
        <x:v>15496.5</x:v>
      </x:c>
      <x:c r="M1262" t="n">
        <x:v>16531</x:v>
      </x:c>
      <x:c r="N1262" t="n">
        <x:v>16557.5</x:v>
      </x:c>
      <x:c r="O1262" t="n">
        <x:v>16627</x:v>
      </x:c>
    </x:row>
    <x:row r="1263">
      <x:c r="A1263" t="str">
        <x:v>Maharashtra</x:v>
      </x:c>
      <x:c r="B1263" t="str">
        <x:v>All India except Central University</x:v>
      </x:c>
      <x:c r="C1263" t="str">
        <x:v>200209</x:v>
      </x:c>
      <x:c r="D1263" t="str">
        <x:v>Government Medical College, Gondia, NEAR NEHRU CHOWK, K.T.S. HOSPITAL CAMPUS, GONDIA.</x:v>
      </x:c>
      <x:c r="E1263" t="str">
        <x:v>All India</x:v>
      </x:c>
      <x:c r="F1263" t="str">
        <x:v>Open PwD</x:v>
      </x:c>
      <x:c r="G1263" t="n">
        <x:v>1</x:v>
      </x:c>
      <x:c r="H1263" t="n">
        <x:v>1</x:v>
      </x:c>
      <x:c r="I1263" t="n">
        <x:f>G1263-H1263</x:f>
        <x:v>0</x:v>
      </x:c>
      <x:c r="J1263" s="20" t="n">
        <x:f>IFERROR(H1263/G1263,0)</x:f>
        <x:v>1</x:v>
      </x:c>
      <x:c r="K1263" t="n">
        <x:v>554703</x:v>
      </x:c>
      <x:c r="L1263" t="n">
        <x:v>554703</x:v>
      </x:c>
      <x:c r="M1263" t="n">
        <x:v>554703</x:v>
      </x:c>
      <x:c r="N1263" t="n">
        <x:v>554703</x:v>
      </x:c>
      <x:c r="O1263" t="n">
        <x:v>554703</x:v>
      </x:c>
    </x:row>
    <x:row r="1264">
      <x:c r="A1264" t="str">
        <x:v>Maharashtra</x:v>
      </x:c>
      <x:c r="B1264" t="str">
        <x:v>All India except Central University</x:v>
      </x:c>
      <x:c r="C1264" t="str">
        <x:v>200209</x:v>
      </x:c>
      <x:c r="D1264" t="str">
        <x:v>Government Medical College, Gondia, NEAR NEHRU CHOWK, K.T.S. HOSPITAL CAMPUS, GONDIA.</x:v>
      </x:c>
      <x:c r="E1264" t="str">
        <x:v>All India</x:v>
      </x:c>
      <x:c r="F1264" t="str">
        <x:v>SC</x:v>
      </x:c>
      <x:c r="G1264" t="n">
        <x:v>4</x:v>
      </x:c>
      <x:c r="H1264" t="n">
        <x:v>4</x:v>
      </x:c>
      <x:c r="I1264" t="n">
        <x:f>G1264-H1264</x:f>
        <x:v>0</x:v>
      </x:c>
      <x:c r="J1264" s="20" t="n">
        <x:f>IFERROR(H1264/G1264,0)</x:f>
        <x:v>1</x:v>
      </x:c>
      <x:c r="K1264" t="n">
        <x:v>81351</x:v>
      </x:c>
      <x:c r="L1264" t="n">
        <x:v>81551.25</x:v>
      </x:c>
      <x:c r="M1264" t="n">
        <x:v>81956.5</x:v>
      </x:c>
      <x:c r="N1264" t="n">
        <x:v>83446</x:v>
      </x:c>
      <x:c r="O1264" t="n">
        <x:v>86899</x:v>
      </x:c>
    </x:row>
    <x:row r="1265">
      <x:c r="A1265" t="str">
        <x:v>Maharashtra</x:v>
      </x:c>
      <x:c r="B1265" t="str">
        <x:v>All India except Central University</x:v>
      </x:c>
      <x:c r="C1265" t="str">
        <x:v>200209</x:v>
      </x:c>
      <x:c r="D1265" t="str">
        <x:v>Government Medical College, Gondia, NEAR NEHRU CHOWK, K.T.S. HOSPITAL CAMPUS, GONDIA.</x:v>
      </x:c>
      <x:c r="E1265" t="str">
        <x:v>All India</x:v>
      </x:c>
      <x:c r="F1265" t="str">
        <x:v>ST</x:v>
      </x:c>
      <x:c r="G1265" t="n">
        <x:v>2</x:v>
      </x:c>
      <x:c r="H1265" t="n">
        <x:v>2</x:v>
      </x:c>
      <x:c r="I1265" t="n">
        <x:f>G1265-H1265</x:f>
        <x:v>0</x:v>
      </x:c>
      <x:c r="J1265" s="20" t="n">
        <x:f>IFERROR(H1265/G1265,0)</x:f>
        <x:v>1</x:v>
      </x:c>
      <x:c r="K1265" t="n">
        <x:v>109837</x:v>
      </x:c>
      <x:c r="L1265" t="n">
        <x:v>110500.25</x:v>
      </x:c>
      <x:c r="M1265" t="n">
        <x:v>111163.5</x:v>
      </x:c>
      <x:c r="N1265" t="n">
        <x:v>111826.75</x:v>
      </x:c>
      <x:c r="O1265" t="n">
        <x:v>112490</x:v>
      </x:c>
    </x:row>
    <x:row r="1266">
      <x:c r="A1266" t="str">
        <x:v>Rajasthan</x:v>
      </x:c>
      <x:c r="B1266" t="str">
        <x:v>All India except Central University</x:v>
      </x:c>
      <x:c r="C1266" t="str">
        <x:v>200665</x:v>
      </x:c>
      <x:c r="D1266" t="str">
        <x:v>Government Medical College, Hanumangarh, Ganganagar-sangria Bypass Road Hanumangarh Junction</x:v>
      </x:c>
      <x:c r="E1266" t="str">
        <x:v>All India</x:v>
      </x:c>
      <x:c r="F1266" t="str">
        <x:v>EWS</x:v>
      </x:c>
      <x:c r="G1266" t="n">
        <x:v>2</x:v>
      </x:c>
      <x:c r="H1266" t="n">
        <x:v>2</x:v>
      </x:c>
      <x:c r="I1266" t="n">
        <x:f>G1266-H1266</x:f>
        <x:v>0</x:v>
      </x:c>
      <x:c r="J1266" s="20" t="n">
        <x:f>IFERROR(H1266/G1266,0)</x:f>
        <x:v>1</x:v>
      </x:c>
      <x:c r="K1266" t="n">
        <x:v>10787</x:v>
      </x:c>
      <x:c r="L1266" t="n">
        <x:v>11020.5</x:v>
      </x:c>
      <x:c r="M1266" t="n">
        <x:v>11254</x:v>
      </x:c>
      <x:c r="N1266" t="n">
        <x:v>11487.5</x:v>
      </x:c>
      <x:c r="O1266" t="n">
        <x:v>11721</x:v>
      </x:c>
    </x:row>
    <x:row r="1267">
      <x:c r="A1267" t="str">
        <x:v>Rajasthan</x:v>
      </x:c>
      <x:c r="B1267" t="str">
        <x:v>All India except Central University</x:v>
      </x:c>
      <x:c r="C1267" t="str">
        <x:v>200665</x:v>
      </x:c>
      <x:c r="D1267" t="str">
        <x:v>Government Medical College, Hanumangarh, Ganganagar-sangria Bypass Road Hanumangarh Junction</x:v>
      </x:c>
      <x:c r="E1267" t="str">
        <x:v>All India</x:v>
      </x:c>
      <x:c r="F1267" t="str">
        <x:v>OBC</x:v>
      </x:c>
      <x:c r="G1267" t="n">
        <x:v>4</x:v>
      </x:c>
      <x:c r="H1267" t="n">
        <x:v>4</x:v>
      </x:c>
      <x:c r="I1267" t="n">
        <x:f>G1267-H1267</x:f>
        <x:v>0</x:v>
      </x:c>
      <x:c r="J1267" s="20" t="n">
        <x:f>IFERROR(H1267/G1267,0)</x:f>
        <x:v>1</x:v>
      </x:c>
      <x:c r="K1267" t="n">
        <x:v>10746</x:v>
      </x:c>
      <x:c r="L1267" t="n">
        <x:v>11388.75</x:v>
      </x:c>
      <x:c r="M1267" t="n">
        <x:v>11765</x:v>
      </x:c>
      <x:c r="N1267" t="n">
        <x:v>12056</x:v>
      </x:c>
      <x:c r="O1267" t="n">
        <x:v>12443</x:v>
      </x:c>
    </x:row>
    <x:row r="1268">
      <x:c r="A1268" t="str">
        <x:v>Rajasthan</x:v>
      </x:c>
      <x:c r="B1268" t="str">
        <x:v>All India except Central University</x:v>
      </x:c>
      <x:c r="C1268" t="str">
        <x:v>200665</x:v>
      </x:c>
      <x:c r="D1268" t="str">
        <x:v>Government Medical College, Hanumangarh, Ganganagar-sangria Bypass Road Hanumangarh Junction</x:v>
      </x:c>
      <x:c r="E1268" t="str">
        <x:v>All India</x:v>
      </x:c>
      <x:c r="F1268" t="str">
        <x:v>Open</x:v>
      </x:c>
      <x:c r="G1268" t="n">
        <x:v>5</x:v>
      </x:c>
      <x:c r="H1268" t="n">
        <x:v>5</x:v>
      </x:c>
      <x:c r="I1268" t="n">
        <x:f>G1268-H1268</x:f>
        <x:v>0</x:v>
      </x:c>
      <x:c r="J1268" s="20" t="n">
        <x:f>IFERROR(H1268/G1268,0)</x:f>
        <x:v>1</x:v>
      </x:c>
      <x:c r="K1268" t="n">
        <x:v>9191</x:v>
      </x:c>
      <x:c r="L1268" t="n">
        <x:v>10312</x:v>
      </x:c>
      <x:c r="M1268" t="n">
        <x:v>10337</x:v>
      </x:c>
      <x:c r="N1268" t="n">
        <x:v>10432</x:v>
      </x:c>
      <x:c r="O1268" t="n">
        <x:v>10551</x:v>
      </x:c>
    </x:row>
    <x:row r="1269">
      <x:c r="A1269" t="str">
        <x:v>Rajasthan</x:v>
      </x:c>
      <x:c r="B1269" t="str">
        <x:v>All India except Central University</x:v>
      </x:c>
      <x:c r="C1269" t="str">
        <x:v>200665</x:v>
      </x:c>
      <x:c r="D1269" t="str">
        <x:v>Government Medical College, Hanumangarh, Ganganagar-sangria Bypass Road Hanumangarh Junction</x:v>
      </x:c>
      <x:c r="E1269" t="str">
        <x:v>All India</x:v>
      </x:c>
      <x:c r="F1269" t="str">
        <x:v>SC</x:v>
      </x:c>
      <x:c r="G1269" t="n">
        <x:v>3</x:v>
      </x:c>
      <x:c r="H1269" t="n">
        <x:v>3</x:v>
      </x:c>
      <x:c r="I1269" t="n">
        <x:f>G1269-H1269</x:f>
        <x:v>0</x:v>
      </x:c>
      <x:c r="J1269" s="20" t="n">
        <x:f>IFERROR(H1269/G1269,0)</x:f>
        <x:v>1</x:v>
      </x:c>
      <x:c r="K1269" t="n">
        <x:v>61200</x:v>
      </x:c>
      <x:c r="L1269" t="n">
        <x:v>62675.5</x:v>
      </x:c>
      <x:c r="M1269" t="n">
        <x:v>64151</x:v>
      </x:c>
      <x:c r="N1269" t="n">
        <x:v>64319.5</x:v>
      </x:c>
      <x:c r="O1269" t="n">
        <x:v>64488</x:v>
      </x:c>
    </x:row>
    <x:row r="1270">
      <x:c r="A1270" t="str">
        <x:v>Rajasthan</x:v>
      </x:c>
      <x:c r="B1270" t="str">
        <x:v>All India except Central University</x:v>
      </x:c>
      <x:c r="C1270" t="str">
        <x:v>200665</x:v>
      </x:c>
      <x:c r="D1270" t="str">
        <x:v>Government Medical College, Hanumangarh, Ganganagar-sangria Bypass Road Hanumangarh Junction</x:v>
      </x:c>
      <x:c r="E1270" t="str">
        <x:v>All India</x:v>
      </x:c>
      <x:c r="F1270" t="str">
        <x:v>ST</x:v>
      </x:c>
      <x:c r="G1270" t="n">
        <x:v>1</x:v>
      </x:c>
      <x:c r="H1270" t="n">
        <x:v>1</x:v>
      </x:c>
      <x:c r="I1270" t="n">
        <x:f>G1270-H1270</x:f>
        <x:v>0</x:v>
      </x:c>
      <x:c r="J1270" s="20" t="n">
        <x:f>IFERROR(H1270/G1270,0)</x:f>
        <x:v>1</x:v>
      </x:c>
      <x:c r="K1270" t="n">
        <x:v>80066</x:v>
      </x:c>
      <x:c r="L1270" t="n">
        <x:v>80066</x:v>
      </x:c>
      <x:c r="M1270" t="n">
        <x:v>80066</x:v>
      </x:c>
      <x:c r="N1270" t="n">
        <x:v>80066</x:v>
      </x:c>
      <x:c r="O1270" t="n">
        <x:v>80066</x:v>
      </x:c>
    </x:row>
    <x:row r="1271">
      <x:c r="A1271" t="str">
        <x:v>Uttarakhand</x:v>
      </x:c>
      <x:c r="B1271" t="str">
        <x:v>All India except Central University</x:v>
      </x:c>
      <x:c r="C1271" t="str">
        <x:v>903365</x:v>
      </x:c>
      <x:c r="D1271" t="str">
        <x:v>Government Medical College, Haridwar, Jagjeetpur Laksar road Haridwar</x:v>
      </x:c>
      <x:c r="E1271" t="str">
        <x:v>All India</x:v>
      </x:c>
      <x:c r="F1271" t="str">
        <x:v>EWS</x:v>
      </x:c>
      <x:c r="G1271" t="n">
        <x:v>2</x:v>
      </x:c>
      <x:c r="H1271" t="n">
        <x:v>2</x:v>
      </x:c>
      <x:c r="I1271" t="n">
        <x:f>G1271-H1271</x:f>
        <x:v>0</x:v>
      </x:c>
      <x:c r="J1271" s="20" t="n">
        <x:f>IFERROR(H1271/G1271,0)</x:f>
        <x:v>1</x:v>
      </x:c>
      <x:c r="K1271" t="n">
        <x:v>10295</x:v>
      </x:c>
      <x:c r="L1271" t="n">
        <x:v>10899.25</x:v>
      </x:c>
      <x:c r="M1271" t="n">
        <x:v>11503.5</x:v>
      </x:c>
      <x:c r="N1271" t="n">
        <x:v>12107.75</x:v>
      </x:c>
      <x:c r="O1271" t="n">
        <x:v>12712</x:v>
      </x:c>
    </x:row>
    <x:row r="1272">
      <x:c r="A1272" t="str">
        <x:v>Uttarakhand</x:v>
      </x:c>
      <x:c r="B1272" t="str">
        <x:v>All India except Central University</x:v>
      </x:c>
      <x:c r="C1272" t="str">
        <x:v>903365</x:v>
      </x:c>
      <x:c r="D1272" t="str">
        <x:v>Government Medical College, Haridwar, Jagjeetpur Laksar road Haridwar</x:v>
      </x:c>
      <x:c r="E1272" t="str">
        <x:v>All India</x:v>
      </x:c>
      <x:c r="F1272" t="str">
        <x:v>OBC</x:v>
      </x:c>
      <x:c r="G1272" t="n">
        <x:v>4</x:v>
      </x:c>
      <x:c r="H1272" t="n">
        <x:v>4</x:v>
      </x:c>
      <x:c r="I1272" t="n">
        <x:f>G1272-H1272</x:f>
        <x:v>0</x:v>
      </x:c>
      <x:c r="J1272" s="20" t="n">
        <x:f>IFERROR(H1272/G1272,0)</x:f>
        <x:v>1</x:v>
      </x:c>
      <x:c r="K1272" t="n">
        <x:v>9146</x:v>
      </x:c>
      <x:c r="L1272" t="n">
        <x:v>9390.5</x:v>
      </x:c>
      <x:c r="M1272" t="n">
        <x:v>10530.5</x:v>
      </x:c>
      <x:c r="N1272" t="n">
        <x:v>11618.75</x:v>
      </x:c>
      <x:c r="O1272" t="n">
        <x:v>11708</x:v>
      </x:c>
    </x:row>
    <x:row r="1273">
      <x:c r="A1273" t="str">
        <x:v>Uttarakhand</x:v>
      </x:c>
      <x:c r="B1273" t="str">
        <x:v>All India except Central University</x:v>
      </x:c>
      <x:c r="C1273" t="str">
        <x:v>903365</x:v>
      </x:c>
      <x:c r="D1273" t="str">
        <x:v>Government Medical College, Haridwar, Jagjeetpur Laksar road Haridwar</x:v>
      </x:c>
      <x:c r="E1273" t="str">
        <x:v>All India</x:v>
      </x:c>
      <x:c r="F1273" t="str">
        <x:v>Open</x:v>
      </x:c>
      <x:c r="G1273" t="n">
        <x:v>5</x:v>
      </x:c>
      <x:c r="H1273" t="n">
        <x:v>5</x:v>
      </x:c>
      <x:c r="I1273" t="n">
        <x:f>G1273-H1273</x:f>
        <x:v>0</x:v>
      </x:c>
      <x:c r="J1273" s="20" t="n">
        <x:f>IFERROR(H1273/G1273,0)</x:f>
        <x:v>1</x:v>
      </x:c>
      <x:c r="K1273" t="n">
        <x:v>4086</x:v>
      </x:c>
      <x:c r="L1273" t="n">
        <x:v>7594</x:v>
      </x:c>
      <x:c r="M1273" t="n">
        <x:v>7721</x:v>
      </x:c>
      <x:c r="N1273" t="n">
        <x:v>8467</x:v>
      </x:c>
      <x:c r="O1273" t="n">
        <x:v>8651</x:v>
      </x:c>
    </x:row>
    <x:row r="1274">
      <x:c r="A1274" t="str">
        <x:v>Uttarakhand</x:v>
      </x:c>
      <x:c r="B1274" t="str">
        <x:v>All India except Central University</x:v>
      </x:c>
      <x:c r="C1274" t="str">
        <x:v>903365</x:v>
      </x:c>
      <x:c r="D1274" t="str">
        <x:v>Government Medical College, Haridwar, Jagjeetpur Laksar road Haridwar</x:v>
      </x:c>
      <x:c r="E1274" t="str">
        <x:v>All India</x:v>
      </x:c>
      <x:c r="F1274" t="str">
        <x:v>Open PwD</x:v>
      </x:c>
      <x:c r="G1274" t="n">
        <x:v>1</x:v>
      </x:c>
      <x:c r="H1274" t="n">
        <x:v>1</x:v>
      </x:c>
      <x:c r="I1274" t="n">
        <x:f>G1274-H1274</x:f>
        <x:v>0</x:v>
      </x:c>
      <x:c r="J1274" s="20" t="n">
        <x:f>IFERROR(H1274/G1274,0)</x:f>
        <x:v>1</x:v>
      </x:c>
      <x:c r="K1274" t="n">
        <x:v>395764</x:v>
      </x:c>
      <x:c r="L1274" t="n">
        <x:v>395764</x:v>
      </x:c>
      <x:c r="M1274" t="n">
        <x:v>395764</x:v>
      </x:c>
      <x:c r="N1274" t="n">
        <x:v>395764</x:v>
      </x:c>
      <x:c r="O1274" t="n">
        <x:v>395764</x:v>
      </x:c>
    </x:row>
    <x:row r="1275">
      <x:c r="A1275" t="str">
        <x:v>Uttarakhand</x:v>
      </x:c>
      <x:c r="B1275" t="str">
        <x:v>All India except Central University</x:v>
      </x:c>
      <x:c r="C1275" t="str">
        <x:v>903365</x:v>
      </x:c>
      <x:c r="D1275" t="str">
        <x:v>Government Medical College, Haridwar, Jagjeetpur Laksar road Haridwar</x:v>
      </x:c>
      <x:c r="E1275" t="str">
        <x:v>All India</x:v>
      </x:c>
      <x:c r="F1275" t="str">
        <x:v>SC</x:v>
      </x:c>
      <x:c r="G1275" t="n">
        <x:v>2</x:v>
      </x:c>
      <x:c r="H1275" t="n">
        <x:v>2</x:v>
      </x:c>
      <x:c r="I1275" t="n">
        <x:f>G1275-H1275</x:f>
        <x:v>0</x:v>
      </x:c>
      <x:c r="J1275" s="20" t="n">
        <x:f>IFERROR(H1275/G1275,0)</x:f>
        <x:v>1</x:v>
      </x:c>
      <x:c r="K1275" t="n">
        <x:v>54578</x:v>
      </x:c>
      <x:c r="L1275" t="n">
        <x:v>56110.25</x:v>
      </x:c>
      <x:c r="M1275" t="n">
        <x:v>57642.5</x:v>
      </x:c>
      <x:c r="N1275" t="n">
        <x:v>59174.75</x:v>
      </x:c>
      <x:c r="O1275" t="n">
        <x:v>60707</x:v>
      </x:c>
    </x:row>
    <x:row r="1276">
      <x:c r="A1276" t="str">
        <x:v>Uttarakhand</x:v>
      </x:c>
      <x:c r="B1276" t="str">
        <x:v>All India except Central University</x:v>
      </x:c>
      <x:c r="C1276" t="str">
        <x:v>903365</x:v>
      </x:c>
      <x:c r="D1276" t="str">
        <x:v>Government Medical College, Haridwar, Jagjeetpur Laksar road Haridwar</x:v>
      </x:c>
      <x:c r="E1276" t="str">
        <x:v>All India</x:v>
      </x:c>
      <x:c r="F1276" t="str">
        <x:v>ST</x:v>
      </x:c>
      <x:c r="G1276" t="n">
        <x:v>1</x:v>
      </x:c>
      <x:c r="H1276" t="n">
        <x:v>1</x:v>
      </x:c>
      <x:c r="I1276" t="n">
        <x:f>G1276-H1276</x:f>
        <x:v>0</x:v>
      </x:c>
      <x:c r="J1276" s="20" t="n">
        <x:f>IFERROR(H1276/G1276,0)</x:f>
        <x:v>1</x:v>
      </x:c>
      <x:c r="K1276" t="n">
        <x:v>64880</x:v>
      </x:c>
      <x:c r="L1276" t="n">
        <x:v>64880</x:v>
      </x:c>
      <x:c r="M1276" t="n">
        <x:v>64880</x:v>
      </x:c>
      <x:c r="N1276" t="n">
        <x:v>64880</x:v>
      </x:c>
      <x:c r="O1276" t="n">
        <x:v>64880</x:v>
      </x:c>
    </x:row>
    <x:row r="1277">
      <x:c r="A1277" t="str">
        <x:v>Maharashtra</x:v>
      </x:c>
      <x:c r="B1277" t="str">
        <x:v>All India except Central University</x:v>
      </x:c>
      <x:c r="C1277" t="str">
        <x:v>903358</x:v>
      </x:c>
      <x:c r="D1277" t="str">
        <x:v>Government Medical College, Hingoli, Government Medical College, Washim Road, Balsond, Hingoli</x:v>
      </x:c>
      <x:c r="E1277" t="str">
        <x:v>All India</x:v>
      </x:c>
      <x:c r="F1277" t="str">
        <x:v>EWS</x:v>
      </x:c>
      <x:c r="G1277" t="n">
        <x:v>1</x:v>
      </x:c>
      <x:c r="H1277" t="n">
        <x:v>1</x:v>
      </x:c>
      <x:c r="I1277" t="n">
        <x:f>G1277-H1277</x:f>
        <x:v>0</x:v>
      </x:c>
      <x:c r="J1277" s="20" t="n">
        <x:f>IFERROR(H1277/G1277,0)</x:f>
        <x:v>1</x:v>
      </x:c>
      <x:c r="K1277" t="n">
        <x:v>22890</x:v>
      </x:c>
      <x:c r="L1277" t="n">
        <x:v>22890</x:v>
      </x:c>
      <x:c r="M1277" t="n">
        <x:v>22890</x:v>
      </x:c>
      <x:c r="N1277" t="n">
        <x:v>22890</x:v>
      </x:c>
      <x:c r="O1277" t="n">
        <x:v>22890</x:v>
      </x:c>
    </x:row>
    <x:row r="1278">
      <x:c r="A1278" t="str">
        <x:v>Maharashtra</x:v>
      </x:c>
      <x:c r="B1278" t="str">
        <x:v>All India except Central University</x:v>
      </x:c>
      <x:c r="C1278" t="str">
        <x:v>903358</x:v>
      </x:c>
      <x:c r="D1278" t="str">
        <x:v>Government Medical College, Hingoli, Government Medical College, Washim Road, Balsond, Hingoli</x:v>
      </x:c>
      <x:c r="E1278" t="str">
        <x:v>All India</x:v>
      </x:c>
      <x:c r="F1278" t="str">
        <x:v>OBC</x:v>
      </x:c>
      <x:c r="G1278" t="n">
        <x:v>3</x:v>
      </x:c>
      <x:c r="H1278" t="n">
        <x:v>3</x:v>
      </x:c>
      <x:c r="I1278" t="n">
        <x:f>G1278-H1278</x:f>
        <x:v>0</x:v>
      </x:c>
      <x:c r="J1278" s="20" t="n">
        <x:f>IFERROR(H1278/G1278,0)</x:f>
        <x:v>1</x:v>
      </x:c>
      <x:c r="K1278" t="n">
        <x:v>19484</x:v>
      </x:c>
      <x:c r="L1278" t="n">
        <x:v>19725</x:v>
      </x:c>
      <x:c r="M1278" t="n">
        <x:v>19966</x:v>
      </x:c>
      <x:c r="N1278" t="n">
        <x:v>20023</x:v>
      </x:c>
      <x:c r="O1278" t="n">
        <x:v>20080</x:v>
      </x:c>
    </x:row>
    <x:row r="1279">
      <x:c r="A1279" t="str">
        <x:v>Maharashtra</x:v>
      </x:c>
      <x:c r="B1279" t="str">
        <x:v>All India except Central University</x:v>
      </x:c>
      <x:c r="C1279" t="str">
        <x:v>903358</x:v>
      </x:c>
      <x:c r="D1279" t="str">
        <x:v>Government Medical College, Hingoli, Government Medical College, Washim Road, Balsond, Hingoli</x:v>
      </x:c>
      <x:c r="E1279" t="str">
        <x:v>All India</x:v>
      </x:c>
      <x:c r="F1279" t="str">
        <x:v>Open</x:v>
      </x:c>
      <x:c r="G1279" t="n">
        <x:v>8</x:v>
      </x:c>
      <x:c r="H1279" t="n">
        <x:v>8</x:v>
      </x:c>
      <x:c r="I1279" t="n">
        <x:f>G1279-H1279</x:f>
        <x:v>0</x:v>
      </x:c>
      <x:c r="J1279" s="20" t="n">
        <x:f>IFERROR(H1279/G1279,0)</x:f>
        <x:v>1</x:v>
      </x:c>
      <x:c r="K1279" t="n">
        <x:v>17282</x:v>
      </x:c>
      <x:c r="L1279" t="n">
        <x:v>18931.5</x:v>
      </x:c>
      <x:c r="M1279" t="n">
        <x:v>19243</x:v>
      </x:c>
      <x:c r="N1279" t="n">
        <x:v>19270.5</x:v>
      </x:c>
      <x:c r="O1279" t="n">
        <x:v>19381</x:v>
      </x:c>
    </x:row>
    <x:row r="1280">
      <x:c r="A1280" t="str">
        <x:v>Maharashtra</x:v>
      </x:c>
      <x:c r="B1280" t="str">
        <x:v>All India except Central University</x:v>
      </x:c>
      <x:c r="C1280" t="str">
        <x:v>903358</x:v>
      </x:c>
      <x:c r="D1280" t="str">
        <x:v>Government Medical College, Hingoli, Government Medical College, Washim Road, Balsond, Hingoli</x:v>
      </x:c>
      <x:c r="E1280" t="str">
        <x:v>All India</x:v>
      </x:c>
      <x:c r="F1280" t="str">
        <x:v>SC</x:v>
      </x:c>
      <x:c r="G1280" t="n">
        <x:v>2</x:v>
      </x:c>
      <x:c r="H1280" t="n">
        <x:v>2</x:v>
      </x:c>
      <x:c r="I1280" t="n">
        <x:f>G1280-H1280</x:f>
        <x:v>0</x:v>
      </x:c>
      <x:c r="J1280" s="20" t="n">
        <x:f>IFERROR(H1280/G1280,0)</x:f>
        <x:v>1</x:v>
      </x:c>
      <x:c r="K1280" t="n">
        <x:v>97078</x:v>
      </x:c>
      <x:c r="L1280" t="n">
        <x:v>97421.25</x:v>
      </x:c>
      <x:c r="M1280" t="n">
        <x:v>97764.5</x:v>
      </x:c>
      <x:c r="N1280" t="n">
        <x:v>98107.75</x:v>
      </x:c>
      <x:c r="O1280" t="n">
        <x:v>98451</x:v>
      </x:c>
    </x:row>
    <x:row r="1281">
      <x:c r="A1281" t="str">
        <x:v>Maharashtra</x:v>
      </x:c>
      <x:c r="B1281" t="str">
        <x:v>All India except Central University</x:v>
      </x:c>
      <x:c r="C1281" t="str">
        <x:v>903358</x:v>
      </x:c>
      <x:c r="D1281" t="str">
        <x:v>Government Medical College, Hingoli, Government Medical College, Washim Road, Balsond, Hingoli</x:v>
      </x:c>
      <x:c r="E1281" t="str">
        <x:v>All India</x:v>
      </x:c>
      <x:c r="F1281" t="str">
        <x:v>ST</x:v>
      </x:c>
      <x:c r="G1281" t="n">
        <x:v>1</x:v>
      </x:c>
      <x:c r="H1281" t="n">
        <x:v>1</x:v>
      </x:c>
      <x:c r="I1281" t="n">
        <x:f>G1281-H1281</x:f>
        <x:v>0</x:v>
      </x:c>
      <x:c r="J1281" s="20" t="n">
        <x:f>IFERROR(H1281/G1281,0)</x:f>
        <x:v>1</x:v>
      </x:c>
      <x:c r="K1281" t="n">
        <x:v>123878</x:v>
      </x:c>
      <x:c r="L1281" t="n">
        <x:v>123878</x:v>
      </x:c>
      <x:c r="M1281" t="n">
        <x:v>123878</x:v>
      </x:c>
      <x:c r="N1281" t="n">
        <x:v>123878</x:v>
      </x:c>
      <x:c r="O1281" t="n">
        <x:v>123878</x:v>
      </x:c>
    </x:row>
    <x:row r="1282">
      <x:c r="A1282" t="str">
        <x:v>Kerala</x:v>
      </x:c>
      <x:c r="B1282" t="str">
        <x:v>All India except Central University</x:v>
      </x:c>
      <x:c r="C1282" t="str">
        <x:v>200593</x:v>
      </x:c>
      <x:c r="D1282" t="str">
        <x:v>Government Medical College, Idukki, Principal, Govt Medical College Idukki, Idukki colony P.O.,Idukki District</x:v>
      </x:c>
      <x:c r="E1282" t="str">
        <x:v>All India</x:v>
      </x:c>
      <x:c r="F1282" t="str">
        <x:v>EWS</x:v>
      </x:c>
      <x:c r="G1282" t="n">
        <x:v>1</x:v>
      </x:c>
      <x:c r="H1282" t="n">
        <x:v>1</x:v>
      </x:c>
      <x:c r="I1282" t="n">
        <x:f>G1282-H1282</x:f>
        <x:v>0</x:v>
      </x:c>
      <x:c r="J1282" s="20" t="n">
        <x:f>IFERROR(H1282/G1282,0)</x:f>
        <x:v>1</x:v>
      </x:c>
      <x:c r="K1282" t="n">
        <x:v>22614</x:v>
      </x:c>
      <x:c r="L1282" t="n">
        <x:v>22614</x:v>
      </x:c>
      <x:c r="M1282" t="n">
        <x:v>22614</x:v>
      </x:c>
      <x:c r="N1282" t="n">
        <x:v>22614</x:v>
      </x:c>
      <x:c r="O1282" t="n">
        <x:v>22614</x:v>
      </x:c>
    </x:row>
    <x:row r="1283">
      <x:c r="A1283" t="str">
        <x:v>Kerala</x:v>
      </x:c>
      <x:c r="B1283" t="str">
        <x:v>All India except Central University</x:v>
      </x:c>
      <x:c r="C1283" t="str">
        <x:v>200593</x:v>
      </x:c>
      <x:c r="D1283" t="str">
        <x:v>Government Medical College, Idukki, Principal, Govt Medical College Idukki, Idukki colony P.O.,Idukki District</x:v>
      </x:c>
      <x:c r="E1283" t="str">
        <x:v>All India</x:v>
      </x:c>
      <x:c r="F1283" t="str">
        <x:v>EWS PwD</x:v>
      </x:c>
      <x:c r="G1283" t="n">
        <x:v>1</x:v>
      </x:c>
      <x:c r="H1283" t="n">
        <x:v>1</x:v>
      </x:c>
      <x:c r="I1283" t="n">
        <x:f>G1283-H1283</x:f>
        <x:v>0</x:v>
      </x:c>
      <x:c r="J1283" s="20" t="n">
        <x:f>IFERROR(H1283/G1283,0)</x:f>
        <x:v>1</x:v>
      </x:c>
      <x:c r="K1283" t="n">
        <x:v>945186</x:v>
      </x:c>
      <x:c r="L1283" t="n">
        <x:v>945186</x:v>
      </x:c>
      <x:c r="M1283" t="n">
        <x:v>945186</x:v>
      </x:c>
      <x:c r="N1283" t="n">
        <x:v>945186</x:v>
      </x:c>
      <x:c r="O1283" t="n">
        <x:v>945186</x:v>
      </x:c>
    </x:row>
    <x:row r="1284">
      <x:c r="A1284" t="str">
        <x:v>Kerala</x:v>
      </x:c>
      <x:c r="B1284" t="str">
        <x:v>All India except Central University</x:v>
      </x:c>
      <x:c r="C1284" t="str">
        <x:v>200593</x:v>
      </x:c>
      <x:c r="D1284" t="str">
        <x:v>Government Medical College, Idukki, Principal, Govt Medical College Idukki, Idukki colony P.O.,Idukki District</x:v>
      </x:c>
      <x:c r="E1284" t="str">
        <x:v>All India</x:v>
      </x:c>
      <x:c r="F1284" t="str">
        <x:v>OBC</x:v>
      </x:c>
      <x:c r="G1284" t="n">
        <x:v>4</x:v>
      </x:c>
      <x:c r="H1284" t="n">
        <x:v>4</x:v>
      </x:c>
      <x:c r="I1284" t="n">
        <x:f>G1284-H1284</x:f>
        <x:v>0</x:v>
      </x:c>
      <x:c r="J1284" s="20" t="n">
        <x:f>IFERROR(H1284/G1284,0)</x:f>
        <x:v>1</x:v>
      </x:c>
      <x:c r="K1284" t="n">
        <x:v>7361</x:v>
      </x:c>
      <x:c r="L1284" t="n">
        <x:v>7680.5</x:v>
      </x:c>
      <x:c r="M1284" t="n">
        <x:v>7802.5</x:v>
      </x:c>
      <x:c r="N1284" t="n">
        <x:v>7850.25</x:v>
      </x:c>
      <x:c r="O1284" t="n">
        <x:v>7947</x:v>
      </x:c>
    </x:row>
    <x:row r="1285">
      <x:c r="A1285" t="str">
        <x:v>Kerala</x:v>
      </x:c>
      <x:c r="B1285" t="str">
        <x:v>All India except Central University</x:v>
      </x:c>
      <x:c r="C1285" t="str">
        <x:v>200593</x:v>
      </x:c>
      <x:c r="D1285" t="str">
        <x:v>Government Medical College, Idukki, Principal, Govt Medical College Idukki, Idukki colony P.O.,Idukki District</x:v>
      </x:c>
      <x:c r="E1285" t="str">
        <x:v>All India</x:v>
      </x:c>
      <x:c r="F1285" t="str">
        <x:v>Open</x:v>
      </x:c>
      <x:c r="G1285" t="n">
        <x:v>6</x:v>
      </x:c>
      <x:c r="H1285" t="n">
        <x:v>6</x:v>
      </x:c>
      <x:c r="I1285" t="n">
        <x:f>G1285-H1285</x:f>
        <x:v>0</x:v>
      </x:c>
      <x:c r="J1285" s="20" t="n">
        <x:f>IFERROR(H1285/G1285,0)</x:f>
        <x:v>1</x:v>
      </x:c>
      <x:c r="K1285" t="n">
        <x:v>5924</x:v>
      </x:c>
      <x:c r="L1285" t="n">
        <x:v>6270</x:v>
      </x:c>
      <x:c r="M1285" t="n">
        <x:v>7083.5</x:v>
      </x:c>
      <x:c r="N1285" t="n">
        <x:v>7217.5</x:v>
      </x:c>
      <x:c r="O1285" t="n">
        <x:v>7258</x:v>
      </x:c>
    </x:row>
    <x:row r="1286">
      <x:c r="A1286" t="str">
        <x:v>Kerala</x:v>
      </x:c>
      <x:c r="B1286" t="str">
        <x:v>All India except Central University</x:v>
      </x:c>
      <x:c r="C1286" t="str">
        <x:v>200593</x:v>
      </x:c>
      <x:c r="D1286" t="str">
        <x:v>Government Medical College, Idukki, Principal, Govt Medical College Idukki, Idukki colony P.O.,Idukki District</x:v>
      </x:c>
      <x:c r="E1286" t="str">
        <x:v>All India</x:v>
      </x:c>
      <x:c r="F1286" t="str">
        <x:v>SC</x:v>
      </x:c>
      <x:c r="G1286" t="n">
        <x:v>2</x:v>
      </x:c>
      <x:c r="H1286" t="n">
        <x:v>2</x:v>
      </x:c>
      <x:c r="I1286" t="n">
        <x:f>G1286-H1286</x:f>
        <x:v>0</x:v>
      </x:c>
      <x:c r="J1286" s="20" t="n">
        <x:f>IFERROR(H1286/G1286,0)</x:f>
        <x:v>1</x:v>
      </x:c>
      <x:c r="K1286" t="n">
        <x:v>72359</x:v>
      </x:c>
      <x:c r="L1286" t="n">
        <x:v>74089.5</x:v>
      </x:c>
      <x:c r="M1286" t="n">
        <x:v>75820</x:v>
      </x:c>
      <x:c r="N1286" t="n">
        <x:v>77550.5</x:v>
      </x:c>
      <x:c r="O1286" t="n">
        <x:v>79281</x:v>
      </x:c>
    </x:row>
    <x:row r="1287">
      <x:c r="A1287" t="str">
        <x:v>Kerala</x:v>
      </x:c>
      <x:c r="B1287" t="str">
        <x:v>All India except Central University</x:v>
      </x:c>
      <x:c r="C1287" t="str">
        <x:v>200593</x:v>
      </x:c>
      <x:c r="D1287" t="str">
        <x:v>Government Medical College, Idukki, Principal, Govt Medical College Idukki, Idukki colony P.O.,Idukki District</x:v>
      </x:c>
      <x:c r="E1287" t="str">
        <x:v>All India</x:v>
      </x:c>
      <x:c r="F1287" t="str">
        <x:v>ST</x:v>
      </x:c>
      <x:c r="G1287" t="n">
        <x:v>1</x:v>
      </x:c>
      <x:c r="H1287" t="n">
        <x:v>1</x:v>
      </x:c>
      <x:c r="I1287" t="n">
        <x:f>G1287-H1287</x:f>
        <x:v>0</x:v>
      </x:c>
      <x:c r="J1287" s="20" t="n">
        <x:f>IFERROR(H1287/G1287,0)</x:f>
        <x:v>1</x:v>
      </x:c>
      <x:c r="K1287" t="n">
        <x:v>109898</x:v>
      </x:c>
      <x:c r="L1287" t="n">
        <x:v>109898</x:v>
      </x:c>
      <x:c r="M1287" t="n">
        <x:v>109898</x:v>
      </x:c>
      <x:c r="N1287" t="n">
        <x:v>109898</x:v>
      </x:c>
      <x:c r="O1287" t="n">
        <x:v>109898</x:v>
      </x:c>
    </x:row>
    <x:row r="1288">
      <x:c r="A1288" t="str">
        <x:v>Telangana</x:v>
      </x:c>
      <x:c r="B1288" t="str">
        <x:v>All India except Central University</x:v>
      </x:c>
      <x:c r="C1288" t="str">
        <x:v>200609</x:v>
      </x:c>
      <x:c r="D1288" t="str">
        <x:v>Government Medical College, Jagtial, Government Medical College, Jagtial, Jagtial Village, Jagtial Tehsil, Jagtial Dist</x:v>
      </x:c>
      <x:c r="E1288" t="str">
        <x:v>All India</x:v>
      </x:c>
      <x:c r="F1288" t="str">
        <x:v>EWS</x:v>
      </x:c>
      <x:c r="G1288" t="n">
        <x:v>2</x:v>
      </x:c>
      <x:c r="H1288" t="n">
        <x:v>2</x:v>
      </x:c>
      <x:c r="I1288" t="n">
        <x:f>G1288-H1288</x:f>
        <x:v>0</x:v>
      </x:c>
      <x:c r="J1288" s="20" t="n">
        <x:f>IFERROR(H1288/G1288,0)</x:f>
        <x:v>1</x:v>
      </x:c>
      <x:c r="K1288" t="n">
        <x:v>25651</x:v>
      </x:c>
      <x:c r="L1288" t="n">
        <x:v>25764.5</x:v>
      </x:c>
      <x:c r="M1288" t="n">
        <x:v>25878</x:v>
      </x:c>
      <x:c r="N1288" t="n">
        <x:v>25991.5</x:v>
      </x:c>
      <x:c r="O1288" t="n">
        <x:v>26105</x:v>
      </x:c>
    </x:row>
    <x:row r="1289">
      <x:c r="A1289" t="str">
        <x:v>Telangana</x:v>
      </x:c>
      <x:c r="B1289" t="str">
        <x:v>All India except Central University</x:v>
      </x:c>
      <x:c r="C1289" t="str">
        <x:v>200609</x:v>
      </x:c>
      <x:c r="D1289" t="str">
        <x:v>Government Medical College, Jagtial, Government Medical College, Jagtial, Jagtial Village, Jagtial Tehsil, Jagtial Dist</x:v>
      </x:c>
      <x:c r="E1289" t="str">
        <x:v>All India</x:v>
      </x:c>
      <x:c r="F1289" t="str">
        <x:v>OBC</x:v>
      </x:c>
      <x:c r="G1289" t="n">
        <x:v>5</x:v>
      </x:c>
      <x:c r="H1289" t="n">
        <x:v>5</x:v>
      </x:c>
      <x:c r="I1289" t="n">
        <x:f>G1289-H1289</x:f>
        <x:v>0</x:v>
      </x:c>
      <x:c r="J1289" s="20" t="n">
        <x:f>IFERROR(H1289/G1289,0)</x:f>
        <x:v>1</x:v>
      </x:c>
      <x:c r="K1289" t="n">
        <x:v>21911</x:v>
      </x:c>
      <x:c r="L1289" t="n">
        <x:v>22037</x:v>
      </x:c>
      <x:c r="M1289" t="n">
        <x:v>22100</x:v>
      </x:c>
      <x:c r="N1289" t="n">
        <x:v>22419</x:v>
      </x:c>
      <x:c r="O1289" t="n">
        <x:v>22457</x:v>
      </x:c>
    </x:row>
    <x:row r="1290">
      <x:c r="A1290" t="str">
        <x:v>Telangana</x:v>
      </x:c>
      <x:c r="B1290" t="str">
        <x:v>All India except Central University</x:v>
      </x:c>
      <x:c r="C1290" t="str">
        <x:v>200609</x:v>
      </x:c>
      <x:c r="D1290" t="str">
        <x:v>Government Medical College, Jagtial, Government Medical College, Jagtial, Jagtial Village, Jagtial Tehsil, Jagtial Dist</x:v>
      </x:c>
      <x:c r="E1290" t="str">
        <x:v>All India</x:v>
      </x:c>
      <x:c r="F1290" t="str">
        <x:v>OBC PwD</x:v>
      </x:c>
      <x:c r="G1290" t="n">
        <x:v>1</x:v>
      </x:c>
      <x:c r="H1290" t="n">
        <x:v>1</x:v>
      </x:c>
      <x:c r="I1290" t="n">
        <x:f>G1290-H1290</x:f>
        <x:v>0</x:v>
      </x:c>
      <x:c r="J1290" s="20" t="n">
        <x:f>IFERROR(H1290/G1290,0)</x:f>
        <x:v>1</x:v>
      </x:c>
      <x:c r="K1290" t="n">
        <x:v>798448</x:v>
      </x:c>
      <x:c r="L1290" t="n">
        <x:v>798448</x:v>
      </x:c>
      <x:c r="M1290" t="n">
        <x:v>798448</x:v>
      </x:c>
      <x:c r="N1290" t="n">
        <x:v>798448</x:v>
      </x:c>
      <x:c r="O1290" t="n">
        <x:v>798448</x:v>
      </x:c>
    </x:row>
    <x:row r="1291">
      <x:c r="A1291" t="str">
        <x:v>Telangana</x:v>
      </x:c>
      <x:c r="B1291" t="str">
        <x:v>All India except Central University</x:v>
      </x:c>
      <x:c r="C1291" t="str">
        <x:v>200609</x:v>
      </x:c>
      <x:c r="D1291" t="str">
        <x:v>Government Medical College, Jagtial, Government Medical College, Jagtial, Jagtial Village, Jagtial Tehsil, Jagtial Dist</x:v>
      </x:c>
      <x:c r="E1291" t="str">
        <x:v>All India</x:v>
      </x:c>
      <x:c r="F1291" t="str">
        <x:v>Open</x:v>
      </x:c>
      <x:c r="G1291" t="n">
        <x:v>8</x:v>
      </x:c>
      <x:c r="H1291" t="n">
        <x:v>8</x:v>
      </x:c>
      <x:c r="I1291" t="n">
        <x:f>G1291-H1291</x:f>
        <x:v>0</x:v>
      </x:c>
      <x:c r="J1291" s="20" t="n">
        <x:f>IFERROR(H1291/G1291,0)</x:f>
        <x:v>1</x:v>
      </x:c>
      <x:c r="K1291" t="n">
        <x:v>21147</x:v>
      </x:c>
      <x:c r="L1291" t="n">
        <x:v>21411.5</x:v>
      </x:c>
      <x:c r="M1291" t="n">
        <x:v>21746</x:v>
      </x:c>
      <x:c r="N1291" t="n">
        <x:v>21820</x:v>
      </x:c>
      <x:c r="O1291" t="n">
        <x:v>21904</x:v>
      </x:c>
    </x:row>
    <x:row r="1292">
      <x:c r="A1292" t="str">
        <x:v>Telangana</x:v>
      </x:c>
      <x:c r="B1292" t="str">
        <x:v>All India except Central University</x:v>
      </x:c>
      <x:c r="C1292" t="str">
        <x:v>200609</x:v>
      </x:c>
      <x:c r="D1292" t="str">
        <x:v>Government Medical College, Jagtial, Government Medical College, Jagtial, Jagtial Village, Jagtial Tehsil, Jagtial Dist</x:v>
      </x:c>
      <x:c r="E1292" t="str">
        <x:v>All India</x:v>
      </x:c>
      <x:c r="F1292" t="str">
        <x:v>Open PwD</x:v>
      </x:c>
      <x:c r="G1292" t="n">
        <x:v>1</x:v>
      </x:c>
      <x:c r="H1292" t="n">
        <x:v>1</x:v>
      </x:c>
      <x:c r="I1292" t="n">
        <x:f>G1292-H1292</x:f>
        <x:v>0</x:v>
      </x:c>
      <x:c r="J1292" s="20" t="n">
        <x:f>IFERROR(H1292/G1292,0)</x:f>
        <x:v>1</x:v>
      </x:c>
      <x:c r="K1292" t="n">
        <x:v>618963</x:v>
      </x:c>
      <x:c r="L1292" t="n">
        <x:v>618963</x:v>
      </x:c>
      <x:c r="M1292" t="n">
        <x:v>618963</x:v>
      </x:c>
      <x:c r="N1292" t="n">
        <x:v>618963</x:v>
      </x:c>
      <x:c r="O1292" t="n">
        <x:v>618963</x:v>
      </x:c>
    </x:row>
    <x:row r="1293">
      <x:c r="A1293" t="str">
        <x:v>Telangana</x:v>
      </x:c>
      <x:c r="B1293" t="str">
        <x:v>All India except Central University</x:v>
      </x:c>
      <x:c r="C1293" t="str">
        <x:v>200609</x:v>
      </x:c>
      <x:c r="D1293" t="str">
        <x:v>Government Medical College, Jagtial, Government Medical College, Jagtial, Jagtial Village, Jagtial Tehsil, Jagtial Dist</x:v>
      </x:c>
      <x:c r="E1293" t="str">
        <x:v>All India</x:v>
      </x:c>
      <x:c r="F1293" t="str">
        <x:v>SC</x:v>
      </x:c>
      <x:c r="G1293" t="n">
        <x:v>3</x:v>
      </x:c>
      <x:c r="H1293" t="n">
        <x:v>3</x:v>
      </x:c>
      <x:c r="I1293" t="n">
        <x:f>G1293-H1293</x:f>
        <x:v>0</x:v>
      </x:c>
      <x:c r="J1293" s="20" t="n">
        <x:f>IFERROR(H1293/G1293,0)</x:f>
        <x:v>1</x:v>
      </x:c>
      <x:c r="K1293" t="n">
        <x:v>97064</x:v>
      </x:c>
      <x:c r="L1293" t="n">
        <x:v>99394</x:v>
      </x:c>
      <x:c r="M1293" t="n">
        <x:v>101724</x:v>
      </x:c>
      <x:c r="N1293" t="n">
        <x:v>102138</x:v>
      </x:c>
      <x:c r="O1293" t="n">
        <x:v>102552</x:v>
      </x:c>
    </x:row>
    <x:row r="1294">
      <x:c r="A1294" t="str">
        <x:v>Telangana</x:v>
      </x:c>
      <x:c r="B1294" t="str">
        <x:v>All India except Central University</x:v>
      </x:c>
      <x:c r="C1294" t="str">
        <x:v>200609</x:v>
      </x:c>
      <x:c r="D1294" t="str">
        <x:v>Government Medical College, Jagtial, Government Medical College, Jagtial, Jagtial Village, Jagtial Tehsil, Jagtial Dist</x:v>
      </x:c>
      <x:c r="E1294" t="str">
        <x:v>All India</x:v>
      </x:c>
      <x:c r="F1294" t="str">
        <x:v>ST</x:v>
      </x:c>
      <x:c r="G1294" t="n">
        <x:v>2</x:v>
      </x:c>
      <x:c r="H1294" t="n">
        <x:v>2</x:v>
      </x:c>
      <x:c r="I1294" t="n">
        <x:f>G1294-H1294</x:f>
        <x:v>0</x:v>
      </x:c>
      <x:c r="J1294" s="20" t="n">
        <x:f>IFERROR(H1294/G1294,0)</x:f>
        <x:v>1</x:v>
      </x:c>
      <x:c r="K1294" t="n">
        <x:v>100165</x:v>
      </x:c>
      <x:c r="L1294" t="n">
        <x:v>106626</x:v>
      </x:c>
      <x:c r="M1294" t="n">
        <x:v>113087</x:v>
      </x:c>
      <x:c r="N1294" t="n">
        <x:v>119548</x:v>
      </x:c>
      <x:c r="O1294" t="n">
        <x:v>126009</x:v>
      </x:c>
    </x:row>
    <x:row r="1295">
      <x:c r="A1295" t="str">
        <x:v>Rajasthan</x:v>
      </x:c>
      <x:c r="B1295" t="str">
        <x:v>All India except Central University</x:v>
      </x:c>
      <x:c r="C1295" t="str">
        <x:v>904360</x:v>
      </x:c>
      <x:c r="D1295" t="str">
        <x:v>Government Medical College, Jaisalmer, Government Medical College, NH68, Ramgarh Road, Badabagh, Jaisalmer</x:v>
      </x:c>
      <x:c r="E1295" t="str">
        <x:v>All India</x:v>
      </x:c>
      <x:c r="F1295" t="str">
        <x:v>OBC</x:v>
      </x:c>
      <x:c r="G1295" t="n">
        <x:v>2</x:v>
      </x:c>
      <x:c r="H1295" t="n">
        <x:v>2</x:v>
      </x:c>
      <x:c r="I1295" t="n">
        <x:f>G1295-H1295</x:f>
        <x:v>0</x:v>
      </x:c>
      <x:c r="J1295" s="20" t="n">
        <x:f>IFERROR(H1295/G1295,0)</x:f>
        <x:v>1</x:v>
      </x:c>
      <x:c r="K1295" t="n">
        <x:v>11399</x:v>
      </x:c>
      <x:c r="L1295" t="n">
        <x:v>11667.75</x:v>
      </x:c>
      <x:c r="M1295" t="n">
        <x:v>11936.5</x:v>
      </x:c>
      <x:c r="N1295" t="n">
        <x:v>12205.25</x:v>
      </x:c>
      <x:c r="O1295" t="n">
        <x:v>12474</x:v>
      </x:c>
    </x:row>
    <x:row r="1296">
      <x:c r="A1296" t="str">
        <x:v>Rajasthan</x:v>
      </x:c>
      <x:c r="B1296" t="str">
        <x:v>All India except Central University</x:v>
      </x:c>
      <x:c r="C1296" t="str">
        <x:v>904360</x:v>
      </x:c>
      <x:c r="D1296" t="str">
        <x:v>Government Medical College, Jaisalmer, Government Medical College, NH68, Ramgarh Road, Badabagh, Jaisalmer</x:v>
      </x:c>
      <x:c r="E1296" t="str">
        <x:v>All India</x:v>
      </x:c>
      <x:c r="F1296" t="str">
        <x:v>Open</x:v>
      </x:c>
      <x:c r="G1296" t="n">
        <x:v>2</x:v>
      </x:c>
      <x:c r="H1296" t="n">
        <x:v>2</x:v>
      </x:c>
      <x:c r="I1296" t="n">
        <x:f>G1296-H1296</x:f>
        <x:v>0</x:v>
      </x:c>
      <x:c r="J1296" s="20" t="n">
        <x:f>IFERROR(H1296/G1296,0)</x:f>
        <x:v>1</x:v>
      </x:c>
      <x:c r="K1296" t="n">
        <x:v>9284</x:v>
      </x:c>
      <x:c r="L1296" t="n">
        <x:v>9618.25</x:v>
      </x:c>
      <x:c r="M1296" t="n">
        <x:v>9952.5</x:v>
      </x:c>
      <x:c r="N1296" t="n">
        <x:v>10286.75</x:v>
      </x:c>
      <x:c r="O1296" t="n">
        <x:v>10621</x:v>
      </x:c>
    </x:row>
    <x:row r="1297">
      <x:c r="A1297" t="str">
        <x:v>Rajasthan</x:v>
      </x:c>
      <x:c r="B1297" t="str">
        <x:v>All India except Central University</x:v>
      </x:c>
      <x:c r="C1297" t="str">
        <x:v>904360</x:v>
      </x:c>
      <x:c r="D1297" t="str">
        <x:v>Government Medical College, Jaisalmer, Government Medical College, NH68, Ramgarh Road, Badabagh, Jaisalmer</x:v>
      </x:c>
      <x:c r="E1297" t="str">
        <x:v>All India</x:v>
      </x:c>
      <x:c r="F1297" t="str">
        <x:v>Open PwD</x:v>
      </x:c>
      <x:c r="G1297" t="n">
        <x:v>1</x:v>
      </x:c>
      <x:c r="H1297" t="n">
        <x:v>1</x:v>
      </x:c>
      <x:c r="I1297" t="n">
        <x:f>G1297-H1297</x:f>
        <x:v>0</x:v>
      </x:c>
      <x:c r="J1297" s="20" t="n">
        <x:f>IFERROR(H1297/G1297,0)</x:f>
        <x:v>1</x:v>
      </x:c>
      <x:c r="K1297" t="n">
        <x:v>486075</x:v>
      </x:c>
      <x:c r="L1297" t="n">
        <x:v>486075</x:v>
      </x:c>
      <x:c r="M1297" t="n">
        <x:v>486075</x:v>
      </x:c>
      <x:c r="N1297" t="n">
        <x:v>486075</x:v>
      </x:c>
      <x:c r="O1297" t="n">
        <x:v>486075</x:v>
      </x:c>
    </x:row>
    <x:row r="1298">
      <x:c r="A1298" t="str">
        <x:v>Rajasthan</x:v>
      </x:c>
      <x:c r="B1298" t="str">
        <x:v>All India except Central University</x:v>
      </x:c>
      <x:c r="C1298" t="str">
        <x:v>904360</x:v>
      </x:c>
      <x:c r="D1298" t="str">
        <x:v>Government Medical College, Jaisalmer, Government Medical College, NH68, Ramgarh Road, Badabagh, Jaisalmer</x:v>
      </x:c>
      <x:c r="E1298" t="str">
        <x:v>All India</x:v>
      </x:c>
      <x:c r="F1298" t="str">
        <x:v>SC</x:v>
      </x:c>
      <x:c r="G1298" t="n">
        <x:v>1</x:v>
      </x:c>
      <x:c r="H1298" t="n">
        <x:v>1</x:v>
      </x:c>
      <x:c r="I1298" t="n">
        <x:f>G1298-H1298</x:f>
        <x:v>0</x:v>
      </x:c>
      <x:c r="J1298" s="20" t="n">
        <x:f>IFERROR(H1298/G1298,0)</x:f>
        <x:v>1</x:v>
      </x:c>
      <x:c r="K1298" t="n">
        <x:v>59311</x:v>
      </x:c>
      <x:c r="L1298" t="n">
        <x:v>59311</x:v>
      </x:c>
      <x:c r="M1298" t="n">
        <x:v>59311</x:v>
      </x:c>
      <x:c r="N1298" t="n">
        <x:v>59311</x:v>
      </x:c>
      <x:c r="O1298" t="n">
        <x:v>59311</x:v>
      </x:c>
    </x:row>
    <x:row r="1299">
      <x:c r="A1299" t="str">
        <x:v>Rajasthan</x:v>
      </x:c>
      <x:c r="B1299" t="str">
        <x:v>All India except Central University</x:v>
      </x:c>
      <x:c r="C1299" t="str">
        <x:v>904360</x:v>
      </x:c>
      <x:c r="D1299" t="str">
        <x:v>Government Medical College, Jaisalmer, Government Medical College, NH68, Ramgarh Road, Badabagh, Jaisalmer</x:v>
      </x:c>
      <x:c r="E1299" t="str">
        <x:v>All India</x:v>
      </x:c>
      <x:c r="F1299" t="str">
        <x:v>ST</x:v>
      </x:c>
      <x:c r="G1299" t="n">
        <x:v>1</x:v>
      </x:c>
      <x:c r="H1299" t="n">
        <x:v>1</x:v>
      </x:c>
      <x:c r="I1299" t="n">
        <x:f>G1299-H1299</x:f>
        <x:v>0</x:v>
      </x:c>
      <x:c r="J1299" s="20" t="n">
        <x:f>IFERROR(H1299/G1299,0)</x:f>
        <x:v>1</x:v>
      </x:c>
      <x:c r="K1299" t="n">
        <x:v>81034</x:v>
      </x:c>
      <x:c r="L1299" t="n">
        <x:v>81034</x:v>
      </x:c>
      <x:c r="M1299" t="n">
        <x:v>81034</x:v>
      </x:c>
      <x:c r="N1299" t="n">
        <x:v>81034</x:v>
      </x:c>
      <x:c r="O1299" t="n">
        <x:v>81034</x:v>
      </x:c>
    </x:row>
    <x:row r="1300">
      <x:c r="A1300" t="str">
        <x:v>Maharashtra</x:v>
      </x:c>
      <x:c r="B1300" t="str">
        <x:v>All India except Central University</x:v>
      </x:c>
      <x:c r="C1300" t="str">
        <x:v>200440</x:v>
      </x:c>
      <x:c r="D1300" t="str">
        <x:v>Government Medical College, Jalgaon, GOVERNMENT MEDICAL COLLEGE, JILHA PETH, NEAR MAIN POST OFFICE, JALGAON</x:v>
      </x:c>
      <x:c r="E1300" t="str">
        <x:v>All India</x:v>
      </x:c>
      <x:c r="F1300" t="str">
        <x:v>EWS</x:v>
      </x:c>
      <x:c r="G1300" t="n">
        <x:v>2</x:v>
      </x:c>
      <x:c r="H1300" t="n">
        <x:v>2</x:v>
      </x:c>
      <x:c r="I1300" t="n">
        <x:f>G1300-H1300</x:f>
        <x:v>0</x:v>
      </x:c>
      <x:c r="J1300" s="20" t="n">
        <x:f>IFERROR(H1300/G1300,0)</x:f>
        <x:v>1</x:v>
      </x:c>
      <x:c r="K1300" t="n">
        <x:v>18286</x:v>
      </x:c>
      <x:c r="L1300" t="n">
        <x:v>18502.75</x:v>
      </x:c>
      <x:c r="M1300" t="n">
        <x:v>18719.5</x:v>
      </x:c>
      <x:c r="N1300" t="n">
        <x:v>18936.25</x:v>
      </x:c>
      <x:c r="O1300" t="n">
        <x:v>19153</x:v>
      </x:c>
    </x:row>
    <x:row r="1301">
      <x:c r="A1301" t="str">
        <x:v>Maharashtra</x:v>
      </x:c>
      <x:c r="B1301" t="str">
        <x:v>All India except Central University</x:v>
      </x:c>
      <x:c r="C1301" t="str">
        <x:v>200440</x:v>
      </x:c>
      <x:c r="D1301" t="str">
        <x:v>Government Medical College, Jalgaon, GOVERNMENT MEDICAL COLLEGE, JILHA PETH, NEAR MAIN POST OFFICE, JALGAON</x:v>
      </x:c>
      <x:c r="E1301" t="str">
        <x:v>All India</x:v>
      </x:c>
      <x:c r="F1301" t="str">
        <x:v>OBC</x:v>
      </x:c>
      <x:c r="G1301" t="n">
        <x:v>5</x:v>
      </x:c>
      <x:c r="H1301" t="n">
        <x:v>5</x:v>
      </x:c>
      <x:c r="I1301" t="n">
        <x:f>G1301-H1301</x:f>
        <x:v>0</x:v>
      </x:c>
      <x:c r="J1301" s="20" t="n">
        <x:f>IFERROR(H1301/G1301,0)</x:f>
        <x:v>1</x:v>
      </x:c>
      <x:c r="K1301" t="n">
        <x:v>15651</x:v>
      </x:c>
      <x:c r="L1301" t="n">
        <x:v>15788</x:v>
      </x:c>
      <x:c r="M1301" t="n">
        <x:v>15971</x:v>
      </x:c>
      <x:c r="N1301" t="n">
        <x:v>16009</x:v>
      </x:c>
      <x:c r="O1301" t="n">
        <x:v>16340</x:v>
      </x:c>
    </x:row>
    <x:row r="1302">
      <x:c r="A1302" t="str">
        <x:v>Maharashtra</x:v>
      </x:c>
      <x:c r="B1302" t="str">
        <x:v>All India except Central University</x:v>
      </x:c>
      <x:c r="C1302" t="str">
        <x:v>200440</x:v>
      </x:c>
      <x:c r="D1302" t="str">
        <x:v>Government Medical College, Jalgaon, GOVERNMENT MEDICAL COLLEGE, JILHA PETH, NEAR MAIN POST OFFICE, JALGAON</x:v>
      </x:c>
      <x:c r="E1302" t="str">
        <x:v>All India</x:v>
      </x:c>
      <x:c r="F1302" t="str">
        <x:v>OBC PwD</x:v>
      </x:c>
      <x:c r="G1302" t="n">
        <x:v>1</x:v>
      </x:c>
      <x:c r="H1302" t="n">
        <x:v>1</x:v>
      </x:c>
      <x:c r="I1302" t="n">
        <x:f>G1302-H1302</x:f>
        <x:v>0</x:v>
      </x:c>
      <x:c r="J1302" s="20" t="n">
        <x:f>IFERROR(H1302/G1302,0)</x:f>
        <x:v>1</x:v>
      </x:c>
      <x:c r="K1302" t="n">
        <x:v>559991</x:v>
      </x:c>
      <x:c r="L1302" t="n">
        <x:v>559991</x:v>
      </x:c>
      <x:c r="M1302" t="n">
        <x:v>559991</x:v>
      </x:c>
      <x:c r="N1302" t="n">
        <x:v>559991</x:v>
      </x:c>
      <x:c r="O1302" t="n">
        <x:v>559991</x:v>
      </x:c>
    </x:row>
    <x:row r="1303">
      <x:c r="A1303" t="str">
        <x:v>Maharashtra</x:v>
      </x:c>
      <x:c r="B1303" t="str">
        <x:v>All India except Central University</x:v>
      </x:c>
      <x:c r="C1303" t="str">
        <x:v>200440</x:v>
      </x:c>
      <x:c r="D1303" t="str">
        <x:v>Government Medical College, Jalgaon, GOVERNMENT MEDICAL COLLEGE, JILHA PETH, NEAR MAIN POST OFFICE, JALGAON</x:v>
      </x:c>
      <x:c r="E1303" t="str">
        <x:v>All India</x:v>
      </x:c>
      <x:c r="F1303" t="str">
        <x:v>Open</x:v>
      </x:c>
      <x:c r="G1303" t="n">
        <x:v>10</x:v>
      </x:c>
      <x:c r="H1303" t="n">
        <x:v>10</x:v>
      </x:c>
      <x:c r="I1303" t="n">
        <x:f>G1303-H1303</x:f>
        <x:v>0</x:v>
      </x:c>
      <x:c r="J1303" s="20" t="n">
        <x:f>IFERROR(H1303/G1303,0)</x:f>
        <x:v>1</x:v>
      </x:c>
      <x:c r="K1303" t="n">
        <x:v>9898</x:v>
      </x:c>
      <x:c r="L1303" t="n">
        <x:v>13479.5</x:v>
      </x:c>
      <x:c r="M1303" t="n">
        <x:v>14712.5</x:v>
      </x:c>
      <x:c r="N1303" t="n">
        <x:v>15187</x:v>
      </x:c>
      <x:c r="O1303" t="n">
        <x:v>15571</x:v>
      </x:c>
    </x:row>
    <x:row r="1304">
      <x:c r="A1304" t="str">
        <x:v>Maharashtra</x:v>
      </x:c>
      <x:c r="B1304" t="str">
        <x:v>All India except Central University</x:v>
      </x:c>
      <x:c r="C1304" t="str">
        <x:v>200440</x:v>
      </x:c>
      <x:c r="D1304" t="str">
        <x:v>Government Medical College, Jalgaon, GOVERNMENT MEDICAL COLLEGE, JILHA PETH, NEAR MAIN POST OFFICE, JALGAON</x:v>
      </x:c>
      <x:c r="E1304" t="str">
        <x:v>All India</x:v>
      </x:c>
      <x:c r="F1304" t="str">
        <x:v>SC</x:v>
      </x:c>
      <x:c r="G1304" t="n">
        <x:v>3</x:v>
      </x:c>
      <x:c r="H1304" t="n">
        <x:v>3</x:v>
      </x:c>
      <x:c r="I1304" t="n">
        <x:f>G1304-H1304</x:f>
        <x:v>0</x:v>
      </x:c>
      <x:c r="J1304" s="20" t="n">
        <x:f>IFERROR(H1304/G1304,0)</x:f>
        <x:v>1</x:v>
      </x:c>
      <x:c r="K1304" t="n">
        <x:v>61434</x:v>
      </x:c>
      <x:c r="L1304" t="n">
        <x:v>71533.5</x:v>
      </x:c>
      <x:c r="M1304" t="n">
        <x:v>81633</x:v>
      </x:c>
      <x:c r="N1304" t="n">
        <x:v>81835.5</x:v>
      </x:c>
      <x:c r="O1304" t="n">
        <x:v>82038</x:v>
      </x:c>
    </x:row>
    <x:row r="1305">
      <x:c r="A1305" t="str">
        <x:v>Maharashtra</x:v>
      </x:c>
      <x:c r="B1305" t="str">
        <x:v>All India except Central University</x:v>
      </x:c>
      <x:c r="C1305" t="str">
        <x:v>200440</x:v>
      </x:c>
      <x:c r="D1305" t="str">
        <x:v>Government Medical College, Jalgaon, GOVERNMENT MEDICAL COLLEGE, JILHA PETH, NEAR MAIN POST OFFICE, JALGAON</x:v>
      </x:c>
      <x:c r="E1305" t="str">
        <x:v>All India</x:v>
      </x:c>
      <x:c r="F1305" t="str">
        <x:v>ST</x:v>
      </x:c>
      <x:c r="G1305" t="n">
        <x:v>1</x:v>
      </x:c>
      <x:c r="H1305" t="n">
        <x:v>1</x:v>
      </x:c>
      <x:c r="I1305" t="n">
        <x:f>G1305-H1305</x:f>
        <x:v>0</x:v>
      </x:c>
      <x:c r="J1305" s="20" t="n">
        <x:f>IFERROR(H1305/G1305,0)</x:f>
        <x:v>1</x:v>
      </x:c>
      <x:c r="K1305" t="n">
        <x:v>110253</x:v>
      </x:c>
      <x:c r="L1305" t="n">
        <x:v>110253</x:v>
      </x:c>
      <x:c r="M1305" t="n">
        <x:v>110253</x:v>
      </x:c>
      <x:c r="N1305" t="n">
        <x:v>110253</x:v>
      </x:c>
      <x:c r="O1305" t="n">
        <x:v>110253</x:v>
      </x:c>
    </x:row>
    <x:row r="1306">
      <x:c r="A1306" t="str">
        <x:v>Maharashtra</x:v>
      </x:c>
      <x:c r="B1306" t="str">
        <x:v>All India except Central University</x:v>
      </x:c>
      <x:c r="C1306" t="str">
        <x:v>903364</x:v>
      </x:c>
      <x:c r="D1306" t="str">
        <x:v>Government Medical College, Jalna, Government Medical College, Global Gurukul School, in front of Sushiladevi Lawns, Ambad- Mantha Bypas</x:v>
      </x:c>
      <x:c r="E1306" t="str">
        <x:v>All India</x:v>
      </x:c>
      <x:c r="F1306" t="str">
        <x:v>EWS</x:v>
      </x:c>
      <x:c r="G1306" t="n">
        <x:v>2</x:v>
      </x:c>
      <x:c r="H1306" t="n">
        <x:v>2</x:v>
      </x:c>
      <x:c r="I1306" t="n">
        <x:f>G1306-H1306</x:f>
        <x:v>0</x:v>
      </x:c>
      <x:c r="J1306" s="20" t="n">
        <x:f>IFERROR(H1306/G1306,0)</x:f>
        <x:v>1</x:v>
      </x:c>
      <x:c r="K1306" t="n">
        <x:v>19630</x:v>
      </x:c>
      <x:c r="L1306" t="n">
        <x:v>19745.75</x:v>
      </x:c>
      <x:c r="M1306" t="n">
        <x:v>19861.5</x:v>
      </x:c>
      <x:c r="N1306" t="n">
        <x:v>19977.25</x:v>
      </x:c>
      <x:c r="O1306" t="n">
        <x:v>20093</x:v>
      </x:c>
    </x:row>
    <x:row r="1307">
      <x:c r="A1307" t="str">
        <x:v>Maharashtra</x:v>
      </x:c>
      <x:c r="B1307" t="str">
        <x:v>All India except Central University</x:v>
      </x:c>
      <x:c r="C1307" t="str">
        <x:v>903364</x:v>
      </x:c>
      <x:c r="D1307" t="str">
        <x:v>Government Medical College, Jalna, Government Medical College, Global Gurukul School, in front of Sushiladevi Lawns, Ambad- Mantha Bypas</x:v>
      </x:c>
      <x:c r="E1307" t="str">
        <x:v>All India</x:v>
      </x:c>
      <x:c r="F1307" t="str">
        <x:v>OBC</x:v>
      </x:c>
      <x:c r="G1307" t="n">
        <x:v>5</x:v>
      </x:c>
      <x:c r="H1307" t="n">
        <x:v>5</x:v>
      </x:c>
      <x:c r="I1307" t="n">
        <x:f>G1307-H1307</x:f>
        <x:v>0</x:v>
      </x:c>
      <x:c r="J1307" s="20" t="n">
        <x:f>IFERROR(H1307/G1307,0)</x:f>
        <x:v>1</x:v>
      </x:c>
      <x:c r="K1307" t="n">
        <x:v>19473</x:v>
      </x:c>
      <x:c r="L1307" t="n">
        <x:v>19493</x:v>
      </x:c>
      <x:c r="M1307" t="n">
        <x:v>19560</x:v>
      </x:c>
      <x:c r="N1307" t="n">
        <x:v>19940</x:v>
      </x:c>
      <x:c r="O1307" t="n">
        <x:v>20106</x:v>
      </x:c>
    </x:row>
    <x:row r="1308">
      <x:c r="A1308" t="str">
        <x:v>Maharashtra</x:v>
      </x:c>
      <x:c r="B1308" t="str">
        <x:v>All India except Central University</x:v>
      </x:c>
      <x:c r="C1308" t="str">
        <x:v>903364</x:v>
      </x:c>
      <x:c r="D1308" t="str">
        <x:v>Government Medical College, Jalna, Government Medical College, Global Gurukul School, in front of Sushiladevi Lawns, Ambad- Mantha Bypas</x:v>
      </x:c>
      <x:c r="E1308" t="str">
        <x:v>All India</x:v>
      </x:c>
      <x:c r="F1308" t="str">
        <x:v>Open</x:v>
      </x:c>
      <x:c r="G1308" t="n">
        <x:v>4</x:v>
      </x:c>
      <x:c r="H1308" t="n">
        <x:v>4</x:v>
      </x:c>
      <x:c r="I1308" t="n">
        <x:f>G1308-H1308</x:f>
        <x:v>0</x:v>
      </x:c>
      <x:c r="J1308" s="20" t="n">
        <x:f>IFERROR(H1308/G1308,0)</x:f>
        <x:v>1</x:v>
      </x:c>
      <x:c r="K1308" t="n">
        <x:v>14759</x:v>
      </x:c>
      <x:c r="L1308" t="n">
        <x:v>15939.5</x:v>
      </x:c>
      <x:c r="M1308" t="n">
        <x:v>16558.5</x:v>
      </x:c>
      <x:c r="N1308" t="n">
        <x:v>16855.5</x:v>
      </x:c>
      <x:c r="O1308" t="n">
        <x:v>17070</x:v>
      </x:c>
    </x:row>
    <x:row r="1309">
      <x:c r="A1309" t="str">
        <x:v>Maharashtra</x:v>
      </x:c>
      <x:c r="B1309" t="str">
        <x:v>All India except Central University</x:v>
      </x:c>
      <x:c r="C1309" t="str">
        <x:v>903364</x:v>
      </x:c>
      <x:c r="D1309" t="str">
        <x:v>Government Medical College, Jalna, Government Medical College, Global Gurukul School, in front of Sushiladevi Lawns, Ambad- Mantha Bypas</x:v>
      </x:c>
      <x:c r="E1309" t="str">
        <x:v>All India</x:v>
      </x:c>
      <x:c r="F1309" t="str">
        <x:v>Open PwD</x:v>
      </x:c>
      <x:c r="G1309" t="n">
        <x:v>1</x:v>
      </x:c>
      <x:c r="H1309" t="n">
        <x:v>1</x:v>
      </x:c>
      <x:c r="I1309" t="n">
        <x:f>G1309-H1309</x:f>
        <x:v>0</x:v>
      </x:c>
      <x:c r="J1309" s="20" t="n">
        <x:f>IFERROR(H1309/G1309,0)</x:f>
        <x:v>1</x:v>
      </x:c>
      <x:c r="K1309" t="n">
        <x:v>444097</x:v>
      </x:c>
      <x:c r="L1309" t="n">
        <x:v>444097</x:v>
      </x:c>
      <x:c r="M1309" t="n">
        <x:v>444097</x:v>
      </x:c>
      <x:c r="N1309" t="n">
        <x:v>444097</x:v>
      </x:c>
      <x:c r="O1309" t="n">
        <x:v>444097</x:v>
      </x:c>
    </x:row>
    <x:row r="1310">
      <x:c r="A1310" t="str">
        <x:v>Maharashtra</x:v>
      </x:c>
      <x:c r="B1310" t="str">
        <x:v>All India except Central University</x:v>
      </x:c>
      <x:c r="C1310" t="str">
        <x:v>903364</x:v>
      </x:c>
      <x:c r="D1310" t="str">
        <x:v>Government Medical College, Jalna, Government Medical College, Global Gurukul School, in front of Sushiladevi Lawns, Ambad- Mantha Bypas</x:v>
      </x:c>
      <x:c r="E1310" t="str">
        <x:v>All India</x:v>
      </x:c>
      <x:c r="F1310" t="str">
        <x:v>SC</x:v>
      </x:c>
      <x:c r="G1310" t="n">
        <x:v>2</x:v>
      </x:c>
      <x:c r="H1310" t="n">
        <x:v>2</x:v>
      </x:c>
      <x:c r="I1310" t="n">
        <x:f>G1310-H1310</x:f>
        <x:v>0</x:v>
      </x:c>
      <x:c r="J1310" s="20" t="n">
        <x:f>IFERROR(H1310/G1310,0)</x:f>
        <x:v>1</x:v>
      </x:c>
      <x:c r="K1310" t="n">
        <x:v>77883</x:v>
      </x:c>
      <x:c r="L1310" t="n">
        <x:v>79334.25</x:v>
      </x:c>
      <x:c r="M1310" t="n">
        <x:v>80785.5</x:v>
      </x:c>
      <x:c r="N1310" t="n">
        <x:v>82236.75</x:v>
      </x:c>
      <x:c r="O1310" t="n">
        <x:v>83688</x:v>
      </x:c>
    </x:row>
    <x:row r="1311">
      <x:c r="A1311" t="str">
        <x:v>Maharashtra</x:v>
      </x:c>
      <x:c r="B1311" t="str">
        <x:v>All India except Central University</x:v>
      </x:c>
      <x:c r="C1311" t="str">
        <x:v>903364</x:v>
      </x:c>
      <x:c r="D1311" t="str">
        <x:v>Government Medical College, Jalna, Government Medical College, Global Gurukul School, in front of Sushiladevi Lawns, Ambad- Mantha Bypas</x:v>
      </x:c>
      <x:c r="E1311" t="str">
        <x:v>All India</x:v>
      </x:c>
      <x:c r="F1311" t="str">
        <x:v>ST</x:v>
      </x:c>
      <x:c r="G1311" t="n">
        <x:v>1</x:v>
      </x:c>
      <x:c r="H1311" t="n">
        <x:v>1</x:v>
      </x:c>
      <x:c r="I1311" t="n">
        <x:f>G1311-H1311</x:f>
        <x:v>0</x:v>
      </x:c>
      <x:c r="J1311" s="20" t="n">
        <x:f>IFERROR(H1311/G1311,0)</x:f>
        <x:v>1</x:v>
      </x:c>
      <x:c r="K1311" t="n">
        <x:v>121540</x:v>
      </x:c>
      <x:c r="L1311" t="n">
        <x:v>121540</x:v>
      </x:c>
      <x:c r="M1311" t="n">
        <x:v>121540</x:v>
      </x:c>
      <x:c r="N1311" t="n">
        <x:v>121540</x:v>
      </x:c>
      <x:c r="O1311" t="n">
        <x:v>121540</x:v>
      </x:c>
    </x:row>
    <x:row r="1312">
      <x:c r="A1312" t="str">
        <x:v>Jammu And Kashmir</x:v>
      </x:c>
      <x:c r="B1312" t="str">
        <x:v>All India except Central University</x:v>
      </x:c>
      <x:c r="C1312" t="str">
        <x:v>200619</x:v>
      </x:c>
      <x:c r="D1312" t="str">
        <x:v>Government Medical College, Jammu, GOVERNMENT MEDICAL COLLEGE, BAKSHI NAGAR, JAMMU 180001</x:v>
      </x:c>
      <x:c r="E1312" t="str">
        <x:v>All India</x:v>
      </x:c>
      <x:c r="F1312" t="str">
        <x:v>EWS</x:v>
      </x:c>
      <x:c r="G1312" t="n">
        <x:v>3</x:v>
      </x:c>
      <x:c r="H1312" t="n">
        <x:v>3</x:v>
      </x:c>
      <x:c r="I1312" t="n">
        <x:f>G1312-H1312</x:f>
        <x:v>0</x:v>
      </x:c>
      <x:c r="J1312" s="20" t="n">
        <x:f>IFERROR(H1312/G1312,0)</x:f>
        <x:v>1</x:v>
      </x:c>
      <x:c r="K1312" t="n">
        <x:v>10249</x:v>
      </x:c>
      <x:c r="L1312" t="n">
        <x:v>10388</x:v>
      </x:c>
      <x:c r="M1312" t="n">
        <x:v>10527</x:v>
      </x:c>
      <x:c r="N1312" t="n">
        <x:v>11806</x:v>
      </x:c>
      <x:c r="O1312" t="n">
        <x:v>13085</x:v>
      </x:c>
    </x:row>
    <x:row r="1313">
      <x:c r="A1313" t="str">
        <x:v>Jammu And Kashmir</x:v>
      </x:c>
      <x:c r="B1313" t="str">
        <x:v>All India except Central University</x:v>
      </x:c>
      <x:c r="C1313" t="str">
        <x:v>200619</x:v>
      </x:c>
      <x:c r="D1313" t="str">
        <x:v>Government Medical College, Jammu, GOVERNMENT MEDICAL COLLEGE, BAKSHI NAGAR, JAMMU 180001</x:v>
      </x:c>
      <x:c r="E1313" t="str">
        <x:v>All India</x:v>
      </x:c>
      <x:c r="F1313" t="str">
        <x:v>EWS PwD</x:v>
      </x:c>
      <x:c r="G1313" t="n">
        <x:v>1</x:v>
      </x:c>
      <x:c r="H1313" t="n">
        <x:v>1</x:v>
      </x:c>
      <x:c r="I1313" t="n">
        <x:f>G1313-H1313</x:f>
        <x:v>0</x:v>
      </x:c>
      <x:c r="J1313" s="20" t="n">
        <x:f>IFERROR(H1313/G1313,0)</x:f>
        <x:v>1</x:v>
      </x:c>
      <x:c r="K1313" t="n">
        <x:v>536680</x:v>
      </x:c>
      <x:c r="L1313" t="n">
        <x:v>536680</x:v>
      </x:c>
      <x:c r="M1313" t="n">
        <x:v>536680</x:v>
      </x:c>
      <x:c r="N1313" t="n">
        <x:v>536680</x:v>
      </x:c>
      <x:c r="O1313" t="n">
        <x:v>536680</x:v>
      </x:c>
    </x:row>
    <x:row r="1314">
      <x:c r="A1314" t="str">
        <x:v>Jammu And Kashmir</x:v>
      </x:c>
      <x:c r="B1314" t="str">
        <x:v>All India except Central University</x:v>
      </x:c>
      <x:c r="C1314" t="str">
        <x:v>200619</x:v>
      </x:c>
      <x:c r="D1314" t="str">
        <x:v>Government Medical College, Jammu, GOVERNMENT MEDICAL COLLEGE, BAKSHI NAGAR, JAMMU 180001</x:v>
      </x:c>
      <x:c r="E1314" t="str">
        <x:v>All India</x:v>
      </x:c>
      <x:c r="F1314" t="str">
        <x:v>OBC</x:v>
      </x:c>
      <x:c r="G1314" t="n">
        <x:v>9</x:v>
      </x:c>
      <x:c r="H1314" t="n">
        <x:v>9</x:v>
      </x:c>
      <x:c r="I1314" t="n">
        <x:f>G1314-H1314</x:f>
        <x:v>0</x:v>
      </x:c>
      <x:c r="J1314" s="20" t="n">
        <x:f>IFERROR(H1314/G1314,0)</x:f>
        <x:v>1</x:v>
      </x:c>
      <x:c r="K1314" t="n">
        <x:v>8275</x:v>
      </x:c>
      <x:c r="L1314" t="n">
        <x:v>8995</x:v>
      </x:c>
      <x:c r="M1314" t="n">
        <x:v>9142</x:v>
      </x:c>
      <x:c r="N1314" t="n">
        <x:v>9408</x:v>
      </x:c>
      <x:c r="O1314" t="n">
        <x:v>9714</x:v>
      </x:c>
    </x:row>
    <x:row r="1315">
      <x:c r="A1315" t="str">
        <x:v>Jammu And Kashmir</x:v>
      </x:c>
      <x:c r="B1315" t="str">
        <x:v>All India except Central University</x:v>
      </x:c>
      <x:c r="C1315" t="str">
        <x:v>200619</x:v>
      </x:c>
      <x:c r="D1315" t="str">
        <x:v>Government Medical College, Jammu, GOVERNMENT MEDICAL COLLEGE, BAKSHI NAGAR, JAMMU 180001</x:v>
      </x:c>
      <x:c r="E1315" t="str">
        <x:v>All India</x:v>
      </x:c>
      <x:c r="F1315" t="str">
        <x:v>OBC PwD</x:v>
      </x:c>
      <x:c r="G1315" t="n">
        <x:v>1</x:v>
      </x:c>
      <x:c r="H1315" t="n">
        <x:v>1</x:v>
      </x:c>
      <x:c r="I1315" t="n">
        <x:f>G1315-H1315</x:f>
        <x:v>0</x:v>
      </x:c>
      <x:c r="J1315" s="20" t="n">
        <x:f>IFERROR(H1315/G1315,0)</x:f>
        <x:v>1</x:v>
      </x:c>
      <x:c r="K1315" t="n">
        <x:v>619327</x:v>
      </x:c>
      <x:c r="L1315" t="n">
        <x:v>619327</x:v>
      </x:c>
      <x:c r="M1315" t="n">
        <x:v>619327</x:v>
      </x:c>
      <x:c r="N1315" t="n">
        <x:v>619327</x:v>
      </x:c>
      <x:c r="O1315" t="n">
        <x:v>619327</x:v>
      </x:c>
    </x:row>
    <x:row r="1316">
      <x:c r="A1316" t="str">
        <x:v>Jammu And Kashmir</x:v>
      </x:c>
      <x:c r="B1316" t="str">
        <x:v>All India except Central University</x:v>
      </x:c>
      <x:c r="C1316" t="str">
        <x:v>200619</x:v>
      </x:c>
      <x:c r="D1316" t="str">
        <x:v>Government Medical College, Jammu, GOVERNMENT MEDICAL COLLEGE, BAKSHI NAGAR, JAMMU 180001</x:v>
      </x:c>
      <x:c r="E1316" t="str">
        <x:v>All India</x:v>
      </x:c>
      <x:c r="F1316" t="str">
        <x:v>Open</x:v>
      </x:c>
      <x:c r="G1316" t="n">
        <x:v>14</x:v>
      </x:c>
      <x:c r="H1316" t="n">
        <x:v>14</x:v>
      </x:c>
      <x:c r="I1316" t="n">
        <x:f>G1316-H1316</x:f>
        <x:v>0</x:v>
      </x:c>
      <x:c r="J1316" s="20" t="n">
        <x:f>IFERROR(H1316/G1316,0)</x:f>
        <x:v>1</x:v>
      </x:c>
      <x:c r="K1316" t="n">
        <x:v>4781</x:v>
      </x:c>
      <x:c r="L1316" t="n">
        <x:v>5828.75</x:v>
      </x:c>
      <x:c r="M1316" t="n">
        <x:v>6889.5</x:v>
      </x:c>
      <x:c r="N1316" t="n">
        <x:v>7161.75</x:v>
      </x:c>
      <x:c r="O1316" t="n">
        <x:v>7536</x:v>
      </x:c>
    </x:row>
    <x:row r="1317">
      <x:c r="A1317" t="str">
        <x:v>Jammu And Kashmir</x:v>
      </x:c>
      <x:c r="B1317" t="str">
        <x:v>All India except Central University</x:v>
      </x:c>
      <x:c r="C1317" t="str">
        <x:v>200619</x:v>
      </x:c>
      <x:c r="D1317" t="str">
        <x:v>Government Medical College, Jammu, GOVERNMENT MEDICAL COLLEGE, BAKSHI NAGAR, JAMMU 180001</x:v>
      </x:c>
      <x:c r="E1317" t="str">
        <x:v>All India</x:v>
      </x:c>
      <x:c r="F1317" t="str">
        <x:v>SC</x:v>
      </x:c>
      <x:c r="G1317" t="n">
        <x:v>6</x:v>
      </x:c>
      <x:c r="H1317" t="n">
        <x:v>6</x:v>
      </x:c>
      <x:c r="I1317" t="n">
        <x:f>G1317-H1317</x:f>
        <x:v>0</x:v>
      </x:c>
      <x:c r="J1317" s="20" t="n">
        <x:f>IFERROR(H1317/G1317,0)</x:f>
        <x:v>1</x:v>
      </x:c>
      <x:c r="K1317" t="n">
        <x:v>29959</x:v>
      </x:c>
      <x:c r="L1317" t="n">
        <x:v>33110.25</x:v>
      </x:c>
      <x:c r="M1317" t="n">
        <x:v>37726</x:v>
      </x:c>
      <x:c r="N1317" t="n">
        <x:v>42551</x:v>
      </x:c>
      <x:c r="O1317" t="n">
        <x:v>44165</x:v>
      </x:c>
    </x:row>
    <x:row r="1318">
      <x:c r="A1318" t="str">
        <x:v>Jammu And Kashmir</x:v>
      </x:c>
      <x:c r="B1318" t="str">
        <x:v>All India except Central University</x:v>
      </x:c>
      <x:c r="C1318" t="str">
        <x:v>200619</x:v>
      </x:c>
      <x:c r="D1318" t="str">
        <x:v>Government Medical College, Jammu, GOVERNMENT MEDICAL COLLEGE, BAKSHI NAGAR, JAMMU 180001</x:v>
      </x:c>
      <x:c r="E1318" t="str">
        <x:v>All India</x:v>
      </x:c>
      <x:c r="F1318" t="str">
        <x:v>ST</x:v>
      </x:c>
      <x:c r="G1318" t="n">
        <x:v>3</x:v>
      </x:c>
      <x:c r="H1318" t="n">
        <x:v>3</x:v>
      </x:c>
      <x:c r="I1318" t="n">
        <x:f>G1318-H1318</x:f>
        <x:v>0</x:v>
      </x:c>
      <x:c r="J1318" s="20" t="n">
        <x:f>IFERROR(H1318/G1318,0)</x:f>
        <x:v>1</x:v>
      </x:c>
      <x:c r="K1318" t="n">
        <x:v>42118</x:v>
      </x:c>
      <x:c r="L1318" t="n">
        <x:v>42882</x:v>
      </x:c>
      <x:c r="M1318" t="n">
        <x:v>43646</x:v>
      </x:c>
      <x:c r="N1318" t="n">
        <x:v>44264</x:v>
      </x:c>
      <x:c r="O1318" t="n">
        <x:v>44882</x:v>
      </x:c>
    </x:row>
    <x:row r="1319">
      <x:c r="A1319" t="str">
        <x:v>Telangana</x:v>
      </x:c>
      <x:c r="B1319" t="str">
        <x:v>All India except Central University</x:v>
      </x:c>
      <x:c r="C1319" t="str">
        <x:v>200659</x:v>
      </x:c>
      <x:c r="D1319" t="str">
        <x:v>Government Medical College, Jayashankar Bhupalpally, Manzoor Nagar Road, Besides thousand quarters, Jayashankar, Bhupalpally</x:v>
      </x:c>
      <x:c r="E1319" t="str">
        <x:v>All India</x:v>
      </x:c>
      <x:c r="F1319" t="str">
        <x:v>EWS</x:v>
      </x:c>
      <x:c r="G1319" t="n">
        <x:v>2</x:v>
      </x:c>
      <x:c r="H1319" t="n">
        <x:v>2</x:v>
      </x:c>
      <x:c r="I1319" t="n">
        <x:f>G1319-H1319</x:f>
        <x:v>0</x:v>
      </x:c>
      <x:c r="J1319" s="20" t="n">
        <x:f>IFERROR(H1319/G1319,0)</x:f>
        <x:v>1</x:v>
      </x:c>
      <x:c r="K1319" t="n">
        <x:v>26512</x:v>
      </x:c>
      <x:c r="L1319" t="n">
        <x:v>26590</x:v>
      </x:c>
      <x:c r="M1319" t="n">
        <x:v>26668</x:v>
      </x:c>
      <x:c r="N1319" t="n">
        <x:v>26746</x:v>
      </x:c>
      <x:c r="O1319" t="n">
        <x:v>26824</x:v>
      </x:c>
    </x:row>
    <x:row r="1320">
      <x:c r="A1320" t="str">
        <x:v>Telangana</x:v>
      </x:c>
      <x:c r="B1320" t="str">
        <x:v>All India except Central University</x:v>
      </x:c>
      <x:c r="C1320" t="str">
        <x:v>200659</x:v>
      </x:c>
      <x:c r="D1320" t="str">
        <x:v>Government Medical College, Jayashankar Bhupalpally, Manzoor Nagar Road, Besides thousand quarters, Jayashankar, Bhupalpally</x:v>
      </x:c>
      <x:c r="E1320" t="str">
        <x:v>All India</x:v>
      </x:c>
      <x:c r="F1320" t="str">
        <x:v>OBC</x:v>
      </x:c>
      <x:c r="G1320" t="n">
        <x:v>4</x:v>
      </x:c>
      <x:c r="H1320" t="n">
        <x:v>4</x:v>
      </x:c>
      <x:c r="I1320" t="n">
        <x:f>G1320-H1320</x:f>
        <x:v>0</x:v>
      </x:c>
      <x:c r="J1320" s="20" t="n">
        <x:f>IFERROR(H1320/G1320,0)</x:f>
        <x:v>1</x:v>
      </x:c>
      <x:c r="K1320" t="n">
        <x:v>22735</x:v>
      </x:c>
      <x:c r="L1320" t="n">
        <x:v>22760.5</x:v>
      </x:c>
      <x:c r="M1320" t="n">
        <x:v>22772.5</x:v>
      </x:c>
      <x:c r="N1320" t="n">
        <x:v>22787.5</x:v>
      </x:c>
      <x:c r="O1320" t="n">
        <x:v>22822</x:v>
      </x:c>
    </x:row>
    <x:row r="1321">
      <x:c r="A1321" t="str">
        <x:v>Telangana</x:v>
      </x:c>
      <x:c r="B1321" t="str">
        <x:v>All India except Central University</x:v>
      </x:c>
      <x:c r="C1321" t="str">
        <x:v>200659</x:v>
      </x:c>
      <x:c r="D1321" t="str">
        <x:v>Government Medical College, Jayashankar Bhupalpally, Manzoor Nagar Road, Besides thousand quarters, Jayashankar, Bhupalpally</x:v>
      </x:c>
      <x:c r="E1321" t="str">
        <x:v>All India</x:v>
      </x:c>
      <x:c r="F1321" t="str">
        <x:v>Open</x:v>
      </x:c>
      <x:c r="G1321" t="n">
        <x:v>6</x:v>
      </x:c>
      <x:c r="H1321" t="n">
        <x:v>6</x:v>
      </x:c>
      <x:c r="I1321" t="n">
        <x:f>G1321-H1321</x:f>
        <x:v>0</x:v>
      </x:c>
      <x:c r="J1321" s="20" t="n">
        <x:f>IFERROR(H1321/G1321,0)</x:f>
        <x:v>1</x:v>
      </x:c>
      <x:c r="K1321" t="n">
        <x:v>20599</x:v>
      </x:c>
      <x:c r="L1321" t="n">
        <x:v>21939.5</x:v>
      </x:c>
      <x:c r="M1321" t="n">
        <x:v>22208</x:v>
      </x:c>
      <x:c r="N1321" t="n">
        <x:v>22267.25</x:v>
      </x:c>
      <x:c r="O1321" t="n">
        <x:v>22293</x:v>
      </x:c>
    </x:row>
    <x:row r="1322">
      <x:c r="A1322" t="str">
        <x:v>Telangana</x:v>
      </x:c>
      <x:c r="B1322" t="str">
        <x:v>All India except Central University</x:v>
      </x:c>
      <x:c r="C1322" t="str">
        <x:v>200659</x:v>
      </x:c>
      <x:c r="D1322" t="str">
        <x:v>Government Medical College, Jayashankar Bhupalpally, Manzoor Nagar Road, Besides thousand quarters, Jayashankar, Bhupalpally</x:v>
      </x:c>
      <x:c r="E1322" t="str">
        <x:v>All India</x:v>
      </x:c>
      <x:c r="F1322" t="str">
        <x:v>SC</x:v>
      </x:c>
      <x:c r="G1322" t="n">
        <x:v>2</x:v>
      </x:c>
      <x:c r="H1322" t="n">
        <x:v>2</x:v>
      </x:c>
      <x:c r="I1322" t="n">
        <x:f>G1322-H1322</x:f>
        <x:v>0</x:v>
      </x:c>
      <x:c r="J1322" s="20" t="n">
        <x:f>IFERROR(H1322/G1322,0)</x:f>
        <x:v>1</x:v>
      </x:c>
      <x:c r="K1322" t="n">
        <x:v>101890</x:v>
      </x:c>
      <x:c r="L1322" t="n">
        <x:v>102065.75</x:v>
      </x:c>
      <x:c r="M1322" t="n">
        <x:v>102241.5</x:v>
      </x:c>
      <x:c r="N1322" t="n">
        <x:v>102417.25</x:v>
      </x:c>
      <x:c r="O1322" t="n">
        <x:v>102593</x:v>
      </x:c>
    </x:row>
    <x:row r="1323">
      <x:c r="A1323" t="str">
        <x:v>Telangana</x:v>
      </x:c>
      <x:c r="B1323" t="str">
        <x:v>All India except Central University</x:v>
      </x:c>
      <x:c r="C1323" t="str">
        <x:v>200659</x:v>
      </x:c>
      <x:c r="D1323" t="str">
        <x:v>Government Medical College, Jayashankar Bhupalpally, Manzoor Nagar Road, Besides thousand quarters, Jayashankar, Bhupalpally</x:v>
      </x:c>
      <x:c r="E1323" t="str">
        <x:v>All India</x:v>
      </x:c>
      <x:c r="F1323" t="str">
        <x:v>ST</x:v>
      </x:c>
      <x:c r="G1323" t="n">
        <x:v>1</x:v>
      </x:c>
      <x:c r="H1323" t="n">
        <x:v>1</x:v>
      </x:c>
      <x:c r="I1323" t="n">
        <x:f>G1323-H1323</x:f>
        <x:v>0</x:v>
      </x:c>
      <x:c r="J1323" s="20" t="n">
        <x:f>IFERROR(H1323/G1323,0)</x:f>
        <x:v>1</x:v>
      </x:c>
      <x:c r="K1323" t="n">
        <x:v>127127</x:v>
      </x:c>
      <x:c r="L1323" t="n">
        <x:v>127127</x:v>
      </x:c>
      <x:c r="M1323" t="n">
        <x:v>127127</x:v>
      </x:c>
      <x:c r="N1323" t="n">
        <x:v>127127</x:v>
      </x:c>
      <x:c r="O1323" t="n">
        <x:v>127127</x:v>
      </x:c>
    </x:row>
    <x:row r="1324">
      <x:c r="A1324" t="str">
        <x:v>Rajasthan</x:v>
      </x:c>
      <x:c r="B1324" t="str">
        <x:v>All India except Central University</x:v>
      </x:c>
      <x:c r="C1324" t="str">
        <x:v>902820</x:v>
      </x:c>
      <x:c r="D1324" t="str">
        <x:v>Government Medical College, Jhunjhunu, jjnmedicalcollege@gmail.com</x:v>
      </x:c>
      <x:c r="E1324" t="str">
        <x:v>All India</x:v>
      </x:c>
      <x:c r="F1324" t="str">
        <x:v>EWS</x:v>
      </x:c>
      <x:c r="G1324" t="n">
        <x:v>2</x:v>
      </x:c>
      <x:c r="H1324" t="n">
        <x:v>2</x:v>
      </x:c>
      <x:c r="I1324" t="n">
        <x:f>G1324-H1324</x:f>
        <x:v>0</x:v>
      </x:c>
      <x:c r="J1324" s="20" t="n">
        <x:f>IFERROR(H1324/G1324,0)</x:f>
        <x:v>1</x:v>
      </x:c>
      <x:c r="K1324" t="n">
        <x:v>12776</x:v>
      </x:c>
      <x:c r="L1324" t="n">
        <x:v>12785</x:v>
      </x:c>
      <x:c r="M1324" t="n">
        <x:v>12794</x:v>
      </x:c>
      <x:c r="N1324" t="n">
        <x:v>12803</x:v>
      </x:c>
      <x:c r="O1324" t="n">
        <x:v>12812</x:v>
      </x:c>
    </x:row>
    <x:row r="1325">
      <x:c r="A1325" t="str">
        <x:v>Rajasthan</x:v>
      </x:c>
      <x:c r="B1325" t="str">
        <x:v>All India except Central University</x:v>
      </x:c>
      <x:c r="C1325" t="str">
        <x:v>902820</x:v>
      </x:c>
      <x:c r="D1325" t="str">
        <x:v>Government Medical College, Jhunjhunu, jjnmedicalcollege@gmail.com</x:v>
      </x:c>
      <x:c r="E1325" t="str">
        <x:v>All India</x:v>
      </x:c>
      <x:c r="F1325" t="str">
        <x:v>OBC</x:v>
      </x:c>
      <x:c r="G1325" t="n">
        <x:v>3</x:v>
      </x:c>
      <x:c r="H1325" t="n">
        <x:v>3</x:v>
      </x:c>
      <x:c r="I1325" t="n">
        <x:f>G1325-H1325</x:f>
        <x:v>0</x:v>
      </x:c>
      <x:c r="J1325" s="20" t="n">
        <x:f>IFERROR(H1325/G1325,0)</x:f>
        <x:v>1</x:v>
      </x:c>
      <x:c r="K1325" t="n">
        <x:v>11077</x:v>
      </x:c>
      <x:c r="L1325" t="n">
        <x:v>11113.5</x:v>
      </x:c>
      <x:c r="M1325" t="n">
        <x:v>11150</x:v>
      </x:c>
      <x:c r="N1325" t="n">
        <x:v>11365</x:v>
      </x:c>
      <x:c r="O1325" t="n">
        <x:v>11580</x:v>
      </x:c>
    </x:row>
    <x:row r="1326">
      <x:c r="A1326" t="str">
        <x:v>Rajasthan</x:v>
      </x:c>
      <x:c r="B1326" t="str">
        <x:v>All India except Central University</x:v>
      </x:c>
      <x:c r="C1326" t="str">
        <x:v>902820</x:v>
      </x:c>
      <x:c r="D1326" t="str">
        <x:v>Government Medical College, Jhunjhunu, jjnmedicalcollege@gmail.com</x:v>
      </x:c>
      <x:c r="E1326" t="str">
        <x:v>All India</x:v>
      </x:c>
      <x:c r="F1326" t="str">
        <x:v>OBC PwD</x:v>
      </x:c>
      <x:c r="G1326" t="n">
        <x:v>1</x:v>
      </x:c>
      <x:c r="H1326" t="n">
        <x:v>1</x:v>
      </x:c>
      <x:c r="I1326" t="n">
        <x:f>G1326-H1326</x:f>
        <x:v>0</x:v>
      </x:c>
      <x:c r="J1326" s="20" t="n">
        <x:f>IFERROR(H1326/G1326,0)</x:f>
        <x:v>1</x:v>
      </x:c>
      <x:c r="K1326" t="n">
        <x:v>627082</x:v>
      </x:c>
      <x:c r="L1326" t="n">
        <x:v>627082</x:v>
      </x:c>
      <x:c r="M1326" t="n">
        <x:v>627082</x:v>
      </x:c>
      <x:c r="N1326" t="n">
        <x:v>627082</x:v>
      </x:c>
      <x:c r="O1326" t="n">
        <x:v>627082</x:v>
      </x:c>
    </x:row>
    <x:row r="1327">
      <x:c r="A1327" t="str">
        <x:v>Rajasthan</x:v>
      </x:c>
      <x:c r="B1327" t="str">
        <x:v>All India except Central University</x:v>
      </x:c>
      <x:c r="C1327" t="str">
        <x:v>902820</x:v>
      </x:c>
      <x:c r="D1327" t="str">
        <x:v>Government Medical College, Jhunjhunu, jjnmedicalcollege@gmail.com</x:v>
      </x:c>
      <x:c r="E1327" t="str">
        <x:v>All India</x:v>
      </x:c>
      <x:c r="F1327" t="str">
        <x:v>Open</x:v>
      </x:c>
      <x:c r="G1327" t="n">
        <x:v>6</x:v>
      </x:c>
      <x:c r="H1327" t="n">
        <x:v>6</x:v>
      </x:c>
      <x:c r="I1327" t="n">
        <x:f>G1327-H1327</x:f>
        <x:v>0</x:v>
      </x:c>
      <x:c r="J1327" s="20" t="n">
        <x:f>IFERROR(H1327/G1327,0)</x:f>
        <x:v>1</x:v>
      </x:c>
      <x:c r="K1327" t="n">
        <x:v>9182</x:v>
      </x:c>
      <x:c r="L1327" t="n">
        <x:v>9549</x:v>
      </x:c>
      <x:c r="M1327" t="n">
        <x:v>9875.5</x:v>
      </x:c>
      <x:c r="N1327" t="n">
        <x:v>10251.5</x:v>
      </x:c>
      <x:c r="O1327" t="n">
        <x:v>10315</x:v>
      </x:c>
    </x:row>
    <x:row r="1328">
      <x:c r="A1328" t="str">
        <x:v>Rajasthan</x:v>
      </x:c>
      <x:c r="B1328" t="str">
        <x:v>All India except Central University</x:v>
      </x:c>
      <x:c r="C1328" t="str">
        <x:v>902820</x:v>
      </x:c>
      <x:c r="D1328" t="str">
        <x:v>Government Medical College, Jhunjhunu, jjnmedicalcollege@gmail.com</x:v>
      </x:c>
      <x:c r="E1328" t="str">
        <x:v>All India</x:v>
      </x:c>
      <x:c r="F1328" t="str">
        <x:v>SC</x:v>
      </x:c>
      <x:c r="G1328" t="n">
        <x:v>2</x:v>
      </x:c>
      <x:c r="H1328" t="n">
        <x:v>2</x:v>
      </x:c>
      <x:c r="I1328" t="n">
        <x:f>G1328-H1328</x:f>
        <x:v>0</x:v>
      </x:c>
      <x:c r="J1328" s="20" t="n">
        <x:f>IFERROR(H1328/G1328,0)</x:f>
        <x:v>1</x:v>
      </x:c>
      <x:c r="K1328" t="n">
        <x:v>46576</x:v>
      </x:c>
      <x:c r="L1328" t="n">
        <x:v>49155.75</x:v>
      </x:c>
      <x:c r="M1328" t="n">
        <x:v>51735.5</x:v>
      </x:c>
      <x:c r="N1328" t="n">
        <x:v>54315.25</x:v>
      </x:c>
      <x:c r="O1328" t="n">
        <x:v>56895</x:v>
      </x:c>
    </x:row>
    <x:row r="1329">
      <x:c r="A1329" t="str">
        <x:v>Rajasthan</x:v>
      </x:c>
      <x:c r="B1329" t="str">
        <x:v>All India except Central University</x:v>
      </x:c>
      <x:c r="C1329" t="str">
        <x:v>902820</x:v>
      </x:c>
      <x:c r="D1329" t="str">
        <x:v>Government Medical College, Jhunjhunu, jjnmedicalcollege@gmail.com</x:v>
      </x:c>
      <x:c r="E1329" t="str">
        <x:v>All India</x:v>
      </x:c>
      <x:c r="F1329" t="str">
        <x:v>ST</x:v>
      </x:c>
      <x:c r="G1329" t="n">
        <x:v>1</x:v>
      </x:c>
      <x:c r="H1329" t="n">
        <x:v>1</x:v>
      </x:c>
      <x:c r="I1329" t="n">
        <x:f>G1329-H1329</x:f>
        <x:v>0</x:v>
      </x:c>
      <x:c r="J1329" s="20" t="n">
        <x:f>IFERROR(H1329/G1329,0)</x:f>
        <x:v>1</x:v>
      </x:c>
      <x:c r="K1329" t="n">
        <x:v>46624</x:v>
      </x:c>
      <x:c r="L1329" t="n">
        <x:v>46624</x:v>
      </x:c>
      <x:c r="M1329" t="n">
        <x:v>46624</x:v>
      </x:c>
      <x:c r="N1329" t="n">
        <x:v>46624</x:v>
      </x:c>
      <x:c r="O1329" t="n">
        <x:v>46624</x:v>
      </x:c>
    </x:row>
    <x:row r="1330">
      <x:c r="A1330" t="str">
        <x:v>Telangana</x:v>
      </x:c>
      <x:c r="B1330" t="str">
        <x:v>All India except Central University</x:v>
      </x:c>
      <x:c r="C1330" t="str">
        <x:v>902818</x:v>
      </x:c>
      <x:c r="D1330" t="str">
        <x:v>Government Medical College, Jogulumba Gadwal, GMC Jogulamba Gadwal, Near Doulath peer Dargah, Doudharpally, Ring Road, Sangala Cheruvu, Gadwal Tow</x:v>
      </x:c>
      <x:c r="E1330" t="str">
        <x:v>All India</x:v>
      </x:c>
      <x:c r="F1330" t="str">
        <x:v>EWS PwD</x:v>
      </x:c>
      <x:c r="G1330" t="n">
        <x:v>1</x:v>
      </x:c>
      <x:c r="H1330" t="n">
        <x:v>1</x:v>
      </x:c>
      <x:c r="I1330" t="n">
        <x:f>G1330-H1330</x:f>
        <x:v>0</x:v>
      </x:c>
      <x:c r="J1330" s="20" t="n">
        <x:f>IFERROR(H1330/G1330,0)</x:f>
        <x:v>1</x:v>
      </x:c>
      <x:c r="K1330" t="n">
        <x:v>947390</x:v>
      </x:c>
      <x:c r="L1330" t="n">
        <x:v>947390</x:v>
      </x:c>
      <x:c r="M1330" t="n">
        <x:v>947390</x:v>
      </x:c>
      <x:c r="N1330" t="n">
        <x:v>947390</x:v>
      </x:c>
      <x:c r="O1330" t="n">
        <x:v>947390</x:v>
      </x:c>
    </x:row>
    <x:row r="1331">
      <x:c r="A1331" t="str">
        <x:v>Telangana</x:v>
      </x:c>
      <x:c r="B1331" t="str">
        <x:v>All India except Central University</x:v>
      </x:c>
      <x:c r="C1331" t="str">
        <x:v>902818</x:v>
      </x:c>
      <x:c r="D1331" t="str">
        <x:v>Government Medical College, Jogulumba Gadwal, GMC Jogulamba Gadwal, Near Doulath peer Dargah, Doudharpally, Ring Road, Sangala Cheruvu, Gadwal Tow</x:v>
      </x:c>
      <x:c r="E1331" t="str">
        <x:v>All India</x:v>
      </x:c>
      <x:c r="F1331" t="str">
        <x:v>OBC</x:v>
      </x:c>
      <x:c r="G1331" t="n">
        <x:v>2</x:v>
      </x:c>
      <x:c r="H1331" t="n">
        <x:v>2</x:v>
      </x:c>
      <x:c r="I1331" t="n">
        <x:f>G1331-H1331</x:f>
        <x:v>0</x:v>
      </x:c>
      <x:c r="J1331" s="20" t="n">
        <x:f>IFERROR(H1331/G1331,0)</x:f>
        <x:v>1</x:v>
      </x:c>
      <x:c r="K1331" t="n">
        <x:v>20503</x:v>
      </x:c>
      <x:c r="L1331" t="n">
        <x:v>20607.5</x:v>
      </x:c>
      <x:c r="M1331" t="n">
        <x:v>20712</x:v>
      </x:c>
      <x:c r="N1331" t="n">
        <x:v>20816.5</x:v>
      </x:c>
      <x:c r="O1331" t="n">
        <x:v>20921</x:v>
      </x:c>
    </x:row>
    <x:row r="1332">
      <x:c r="A1332" t="str">
        <x:v>Telangana</x:v>
      </x:c>
      <x:c r="B1332" t="str">
        <x:v>All India except Central University</x:v>
      </x:c>
      <x:c r="C1332" t="str">
        <x:v>902818</x:v>
      </x:c>
      <x:c r="D1332" t="str">
        <x:v>Government Medical College, Jogulumba Gadwal, GMC Jogulamba Gadwal, Near Doulath peer Dargah, Doudharpally, Ring Road, Sangala Cheruvu, Gadwal Tow</x:v>
      </x:c>
      <x:c r="E1332" t="str">
        <x:v>All India</x:v>
      </x:c>
      <x:c r="F1332" t="str">
        <x:v>Open</x:v>
      </x:c>
      <x:c r="G1332" t="n">
        <x:v>2</x:v>
      </x:c>
      <x:c r="H1332" t="n">
        <x:v>2</x:v>
      </x:c>
      <x:c r="I1332" t="n">
        <x:f>G1332-H1332</x:f>
        <x:v>0</x:v>
      </x:c>
      <x:c r="J1332" s="20" t="n">
        <x:f>IFERROR(H1332/G1332,0)</x:f>
        <x:v>1</x:v>
      </x:c>
      <x:c r="K1332" t="n">
        <x:v>19134</x:v>
      </x:c>
      <x:c r="L1332" t="n">
        <x:v>19201.75</x:v>
      </x:c>
      <x:c r="M1332" t="n">
        <x:v>19269.5</x:v>
      </x:c>
      <x:c r="N1332" t="n">
        <x:v>19337.25</x:v>
      </x:c>
      <x:c r="O1332" t="n">
        <x:v>19405</x:v>
      </x:c>
    </x:row>
    <x:row r="1333">
      <x:c r="A1333" t="str">
        <x:v>Telangana</x:v>
      </x:c>
      <x:c r="B1333" t="str">
        <x:v>All India except Central University</x:v>
      </x:c>
      <x:c r="C1333" t="str">
        <x:v>902818</x:v>
      </x:c>
      <x:c r="D1333" t="str">
        <x:v>Government Medical College, Jogulumba Gadwal, GMC Jogulamba Gadwal, Near Doulath peer Dargah, Doudharpally, Ring Road, Sangala Cheruvu, Gadwal Tow</x:v>
      </x:c>
      <x:c r="E1333" t="str">
        <x:v>All India</x:v>
      </x:c>
      <x:c r="F1333" t="str">
        <x:v>SC</x:v>
      </x:c>
      <x:c r="G1333" t="n">
        <x:v>2</x:v>
      </x:c>
      <x:c r="H1333" t="n">
        <x:v>2</x:v>
      </x:c>
      <x:c r="I1333" t="n">
        <x:f>G1333-H1333</x:f>
        <x:v>0</x:v>
      </x:c>
      <x:c r="J1333" s="20" t="n">
        <x:f>IFERROR(H1333/G1333,0)</x:f>
        <x:v>1</x:v>
      </x:c>
      <x:c r="K1333" t="n">
        <x:v>102089</x:v>
      </x:c>
      <x:c r="L1333" t="n">
        <x:v>102236</x:v>
      </x:c>
      <x:c r="M1333" t="n">
        <x:v>102383</x:v>
      </x:c>
      <x:c r="N1333" t="n">
        <x:v>102530</x:v>
      </x:c>
      <x:c r="O1333" t="n">
        <x:v>102677</x:v>
      </x:c>
    </x:row>
    <x:row r="1334">
      <x:c r="A1334" t="str">
        <x:v>Andhra Pradesh</x:v>
      </x:c>
      <x:c r="B1334" t="str">
        <x:v>All India except Central University</x:v>
      </x:c>
      <x:c r="C1334" t="str">
        <x:v>200441</x:v>
      </x:c>
      <x:c r="D1334" t="str">
        <x:v>Government Medical College, Kadapa ( previously Rajiv Gandhi Institute of Medical Sciences, Kadapa), GOVERNMENT MEDICAL COLLEGE RIMS PUTLAMPALLI, YSR KADAPA DIST. G.M.C.,KADAPA.,A.P</x:v>
      </x:c>
      <x:c r="E1334" t="str">
        <x:v>All India</x:v>
      </x:c>
      <x:c r="F1334" t="str">
        <x:v>EWS</x:v>
      </x:c>
      <x:c r="G1334" t="n">
        <x:v>4</x:v>
      </x:c>
      <x:c r="H1334" t="n">
        <x:v>4</x:v>
      </x:c>
      <x:c r="I1334" t="n">
        <x:f>G1334-H1334</x:f>
        <x:v>0</x:v>
      </x:c>
      <x:c r="J1334" s="20" t="n">
        <x:f>IFERROR(H1334/G1334,0)</x:f>
        <x:v>1</x:v>
      </x:c>
      <x:c r="K1334" t="n">
        <x:v>20004</x:v>
      </x:c>
      <x:c r="L1334" t="n">
        <x:v>21062.25</x:v>
      </x:c>
      <x:c r="M1334" t="n">
        <x:v>21861</x:v>
      </x:c>
      <x:c r="N1334" t="n">
        <x:v>22481.75</x:v>
      </x:c>
      <x:c r="O1334" t="n">
        <x:v>23006</x:v>
      </x:c>
    </x:row>
    <x:row r="1335">
      <x:c r="A1335" t="str">
        <x:v>Andhra Pradesh</x:v>
      </x:c>
      <x:c r="B1335" t="str">
        <x:v>All India except Central University</x:v>
      </x:c>
      <x:c r="C1335" t="str">
        <x:v>200441</x:v>
      </x:c>
      <x:c r="D1335" t="str">
        <x:v>Government Medical College, Kadapa ( previously Rajiv Gandhi Institute of Medical Sciences, Kadapa), GOVERNMENT MEDICAL COLLEGE RIMS PUTLAMPALLI, YSR KADAPA DIST. G.M.C.,KADAPA.,A.P</x:v>
      </x:c>
      <x:c r="E1335" t="str">
        <x:v>All India</x:v>
      </x:c>
      <x:c r="F1335" t="str">
        <x:v>OBC</x:v>
      </x:c>
      <x:c r="G1335" t="n">
        <x:v>9</x:v>
      </x:c>
      <x:c r="H1335" t="n">
        <x:v>9</x:v>
      </x:c>
      <x:c r="I1335" t="n">
        <x:f>G1335-H1335</x:f>
        <x:v>0</x:v>
      </x:c>
      <x:c r="J1335" s="20" t="n">
        <x:f>IFERROR(H1335/G1335,0)</x:f>
        <x:v>1</x:v>
      </x:c>
      <x:c r="K1335" t="n">
        <x:v>17068</x:v>
      </x:c>
      <x:c r="L1335" t="n">
        <x:v>17169</x:v>
      </x:c>
      <x:c r="M1335" t="n">
        <x:v>17301</x:v>
      </x:c>
      <x:c r="N1335" t="n">
        <x:v>17595</x:v>
      </x:c>
      <x:c r="O1335" t="n">
        <x:v>17801</x:v>
      </x:c>
    </x:row>
    <x:row r="1336">
      <x:c r="A1336" t="str">
        <x:v>Andhra Pradesh</x:v>
      </x:c>
      <x:c r="B1336" t="str">
        <x:v>All India except Central University</x:v>
      </x:c>
      <x:c r="C1336" t="str">
        <x:v>200441</x:v>
      </x:c>
      <x:c r="D1336" t="str">
        <x:v>Government Medical College, Kadapa ( previously Rajiv Gandhi Institute of Medical Sciences, Kadapa), GOVERNMENT MEDICAL COLLEGE RIMS PUTLAMPALLI, YSR KADAPA DIST. G.M.C.,KADAPA.,A.P</x:v>
      </x:c>
      <x:c r="E1336" t="str">
        <x:v>All India</x:v>
      </x:c>
      <x:c r="F1336" t="str">
        <x:v>OBC PwD</x:v>
      </x:c>
      <x:c r="G1336" t="n">
        <x:v>1</x:v>
      </x:c>
      <x:c r="H1336" t="n">
        <x:v>1</x:v>
      </x:c>
      <x:c r="I1336" t="n">
        <x:f>G1336-H1336</x:f>
        <x:v>0</x:v>
      </x:c>
      <x:c r="J1336" s="20" t="n">
        <x:f>IFERROR(H1336/G1336,0)</x:f>
        <x:v>1</x:v>
      </x:c>
      <x:c r="K1336" t="n">
        <x:v>778004</x:v>
      </x:c>
      <x:c r="L1336" t="n">
        <x:v>778004</x:v>
      </x:c>
      <x:c r="M1336" t="n">
        <x:v>778004</x:v>
      </x:c>
      <x:c r="N1336" t="n">
        <x:v>778004</x:v>
      </x:c>
      <x:c r="O1336" t="n">
        <x:v>778004</x:v>
      </x:c>
    </x:row>
    <x:row r="1337">
      <x:c r="A1337" t="str">
        <x:v>Andhra Pradesh</x:v>
      </x:c>
      <x:c r="B1337" t="str">
        <x:v>All India except Central University</x:v>
      </x:c>
      <x:c r="C1337" t="str">
        <x:v>200441</x:v>
      </x:c>
      <x:c r="D1337" t="str">
        <x:v>Government Medical College, Kadapa ( previously Rajiv Gandhi Institute of Medical Sciences, Kadapa), GOVERNMENT MEDICAL COLLEGE RIMS PUTLAMPALLI, YSR KADAPA DIST. G.M.C.,KADAPA.,A.P</x:v>
      </x:c>
      <x:c r="E1337" t="str">
        <x:v>All India</x:v>
      </x:c>
      <x:c r="F1337" t="str">
        <x:v>Open</x:v>
      </x:c>
      <x:c r="G1337" t="n">
        <x:v>14</x:v>
      </x:c>
      <x:c r="H1337" t="n">
        <x:v>14</x:v>
      </x:c>
      <x:c r="I1337" t="n">
        <x:f>G1337-H1337</x:f>
        <x:v>0</x:v>
      </x:c>
      <x:c r="J1337" s="20" t="n">
        <x:f>IFERROR(H1337/G1337,0)</x:f>
        <x:v>1</x:v>
      </x:c>
      <x:c r="K1337" t="n">
        <x:v>11164</x:v>
      </x:c>
      <x:c r="L1337" t="n">
        <x:v>13653.25</x:v>
      </x:c>
      <x:c r="M1337" t="n">
        <x:v>15398</x:v>
      </x:c>
      <x:c r="N1337" t="n">
        <x:v>16389.25</x:v>
      </x:c>
      <x:c r="O1337" t="n">
        <x:v>17064</x:v>
      </x:c>
    </x:row>
    <x:row r="1338">
      <x:c r="A1338" t="str">
        <x:v>Andhra Pradesh</x:v>
      </x:c>
      <x:c r="B1338" t="str">
        <x:v>All India except Central University</x:v>
      </x:c>
      <x:c r="C1338" t="str">
        <x:v>200441</x:v>
      </x:c>
      <x:c r="D1338" t="str">
        <x:v>Government Medical College, Kadapa ( previously Rajiv Gandhi Institute of Medical Sciences, Kadapa), GOVERNMENT MEDICAL COLLEGE RIMS PUTLAMPALLI, YSR KADAPA DIST. G.M.C.,KADAPA.,A.P</x:v>
      </x:c>
      <x:c r="E1338" t="str">
        <x:v>All India</x:v>
      </x:c>
      <x:c r="F1338" t="str">
        <x:v>SC</x:v>
      </x:c>
      <x:c r="G1338" t="n">
        <x:v>6</x:v>
      </x:c>
      <x:c r="H1338" t="n">
        <x:v>6</x:v>
      </x:c>
      <x:c r="I1338" t="n">
        <x:f>G1338-H1338</x:f>
        <x:v>0</x:v>
      </x:c>
      <x:c r="J1338" s="20" t="n">
        <x:f>IFERROR(H1338/G1338,0)</x:f>
        <x:v>1</x:v>
      </x:c>
      <x:c r="K1338" t="n">
        <x:v>31829</x:v>
      </x:c>
      <x:c r="L1338" t="n">
        <x:v>64777</x:v>
      </x:c>
      <x:c r="M1338" t="n">
        <x:v>79175</x:v>
      </x:c>
      <x:c r="N1338" t="n">
        <x:v>80300.25</x:v>
      </x:c>
      <x:c r="O1338" t="n">
        <x:v>81826</x:v>
      </x:c>
    </x:row>
    <x:row r="1339">
      <x:c r="A1339" t="str">
        <x:v>Andhra Pradesh</x:v>
      </x:c>
      <x:c r="B1339" t="str">
        <x:v>All India except Central University</x:v>
      </x:c>
      <x:c r="C1339" t="str">
        <x:v>200441</x:v>
      </x:c>
      <x:c r="D1339" t="str">
        <x:v>Government Medical College, Kadapa ( previously Rajiv Gandhi Institute of Medical Sciences, Kadapa), GOVERNMENT MEDICAL COLLEGE RIMS PUTLAMPALLI, YSR KADAPA DIST. G.M.C.,KADAPA.,A.P</x:v>
      </x:c>
      <x:c r="E1339" t="str">
        <x:v>All India</x:v>
      </x:c>
      <x:c r="F1339" t="str">
        <x:v>ST</x:v>
      </x:c>
      <x:c r="G1339" t="n">
        <x:v>3</x:v>
      </x:c>
      <x:c r="H1339" t="n">
        <x:v>3</x:v>
      </x:c>
      <x:c r="I1339" t="n">
        <x:f>G1339-H1339</x:f>
        <x:v>0</x:v>
      </x:c>
      <x:c r="J1339" s="20" t="n">
        <x:f>IFERROR(H1339/G1339,0)</x:f>
        <x:v>1</x:v>
      </x:c>
      <x:c r="K1339" t="n">
        <x:v>96115</x:v>
      </x:c>
      <x:c r="L1339" t="n">
        <x:v>99538.5</x:v>
      </x:c>
      <x:c r="M1339" t="n">
        <x:v>102962</x:v>
      </x:c>
      <x:c r="N1339" t="n">
        <x:v>103678</x:v>
      </x:c>
      <x:c r="O1339" t="n">
        <x:v>104394</x:v>
      </x:c>
    </x:row>
    <x:row r="1340">
      <x:c r="A1340" t="str">
        <x:v>Tamil Nadu</x:v>
      </x:c>
      <x:c r="B1340" t="str">
        <x:v>All India except Central University</x:v>
      </x:c>
      <x:c r="C1340" t="str">
        <x:v>200558</x:v>
      </x:c>
      <x:c r="D1340" t="str">
        <x:v>Government Medical College, Kallakurichi, S.NO 251, AGARAKOTTALAM ROAD, SIRUVANGUR, KALLAKURICHI</x:v>
      </x:c>
      <x:c r="E1340" t="str">
        <x:v>All India</x:v>
      </x:c>
      <x:c r="F1340" t="str">
        <x:v>EWS</x:v>
      </x:c>
      <x:c r="G1340" t="n">
        <x:v>1</x:v>
      </x:c>
      <x:c r="H1340" t="n">
        <x:v>1</x:v>
      </x:c>
      <x:c r="I1340" t="n">
        <x:f>G1340-H1340</x:f>
        <x:v>0</x:v>
      </x:c>
      <x:c r="J1340" s="20" t="n">
        <x:f>IFERROR(H1340/G1340,0)</x:f>
        <x:v>1</x:v>
      </x:c>
      <x:c r="K1340" t="n">
        <x:v>26488</x:v>
      </x:c>
      <x:c r="L1340" t="n">
        <x:v>26488</x:v>
      </x:c>
      <x:c r="M1340" t="n">
        <x:v>26488</x:v>
      </x:c>
      <x:c r="N1340" t="n">
        <x:v>26488</x:v>
      </x:c>
      <x:c r="O1340" t="n">
        <x:v>26488</x:v>
      </x:c>
    </x:row>
    <x:row r="1341">
      <x:c r="A1341" t="str">
        <x:v>Tamil Nadu</x:v>
      </x:c>
      <x:c r="B1341" t="str">
        <x:v>All India except Central University</x:v>
      </x:c>
      <x:c r="C1341" t="str">
        <x:v>200558</x:v>
      </x:c>
      <x:c r="D1341" t="str">
        <x:v>Government Medical College, Kallakurichi, S.NO 251, AGARAKOTTALAM ROAD, SIRUVANGUR, KALLAKURICHI</x:v>
      </x:c>
      <x:c r="E1341" t="str">
        <x:v>All India</x:v>
      </x:c>
      <x:c r="F1341" t="str">
        <x:v>EWS PwD</x:v>
      </x:c>
      <x:c r="G1341" t="n">
        <x:v>1</x:v>
      </x:c>
      <x:c r="H1341" t="n">
        <x:v>1</x:v>
      </x:c>
      <x:c r="I1341" t="n">
        <x:f>G1341-H1341</x:f>
        <x:v>0</x:v>
      </x:c>
      <x:c r="J1341" s="20" t="n">
        <x:f>IFERROR(H1341/G1341,0)</x:f>
        <x:v>1</x:v>
      </x:c>
      <x:c r="K1341" t="n">
        <x:v>966627</x:v>
      </x:c>
      <x:c r="L1341" t="n">
        <x:v>966627</x:v>
      </x:c>
      <x:c r="M1341" t="n">
        <x:v>966627</x:v>
      </x:c>
      <x:c r="N1341" t="n">
        <x:v>966627</x:v>
      </x:c>
      <x:c r="O1341" t="n">
        <x:v>966627</x:v>
      </x:c>
    </x:row>
    <x:row r="1342">
      <x:c r="A1342" t="str">
        <x:v>Tamil Nadu</x:v>
      </x:c>
      <x:c r="B1342" t="str">
        <x:v>All India except Central University</x:v>
      </x:c>
      <x:c r="C1342" t="str">
        <x:v>200558</x:v>
      </x:c>
      <x:c r="D1342" t="str">
        <x:v>Government Medical College, Kallakurichi, S.NO 251, AGARAKOTTALAM ROAD, SIRUVANGUR, KALLAKURICHI</x:v>
      </x:c>
      <x:c r="E1342" t="str">
        <x:v>All India</x:v>
      </x:c>
      <x:c r="F1342" t="str">
        <x:v>OBC</x:v>
      </x:c>
      <x:c r="G1342" t="n">
        <x:v>6</x:v>
      </x:c>
      <x:c r="H1342" t="n">
        <x:v>6</x:v>
      </x:c>
      <x:c r="I1342" t="n">
        <x:f>G1342-H1342</x:f>
        <x:v>0</x:v>
      </x:c>
      <x:c r="J1342" s="20" t="n">
        <x:f>IFERROR(H1342/G1342,0)</x:f>
        <x:v>1</x:v>
      </x:c>
      <x:c r="K1342" t="n">
        <x:v>14294</x:v>
      </x:c>
      <x:c r="L1342" t="n">
        <x:v>14367.25</x:v>
      </x:c>
      <x:c r="M1342" t="n">
        <x:v>14431.5</x:v>
      </x:c>
      <x:c r="N1342" t="n">
        <x:v>14542.25</x:v>
      </x:c>
      <x:c r="O1342" t="n">
        <x:v>14585</x:v>
      </x:c>
    </x:row>
    <x:row r="1343">
      <x:c r="A1343" t="str">
        <x:v>Tamil Nadu</x:v>
      </x:c>
      <x:c r="B1343" t="str">
        <x:v>All India except Central University</x:v>
      </x:c>
      <x:c r="C1343" t="str">
        <x:v>200558</x:v>
      </x:c>
      <x:c r="D1343" t="str">
        <x:v>Government Medical College, Kallakurichi, S.NO 251, AGARAKOTTALAM ROAD, SIRUVANGUR, KALLAKURICHI</x:v>
      </x:c>
      <x:c r="E1343" t="str">
        <x:v>All India</x:v>
      </x:c>
      <x:c r="F1343" t="str">
        <x:v>Open</x:v>
      </x:c>
      <x:c r="G1343" t="n">
        <x:v>8</x:v>
      </x:c>
      <x:c r="H1343" t="n">
        <x:v>8</x:v>
      </x:c>
      <x:c r="I1343" t="n">
        <x:f>G1343-H1343</x:f>
        <x:v>0</x:v>
      </x:c>
      <x:c r="J1343" s="20" t="n">
        <x:f>IFERROR(H1343/G1343,0)</x:f>
        <x:v>1</x:v>
      </x:c>
      <x:c r="K1343" t="n">
        <x:v>11880</x:v>
      </x:c>
      <x:c r="L1343" t="n">
        <x:v>12693.25</x:v>
      </x:c>
      <x:c r="M1343" t="n">
        <x:v>13667.5</x:v>
      </x:c>
      <x:c r="N1343" t="n">
        <x:v>14083.25</x:v>
      </x:c>
      <x:c r="O1343" t="n">
        <x:v>14244</x:v>
      </x:c>
    </x:row>
    <x:row r="1344">
      <x:c r="A1344" t="str">
        <x:v>Tamil Nadu</x:v>
      </x:c>
      <x:c r="B1344" t="str">
        <x:v>All India except Central University</x:v>
      </x:c>
      <x:c r="C1344" t="str">
        <x:v>200558</x:v>
      </x:c>
      <x:c r="D1344" t="str">
        <x:v>Government Medical College, Kallakurichi, S.NO 251, AGARAKOTTALAM ROAD, SIRUVANGUR, KALLAKURICHI</x:v>
      </x:c>
      <x:c r="E1344" t="str">
        <x:v>All India</x:v>
      </x:c>
      <x:c r="F1344" t="str">
        <x:v>Open PwD</x:v>
      </x:c>
      <x:c r="G1344" t="n">
        <x:v>1</x:v>
      </x:c>
      <x:c r="H1344" t="n">
        <x:v>1</x:v>
      </x:c>
      <x:c r="I1344" t="n">
        <x:f>G1344-H1344</x:f>
        <x:v>0</x:v>
      </x:c>
      <x:c r="J1344" s="20" t="n">
        <x:f>IFERROR(H1344/G1344,0)</x:f>
        <x:v>1</x:v>
      </x:c>
      <x:c r="K1344" t="n">
        <x:v>578725</x:v>
      </x:c>
      <x:c r="L1344" t="n">
        <x:v>578725</x:v>
      </x:c>
      <x:c r="M1344" t="n">
        <x:v>578725</x:v>
      </x:c>
      <x:c r="N1344" t="n">
        <x:v>578725</x:v>
      </x:c>
      <x:c r="O1344" t="n">
        <x:v>578725</x:v>
      </x:c>
    </x:row>
    <x:row r="1345">
      <x:c r="A1345" t="str">
        <x:v>Tamil Nadu</x:v>
      </x:c>
      <x:c r="B1345" t="str">
        <x:v>All India except Central University</x:v>
      </x:c>
      <x:c r="C1345" t="str">
        <x:v>200558</x:v>
      </x:c>
      <x:c r="D1345" t="str">
        <x:v>Government Medical College, Kallakurichi, S.NO 251, AGARAKOTTALAM ROAD, SIRUVANGUR, KALLAKURICHI</x:v>
      </x:c>
      <x:c r="E1345" t="str">
        <x:v>All India</x:v>
      </x:c>
      <x:c r="F1345" t="str">
        <x:v>SC</x:v>
      </x:c>
      <x:c r="G1345" t="n">
        <x:v>3</x:v>
      </x:c>
      <x:c r="H1345" t="n">
        <x:v>3</x:v>
      </x:c>
      <x:c r="I1345" t="n">
        <x:f>G1345-H1345</x:f>
        <x:v>0</x:v>
      </x:c>
      <x:c r="J1345" s="20" t="n">
        <x:f>IFERROR(H1345/G1345,0)</x:f>
        <x:v>1</x:v>
      </x:c>
      <x:c r="K1345" t="n">
        <x:v>54870</x:v>
      </x:c>
      <x:c r="L1345" t="n">
        <x:v>59430.5</x:v>
      </x:c>
      <x:c r="M1345" t="n">
        <x:v>63991</x:v>
      </x:c>
      <x:c r="N1345" t="n">
        <x:v>65254.5</x:v>
      </x:c>
      <x:c r="O1345" t="n">
        <x:v>66518</x:v>
      </x:c>
    </x:row>
    <x:row r="1346">
      <x:c r="A1346" t="str">
        <x:v>Tamil Nadu</x:v>
      </x:c>
      <x:c r="B1346" t="str">
        <x:v>All India except Central University</x:v>
      </x:c>
      <x:c r="C1346" t="str">
        <x:v>200558</x:v>
      </x:c>
      <x:c r="D1346" t="str">
        <x:v>Government Medical College, Kallakurichi, S.NO 251, AGARAKOTTALAM ROAD, SIRUVANGUR, KALLAKURICHI</x:v>
      </x:c>
      <x:c r="E1346" t="str">
        <x:v>All India</x:v>
      </x:c>
      <x:c r="F1346" t="str">
        <x:v>ST</x:v>
      </x:c>
      <x:c r="G1346" t="n">
        <x:v>2</x:v>
      </x:c>
      <x:c r="H1346" t="n">
        <x:v>2</x:v>
      </x:c>
      <x:c r="I1346" t="n">
        <x:f>G1346-H1346</x:f>
        <x:v>0</x:v>
      </x:c>
      <x:c r="J1346" s="20" t="n">
        <x:f>IFERROR(H1346/G1346,0)</x:f>
        <x:v>1</x:v>
      </x:c>
      <x:c r="K1346" t="n">
        <x:v>131976</x:v>
      </x:c>
      <x:c r="L1346" t="n">
        <x:v>132009.75</x:v>
      </x:c>
      <x:c r="M1346" t="n">
        <x:v>132043.5</x:v>
      </x:c>
      <x:c r="N1346" t="n">
        <x:v>132077.25</x:v>
      </x:c>
      <x:c r="O1346" t="n">
        <x:v>132111</x:v>
      </x:c>
    </x:row>
    <x:row r="1347">
      <x:c r="A1347" t="str">
        <x:v>Telangana</x:v>
      </x:c>
      <x:c r="B1347" t="str">
        <x:v>All India except Central University</x:v>
      </x:c>
      <x:c r="C1347" t="str">
        <x:v>200651</x:v>
      </x:c>
      <x:c r="D1347" t="str">
        <x:v>Government Medical College, Kamareddy, Office of the Principal, Government Medical College Devanpally, Kamareddy, Telangana</x:v>
      </x:c>
      <x:c r="E1347" t="str">
        <x:v>All India</x:v>
      </x:c>
      <x:c r="F1347" t="str">
        <x:v>EWS</x:v>
      </x:c>
      <x:c r="G1347" t="n">
        <x:v>1</x:v>
      </x:c>
      <x:c r="H1347" t="n">
        <x:v>1</x:v>
      </x:c>
      <x:c r="I1347" t="n">
        <x:f>G1347-H1347</x:f>
        <x:v>0</x:v>
      </x:c>
      <x:c r="J1347" s="20" t="n">
        <x:f>IFERROR(H1347/G1347,0)</x:f>
        <x:v>1</x:v>
      </x:c>
      <x:c r="K1347" t="n">
        <x:v>26646</x:v>
      </x:c>
      <x:c r="L1347" t="n">
        <x:v>26646</x:v>
      </x:c>
      <x:c r="M1347" t="n">
        <x:v>26646</x:v>
      </x:c>
      <x:c r="N1347" t="n">
        <x:v>26646</x:v>
      </x:c>
      <x:c r="O1347" t="n">
        <x:v>26646</x:v>
      </x:c>
    </x:row>
    <x:row r="1348">
      <x:c r="A1348" t="str">
        <x:v>Telangana</x:v>
      </x:c>
      <x:c r="B1348" t="str">
        <x:v>All India except Central University</x:v>
      </x:c>
      <x:c r="C1348" t="str">
        <x:v>200651</x:v>
      </x:c>
      <x:c r="D1348" t="str">
        <x:v>Government Medical College, Kamareddy, Office of the Principal, Government Medical College Devanpally, Kamareddy, Telangana</x:v>
      </x:c>
      <x:c r="E1348" t="str">
        <x:v>All India</x:v>
      </x:c>
      <x:c r="F1348" t="str">
        <x:v>OBC</x:v>
      </x:c>
      <x:c r="G1348" t="n">
        <x:v>4</x:v>
      </x:c>
      <x:c r="H1348" t="n">
        <x:v>4</x:v>
      </x:c>
      <x:c r="I1348" t="n">
        <x:f>G1348-H1348</x:f>
        <x:v>0</x:v>
      </x:c>
      <x:c r="J1348" s="20" t="n">
        <x:f>IFERROR(H1348/G1348,0)</x:f>
        <x:v>1</x:v>
      </x:c>
      <x:c r="K1348" t="n">
        <x:v>22186</x:v>
      </x:c>
      <x:c r="L1348" t="n">
        <x:v>22279</x:v>
      </x:c>
      <x:c r="M1348" t="n">
        <x:v>22399.5</x:v>
      </x:c>
      <x:c r="N1348" t="n">
        <x:v>22494.25</x:v>
      </x:c>
      <x:c r="O1348" t="n">
        <x:v>22510</x:v>
      </x:c>
    </x:row>
    <x:row r="1349">
      <x:c r="A1349" t="str">
        <x:v>Telangana</x:v>
      </x:c>
      <x:c r="B1349" t="str">
        <x:v>All India except Central University</x:v>
      </x:c>
      <x:c r="C1349" t="str">
        <x:v>200651</x:v>
      </x:c>
      <x:c r="D1349" t="str">
        <x:v>Government Medical College, Kamareddy, Office of the Principal, Government Medical College Devanpally, Kamareddy, Telangana</x:v>
      </x:c>
      <x:c r="E1349" t="str">
        <x:v>All India</x:v>
      </x:c>
      <x:c r="F1349" t="str">
        <x:v>Open</x:v>
      </x:c>
      <x:c r="G1349" t="n">
        <x:v>7</x:v>
      </x:c>
      <x:c r="H1349" t="n">
        <x:v>7</x:v>
      </x:c>
      <x:c r="I1349" t="n">
        <x:f>G1349-H1349</x:f>
        <x:v>0</x:v>
      </x:c>
      <x:c r="J1349" s="20" t="n">
        <x:f>IFERROR(H1349/G1349,0)</x:f>
        <x:v>1</x:v>
      </x:c>
      <x:c r="K1349" t="n">
        <x:v>19107</x:v>
      </x:c>
      <x:c r="L1349" t="n">
        <x:v>21029.5</x:v>
      </x:c>
      <x:c r="M1349" t="n">
        <x:v>22009</x:v>
      </x:c>
      <x:c r="N1349" t="n">
        <x:v>22067</x:v>
      </x:c>
      <x:c r="O1349" t="n">
        <x:v>22116</x:v>
      </x:c>
    </x:row>
    <x:row r="1350">
      <x:c r="A1350" t="str">
        <x:v>Telangana</x:v>
      </x:c>
      <x:c r="B1350" t="str">
        <x:v>All India except Central University</x:v>
      </x:c>
      <x:c r="C1350" t="str">
        <x:v>200651</x:v>
      </x:c>
      <x:c r="D1350" t="str">
        <x:v>Government Medical College, Kamareddy, Office of the Principal, Government Medical College Devanpally, Kamareddy, Telangana</x:v>
      </x:c>
      <x:c r="E1350" t="str">
        <x:v>All India</x:v>
      </x:c>
      <x:c r="F1350" t="str">
        <x:v>Open PwD</x:v>
      </x:c>
      <x:c r="G1350" t="n">
        <x:v>1</x:v>
      </x:c>
      <x:c r="H1350" t="n">
        <x:v>1</x:v>
      </x:c>
      <x:c r="I1350" t="n">
        <x:f>G1350-H1350</x:f>
        <x:v>0</x:v>
      </x:c>
      <x:c r="J1350" s="20" t="n">
        <x:f>IFERROR(H1350/G1350,0)</x:f>
        <x:v>1</x:v>
      </x:c>
      <x:c r="K1350" t="n">
        <x:v>672198</x:v>
      </x:c>
      <x:c r="L1350" t="n">
        <x:v>672198</x:v>
      </x:c>
      <x:c r="M1350" t="n">
        <x:v>672198</x:v>
      </x:c>
      <x:c r="N1350" t="n">
        <x:v>672198</x:v>
      </x:c>
      <x:c r="O1350" t="n">
        <x:v>672198</x:v>
      </x:c>
    </x:row>
    <x:row r="1351">
      <x:c r="A1351" t="str">
        <x:v>Telangana</x:v>
      </x:c>
      <x:c r="B1351" t="str">
        <x:v>All India except Central University</x:v>
      </x:c>
      <x:c r="C1351" t="str">
        <x:v>200651</x:v>
      </x:c>
      <x:c r="D1351" t="str">
        <x:v>Government Medical College, Kamareddy, Office of the Principal, Government Medical College Devanpally, Kamareddy, Telangana</x:v>
      </x:c>
      <x:c r="E1351" t="str">
        <x:v>All India</x:v>
      </x:c>
      <x:c r="F1351" t="str">
        <x:v>SC</x:v>
      </x:c>
      <x:c r="G1351" t="n">
        <x:v>1</x:v>
      </x:c>
      <x:c r="H1351" t="n">
        <x:v>1</x:v>
      </x:c>
      <x:c r="I1351" t="n">
        <x:f>G1351-H1351</x:f>
        <x:v>0</x:v>
      </x:c>
      <x:c r="J1351" s="20" t="n">
        <x:f>IFERROR(H1351/G1351,0)</x:f>
        <x:v>1</x:v>
      </x:c>
      <x:c r="K1351" t="n">
        <x:v>91203</x:v>
      </x:c>
      <x:c r="L1351" t="n">
        <x:v>91203</x:v>
      </x:c>
      <x:c r="M1351" t="n">
        <x:v>91203</x:v>
      </x:c>
      <x:c r="N1351" t="n">
        <x:v>91203</x:v>
      </x:c>
      <x:c r="O1351" t="n">
        <x:v>91203</x:v>
      </x:c>
    </x:row>
    <x:row r="1352">
      <x:c r="A1352" t="str">
        <x:v>Telangana</x:v>
      </x:c>
      <x:c r="B1352" t="str">
        <x:v>All India except Central University</x:v>
      </x:c>
      <x:c r="C1352" t="str">
        <x:v>200651</x:v>
      </x:c>
      <x:c r="D1352" t="str">
        <x:v>Government Medical College, Kamareddy, Office of the Principal, Government Medical College Devanpally, Kamareddy, Telangana</x:v>
      </x:c>
      <x:c r="E1352" t="str">
        <x:v>All India</x:v>
      </x:c>
      <x:c r="F1352" t="str">
        <x:v>ST</x:v>
      </x:c>
      <x:c r="G1352" t="n">
        <x:v>1</x:v>
      </x:c>
      <x:c r="H1352" t="n">
        <x:v>1</x:v>
      </x:c>
      <x:c r="I1352" t="n">
        <x:f>G1352-H1352</x:f>
        <x:v>0</x:v>
      </x:c>
      <x:c r="J1352" s="20" t="n">
        <x:f>IFERROR(H1352/G1352,0)</x:f>
        <x:v>1</x:v>
      </x:c>
      <x:c r="K1352" t="n">
        <x:v>122713</x:v>
      </x:c>
      <x:c r="L1352" t="n">
        <x:v>122713</x:v>
      </x:c>
      <x:c r="M1352" t="n">
        <x:v>122713</x:v>
      </x:c>
      <x:c r="N1352" t="n">
        <x:v>122713</x:v>
      </x:c>
      <x:c r="O1352" t="n">
        <x:v>122713</x:v>
      </x:c>
    </x:row>
    <x:row r="1353">
      <x:c r="A1353" t="str">
        <x:v>Rajasthan</x:v>
      </x:c>
      <x:c r="B1353" t="str">
        <x:v>All India except Central University</x:v>
      </x:c>
      <x:c r="C1353" t="str">
        <x:v>200666</x:v>
      </x:c>
      <x:c r="D1353" t="str">
        <x:v>Government Medical College, Karauli, mandrayal road karauli</x:v>
      </x:c>
      <x:c r="E1353" t="str">
        <x:v>All India</x:v>
      </x:c>
      <x:c r="F1353" t="str">
        <x:v>EWS</x:v>
      </x:c>
      <x:c r="G1353" t="n">
        <x:v>1</x:v>
      </x:c>
      <x:c r="H1353" t="n">
        <x:v>1</x:v>
      </x:c>
      <x:c r="I1353" t="n">
        <x:f>G1353-H1353</x:f>
        <x:v>0</x:v>
      </x:c>
      <x:c r="J1353" s="20" t="n">
        <x:f>IFERROR(H1353/G1353,0)</x:f>
        <x:v>1</x:v>
      </x:c>
      <x:c r="K1353" t="n">
        <x:v>13447</x:v>
      </x:c>
      <x:c r="L1353" t="n">
        <x:v>13447</x:v>
      </x:c>
      <x:c r="M1353" t="n">
        <x:v>13447</x:v>
      </x:c>
      <x:c r="N1353" t="n">
        <x:v>13447</x:v>
      </x:c>
      <x:c r="O1353" t="n">
        <x:v>13447</x:v>
      </x:c>
    </x:row>
    <x:row r="1354">
      <x:c r="A1354" t="str">
        <x:v>Rajasthan</x:v>
      </x:c>
      <x:c r="B1354" t="str">
        <x:v>All India except Central University</x:v>
      </x:c>
      <x:c r="C1354" t="str">
        <x:v>200666</x:v>
      </x:c>
      <x:c r="D1354" t="str">
        <x:v>Government Medical College, Karauli, mandrayal road karauli</x:v>
      </x:c>
      <x:c r="E1354" t="str">
        <x:v>All India</x:v>
      </x:c>
      <x:c r="F1354" t="str">
        <x:v>OBC</x:v>
      </x:c>
      <x:c r="G1354" t="n">
        <x:v>4</x:v>
      </x:c>
      <x:c r="H1354" t="n">
        <x:v>4</x:v>
      </x:c>
      <x:c r="I1354" t="n">
        <x:f>G1354-H1354</x:f>
        <x:v>0</x:v>
      </x:c>
      <x:c r="J1354" s="20" t="n">
        <x:f>IFERROR(H1354/G1354,0)</x:f>
        <x:v>1</x:v>
      </x:c>
      <x:c r="K1354" t="n">
        <x:v>12521</x:v>
      </x:c>
      <x:c r="L1354" t="n">
        <x:v>12644.75</x:v>
      </x:c>
      <x:c r="M1354" t="n">
        <x:v>12729.5</x:v>
      </x:c>
      <x:c r="N1354" t="n">
        <x:v>12786.25</x:v>
      </x:c>
      <x:c r="O1354" t="n">
        <x:v>12826</x:v>
      </x:c>
    </x:row>
    <x:row r="1355">
      <x:c r="A1355" t="str">
        <x:v>Rajasthan</x:v>
      </x:c>
      <x:c r="B1355" t="str">
        <x:v>All India except Central University</x:v>
      </x:c>
      <x:c r="C1355" t="str">
        <x:v>200666</x:v>
      </x:c>
      <x:c r="D1355" t="str">
        <x:v>Government Medical College, Karauli, mandrayal road karauli</x:v>
      </x:c>
      <x:c r="E1355" t="str">
        <x:v>All India</x:v>
      </x:c>
      <x:c r="F1355" t="str">
        <x:v>Open</x:v>
      </x:c>
      <x:c r="G1355" t="n">
        <x:v>7</x:v>
      </x:c>
      <x:c r="H1355" t="n">
        <x:v>7</x:v>
      </x:c>
      <x:c r="I1355" t="n">
        <x:f>G1355-H1355</x:f>
        <x:v>0</x:v>
      </x:c>
      <x:c r="J1355" s="20" t="n">
        <x:f>IFERROR(H1355/G1355,0)</x:f>
        <x:v>1</x:v>
      </x:c>
      <x:c r="K1355" t="n">
        <x:v>10083</x:v>
      </x:c>
      <x:c r="L1355" t="n">
        <x:v>11206.5</x:v>
      </x:c>
      <x:c r="M1355" t="n">
        <x:v>11783</x:v>
      </x:c>
      <x:c r="N1355" t="n">
        <x:v>11986</x:v>
      </x:c>
      <x:c r="O1355" t="n">
        <x:v>12073</x:v>
      </x:c>
    </x:row>
    <x:row r="1356">
      <x:c r="A1356" t="str">
        <x:v>Rajasthan</x:v>
      </x:c>
      <x:c r="B1356" t="str">
        <x:v>All India except Central University</x:v>
      </x:c>
      <x:c r="C1356" t="str">
        <x:v>200666</x:v>
      </x:c>
      <x:c r="D1356" t="str">
        <x:v>Government Medical College, Karauli, mandrayal road karauli</x:v>
      </x:c>
      <x:c r="E1356" t="str">
        <x:v>All India</x:v>
      </x:c>
      <x:c r="F1356" t="str">
        <x:v>SC</x:v>
      </x:c>
      <x:c r="G1356" t="n">
        <x:v>2</x:v>
      </x:c>
      <x:c r="H1356" t="n">
        <x:v>2</x:v>
      </x:c>
      <x:c r="I1356" t="n">
        <x:f>G1356-H1356</x:f>
        <x:v>0</x:v>
      </x:c>
      <x:c r="J1356" s="20" t="n">
        <x:f>IFERROR(H1356/G1356,0)</x:f>
        <x:v>1</x:v>
      </x:c>
      <x:c r="K1356" t="n">
        <x:v>61688</x:v>
      </x:c>
      <x:c r="L1356" t="n">
        <x:v>62243.25</x:v>
      </x:c>
      <x:c r="M1356" t="n">
        <x:v>62798.5</x:v>
      </x:c>
      <x:c r="N1356" t="n">
        <x:v>63353.75</x:v>
      </x:c>
      <x:c r="O1356" t="n">
        <x:v>63909</x:v>
      </x:c>
    </x:row>
    <x:row r="1357">
      <x:c r="A1357" t="str">
        <x:v>Rajasthan</x:v>
      </x:c>
      <x:c r="B1357" t="str">
        <x:v>All India except Central University</x:v>
      </x:c>
      <x:c r="C1357" t="str">
        <x:v>200666</x:v>
      </x:c>
      <x:c r="D1357" t="str">
        <x:v>Government Medical College, Karauli, mandrayal road karauli</x:v>
      </x:c>
      <x:c r="E1357" t="str">
        <x:v>All India</x:v>
      </x:c>
      <x:c r="F1357" t="str">
        <x:v>ST</x:v>
      </x:c>
      <x:c r="G1357" t="n">
        <x:v>1</x:v>
      </x:c>
      <x:c r="H1357" t="n">
        <x:v>1</x:v>
      </x:c>
      <x:c r="I1357" t="n">
        <x:f>G1357-H1357</x:f>
        <x:v>0</x:v>
      </x:c>
      <x:c r="J1357" s="20" t="n">
        <x:f>IFERROR(H1357/G1357,0)</x:f>
        <x:v>1</x:v>
      </x:c>
      <x:c r="K1357" t="n">
        <x:v>78891</x:v>
      </x:c>
      <x:c r="L1357" t="n">
        <x:v>78891</x:v>
      </x:c>
      <x:c r="M1357" t="n">
        <x:v>78891</x:v>
      </x:c>
      <x:c r="N1357" t="n">
        <x:v>78891</x:v>
      </x:c>
      <x:c r="O1357" t="n">
        <x:v>78891</x:v>
      </x:c>
    </x:row>
    <x:row r="1358">
      <x:c r="A1358" t="str">
        <x:v>Telangana</x:v>
      </x:c>
      <x:c r="B1358" t="str">
        <x:v>All India except Central University</x:v>
      </x:c>
      <x:c r="C1358" t="str">
        <x:v>200650</x:v>
      </x:c>
      <x:c r="D1358" t="str">
        <x:v>Government Medical College, Karimnagar, The Additional DME /Principal, Government Medical College Karimnagar, Jagtial NH 563, Kothapalli,</x:v>
      </x:c>
      <x:c r="E1358" t="str">
        <x:v>All India</x:v>
      </x:c>
      <x:c r="F1358" t="str">
        <x:v>EWS</x:v>
      </x:c>
      <x:c r="G1358" t="n">
        <x:v>1</x:v>
      </x:c>
      <x:c r="H1358" t="n">
        <x:v>1</x:v>
      </x:c>
      <x:c r="I1358" t="n">
        <x:f>G1358-H1358</x:f>
        <x:v>0</x:v>
      </x:c>
      <x:c r="J1358" s="20" t="n">
        <x:f>IFERROR(H1358/G1358,0)</x:f>
        <x:v>1</x:v>
      </x:c>
      <x:c r="K1358" t="n">
        <x:v>23018</x:v>
      </x:c>
      <x:c r="L1358" t="n">
        <x:v>23018</x:v>
      </x:c>
      <x:c r="M1358" t="n">
        <x:v>23018</x:v>
      </x:c>
      <x:c r="N1358" t="n">
        <x:v>23018</x:v>
      </x:c>
      <x:c r="O1358" t="n">
        <x:v>23018</x:v>
      </x:c>
    </x:row>
    <x:row r="1359">
      <x:c r="A1359" t="str">
        <x:v>Telangana</x:v>
      </x:c>
      <x:c r="B1359" t="str">
        <x:v>All India except Central University</x:v>
      </x:c>
      <x:c r="C1359" t="str">
        <x:v>200650</x:v>
      </x:c>
      <x:c r="D1359" t="str">
        <x:v>Government Medical College, Karimnagar, The Additional DME /Principal, Government Medical College Karimnagar, Jagtial NH 563, Kothapalli,</x:v>
      </x:c>
      <x:c r="E1359" t="str">
        <x:v>All India</x:v>
      </x:c>
      <x:c r="F1359" t="str">
        <x:v>OBC</x:v>
      </x:c>
      <x:c r="G1359" t="n">
        <x:v>4</x:v>
      </x:c>
      <x:c r="H1359" t="n">
        <x:v>4</x:v>
      </x:c>
      <x:c r="I1359" t="n">
        <x:f>G1359-H1359</x:f>
        <x:v>0</x:v>
      </x:c>
      <x:c r="J1359" s="20" t="n">
        <x:f>IFERROR(H1359/G1359,0)</x:f>
        <x:v>1</x:v>
      </x:c>
      <x:c r="K1359" t="n">
        <x:v>19211</x:v>
      </x:c>
      <x:c r="L1359" t="n">
        <x:v>19352</x:v>
      </x:c>
      <x:c r="M1359" t="n">
        <x:v>19525.5</x:v>
      </x:c>
      <x:c r="N1359" t="n">
        <x:v>19964</x:v>
      </x:c>
      <x:c r="O1359" t="n">
        <x:v>20900</x:v>
      </x:c>
    </x:row>
    <x:row r="1360">
      <x:c r="A1360" t="str">
        <x:v>Telangana</x:v>
      </x:c>
      <x:c r="B1360" t="str">
        <x:v>All India except Central University</x:v>
      </x:c>
      <x:c r="C1360" t="str">
        <x:v>200650</x:v>
      </x:c>
      <x:c r="D1360" t="str">
        <x:v>Government Medical College, Karimnagar, The Additional DME /Principal, Government Medical College Karimnagar, Jagtial NH 563, Kothapalli,</x:v>
      </x:c>
      <x:c r="E1360" t="str">
        <x:v>All India</x:v>
      </x:c>
      <x:c r="F1360" t="str">
        <x:v>Open</x:v>
      </x:c>
      <x:c r="G1360" t="n">
        <x:v>5</x:v>
      </x:c>
      <x:c r="H1360" t="n">
        <x:v>5</x:v>
      </x:c>
      <x:c r="I1360" t="n">
        <x:f>G1360-H1360</x:f>
        <x:v>0</x:v>
      </x:c>
      <x:c r="J1360" s="20" t="n">
        <x:f>IFERROR(H1360/G1360,0)</x:f>
        <x:v>1</x:v>
      </x:c>
      <x:c r="K1360" t="n">
        <x:v>17069</x:v>
      </x:c>
      <x:c r="L1360" t="n">
        <x:v>18303</x:v>
      </x:c>
      <x:c r="M1360" t="n">
        <x:v>18688</x:v>
      </x:c>
      <x:c r="N1360" t="n">
        <x:v>18745</x:v>
      </x:c>
      <x:c r="O1360" t="n">
        <x:v>19038</x:v>
      </x:c>
    </x:row>
    <x:row r="1361">
      <x:c r="A1361" t="str">
        <x:v>Telangana</x:v>
      </x:c>
      <x:c r="B1361" t="str">
        <x:v>All India except Central University</x:v>
      </x:c>
      <x:c r="C1361" t="str">
        <x:v>200650</x:v>
      </x:c>
      <x:c r="D1361" t="str">
        <x:v>Government Medical College, Karimnagar, The Additional DME /Principal, Government Medical College Karimnagar, Jagtial NH 563, Kothapalli,</x:v>
      </x:c>
      <x:c r="E1361" t="str">
        <x:v>All India</x:v>
      </x:c>
      <x:c r="F1361" t="str">
        <x:v>SC</x:v>
      </x:c>
      <x:c r="G1361" t="n">
        <x:v>3</x:v>
      </x:c>
      <x:c r="H1361" t="n">
        <x:v>3</x:v>
      </x:c>
      <x:c r="I1361" t="n">
        <x:f>G1361-H1361</x:f>
        <x:v>0</x:v>
      </x:c>
      <x:c r="J1361" s="20" t="n">
        <x:f>IFERROR(H1361/G1361,0)</x:f>
        <x:v>1</x:v>
      </x:c>
      <x:c r="K1361" t="n">
        <x:v>90440</x:v>
      </x:c>
      <x:c r="L1361" t="n">
        <x:v>93929</x:v>
      </x:c>
      <x:c r="M1361" t="n">
        <x:v>97418</x:v>
      </x:c>
      <x:c r="N1361" t="n">
        <x:v>100101.5</x:v>
      </x:c>
      <x:c r="O1361" t="n">
        <x:v>102785</x:v>
      </x:c>
    </x:row>
    <x:row r="1362">
      <x:c r="A1362" t="str">
        <x:v>Telangana</x:v>
      </x:c>
      <x:c r="B1362" t="str">
        <x:v>All India except Central University</x:v>
      </x:c>
      <x:c r="C1362" t="str">
        <x:v>200650</x:v>
      </x:c>
      <x:c r="D1362" t="str">
        <x:v>Government Medical College, Karimnagar, The Additional DME /Principal, Government Medical College Karimnagar, Jagtial NH 563, Kothapalli,</x:v>
      </x:c>
      <x:c r="E1362" t="str">
        <x:v>All India</x:v>
      </x:c>
      <x:c r="F1362" t="str">
        <x:v>ST</x:v>
      </x:c>
      <x:c r="G1362" t="n">
        <x:v>2</x:v>
      </x:c>
      <x:c r="H1362" t="n">
        <x:v>2</x:v>
      </x:c>
      <x:c r="I1362" t="n">
        <x:f>G1362-H1362</x:f>
        <x:v>0</x:v>
      </x:c>
      <x:c r="J1362" s="20" t="n">
        <x:f>IFERROR(H1362/G1362,0)</x:f>
        <x:v>1</x:v>
      </x:c>
      <x:c r="K1362" t="n">
        <x:v>118882</x:v>
      </x:c>
      <x:c r="L1362" t="n">
        <x:v>119503.75</x:v>
      </x:c>
      <x:c r="M1362" t="n">
        <x:v>120125.5</x:v>
      </x:c>
      <x:c r="N1362" t="n">
        <x:v>120747.25</x:v>
      </x:c>
      <x:c r="O1362" t="n">
        <x:v>121369</x:v>
      </x:c>
    </x:row>
    <x:row r="1363">
      <x:c r="A1363" t="str">
        <x:v>Tamil Nadu</x:v>
      </x:c>
      <x:c r="B1363" t="str">
        <x:v>All India except Central University</x:v>
      </x:c>
      <x:c r="C1363" t="str">
        <x:v>200499</x:v>
      </x:c>
      <x:c r="D1363" t="str">
        <x:v>Government Medical College, Karur, SANAPIRATTI VILLAGE NORTH GANDHIGRAMAM KARUR TAMILNADU</x:v>
      </x:c>
      <x:c r="E1363" t="str">
        <x:v>All India</x:v>
      </x:c>
      <x:c r="F1363" t="str">
        <x:v>EWS</x:v>
      </x:c>
      <x:c r="G1363" t="n">
        <x:v>2</x:v>
      </x:c>
      <x:c r="H1363" t="n">
        <x:v>2</x:v>
      </x:c>
      <x:c r="I1363" t="n">
        <x:f>G1363-H1363</x:f>
        <x:v>0</x:v>
      </x:c>
      <x:c r="J1363" s="20" t="n">
        <x:f>IFERROR(H1363/G1363,0)</x:f>
        <x:v>1</x:v>
      </x:c>
      <x:c r="K1363" t="n">
        <x:v>25384</x:v>
      </x:c>
      <x:c r="L1363" t="n">
        <x:v>25440.75</x:v>
      </x:c>
      <x:c r="M1363" t="n">
        <x:v>25497.5</x:v>
      </x:c>
      <x:c r="N1363" t="n">
        <x:v>25554.25</x:v>
      </x:c>
      <x:c r="O1363" t="n">
        <x:v>25611</x:v>
      </x:c>
    </x:row>
    <x:row r="1364">
      <x:c r="A1364" t="str">
        <x:v>Tamil Nadu</x:v>
      </x:c>
      <x:c r="B1364" t="str">
        <x:v>All India except Central University</x:v>
      </x:c>
      <x:c r="C1364" t="str">
        <x:v>200499</x:v>
      </x:c>
      <x:c r="D1364" t="str">
        <x:v>Government Medical College, Karur, SANAPIRATTI VILLAGE NORTH GANDHIGRAMAM KARUR TAMILNADU</x:v>
      </x:c>
      <x:c r="E1364" t="str">
        <x:v>All India</x:v>
      </x:c>
      <x:c r="F1364" t="str">
        <x:v>OBC</x:v>
      </x:c>
      <x:c r="G1364" t="n">
        <x:v>5</x:v>
      </x:c>
      <x:c r="H1364" t="n">
        <x:v>5</x:v>
      </x:c>
      <x:c r="I1364" t="n">
        <x:f>G1364-H1364</x:f>
        <x:v>0</x:v>
      </x:c>
      <x:c r="J1364" s="20" t="n">
        <x:f>IFERROR(H1364/G1364,0)</x:f>
        <x:v>1</x:v>
      </x:c>
      <x:c r="K1364" t="n">
        <x:v>11645</x:v>
      </x:c>
      <x:c r="L1364" t="n">
        <x:v>11787</x:v>
      </x:c>
      <x:c r="M1364" t="n">
        <x:v>11905</x:v>
      </x:c>
      <x:c r="N1364" t="n">
        <x:v>11923</x:v>
      </x:c>
      <x:c r="O1364" t="n">
        <x:v>12030</x:v>
      </x:c>
    </x:row>
    <x:row r="1365">
      <x:c r="A1365" t="str">
        <x:v>Tamil Nadu</x:v>
      </x:c>
      <x:c r="B1365" t="str">
        <x:v>All India except Central University</x:v>
      </x:c>
      <x:c r="C1365" t="str">
        <x:v>200499</x:v>
      </x:c>
      <x:c r="D1365" t="str">
        <x:v>Government Medical College, Karur, SANAPIRATTI VILLAGE NORTH GANDHIGRAMAM KARUR TAMILNADU</x:v>
      </x:c>
      <x:c r="E1365" t="str">
        <x:v>All India</x:v>
      </x:c>
      <x:c r="F1365" t="str">
        <x:v>OBC PwD</x:v>
      </x:c>
      <x:c r="G1365" t="n">
        <x:v>1</x:v>
      </x:c>
      <x:c r="H1365" t="n">
        <x:v>1</x:v>
      </x:c>
      <x:c r="I1365" t="n">
        <x:f>G1365-H1365</x:f>
        <x:v>0</x:v>
      </x:c>
      <x:c r="J1365" s="20" t="n">
        <x:f>IFERROR(H1365/G1365,0)</x:f>
        <x:v>1</x:v>
      </x:c>
      <x:c r="K1365" t="n">
        <x:v>571654</x:v>
      </x:c>
      <x:c r="L1365" t="n">
        <x:v>571654</x:v>
      </x:c>
      <x:c r="M1365" t="n">
        <x:v>571654</x:v>
      </x:c>
      <x:c r="N1365" t="n">
        <x:v>571654</x:v>
      </x:c>
      <x:c r="O1365" t="n">
        <x:v>571654</x:v>
      </x:c>
    </x:row>
    <x:row r="1366">
      <x:c r="A1366" t="str">
        <x:v>Tamil Nadu</x:v>
      </x:c>
      <x:c r="B1366" t="str">
        <x:v>All India except Central University</x:v>
      </x:c>
      <x:c r="C1366" t="str">
        <x:v>200499</x:v>
      </x:c>
      <x:c r="D1366" t="str">
        <x:v>Government Medical College, Karur, SANAPIRATTI VILLAGE NORTH GANDHIGRAMAM KARUR TAMILNADU</x:v>
      </x:c>
      <x:c r="E1366" t="str">
        <x:v>All India</x:v>
      </x:c>
      <x:c r="F1366" t="str">
        <x:v>Open</x:v>
      </x:c>
      <x:c r="G1366" t="n">
        <x:v>10</x:v>
      </x:c>
      <x:c r="H1366" t="n">
        <x:v>10</x:v>
      </x:c>
      <x:c r="I1366" t="n">
        <x:f>G1366-H1366</x:f>
        <x:v>0</x:v>
      </x:c>
      <x:c r="J1366" s="20" t="n">
        <x:f>IFERROR(H1366/G1366,0)</x:f>
        <x:v>1</x:v>
      </x:c>
      <x:c r="K1366" t="n">
        <x:v>8527</x:v>
      </x:c>
      <x:c r="L1366" t="n">
        <x:v>10472.75</x:v>
      </x:c>
      <x:c r="M1366" t="n">
        <x:v>10848</x:v>
      </x:c>
      <x:c r="N1366" t="n">
        <x:v>11210.5</x:v>
      </x:c>
      <x:c r="O1366" t="n">
        <x:v>11520</x:v>
      </x:c>
    </x:row>
    <x:row r="1367">
      <x:c r="A1367" t="str">
        <x:v>Tamil Nadu</x:v>
      </x:c>
      <x:c r="B1367" t="str">
        <x:v>All India except Central University</x:v>
      </x:c>
      <x:c r="C1367" t="str">
        <x:v>200499</x:v>
      </x:c>
      <x:c r="D1367" t="str">
        <x:v>Government Medical College, Karur, SANAPIRATTI VILLAGE NORTH GANDHIGRAMAM KARUR TAMILNADU</x:v>
      </x:c>
      <x:c r="E1367" t="str">
        <x:v>All India</x:v>
      </x:c>
      <x:c r="F1367" t="str">
        <x:v>SC</x:v>
      </x:c>
      <x:c r="G1367" t="n">
        <x:v>4</x:v>
      </x:c>
      <x:c r="H1367" t="n">
        <x:v>4</x:v>
      </x:c>
      <x:c r="I1367" t="n">
        <x:f>G1367-H1367</x:f>
        <x:v>0</x:v>
      </x:c>
      <x:c r="J1367" s="20" t="n">
        <x:f>IFERROR(H1367/G1367,0)</x:f>
        <x:v>1</x:v>
      </x:c>
      <x:c r="K1367" t="n">
        <x:v>52923</x:v>
      </x:c>
      <x:c r="L1367" t="n">
        <x:v>53814.75</x:v>
      </x:c>
      <x:c r="M1367" t="n">
        <x:v>56063.5</x:v>
      </x:c>
      <x:c r="N1367" t="n">
        <x:v>59192.75</x:v>
      </x:c>
      <x:c r="O1367" t="n">
        <x:v>62726</x:v>
      </x:c>
    </x:row>
    <x:row r="1368">
      <x:c r="A1368" t="str">
        <x:v>Tamil Nadu</x:v>
      </x:c>
      <x:c r="B1368" t="str">
        <x:v>All India except Central University</x:v>
      </x:c>
      <x:c r="C1368" t="str">
        <x:v>200499</x:v>
      </x:c>
      <x:c r="D1368" t="str">
        <x:v>Government Medical College, Karur, SANAPIRATTI VILLAGE NORTH GANDHIGRAMAM KARUR TAMILNADU</x:v>
      </x:c>
      <x:c r="E1368" t="str">
        <x:v>All India</x:v>
      </x:c>
      <x:c r="F1368" t="str">
        <x:v>ST</x:v>
      </x:c>
      <x:c r="G1368" t="n">
        <x:v>1</x:v>
      </x:c>
      <x:c r="H1368" t="n">
        <x:v>1</x:v>
      </x:c>
      <x:c r="I1368" t="n">
        <x:f>G1368-H1368</x:f>
        <x:v>0</x:v>
      </x:c>
      <x:c r="J1368" s="20" t="n">
        <x:f>IFERROR(H1368/G1368,0)</x:f>
        <x:v>1</x:v>
      </x:c>
      <x:c r="K1368" t="n">
        <x:v>126817</x:v>
      </x:c>
      <x:c r="L1368" t="n">
        <x:v>126817</x:v>
      </x:c>
      <x:c r="M1368" t="n">
        <x:v>126817</x:v>
      </x:c>
      <x:c r="N1368" t="n">
        <x:v>126817</x:v>
      </x:c>
      <x:c r="O1368" t="n">
        <x:v>126817</x:v>
      </x:c>
    </x:row>
    <x:row r="1369">
      <x:c r="A1369" t="str">
        <x:v>Jammu And Kashmir</x:v>
      </x:c>
      <x:c r="B1369" t="str">
        <x:v>All India except Central University</x:v>
      </x:c>
      <x:c r="C1369" t="str">
        <x:v>200630</x:v>
      </x:c>
      <x:c r="D1369" t="str">
        <x:v>Government Medical College, Kathua, Chak Sajjan Kathua</x:v>
      </x:c>
      <x:c r="E1369" t="str">
        <x:v>All India</x:v>
      </x:c>
      <x:c r="F1369" t="str">
        <x:v>EWS</x:v>
      </x:c>
      <x:c r="G1369" t="n">
        <x:v>2</x:v>
      </x:c>
      <x:c r="H1369" t="n">
        <x:v>2</x:v>
      </x:c>
      <x:c r="I1369" t="n">
        <x:f>G1369-H1369</x:f>
        <x:v>0</x:v>
      </x:c>
      <x:c r="J1369" s="20" t="n">
        <x:f>IFERROR(H1369/G1369,0)</x:f>
        <x:v>1</x:v>
      </x:c>
      <x:c r="K1369" t="n">
        <x:v>15039</x:v>
      </x:c>
      <x:c r="L1369" t="n">
        <x:v>16077.5</x:v>
      </x:c>
      <x:c r="M1369" t="n">
        <x:v>17116</x:v>
      </x:c>
      <x:c r="N1369" t="n">
        <x:v>18154.5</x:v>
      </x:c>
      <x:c r="O1369" t="n">
        <x:v>19193</x:v>
      </x:c>
    </x:row>
    <x:row r="1370">
      <x:c r="A1370" t="str">
        <x:v>Jammu And Kashmir</x:v>
      </x:c>
      <x:c r="B1370" t="str">
        <x:v>All India except Central University</x:v>
      </x:c>
      <x:c r="C1370" t="str">
        <x:v>200630</x:v>
      </x:c>
      <x:c r="D1370" t="str">
        <x:v>Government Medical College, Kathua, Chak Sajjan Kathua</x:v>
      </x:c>
      <x:c r="E1370" t="str">
        <x:v>All India</x:v>
      </x:c>
      <x:c r="F1370" t="str">
        <x:v>OBC</x:v>
      </x:c>
      <x:c r="G1370" t="n">
        <x:v>6</x:v>
      </x:c>
      <x:c r="H1370" t="n">
        <x:v>6</x:v>
      </x:c>
      <x:c r="I1370" t="n">
        <x:f>G1370-H1370</x:f>
        <x:v>0</x:v>
      </x:c>
      <x:c r="J1370" s="20" t="n">
        <x:f>IFERROR(H1370/G1370,0)</x:f>
        <x:v>1</x:v>
      </x:c>
      <x:c r="K1370" t="n">
        <x:v>13317</x:v>
      </x:c>
      <x:c r="L1370" t="n">
        <x:v>13453.25</x:v>
      </x:c>
      <x:c r="M1370" t="n">
        <x:v>13677</x:v>
      </x:c>
      <x:c r="N1370" t="n">
        <x:v>13817.5</x:v>
      </x:c>
      <x:c r="O1370" t="n">
        <x:v>14153</x:v>
      </x:c>
    </x:row>
    <x:row r="1371">
      <x:c r="A1371" t="str">
        <x:v>Jammu And Kashmir</x:v>
      </x:c>
      <x:c r="B1371" t="str">
        <x:v>All India except Central University</x:v>
      </x:c>
      <x:c r="C1371" t="str">
        <x:v>200630</x:v>
      </x:c>
      <x:c r="D1371" t="str">
        <x:v>Government Medical College, Kathua, Chak Sajjan Kathua</x:v>
      </x:c>
      <x:c r="E1371" t="str">
        <x:v>All India</x:v>
      </x:c>
      <x:c r="F1371" t="str">
        <x:v>Open</x:v>
      </x:c>
      <x:c r="G1371" t="n">
        <x:v>9</x:v>
      </x:c>
      <x:c r="H1371" t="n">
        <x:v>9</x:v>
      </x:c>
      <x:c r="I1371" t="n">
        <x:f>G1371-H1371</x:f>
        <x:v>0</x:v>
      </x:c>
      <x:c r="J1371" s="20" t="n">
        <x:f>IFERROR(H1371/G1371,0)</x:f>
        <x:v>1</x:v>
      </x:c>
      <x:c r="K1371" t="n">
        <x:v>10616</x:v>
      </x:c>
      <x:c r="L1371" t="n">
        <x:v>11189</x:v>
      </x:c>
      <x:c r="M1371" t="n">
        <x:v>11804</x:v>
      </x:c>
      <x:c r="N1371" t="n">
        <x:v>12590</x:v>
      </x:c>
      <x:c r="O1371" t="n">
        <x:v>12847</x:v>
      </x:c>
    </x:row>
    <x:row r="1372">
      <x:c r="A1372" t="str">
        <x:v>Jammu And Kashmir</x:v>
      </x:c>
      <x:c r="B1372" t="str">
        <x:v>All India except Central University</x:v>
      </x:c>
      <x:c r="C1372" t="str">
        <x:v>200630</x:v>
      </x:c>
      <x:c r="D1372" t="str">
        <x:v>Government Medical College, Kathua, Chak Sajjan Kathua</x:v>
      </x:c>
      <x:c r="E1372" t="str">
        <x:v>All India</x:v>
      </x:c>
      <x:c r="F1372" t="str">
        <x:v>Open PwD</x:v>
      </x:c>
      <x:c r="G1372" t="n">
        <x:v>1</x:v>
      </x:c>
      <x:c r="H1372" t="n">
        <x:v>1</x:v>
      </x:c>
      <x:c r="I1372" t="n">
        <x:f>G1372-H1372</x:f>
        <x:v>0</x:v>
      </x:c>
      <x:c r="J1372" s="20" t="n">
        <x:f>IFERROR(H1372/G1372,0)</x:f>
        <x:v>1</x:v>
      </x:c>
      <x:c r="K1372" t="n">
        <x:v>367710</x:v>
      </x:c>
      <x:c r="L1372" t="n">
        <x:v>367710</x:v>
      </x:c>
      <x:c r="M1372" t="n">
        <x:v>367710</x:v>
      </x:c>
      <x:c r="N1372" t="n">
        <x:v>367710</x:v>
      </x:c>
      <x:c r="O1372" t="n">
        <x:v>367710</x:v>
      </x:c>
    </x:row>
    <x:row r="1373">
      <x:c r="A1373" t="str">
        <x:v>Jammu And Kashmir</x:v>
      </x:c>
      <x:c r="B1373" t="str">
        <x:v>All India except Central University</x:v>
      </x:c>
      <x:c r="C1373" t="str">
        <x:v>200630</x:v>
      </x:c>
      <x:c r="D1373" t="str">
        <x:v>Government Medical College, Kathua, Chak Sajjan Kathua</x:v>
      </x:c>
      <x:c r="E1373" t="str">
        <x:v>All India</x:v>
      </x:c>
      <x:c r="F1373" t="str">
        <x:v>SC</x:v>
      </x:c>
      <x:c r="G1373" t="n">
        <x:v>3</x:v>
      </x:c>
      <x:c r="H1373" t="n">
        <x:v>3</x:v>
      </x:c>
      <x:c r="I1373" t="n">
        <x:f>G1373-H1373</x:f>
        <x:v>0</x:v>
      </x:c>
      <x:c r="J1373" s="20" t="n">
        <x:f>IFERROR(H1373/G1373,0)</x:f>
        <x:v>1</x:v>
      </x:c>
      <x:c r="K1373" t="n">
        <x:v>48944</x:v>
      </x:c>
      <x:c r="L1373" t="n">
        <x:v>51562</x:v>
      </x:c>
      <x:c r="M1373" t="n">
        <x:v>54180</x:v>
      </x:c>
      <x:c r="N1373" t="n">
        <x:v>56732.5</x:v>
      </x:c>
      <x:c r="O1373" t="n">
        <x:v>59285</x:v>
      </x:c>
    </x:row>
    <x:row r="1374">
      <x:c r="A1374" t="str">
        <x:v>Jammu And Kashmir</x:v>
      </x:c>
      <x:c r="B1374" t="str">
        <x:v>All India except Central University</x:v>
      </x:c>
      <x:c r="C1374" t="str">
        <x:v>200630</x:v>
      </x:c>
      <x:c r="D1374" t="str">
        <x:v>Government Medical College, Kathua, Chak Sajjan Kathua</x:v>
      </x:c>
      <x:c r="E1374" t="str">
        <x:v>All India</x:v>
      </x:c>
      <x:c r="F1374" t="str">
        <x:v>ST</x:v>
      </x:c>
      <x:c r="G1374" t="n">
        <x:v>2</x:v>
      </x:c>
      <x:c r="H1374" t="n">
        <x:v>2</x:v>
      </x:c>
      <x:c r="I1374" t="n">
        <x:f>G1374-H1374</x:f>
        <x:v>0</x:v>
      </x:c>
      <x:c r="J1374" s="20" t="n">
        <x:f>IFERROR(H1374/G1374,0)</x:f>
        <x:v>1</x:v>
      </x:c>
      <x:c r="K1374" t="n">
        <x:v>76295</x:v>
      </x:c>
      <x:c r="L1374" t="n">
        <x:v>77971</x:v>
      </x:c>
      <x:c r="M1374" t="n">
        <x:v>79647</x:v>
      </x:c>
      <x:c r="N1374" t="n">
        <x:v>81323</x:v>
      </x:c>
      <x:c r="O1374" t="n">
        <x:v>82999</x:v>
      </x:c>
    </x:row>
    <x:row r="1375">
      <x:c r="A1375" t="str">
        <x:v>Madhya Pradesh</x:v>
      </x:c>
      <x:c r="B1375" t="str">
        <x:v>All India except Central University</x:v>
      </x:c>
      <x:c r="C1375" t="str">
        <x:v>200480</x:v>
      </x:c>
      <x:c r="D1375" t="str">
        <x:v>Government Medical College, Khandwa, MP, Luv-Kush Nagar,Mundi Road,Khandwa (M.P.)</x:v>
      </x:c>
      <x:c r="E1375" t="str">
        <x:v>All India</x:v>
      </x:c>
      <x:c r="F1375" t="str">
        <x:v>EWS</x:v>
      </x:c>
      <x:c r="G1375" t="n">
        <x:v>1</x:v>
      </x:c>
      <x:c r="H1375" t="n">
        <x:v>1</x:v>
      </x:c>
      <x:c r="I1375" t="n">
        <x:f>G1375-H1375</x:f>
        <x:v>0</x:v>
      </x:c>
      <x:c r="J1375" s="20" t="n">
        <x:f>IFERROR(H1375/G1375,0)</x:f>
        <x:v>1</x:v>
      </x:c>
      <x:c r="K1375" t="n">
        <x:v>15454</x:v>
      </x:c>
      <x:c r="L1375" t="n">
        <x:v>15454</x:v>
      </x:c>
      <x:c r="M1375" t="n">
        <x:v>15454</x:v>
      </x:c>
      <x:c r="N1375" t="n">
        <x:v>15454</x:v>
      </x:c>
      <x:c r="O1375" t="n">
        <x:v>15454</x:v>
      </x:c>
    </x:row>
    <x:row r="1376">
      <x:c r="A1376" t="str">
        <x:v>Madhya Pradesh</x:v>
      </x:c>
      <x:c r="B1376" t="str">
        <x:v>All India except Central University</x:v>
      </x:c>
      <x:c r="C1376" t="str">
        <x:v>200480</x:v>
      </x:c>
      <x:c r="D1376" t="str">
        <x:v>Government Medical College, Khandwa, MP, Luv-Kush Nagar,Mundi Road,Khandwa (M.P.)</x:v>
      </x:c>
      <x:c r="E1376" t="str">
        <x:v>All India</x:v>
      </x:c>
      <x:c r="F1376" t="str">
        <x:v>OBC</x:v>
      </x:c>
      <x:c r="G1376" t="n">
        <x:v>5</x:v>
      </x:c>
      <x:c r="H1376" t="n">
        <x:v>5</x:v>
      </x:c>
      <x:c r="I1376" t="n">
        <x:f>G1376-H1376</x:f>
        <x:v>0</x:v>
      </x:c>
      <x:c r="J1376" s="20" t="n">
        <x:f>IFERROR(H1376/G1376,0)</x:f>
        <x:v>1</x:v>
      </x:c>
      <x:c r="K1376" t="n">
        <x:v>13386</x:v>
      </x:c>
      <x:c r="L1376" t="n">
        <x:v>13393</x:v>
      </x:c>
      <x:c r="M1376" t="n">
        <x:v>13395</x:v>
      </x:c>
      <x:c r="N1376" t="n">
        <x:v>13595</x:v>
      </x:c>
      <x:c r="O1376" t="n">
        <x:v>13844</x:v>
      </x:c>
    </x:row>
    <x:row r="1377">
      <x:c r="A1377" t="str">
        <x:v>Madhya Pradesh</x:v>
      </x:c>
      <x:c r="B1377" t="str">
        <x:v>All India except Central University</x:v>
      </x:c>
      <x:c r="C1377" t="str">
        <x:v>200480</x:v>
      </x:c>
      <x:c r="D1377" t="str">
        <x:v>Government Medical College, Khandwa, MP, Luv-Kush Nagar,Mundi Road,Khandwa (M.P.)</x:v>
      </x:c>
      <x:c r="E1377" t="str">
        <x:v>All India</x:v>
      </x:c>
      <x:c r="F1377" t="str">
        <x:v>Open</x:v>
      </x:c>
      <x:c r="G1377" t="n">
        <x:v>7</x:v>
      </x:c>
      <x:c r="H1377" t="n">
        <x:v>7</x:v>
      </x:c>
      <x:c r="I1377" t="n">
        <x:f>G1377-H1377</x:f>
        <x:v>0</x:v>
      </x:c>
      <x:c r="J1377" s="20" t="n">
        <x:f>IFERROR(H1377/G1377,0)</x:f>
        <x:v>1</x:v>
      </x:c>
      <x:c r="K1377" t="n">
        <x:v>11563</x:v>
      </x:c>
      <x:c r="L1377" t="n">
        <x:v>12129.5</x:v>
      </x:c>
      <x:c r="M1377" t="n">
        <x:v>12819</x:v>
      </x:c>
      <x:c r="N1377" t="n">
        <x:v>13027</x:v>
      </x:c>
      <x:c r="O1377" t="n">
        <x:v>13177</x:v>
      </x:c>
    </x:row>
    <x:row r="1378">
      <x:c r="A1378" t="str">
        <x:v>Madhya Pradesh</x:v>
      </x:c>
      <x:c r="B1378" t="str">
        <x:v>All India except Central University</x:v>
      </x:c>
      <x:c r="C1378" t="str">
        <x:v>200480</x:v>
      </x:c>
      <x:c r="D1378" t="str">
        <x:v>Government Medical College, Khandwa, MP, Luv-Kush Nagar,Mundi Road,Khandwa (M.P.)</x:v>
      </x:c>
      <x:c r="E1378" t="str">
        <x:v>All India</x:v>
      </x:c>
      <x:c r="F1378" t="str">
        <x:v>SC</x:v>
      </x:c>
      <x:c r="G1378" t="n">
        <x:v>3</x:v>
      </x:c>
      <x:c r="H1378" t="n">
        <x:v>3</x:v>
      </x:c>
      <x:c r="I1378" t="n">
        <x:f>G1378-H1378</x:f>
        <x:v>0</x:v>
      </x:c>
      <x:c r="J1378" s="20" t="n">
        <x:f>IFERROR(H1378/G1378,0)</x:f>
        <x:v>1</x:v>
      </x:c>
      <x:c r="K1378" t="n">
        <x:v>68427</x:v>
      </x:c>
      <x:c r="L1378" t="n">
        <x:v>69635.5</x:v>
      </x:c>
      <x:c r="M1378" t="n">
        <x:v>70844</x:v>
      </x:c>
      <x:c r="N1378" t="n">
        <x:v>71521.5</x:v>
      </x:c>
      <x:c r="O1378" t="n">
        <x:v>72199</x:v>
      </x:c>
    </x:row>
    <x:row r="1379">
      <x:c r="A1379" t="str">
        <x:v>Madhya Pradesh</x:v>
      </x:c>
      <x:c r="B1379" t="str">
        <x:v>All India except Central University</x:v>
      </x:c>
      <x:c r="C1379" t="str">
        <x:v>200480</x:v>
      </x:c>
      <x:c r="D1379" t="str">
        <x:v>Government Medical College, Khandwa, MP, Luv-Kush Nagar,Mundi Road,Khandwa (M.P.)</x:v>
      </x:c>
      <x:c r="E1379" t="str">
        <x:v>All India</x:v>
      </x:c>
      <x:c r="F1379" t="str">
        <x:v>ST</x:v>
      </x:c>
      <x:c r="G1379" t="n">
        <x:v>2</x:v>
      </x:c>
      <x:c r="H1379" t="n">
        <x:v>2</x:v>
      </x:c>
      <x:c r="I1379" t="n">
        <x:f>G1379-H1379</x:f>
        <x:v>0</x:v>
      </x:c>
      <x:c r="J1379" s="20" t="n">
        <x:f>IFERROR(H1379/G1379,0)</x:f>
        <x:v>1</x:v>
      </x:c>
      <x:c r="K1379" t="n">
        <x:v>87539</x:v>
      </x:c>
      <x:c r="L1379" t="n">
        <x:v>90352.25</x:v>
      </x:c>
      <x:c r="M1379" t="n">
        <x:v>93165.5</x:v>
      </x:c>
      <x:c r="N1379" t="n">
        <x:v>95978.75</x:v>
      </x:c>
      <x:c r="O1379" t="n">
        <x:v>98792</x:v>
      </x:c>
    </x:row>
    <x:row r="1380">
      <x:c r="A1380" t="str">
        <x:v>Kerala</x:v>
      </x:c>
      <x:c r="B1380" t="str">
        <x:v>All India except Central University</x:v>
      </x:c>
      <x:c r="C1380" t="str">
        <x:v>200624</x:v>
      </x:c>
      <x:c r="D1380" t="str">
        <x:v>Government Medical College, Konni, GOVERNMENT MEDICAL COLLEGE KONNI KUMMANNOOR PO KONNI PATHANAMTHITTA 689691</x:v>
      </x:c>
      <x:c r="E1380" t="str">
        <x:v>All India</x:v>
      </x:c>
      <x:c r="F1380" t="str">
        <x:v>EWS</x:v>
      </x:c>
      <x:c r="G1380" t="n">
        <x:v>1</x:v>
      </x:c>
      <x:c r="H1380" t="n">
        <x:v>1</x:v>
      </x:c>
      <x:c r="I1380" t="n">
        <x:f>G1380-H1380</x:f>
        <x:v>0</x:v>
      </x:c>
      <x:c r="J1380" s="20" t="n">
        <x:f>IFERROR(H1380/G1380,0)</x:f>
        <x:v>1</x:v>
      </x:c>
      <x:c r="K1380" t="n">
        <x:v>22323</x:v>
      </x:c>
      <x:c r="L1380" t="n">
        <x:v>22323</x:v>
      </x:c>
      <x:c r="M1380" t="n">
        <x:v>22323</x:v>
      </x:c>
      <x:c r="N1380" t="n">
        <x:v>22323</x:v>
      </x:c>
      <x:c r="O1380" t="n">
        <x:v>22323</x:v>
      </x:c>
    </x:row>
    <x:row r="1381">
      <x:c r="A1381" t="str">
        <x:v>Kerala</x:v>
      </x:c>
      <x:c r="B1381" t="str">
        <x:v>All India except Central University</x:v>
      </x:c>
      <x:c r="C1381" t="str">
        <x:v>200624</x:v>
      </x:c>
      <x:c r="D1381" t="str">
        <x:v>Government Medical College, Konni, GOVERNMENT MEDICAL COLLEGE KONNI KUMMANNOOR PO KONNI PATHANAMTHITTA 689691</x:v>
      </x:c>
      <x:c r="E1381" t="str">
        <x:v>All India</x:v>
      </x:c>
      <x:c r="F1381" t="str">
        <x:v>OBC</x:v>
      </x:c>
      <x:c r="G1381" t="n">
        <x:v>4</x:v>
      </x:c>
      <x:c r="H1381" t="n">
        <x:v>4</x:v>
      </x:c>
      <x:c r="I1381" t="n">
        <x:f>G1381-H1381</x:f>
        <x:v>0</x:v>
      </x:c>
      <x:c r="J1381" s="20" t="n">
        <x:f>IFERROR(H1381/G1381,0)</x:f>
        <x:v>1</x:v>
      </x:c>
      <x:c r="K1381" t="n">
        <x:v>8070</x:v>
      </x:c>
      <x:c r="L1381" t="n">
        <x:v>8136</x:v>
      </x:c>
      <x:c r="M1381" t="n">
        <x:v>8187.5</x:v>
      </x:c>
      <x:c r="N1381" t="n">
        <x:v>8229.75</x:v>
      </x:c>
      <x:c r="O1381" t="n">
        <x:v>8268</x:v>
      </x:c>
    </x:row>
    <x:row r="1382">
      <x:c r="A1382" t="str">
        <x:v>Kerala</x:v>
      </x:c>
      <x:c r="B1382" t="str">
        <x:v>All India except Central University</x:v>
      </x:c>
      <x:c r="C1382" t="str">
        <x:v>200624</x:v>
      </x:c>
      <x:c r="D1382" t="str">
        <x:v>Government Medical College, Konni, GOVERNMENT MEDICAL COLLEGE KONNI KUMMANNOOR PO KONNI PATHANAMTHITTA 689691</x:v>
      </x:c>
      <x:c r="E1382" t="str">
        <x:v>All India</x:v>
      </x:c>
      <x:c r="F1382" t="str">
        <x:v>Open</x:v>
      </x:c>
      <x:c r="G1382" t="n">
        <x:v>7</x:v>
      </x:c>
      <x:c r="H1382" t="n">
        <x:v>7</x:v>
      </x:c>
      <x:c r="I1382" t="n">
        <x:f>G1382-H1382</x:f>
        <x:v>0</x:v>
      </x:c>
      <x:c r="J1382" s="20" t="n">
        <x:f>IFERROR(H1382/G1382,0)</x:f>
        <x:v>1</x:v>
      </x:c>
      <x:c r="K1382" t="n">
        <x:v>6211</x:v>
      </x:c>
      <x:c r="L1382" t="n">
        <x:v>6848</x:v>
      </x:c>
      <x:c r="M1382" t="n">
        <x:v>7646</x:v>
      </x:c>
      <x:c r="N1382" t="n">
        <x:v>7776</x:v>
      </x:c>
      <x:c r="O1382" t="n">
        <x:v>7976</x:v>
      </x:c>
    </x:row>
    <x:row r="1383">
      <x:c r="A1383" t="str">
        <x:v>Kerala</x:v>
      </x:c>
      <x:c r="B1383" t="str">
        <x:v>All India except Central University</x:v>
      </x:c>
      <x:c r="C1383" t="str">
        <x:v>200624</x:v>
      </x:c>
      <x:c r="D1383" t="str">
        <x:v>Government Medical College, Konni, GOVERNMENT MEDICAL COLLEGE KONNI KUMMANNOOR PO KONNI PATHANAMTHITTA 689691</x:v>
      </x:c>
      <x:c r="E1383" t="str">
        <x:v>All India</x:v>
      </x:c>
      <x:c r="F1383" t="str">
        <x:v>SC</x:v>
      </x:c>
      <x:c r="G1383" t="n">
        <x:v>1</x:v>
      </x:c>
      <x:c r="H1383" t="n">
        <x:v>1</x:v>
      </x:c>
      <x:c r="I1383" t="n">
        <x:f>G1383-H1383</x:f>
        <x:v>0</x:v>
      </x:c>
      <x:c r="J1383" s="20" t="n">
        <x:f>IFERROR(H1383/G1383,0)</x:f>
        <x:v>1</x:v>
      </x:c>
      <x:c r="K1383" t="n">
        <x:v>68032</x:v>
      </x:c>
      <x:c r="L1383" t="n">
        <x:v>68032</x:v>
      </x:c>
      <x:c r="M1383" t="n">
        <x:v>68032</x:v>
      </x:c>
      <x:c r="N1383" t="n">
        <x:v>68032</x:v>
      </x:c>
      <x:c r="O1383" t="n">
        <x:v>68032</x:v>
      </x:c>
    </x:row>
    <x:row r="1384">
      <x:c r="A1384" t="str">
        <x:v>Kerala</x:v>
      </x:c>
      <x:c r="B1384" t="str">
        <x:v>All India except Central University</x:v>
      </x:c>
      <x:c r="C1384" t="str">
        <x:v>200624</x:v>
      </x:c>
      <x:c r="D1384" t="str">
        <x:v>Government Medical College, Konni, GOVERNMENT MEDICAL COLLEGE KONNI KUMMANNOOR PO KONNI PATHANAMTHITTA 689691</x:v>
      </x:c>
      <x:c r="E1384" t="str">
        <x:v>All India</x:v>
      </x:c>
      <x:c r="F1384" t="str">
        <x:v>SC PwD</x:v>
      </x:c>
      <x:c r="G1384" t="n">
        <x:v>1</x:v>
      </x:c>
      <x:c r="H1384" t="n">
        <x:v>1</x:v>
      </x:c>
      <x:c r="I1384" t="n">
        <x:f>G1384-H1384</x:f>
        <x:v>0</x:v>
      </x:c>
      <x:c r="J1384" s="20" t="n">
        <x:f>IFERROR(H1384/G1384,0)</x:f>
        <x:v>1</x:v>
      </x:c>
      <x:c r="K1384" t="n">
        <x:v>1133620</x:v>
      </x:c>
      <x:c r="L1384" t="n">
        <x:v>1133620</x:v>
      </x:c>
      <x:c r="M1384" t="n">
        <x:v>1133620</x:v>
      </x:c>
      <x:c r="N1384" t="n">
        <x:v>1133620</x:v>
      </x:c>
      <x:c r="O1384" t="n">
        <x:v>1133620</x:v>
      </x:c>
    </x:row>
    <x:row r="1385">
      <x:c r="A1385" t="str">
        <x:v>Kerala</x:v>
      </x:c>
      <x:c r="B1385" t="str">
        <x:v>All India except Central University</x:v>
      </x:c>
      <x:c r="C1385" t="str">
        <x:v>200624</x:v>
      </x:c>
      <x:c r="D1385" t="str">
        <x:v>Government Medical College, Konni, GOVERNMENT MEDICAL COLLEGE KONNI KUMMANNOOR PO KONNI PATHANAMTHITTA 689691</x:v>
      </x:c>
      <x:c r="E1385" t="str">
        <x:v>All India</x:v>
      </x:c>
      <x:c r="F1385" t="str">
        <x:v>ST PwD</x:v>
      </x:c>
      <x:c r="G1385" t="n">
        <x:v>1</x:v>
      </x:c>
      <x:c r="H1385" t="n">
        <x:v>0</x:v>
      </x:c>
      <x:c r="I1385" t="n">
        <x:f>G1385-H1385</x:f>
        <x:v>1</x:v>
      </x:c>
      <x:c r="J1385" s="20" t="n">
        <x:f>IFERROR(H1385/G1385,0)</x:f>
        <x:v>0</x:v>
      </x:c>
      <x:c r="K1385"/>
      <x:c r="L1385"/>
      <x:c r="M1385"/>
      <x:c r="N1385"/>
      <x:c r="O1385"/>
    </x:row>
    <x:row r="1386">
      <x:c r="A1386" t="str">
        <x:v>Chhattisgarh</x:v>
      </x:c>
      <x:c r="B1386" t="str">
        <x:v>All India except Central University</x:v>
      </x:c>
      <x:c r="C1386" t="str">
        <x:v>200602</x:v>
      </x:c>
      <x:c r="D1386" t="str">
        <x:v>Government Medical College, Korba, Govt. Medical College, Village Jhagrha, Balco-urga Road, City Korba C.G.</x:v>
      </x:c>
      <x:c r="E1386" t="str">
        <x:v>All India</x:v>
      </x:c>
      <x:c r="F1386" t="str">
        <x:v>EWS</x:v>
      </x:c>
      <x:c r="G1386" t="n">
        <x:v>3</x:v>
      </x:c>
      <x:c r="H1386" t="n">
        <x:v>3</x:v>
      </x:c>
      <x:c r="I1386" t="n">
        <x:f>G1386-H1386</x:f>
        <x:v>0</x:v>
      </x:c>
      <x:c r="J1386" s="20" t="n">
        <x:f>IFERROR(H1386/G1386,0)</x:f>
        <x:v>1</x:v>
      </x:c>
      <x:c r="K1386" t="n">
        <x:v>19726</x:v>
      </x:c>
      <x:c r="L1386" t="n">
        <x:v>20307</x:v>
      </x:c>
      <x:c r="M1386" t="n">
        <x:v>20888</x:v>
      </x:c>
      <x:c r="N1386" t="n">
        <x:v>22205</x:v>
      </x:c>
      <x:c r="O1386" t="n">
        <x:v>23522</x:v>
      </x:c>
    </x:row>
    <x:row r="1387">
      <x:c r="A1387" t="str">
        <x:v>Chhattisgarh</x:v>
      </x:c>
      <x:c r="B1387" t="str">
        <x:v>All India except Central University</x:v>
      </x:c>
      <x:c r="C1387" t="str">
        <x:v>200602</x:v>
      </x:c>
      <x:c r="D1387" t="str">
        <x:v>Government Medical College, Korba, Govt. Medical College, Village Jhagrha, Balco-urga Road, City Korba C.G.</x:v>
      </x:c>
      <x:c r="E1387" t="str">
        <x:v>All India</x:v>
      </x:c>
      <x:c r="F1387" t="str">
        <x:v>OBC</x:v>
      </x:c>
      <x:c r="G1387" t="n">
        <x:v>4</x:v>
      </x:c>
      <x:c r="H1387" t="n">
        <x:v>4</x:v>
      </x:c>
      <x:c r="I1387" t="n">
        <x:f>G1387-H1387</x:f>
        <x:v>0</x:v>
      </x:c>
      <x:c r="J1387" s="20" t="n">
        <x:f>IFERROR(H1387/G1387,0)</x:f>
        <x:v>1</x:v>
      </x:c>
      <x:c r="K1387" t="n">
        <x:v>19011</x:v>
      </x:c>
      <x:c r="L1387" t="n">
        <x:v>19100.25</x:v>
      </x:c>
      <x:c r="M1387" t="n">
        <x:v>19262.5</x:v>
      </x:c>
      <x:c r="N1387" t="n">
        <x:v>19427</x:v>
      </x:c>
      <x:c r="O1387" t="n">
        <x:v>19523</x:v>
      </x:c>
    </x:row>
    <x:row r="1388">
      <x:c r="A1388" t="str">
        <x:v>Chhattisgarh</x:v>
      </x:c>
      <x:c r="B1388" t="str">
        <x:v>All India except Central University</x:v>
      </x:c>
      <x:c r="C1388" t="str">
        <x:v>200602</x:v>
      </x:c>
      <x:c r="D1388" t="str">
        <x:v>Government Medical College, Korba, Govt. Medical College, Village Jhagrha, Balco-urga Road, City Korba C.G.</x:v>
      </x:c>
      <x:c r="E1388" t="str">
        <x:v>All India</x:v>
      </x:c>
      <x:c r="F1388" t="str">
        <x:v>OBC PwD</x:v>
      </x:c>
      <x:c r="G1388" t="n">
        <x:v>1</x:v>
      </x:c>
      <x:c r="H1388" t="n">
        <x:v>1</x:v>
      </x:c>
      <x:c r="I1388" t="n">
        <x:f>G1388-H1388</x:f>
        <x:v>0</x:v>
      </x:c>
      <x:c r="J1388" s="20" t="n">
        <x:f>IFERROR(H1388/G1388,0)</x:f>
        <x:v>1</x:v>
      </x:c>
      <x:c r="K1388" t="n">
        <x:v>655165</x:v>
      </x:c>
      <x:c r="L1388" t="n">
        <x:v>655165</x:v>
      </x:c>
      <x:c r="M1388" t="n">
        <x:v>655165</x:v>
      </x:c>
      <x:c r="N1388" t="n">
        <x:v>655165</x:v>
      </x:c>
      <x:c r="O1388" t="n">
        <x:v>655165</x:v>
      </x:c>
    </x:row>
    <x:row r="1389">
      <x:c r="A1389" t="str">
        <x:v>Chhattisgarh</x:v>
      </x:c>
      <x:c r="B1389" t="str">
        <x:v>All India except Central University</x:v>
      </x:c>
      <x:c r="C1389" t="str">
        <x:v>200602</x:v>
      </x:c>
      <x:c r="D1389" t="str">
        <x:v>Government Medical College, Korba, Govt. Medical College, Village Jhagrha, Balco-urga Road, City Korba C.G.</x:v>
      </x:c>
      <x:c r="E1389" t="str">
        <x:v>All India</x:v>
      </x:c>
      <x:c r="F1389" t="str">
        <x:v>Open</x:v>
      </x:c>
      <x:c r="G1389" t="n">
        <x:v>5</x:v>
      </x:c>
      <x:c r="H1389" t="n">
        <x:v>5</x:v>
      </x:c>
      <x:c r="I1389" t="n">
        <x:f>G1389-H1389</x:f>
        <x:v>0</x:v>
      </x:c>
      <x:c r="J1389" s="20" t="n">
        <x:f>IFERROR(H1389/G1389,0)</x:f>
        <x:v>1</x:v>
      </x:c>
      <x:c r="K1389" t="n">
        <x:v>17649</x:v>
      </x:c>
      <x:c r="L1389" t="n">
        <x:v>18697</x:v>
      </x:c>
      <x:c r="M1389" t="n">
        <x:v>18830</x:v>
      </x:c>
      <x:c r="N1389" t="n">
        <x:v>18838</x:v>
      </x:c>
      <x:c r="O1389" t="n">
        <x:v>18929</x:v>
      </x:c>
    </x:row>
    <x:row r="1390">
      <x:c r="A1390" t="str">
        <x:v>Chhattisgarh</x:v>
      </x:c>
      <x:c r="B1390" t="str">
        <x:v>All India except Central University</x:v>
      </x:c>
      <x:c r="C1390" t="str">
        <x:v>200602</x:v>
      </x:c>
      <x:c r="D1390" t="str">
        <x:v>Government Medical College, Korba, Govt. Medical College, Village Jhagrha, Balco-urga Road, City Korba C.G.</x:v>
      </x:c>
      <x:c r="E1390" t="str">
        <x:v>All India</x:v>
      </x:c>
      <x:c r="F1390" t="str">
        <x:v>Open PwD</x:v>
      </x:c>
      <x:c r="G1390" t="n">
        <x:v>1</x:v>
      </x:c>
      <x:c r="H1390" t="n">
        <x:v>1</x:v>
      </x:c>
      <x:c r="I1390" t="n">
        <x:f>G1390-H1390</x:f>
        <x:v>0</x:v>
      </x:c>
      <x:c r="J1390" s="20" t="n">
        <x:f>IFERROR(H1390/G1390,0)</x:f>
        <x:v>1</x:v>
      </x:c>
      <x:c r="K1390" t="n">
        <x:v>652749</x:v>
      </x:c>
      <x:c r="L1390" t="n">
        <x:v>652749</x:v>
      </x:c>
      <x:c r="M1390" t="n">
        <x:v>652749</x:v>
      </x:c>
      <x:c r="N1390" t="n">
        <x:v>652749</x:v>
      </x:c>
      <x:c r="O1390" t="n">
        <x:v>652749</x:v>
      </x:c>
    </x:row>
    <x:row r="1391">
      <x:c r="A1391" t="str">
        <x:v>Chhattisgarh</x:v>
      </x:c>
      <x:c r="B1391" t="str">
        <x:v>All India except Central University</x:v>
      </x:c>
      <x:c r="C1391" t="str">
        <x:v>200602</x:v>
      </x:c>
      <x:c r="D1391" t="str">
        <x:v>Government Medical College, Korba, Govt. Medical College, Village Jhagrha, Balco-urga Road, City Korba C.G.</x:v>
      </x:c>
      <x:c r="E1391" t="str">
        <x:v>All India</x:v>
      </x:c>
      <x:c r="F1391" t="str">
        <x:v>SC</x:v>
      </x:c>
      <x:c r="G1391" t="n">
        <x:v>3</x:v>
      </x:c>
      <x:c r="H1391" t="n">
        <x:v>3</x:v>
      </x:c>
      <x:c r="I1391" t="n">
        <x:f>G1391-H1391</x:f>
        <x:v>0</x:v>
      </x:c>
      <x:c r="J1391" s="20" t="n">
        <x:f>IFERROR(H1391/G1391,0)</x:f>
        <x:v>1</x:v>
      </x:c>
      <x:c r="K1391" t="n">
        <x:v>92095</x:v>
      </x:c>
      <x:c r="L1391" t="n">
        <x:v>93734</x:v>
      </x:c>
      <x:c r="M1391" t="n">
        <x:v>95373</x:v>
      </x:c>
      <x:c r="N1391" t="n">
        <x:v>96016.5</x:v>
      </x:c>
      <x:c r="O1391" t="n">
        <x:v>96660</x:v>
      </x:c>
    </x:row>
    <x:row r="1392">
      <x:c r="A1392" t="str">
        <x:v>Chhattisgarh</x:v>
      </x:c>
      <x:c r="B1392" t="str">
        <x:v>All India except Central University</x:v>
      </x:c>
      <x:c r="C1392" t="str">
        <x:v>200602</x:v>
      </x:c>
      <x:c r="D1392" t="str">
        <x:v>Government Medical College, Korba, Govt. Medical College, Village Jhagrha, Balco-urga Road, City Korba C.G.</x:v>
      </x:c>
      <x:c r="E1392" t="str">
        <x:v>All India</x:v>
      </x:c>
      <x:c r="F1392" t="str">
        <x:v>ST</x:v>
      </x:c>
      <x:c r="G1392" t="n">
        <x:v>1</x:v>
      </x:c>
      <x:c r="H1392" t="n">
        <x:v>1</x:v>
      </x:c>
      <x:c r="I1392" t="n">
        <x:f>G1392-H1392</x:f>
        <x:v>0</x:v>
      </x:c>
      <x:c r="J1392" s="20" t="n">
        <x:f>IFERROR(H1392/G1392,0)</x:f>
        <x:v>1</x:v>
      </x:c>
      <x:c r="K1392" t="n">
        <x:v>114231</x:v>
      </x:c>
      <x:c r="L1392" t="n">
        <x:v>114231</x:v>
      </x:c>
      <x:c r="M1392" t="n">
        <x:v>114231</x:v>
      </x:c>
      <x:c r="N1392" t="n">
        <x:v>114231</x:v>
      </x:c>
      <x:c r="O1392" t="n">
        <x:v>114231</x:v>
      </x:c>
    </x:row>
    <x:row r="1393">
      <x:c r="A1393" t="str">
        <x:v>Rajasthan</x:v>
      </x:c>
      <x:c r="B1393" t="str">
        <x:v>All India except Central University</x:v>
      </x:c>
      <x:c r="C1393" t="str">
        <x:v>200250</x:v>
      </x:c>
      <x:c r="D1393" t="str">
        <x:v>Government Medical College, Kota, Rangbari Road Kota</x:v>
      </x:c>
      <x:c r="E1393" t="str">
        <x:v>All India</x:v>
      </x:c>
      <x:c r="F1393" t="str">
        <x:v>EWS</x:v>
      </x:c>
      <x:c r="G1393" t="n">
        <x:v>4</x:v>
      </x:c>
      <x:c r="H1393" t="n">
        <x:v>4</x:v>
      </x:c>
      <x:c r="I1393" t="n">
        <x:f>G1393-H1393</x:f>
        <x:v>0</x:v>
      </x:c>
      <x:c r="J1393" s="20" t="n">
        <x:f>IFERROR(H1393/G1393,0)</x:f>
        <x:v>1</x:v>
      </x:c>
      <x:c r="K1393" t="n">
        <x:v>5644</x:v>
      </x:c>
      <x:c r="L1393" t="n">
        <x:v>6053.5</x:v>
      </x:c>
      <x:c r="M1393" t="n">
        <x:v>6260</x:v>
      </x:c>
      <x:c r="N1393" t="n">
        <x:v>6336.75</x:v>
      </x:c>
      <x:c r="O1393" t="n">
        <x:v>6357</x:v>
      </x:c>
    </x:row>
    <x:row r="1394">
      <x:c r="A1394" t="str">
        <x:v>Rajasthan</x:v>
      </x:c>
      <x:c r="B1394" t="str">
        <x:v>All India except Central University</x:v>
      </x:c>
      <x:c r="C1394" t="str">
        <x:v>200250</x:v>
      </x:c>
      <x:c r="D1394" t="str">
        <x:v>Government Medical College, Kota, Rangbari Road Kota</x:v>
      </x:c>
      <x:c r="E1394" t="str">
        <x:v>All India</x:v>
      </x:c>
      <x:c r="F1394" t="str">
        <x:v>OBC</x:v>
      </x:c>
      <x:c r="G1394" t="n">
        <x:v>10</x:v>
      </x:c>
      <x:c r="H1394" t="n">
        <x:v>10</x:v>
      </x:c>
      <x:c r="I1394" t="n">
        <x:f>G1394-H1394</x:f>
        <x:v>0</x:v>
      </x:c>
      <x:c r="J1394" s="20" t="n">
        <x:f>IFERROR(H1394/G1394,0)</x:f>
        <x:v>1</x:v>
      </x:c>
      <x:c r="K1394" t="n">
        <x:v>5031</x:v>
      </x:c>
      <x:c r="L1394" t="n">
        <x:v>5103.25</x:v>
      </x:c>
      <x:c r="M1394" t="n">
        <x:v>5143</x:v>
      </x:c>
      <x:c r="N1394" t="n">
        <x:v>5197</x:v>
      </x:c>
      <x:c r="O1394" t="n">
        <x:v>5279</x:v>
      </x:c>
    </x:row>
    <x:row r="1395">
      <x:c r="A1395" t="str">
        <x:v>Rajasthan</x:v>
      </x:c>
      <x:c r="B1395" t="str">
        <x:v>All India except Central University</x:v>
      </x:c>
      <x:c r="C1395" t="str">
        <x:v>200250</x:v>
      </x:c>
      <x:c r="D1395" t="str">
        <x:v>Government Medical College, Kota, Rangbari Road Kota</x:v>
      </x:c>
      <x:c r="E1395" t="str">
        <x:v>All India</x:v>
      </x:c>
      <x:c r="F1395" t="str">
        <x:v>Open</x:v>
      </x:c>
      <x:c r="G1395" t="n">
        <x:v>13</x:v>
      </x:c>
      <x:c r="H1395" t="n">
        <x:v>13</x:v>
      </x:c>
      <x:c r="I1395" t="n">
        <x:f>G1395-H1395</x:f>
        <x:v>0</x:v>
      </x:c>
      <x:c r="J1395" s="20" t="n">
        <x:f>IFERROR(H1395/G1395,0)</x:f>
        <x:v>1</x:v>
      </x:c>
      <x:c r="K1395" t="n">
        <x:v>2589</x:v>
      </x:c>
      <x:c r="L1395" t="n">
        <x:v>4372</x:v>
      </x:c>
      <x:c r="M1395" t="n">
        <x:v>4826</x:v>
      </x:c>
      <x:c r="N1395" t="n">
        <x:v>4948</x:v>
      </x:c>
      <x:c r="O1395" t="n">
        <x:v>5008</x:v>
      </x:c>
    </x:row>
    <x:row r="1396">
      <x:c r="A1396" t="str">
        <x:v>Rajasthan</x:v>
      </x:c>
      <x:c r="B1396" t="str">
        <x:v>All India except Central University</x:v>
      </x:c>
      <x:c r="C1396" t="str">
        <x:v>200250</x:v>
      </x:c>
      <x:c r="D1396" t="str">
        <x:v>Government Medical College, Kota, Rangbari Road Kota</x:v>
      </x:c>
      <x:c r="E1396" t="str">
        <x:v>All India</x:v>
      </x:c>
      <x:c r="F1396" t="str">
        <x:v>Open PwD</x:v>
      </x:c>
      <x:c r="G1396" t="n">
        <x:v>1</x:v>
      </x:c>
      <x:c r="H1396" t="n">
        <x:v>1</x:v>
      </x:c>
      <x:c r="I1396" t="n">
        <x:f>G1396-H1396</x:f>
        <x:v>0</x:v>
      </x:c>
      <x:c r="J1396" s="20" t="n">
        <x:f>IFERROR(H1396/G1396,0)</x:f>
        <x:v>1</x:v>
      </x:c>
      <x:c r="K1396" t="n">
        <x:v>138683</x:v>
      </x:c>
      <x:c r="L1396" t="n">
        <x:v>138683</x:v>
      </x:c>
      <x:c r="M1396" t="n">
        <x:v>138683</x:v>
      </x:c>
      <x:c r="N1396" t="n">
        <x:v>138683</x:v>
      </x:c>
      <x:c r="O1396" t="n">
        <x:v>138683</x:v>
      </x:c>
    </x:row>
    <x:row r="1397">
      <x:c r="A1397" t="str">
        <x:v>Rajasthan</x:v>
      </x:c>
      <x:c r="B1397" t="str">
        <x:v>All India except Central University</x:v>
      </x:c>
      <x:c r="C1397" t="str">
        <x:v>200250</x:v>
      </x:c>
      <x:c r="D1397" t="str">
        <x:v>Government Medical College, Kota, Rangbari Road Kota</x:v>
      </x:c>
      <x:c r="E1397" t="str">
        <x:v>All India</x:v>
      </x:c>
      <x:c r="F1397" t="str">
        <x:v>SC</x:v>
      </x:c>
      <x:c r="G1397" t="n">
        <x:v>6</x:v>
      </x:c>
      <x:c r="H1397" t="n">
        <x:v>6</x:v>
      </x:c>
      <x:c r="I1397" t="n">
        <x:f>G1397-H1397</x:f>
        <x:v>0</x:v>
      </x:c>
      <x:c r="J1397" s="20" t="n">
        <x:f>IFERROR(H1397/G1397,0)</x:f>
        <x:v>1</x:v>
      </x:c>
      <x:c r="K1397" t="n">
        <x:v>27157</x:v>
      </x:c>
      <x:c r="L1397" t="n">
        <x:v>29420.25</x:v>
      </x:c>
      <x:c r="M1397" t="n">
        <x:v>29796.5</x:v>
      </x:c>
      <x:c r="N1397" t="n">
        <x:v>30715</x:v>
      </x:c>
      <x:c r="O1397" t="n">
        <x:v>30942</x:v>
      </x:c>
    </x:row>
    <x:row r="1398">
      <x:c r="A1398" t="str">
        <x:v>Rajasthan</x:v>
      </x:c>
      <x:c r="B1398" t="str">
        <x:v>All India except Central University</x:v>
      </x:c>
      <x:c r="C1398" t="str">
        <x:v>200250</x:v>
      </x:c>
      <x:c r="D1398" t="str">
        <x:v>Government Medical College, Kota, Rangbari Road Kota</x:v>
      </x:c>
      <x:c r="E1398" t="str">
        <x:v>All India</x:v>
      </x:c>
      <x:c r="F1398" t="str">
        <x:v>ST</x:v>
      </x:c>
      <x:c r="G1398" t="n">
        <x:v>3</x:v>
      </x:c>
      <x:c r="H1398" t="n">
        <x:v>3</x:v>
      </x:c>
      <x:c r="I1398" t="n">
        <x:f>G1398-H1398</x:f>
        <x:v>0</x:v>
      </x:c>
      <x:c r="J1398" s="20" t="n">
        <x:f>IFERROR(H1398/G1398,0)</x:f>
        <x:v>1</x:v>
      </x:c>
      <x:c r="K1398" t="n">
        <x:v>28841</x:v>
      </x:c>
      <x:c r="L1398" t="n">
        <x:v>34291</x:v>
      </x:c>
      <x:c r="M1398" t="n">
        <x:v>39741</x:v>
      </x:c>
      <x:c r="N1398" t="n">
        <x:v>40228.5</x:v>
      </x:c>
      <x:c r="O1398" t="n">
        <x:v>40716</x:v>
      </x:c>
    </x:row>
    <x:row r="1399">
      <x:c r="A1399" t="str">
        <x:v>Kerala</x:v>
      </x:c>
      <x:c r="B1399" t="str">
        <x:v>All India except Central University</x:v>
      </x:c>
      <x:c r="C1399" t="str">
        <x:v>200193</x:v>
      </x:c>
      <x:c r="D1399" t="str">
        <x:v>Government Medical College, Kottayam, GANDHINAGAR P O KOTTAYAM KERALA 686008</x:v>
      </x:c>
      <x:c r="E1399" t="str">
        <x:v>All India</x:v>
      </x:c>
      <x:c r="F1399" t="str">
        <x:v>EWS</x:v>
      </x:c>
      <x:c r="G1399" t="n">
        <x:v>2</x:v>
      </x:c>
      <x:c r="H1399" t="n">
        <x:v>2</x:v>
      </x:c>
      <x:c r="I1399" t="n">
        <x:f>G1399-H1399</x:f>
        <x:v>0</x:v>
      </x:c>
      <x:c r="J1399" s="20" t="n">
        <x:f>IFERROR(H1399/G1399,0)</x:f>
        <x:v>1</x:v>
      </x:c>
      <x:c r="K1399" t="n">
        <x:v>10495</x:v>
      </x:c>
      <x:c r="L1399" t="n">
        <x:v>10622.25</x:v>
      </x:c>
      <x:c r="M1399" t="n">
        <x:v>10749.5</x:v>
      </x:c>
      <x:c r="N1399" t="n">
        <x:v>10876.75</x:v>
      </x:c>
      <x:c r="O1399" t="n">
        <x:v>11004</x:v>
      </x:c>
    </x:row>
    <x:row r="1400">
      <x:c r="A1400" t="str">
        <x:v>Kerala</x:v>
      </x:c>
      <x:c r="B1400" t="str">
        <x:v>All India except Central University</x:v>
      </x:c>
      <x:c r="C1400" t="str">
        <x:v>200193</x:v>
      </x:c>
      <x:c r="D1400" t="str">
        <x:v>Government Medical College, Kottayam, GANDHINAGAR P O KOTTAYAM KERALA 686008</x:v>
      </x:c>
      <x:c r="E1400" t="str">
        <x:v>All India</x:v>
      </x:c>
      <x:c r="F1400" t="str">
        <x:v>OBC</x:v>
      </x:c>
      <x:c r="G1400" t="n">
        <x:v>7</x:v>
      </x:c>
      <x:c r="H1400" t="n">
        <x:v>7</x:v>
      </x:c>
      <x:c r="I1400" t="n">
        <x:f>G1400-H1400</x:f>
        <x:v>0</x:v>
      </x:c>
      <x:c r="J1400" s="20" t="n">
        <x:f>IFERROR(H1400/G1400,0)</x:f>
        <x:v>1</x:v>
      </x:c>
      <x:c r="K1400" t="n">
        <x:v>3079</x:v>
      </x:c>
      <x:c r="L1400" t="n">
        <x:v>3106</x:v>
      </x:c>
      <x:c r="M1400" t="n">
        <x:v>3167</x:v>
      </x:c>
      <x:c r="N1400" t="n">
        <x:v>3184.5</x:v>
      </x:c>
      <x:c r="O1400" t="n">
        <x:v>3223</x:v>
      </x:c>
    </x:row>
    <x:row r="1401">
      <x:c r="A1401" t="str">
        <x:v>Kerala</x:v>
      </x:c>
      <x:c r="B1401" t="str">
        <x:v>All India except Central University</x:v>
      </x:c>
      <x:c r="C1401" t="str">
        <x:v>200193</x:v>
      </x:c>
      <x:c r="D1401" t="str">
        <x:v>Government Medical College, Kottayam, GANDHINAGAR P O KOTTAYAM KERALA 686008</x:v>
      </x:c>
      <x:c r="E1401" t="str">
        <x:v>All India</x:v>
      </x:c>
      <x:c r="F1401" t="str">
        <x:v>Open</x:v>
      </x:c>
      <x:c r="G1401" t="n">
        <x:v>10</x:v>
      </x:c>
      <x:c r="H1401" t="n">
        <x:v>10</x:v>
      </x:c>
      <x:c r="I1401" t="n">
        <x:f>G1401-H1401</x:f>
        <x:v>0</x:v>
      </x:c>
      <x:c r="J1401" s="20" t="n">
        <x:f>IFERROR(H1401/G1401,0)</x:f>
        <x:v>1</x:v>
      </x:c>
      <x:c r="K1401" t="n">
        <x:v>2146</x:v>
      </x:c>
      <x:c r="L1401" t="n">
        <x:v>2289.25</x:v>
      </x:c>
      <x:c r="M1401" t="n">
        <x:v>2535</x:v>
      </x:c>
      <x:c r="N1401" t="n">
        <x:v>2742.5</x:v>
      </x:c>
      <x:c r="O1401" t="n">
        <x:v>2905</x:v>
      </x:c>
    </x:row>
    <x:row r="1402">
      <x:c r="A1402" t="str">
        <x:v>Kerala</x:v>
      </x:c>
      <x:c r="B1402" t="str">
        <x:v>All India except Central University</x:v>
      </x:c>
      <x:c r="C1402" t="str">
        <x:v>200193</x:v>
      </x:c>
      <x:c r="D1402" t="str">
        <x:v>Government Medical College, Kottayam, GANDHINAGAR P O KOTTAYAM KERALA 686008</x:v>
      </x:c>
      <x:c r="E1402" t="str">
        <x:v>All India</x:v>
      </x:c>
      <x:c r="F1402" t="str">
        <x:v>Open PwD</x:v>
      </x:c>
      <x:c r="G1402" t="n">
        <x:v>1</x:v>
      </x:c>
      <x:c r="H1402" t="n">
        <x:v>1</x:v>
      </x:c>
      <x:c r="I1402" t="n">
        <x:f>G1402-H1402</x:f>
        <x:v>0</x:v>
      </x:c>
      <x:c r="J1402" s="20" t="n">
        <x:f>IFERROR(H1402/G1402,0)</x:f>
        <x:v>1</x:v>
      </x:c>
      <x:c r="K1402" t="n">
        <x:v>328819</x:v>
      </x:c>
      <x:c r="L1402" t="n">
        <x:v>328819</x:v>
      </x:c>
      <x:c r="M1402" t="n">
        <x:v>328819</x:v>
      </x:c>
      <x:c r="N1402" t="n">
        <x:v>328819</x:v>
      </x:c>
      <x:c r="O1402" t="n">
        <x:v>328819</x:v>
      </x:c>
    </x:row>
    <x:row r="1403">
      <x:c r="A1403" t="str">
        <x:v>Kerala</x:v>
      </x:c>
      <x:c r="B1403" t="str">
        <x:v>All India except Central University</x:v>
      </x:c>
      <x:c r="C1403" t="str">
        <x:v>200193</x:v>
      </x:c>
      <x:c r="D1403" t="str">
        <x:v>Government Medical College, Kottayam, GANDHINAGAR P O KOTTAYAM KERALA 686008</x:v>
      </x:c>
      <x:c r="E1403" t="str">
        <x:v>All India</x:v>
      </x:c>
      <x:c r="F1403" t="str">
        <x:v>SC</x:v>
      </x:c>
      <x:c r="G1403" t="n">
        <x:v>4</x:v>
      </x:c>
      <x:c r="H1403" t="n">
        <x:v>4</x:v>
      </x:c>
      <x:c r="I1403" t="n">
        <x:f>G1403-H1403</x:f>
        <x:v>0</x:v>
      </x:c>
      <x:c r="J1403" s="20" t="n">
        <x:f>IFERROR(H1403/G1403,0)</x:f>
        <x:v>1</x:v>
      </x:c>
      <x:c r="K1403" t="n">
        <x:v>37230</x:v>
      </x:c>
      <x:c r="L1403" t="n">
        <x:v>40946.25</x:v>
      </x:c>
      <x:c r="M1403" t="n">
        <x:v>42425.5</x:v>
      </x:c>
      <x:c r="N1403" t="n">
        <x:v>42919.25</x:v>
      </x:c>
      <x:c r="O1403" t="n">
        <x:v>43679</x:v>
      </x:c>
    </x:row>
    <x:row r="1404">
      <x:c r="A1404" t="str">
        <x:v>Kerala</x:v>
      </x:c>
      <x:c r="B1404" t="str">
        <x:v>All India except Central University</x:v>
      </x:c>
      <x:c r="C1404" t="str">
        <x:v>200193</x:v>
      </x:c>
      <x:c r="D1404" t="str">
        <x:v>Government Medical College, Kottayam, GANDHINAGAR P O KOTTAYAM KERALA 686008</x:v>
      </x:c>
      <x:c r="E1404" t="str">
        <x:v>All India</x:v>
      </x:c>
      <x:c r="F1404" t="str">
        <x:v>ST</x:v>
      </x:c>
      <x:c r="G1404" t="n">
        <x:v>2</x:v>
      </x:c>
      <x:c r="H1404" t="n">
        <x:v>2</x:v>
      </x:c>
      <x:c r="I1404" t="n">
        <x:f>G1404-H1404</x:f>
        <x:v>0</x:v>
      </x:c>
      <x:c r="J1404" s="20" t="n">
        <x:f>IFERROR(H1404/G1404,0)</x:f>
        <x:v>1</x:v>
      </x:c>
      <x:c r="K1404" t="n">
        <x:v>57695</x:v>
      </x:c>
      <x:c r="L1404" t="n">
        <x:v>60800.75</x:v>
      </x:c>
      <x:c r="M1404" t="n">
        <x:v>63906.5</x:v>
      </x:c>
      <x:c r="N1404" t="n">
        <x:v>67012.25</x:v>
      </x:c>
      <x:c r="O1404" t="n">
        <x:v>70118</x:v>
      </x:c>
    </x:row>
    <x:row r="1405">
      <x:c r="A1405" t="str">
        <x:v>Kerala</x:v>
      </x:c>
      <x:c r="B1405" t="str">
        <x:v>All India except Central University</x:v>
      </x:c>
      <x:c r="C1405" t="str">
        <x:v>200194</x:v>
      </x:c>
      <x:c r="D1405" t="str">
        <x:v>Government Medical College, Kozhikode, Calicut, Principal, Govt. Medical College, Medical College (P.O)- Kozhikode</x:v>
      </x:c>
      <x:c r="E1405" t="str">
        <x:v>All India</x:v>
      </x:c>
      <x:c r="F1405" t="str">
        <x:v>EWS</x:v>
      </x:c>
      <x:c r="G1405" t="n">
        <x:v>4</x:v>
      </x:c>
      <x:c r="H1405" t="n">
        <x:v>4</x:v>
      </x:c>
      <x:c r="I1405" t="n">
        <x:f>G1405-H1405</x:f>
        <x:v>0</x:v>
      </x:c>
      <x:c r="J1405" s="20" t="n">
        <x:f>IFERROR(H1405/G1405,0)</x:f>
        <x:v>1</x:v>
      </x:c>
      <x:c r="K1405" t="n">
        <x:v>3630</x:v>
      </x:c>
      <x:c r="L1405" t="n">
        <x:v>6320.25</x:v>
      </x:c>
      <x:c r="M1405" t="n">
        <x:v>7440</x:v>
      </x:c>
      <x:c r="N1405" t="n">
        <x:v>7885.5</x:v>
      </x:c>
      <x:c r="O1405" t="n">
        <x:v>8553</x:v>
      </x:c>
    </x:row>
    <x:row r="1406">
      <x:c r="A1406" t="str">
        <x:v>Kerala</x:v>
      </x:c>
      <x:c r="B1406" t="str">
        <x:v>All India except Central University</x:v>
      </x:c>
      <x:c r="C1406" t="str">
        <x:v>200194</x:v>
      </x:c>
      <x:c r="D1406" t="str">
        <x:v>Government Medical College, Kozhikode, Calicut, Principal, Govt. Medical College, Medical College (P.O)- Kozhikode</x:v>
      </x:c>
      <x:c r="E1406" t="str">
        <x:v>All India</x:v>
      </x:c>
      <x:c r="F1406" t="str">
        <x:v>OBC</x:v>
      </x:c>
      <x:c r="G1406" t="n">
        <x:v>9</x:v>
      </x:c>
      <x:c r="H1406" t="n">
        <x:v>9</x:v>
      </x:c>
      <x:c r="I1406" t="n">
        <x:f>G1406-H1406</x:f>
        <x:v>0</x:v>
      </x:c>
      <x:c r="J1406" s="20" t="n">
        <x:f>IFERROR(H1406/G1406,0)</x:f>
        <x:v>1</x:v>
      </x:c>
      <x:c r="K1406" t="n">
        <x:v>1320</x:v>
      </x:c>
      <x:c r="L1406" t="n">
        <x:v>1390</x:v>
      </x:c>
      <x:c r="M1406" t="n">
        <x:v>1401</x:v>
      </x:c>
      <x:c r="N1406" t="n">
        <x:v>1514</x:v>
      </x:c>
      <x:c r="O1406" t="n">
        <x:v>1594</x:v>
      </x:c>
    </x:row>
    <x:row r="1407">
      <x:c r="A1407" t="str">
        <x:v>Kerala</x:v>
      </x:c>
      <x:c r="B1407" t="str">
        <x:v>All India except Central University</x:v>
      </x:c>
      <x:c r="C1407" t="str">
        <x:v>200194</x:v>
      </x:c>
      <x:c r="D1407" t="str">
        <x:v>Government Medical College, Kozhikode, Calicut, Principal, Govt. Medical College, Medical College (P.O)- Kozhikode</x:v>
      </x:c>
      <x:c r="E1407" t="str">
        <x:v>All India</x:v>
      </x:c>
      <x:c r="F1407" t="str">
        <x:v>OBC PwD</x:v>
      </x:c>
      <x:c r="G1407" t="n">
        <x:v>1</x:v>
      </x:c>
      <x:c r="H1407" t="n">
        <x:v>1</x:v>
      </x:c>
      <x:c r="I1407" t="n">
        <x:f>G1407-H1407</x:f>
        <x:v>0</x:v>
      </x:c>
      <x:c r="J1407" s="20" t="n">
        <x:f>IFERROR(H1407/G1407,0)</x:f>
        <x:v>1</x:v>
      </x:c>
      <x:c r="K1407" t="n">
        <x:v>188403</x:v>
      </x:c>
      <x:c r="L1407" t="n">
        <x:v>188403</x:v>
      </x:c>
      <x:c r="M1407" t="n">
        <x:v>188403</x:v>
      </x:c>
      <x:c r="N1407" t="n">
        <x:v>188403</x:v>
      </x:c>
      <x:c r="O1407" t="n">
        <x:v>188403</x:v>
      </x:c>
    </x:row>
    <x:row r="1408">
      <x:c r="A1408" t="str">
        <x:v>Kerala</x:v>
      </x:c>
      <x:c r="B1408" t="str">
        <x:v>All India except Central University</x:v>
      </x:c>
      <x:c r="C1408" t="str">
        <x:v>200194</x:v>
      </x:c>
      <x:c r="D1408" t="str">
        <x:v>Government Medical College, Kozhikode, Calicut, Principal, Govt. Medical College, Medical College (P.O)- Kozhikode</x:v>
      </x:c>
      <x:c r="E1408" t="str">
        <x:v>All India</x:v>
      </x:c>
      <x:c r="F1408" t="str">
        <x:v>Open</x:v>
      </x:c>
      <x:c r="G1408" t="n">
        <x:v>13</x:v>
      </x:c>
      <x:c r="H1408" t="n">
        <x:v>13</x:v>
      </x:c>
      <x:c r="I1408" t="n">
        <x:f>G1408-H1408</x:f>
        <x:v>0</x:v>
      </x:c>
      <x:c r="J1408" s="20" t="n">
        <x:f>IFERROR(H1408/G1408,0)</x:f>
        <x:v>1</x:v>
      </x:c>
      <x:c r="K1408" t="n">
        <x:v>234</x:v>
      </x:c>
      <x:c r="L1408" t="n">
        <x:v>466</x:v>
      </x:c>
      <x:c r="M1408" t="n">
        <x:v>826</x:v>
      </x:c>
      <x:c r="N1408" t="n">
        <x:v>976</x:v>
      </x:c>
      <x:c r="O1408" t="n">
        <x:v>1251</x:v>
      </x:c>
    </x:row>
    <x:row r="1409">
      <x:c r="A1409" t="str">
        <x:v>Kerala</x:v>
      </x:c>
      <x:c r="B1409" t="str">
        <x:v>All India except Central University</x:v>
      </x:c>
      <x:c r="C1409" t="str">
        <x:v>200194</x:v>
      </x:c>
      <x:c r="D1409" t="str">
        <x:v>Government Medical College, Kozhikode, Calicut, Principal, Govt. Medical College, Medical College (P.O)- Kozhikode</x:v>
      </x:c>
      <x:c r="E1409" t="str">
        <x:v>All India</x:v>
      </x:c>
      <x:c r="F1409" t="str">
        <x:v>Open PwD</x:v>
      </x:c>
      <x:c r="G1409" t="n">
        <x:v>1</x:v>
      </x:c>
      <x:c r="H1409" t="n">
        <x:v>1</x:v>
      </x:c>
      <x:c r="I1409" t="n">
        <x:f>G1409-H1409</x:f>
        <x:v>0</x:v>
      </x:c>
      <x:c r="J1409" s="20" t="n">
        <x:f>IFERROR(H1409/G1409,0)</x:f>
        <x:v>1</x:v>
      </x:c>
      <x:c r="K1409" t="n">
        <x:v>70006</x:v>
      </x:c>
      <x:c r="L1409" t="n">
        <x:v>70006</x:v>
      </x:c>
      <x:c r="M1409" t="n">
        <x:v>70006</x:v>
      </x:c>
      <x:c r="N1409" t="n">
        <x:v>70006</x:v>
      </x:c>
      <x:c r="O1409" t="n">
        <x:v>70006</x:v>
      </x:c>
    </x:row>
    <x:row r="1410">
      <x:c r="A1410" t="str">
        <x:v>Kerala</x:v>
      </x:c>
      <x:c r="B1410" t="str">
        <x:v>All India except Central University</x:v>
      </x:c>
      <x:c r="C1410" t="str">
        <x:v>200194</x:v>
      </x:c>
      <x:c r="D1410" t="str">
        <x:v>Government Medical College, Kozhikode, Calicut, Principal, Govt. Medical College, Medical College (P.O)- Kozhikode</x:v>
      </x:c>
      <x:c r="E1410" t="str">
        <x:v>All India</x:v>
      </x:c>
      <x:c r="F1410" t="str">
        <x:v>SC</x:v>
      </x:c>
      <x:c r="G1410" t="n">
        <x:v>6</x:v>
      </x:c>
      <x:c r="H1410" t="n">
        <x:v>6</x:v>
      </x:c>
      <x:c r="I1410" t="n">
        <x:f>G1410-H1410</x:f>
        <x:v>0</x:v>
      </x:c>
      <x:c r="J1410" s="20" t="n">
        <x:f>IFERROR(H1410/G1410,0)</x:f>
        <x:v>1</x:v>
      </x:c>
      <x:c r="K1410" t="n">
        <x:v>17686</x:v>
      </x:c>
      <x:c r="L1410" t="n">
        <x:v>23316.5</x:v>
      </x:c>
      <x:c r="M1410" t="n">
        <x:v>26219.5</x:v>
      </x:c>
      <x:c r="N1410" t="n">
        <x:v>28823.25</x:v>
      </x:c>
      <x:c r="O1410" t="n">
        <x:v>33140</x:v>
      </x:c>
    </x:row>
    <x:row r="1411">
      <x:c r="A1411" t="str">
        <x:v>Kerala</x:v>
      </x:c>
      <x:c r="B1411" t="str">
        <x:v>All India except Central University</x:v>
      </x:c>
      <x:c r="C1411" t="str">
        <x:v>200194</x:v>
      </x:c>
      <x:c r="D1411" t="str">
        <x:v>Government Medical College, Kozhikode, Calicut, Principal, Govt. Medical College, Medical College (P.O)- Kozhikode</x:v>
      </x:c>
      <x:c r="E1411" t="str">
        <x:v>All India</x:v>
      </x:c>
      <x:c r="F1411" t="str">
        <x:v>ST</x:v>
      </x:c>
      <x:c r="G1411" t="n">
        <x:v>3</x:v>
      </x:c>
      <x:c r="H1411" t="n">
        <x:v>3</x:v>
      </x:c>
      <x:c r="I1411" t="n">
        <x:f>G1411-H1411</x:f>
        <x:v>0</x:v>
      </x:c>
      <x:c r="J1411" s="20" t="n">
        <x:f>IFERROR(H1411/G1411,0)</x:f>
        <x:v>1</x:v>
      </x:c>
      <x:c r="K1411" t="n">
        <x:v>21815</x:v>
      </x:c>
      <x:c r="L1411" t="n">
        <x:v>28213.5</x:v>
      </x:c>
      <x:c r="M1411" t="n">
        <x:v>34612</x:v>
      </x:c>
      <x:c r="N1411" t="n">
        <x:v>35876</x:v>
      </x:c>
      <x:c r="O1411" t="n">
        <x:v>37140</x:v>
      </x:c>
    </x:row>
    <x:row r="1412">
      <x:c r="A1412" t="str">
        <x:v>Tamil Nadu</x:v>
      </x:c>
      <x:c r="B1412" t="str">
        <x:v>All India except Central University</x:v>
      </x:c>
      <x:c r="C1412" t="str">
        <x:v>200562</x:v>
      </x:c>
      <x:c r="D1412" t="str">
        <x:v>Government Medical College, Krishnagiri, Block-1, Polupalli, Krishnagiri</x:v>
      </x:c>
      <x:c r="E1412" t="str">
        <x:v>All India</x:v>
      </x:c>
      <x:c r="F1412" t="str">
        <x:v>EWS</x:v>
      </x:c>
      <x:c r="G1412" t="n">
        <x:v>3</x:v>
      </x:c>
      <x:c r="H1412" t="n">
        <x:v>3</x:v>
      </x:c>
      <x:c r="I1412" t="n">
        <x:f>G1412-H1412</x:f>
        <x:v>0</x:v>
      </x:c>
      <x:c r="J1412" s="20" t="n">
        <x:f>IFERROR(H1412/G1412,0)</x:f>
        <x:v>1</x:v>
      </x:c>
      <x:c r="K1412" t="n">
        <x:v>25393</x:v>
      </x:c>
      <x:c r="L1412" t="n">
        <x:v>25441</x:v>
      </x:c>
      <x:c r="M1412" t="n">
        <x:v>25489</x:v>
      </x:c>
      <x:c r="N1412" t="n">
        <x:v>26168</x:v>
      </x:c>
      <x:c r="O1412" t="n">
        <x:v>26847</x:v>
      </x:c>
    </x:row>
    <x:row r="1413">
      <x:c r="A1413" t="str">
        <x:v>Tamil Nadu</x:v>
      </x:c>
      <x:c r="B1413" t="str">
        <x:v>All India except Central University</x:v>
      </x:c>
      <x:c r="C1413" t="str">
        <x:v>200562</x:v>
      </x:c>
      <x:c r="D1413" t="str">
        <x:v>Government Medical College, Krishnagiri, Block-1, Polupalli, Krishnagiri</x:v>
      </x:c>
      <x:c r="E1413" t="str">
        <x:v>All India</x:v>
      </x:c>
      <x:c r="F1413" t="str">
        <x:v>OBC</x:v>
      </x:c>
      <x:c r="G1413" t="n">
        <x:v>6</x:v>
      </x:c>
      <x:c r="H1413" t="n">
        <x:v>6</x:v>
      </x:c>
      <x:c r="I1413" t="n">
        <x:f>G1413-H1413</x:f>
        <x:v>0</x:v>
      </x:c>
      <x:c r="J1413" s="20" t="n">
        <x:f>IFERROR(H1413/G1413,0)</x:f>
        <x:v>1</x:v>
      </x:c>
      <x:c r="K1413" t="n">
        <x:v>13529</x:v>
      </x:c>
      <x:c r="L1413" t="n">
        <x:v>13707.5</x:v>
      </x:c>
      <x:c r="M1413" t="n">
        <x:v>13771.5</x:v>
      </x:c>
      <x:c r="N1413" t="n">
        <x:v>13939.75</x:v>
      </x:c>
      <x:c r="O1413" t="n">
        <x:v>13995</x:v>
      </x:c>
    </x:row>
    <x:row r="1414">
      <x:c r="A1414" t="str">
        <x:v>Tamil Nadu</x:v>
      </x:c>
      <x:c r="B1414" t="str">
        <x:v>All India except Central University</x:v>
      </x:c>
      <x:c r="C1414" t="str">
        <x:v>200562</x:v>
      </x:c>
      <x:c r="D1414" t="str">
        <x:v>Government Medical College, Krishnagiri, Block-1, Polupalli, Krishnagiri</x:v>
      </x:c>
      <x:c r="E1414" t="str">
        <x:v>All India</x:v>
      </x:c>
      <x:c r="F1414" t="str">
        <x:v>Open</x:v>
      </x:c>
      <x:c r="G1414" t="n">
        <x:v>8</x:v>
      </x:c>
      <x:c r="H1414" t="n">
        <x:v>8</x:v>
      </x:c>
      <x:c r="I1414" t="n">
        <x:f>G1414-H1414</x:f>
        <x:v>0</x:v>
      </x:c>
      <x:c r="J1414" s="20" t="n">
        <x:f>IFERROR(H1414/G1414,0)</x:f>
        <x:v>1</x:v>
      </x:c>
      <x:c r="K1414" t="n">
        <x:v>10158</x:v>
      </x:c>
      <x:c r="L1414" t="n">
        <x:v>10997.25</x:v>
      </x:c>
      <x:c r="M1414" t="n">
        <x:v>11549.5</x:v>
      </x:c>
      <x:c r="N1414" t="n">
        <x:v>12274.75</x:v>
      </x:c>
      <x:c r="O1414" t="n">
        <x:v>13032</x:v>
      </x:c>
    </x:row>
    <x:row r="1415">
      <x:c r="A1415" t="str">
        <x:v>Tamil Nadu</x:v>
      </x:c>
      <x:c r="B1415" t="str">
        <x:v>All India except Central University</x:v>
      </x:c>
      <x:c r="C1415" t="str">
        <x:v>200562</x:v>
      </x:c>
      <x:c r="D1415" t="str">
        <x:v>Government Medical College, Krishnagiri, Block-1, Polupalli, Krishnagiri</x:v>
      </x:c>
      <x:c r="E1415" t="str">
        <x:v>All India</x:v>
      </x:c>
      <x:c r="F1415" t="str">
        <x:v>SC</x:v>
      </x:c>
      <x:c r="G1415" t="n">
        <x:v>3</x:v>
      </x:c>
      <x:c r="H1415" t="n">
        <x:v>3</x:v>
      </x:c>
      <x:c r="I1415" t="n">
        <x:f>G1415-H1415</x:f>
        <x:v>0</x:v>
      </x:c>
      <x:c r="J1415" s="20" t="n">
        <x:f>IFERROR(H1415/G1415,0)</x:f>
        <x:v>1</x:v>
      </x:c>
      <x:c r="K1415" t="n">
        <x:v>55993</x:v>
      </x:c>
      <x:c r="L1415" t="n">
        <x:v>58173.5</x:v>
      </x:c>
      <x:c r="M1415" t="n">
        <x:v>60354</x:v>
      </x:c>
      <x:c r="N1415" t="n">
        <x:v>61454</x:v>
      </x:c>
      <x:c r="O1415" t="n">
        <x:v>62554</x:v>
      </x:c>
    </x:row>
    <x:row r="1416">
      <x:c r="A1416" t="str">
        <x:v>Tamil Nadu</x:v>
      </x:c>
      <x:c r="B1416" t="str">
        <x:v>All India except Central University</x:v>
      </x:c>
      <x:c r="C1416" t="str">
        <x:v>200562</x:v>
      </x:c>
      <x:c r="D1416" t="str">
        <x:v>Government Medical College, Krishnagiri, Block-1, Polupalli, Krishnagiri</x:v>
      </x:c>
      <x:c r="E1416" t="str">
        <x:v>All India</x:v>
      </x:c>
      <x:c r="F1416" t="str">
        <x:v>ST</x:v>
      </x:c>
      <x:c r="G1416" t="n">
        <x:v>2</x:v>
      </x:c>
      <x:c r="H1416" t="n">
        <x:v>2</x:v>
      </x:c>
      <x:c r="I1416" t="n">
        <x:f>G1416-H1416</x:f>
        <x:v>0</x:v>
      </x:c>
      <x:c r="J1416" s="20" t="n">
        <x:f>IFERROR(H1416/G1416,0)</x:f>
        <x:v>1</x:v>
      </x:c>
      <x:c r="K1416" t="n">
        <x:v>124572</x:v>
      </x:c>
      <x:c r="L1416" t="n">
        <x:v>125066</x:v>
      </x:c>
      <x:c r="M1416" t="n">
        <x:v>125560</x:v>
      </x:c>
      <x:c r="N1416" t="n">
        <x:v>126054</x:v>
      </x:c>
      <x:c r="O1416" t="n">
        <x:v>126548</x:v>
      </x:c>
    </x:row>
    <x:row r="1417">
      <x:c r="A1417" t="str">
        <x:v>Maharashtra</x:v>
      </x:c>
      <x:c r="B1417" t="str">
        <x:v>All India except Central University</x:v>
      </x:c>
      <x:c r="C1417" t="str">
        <x:v>200211</x:v>
      </x:c>
      <x:c r="D1417" t="str">
        <x:v>Government Medical College, Latur, Government Medical College, Latur, Behind Old Railway Station, Near Marwadi Rajasthan Vidyalaya, Lat</x:v>
      </x:c>
      <x:c r="E1417" t="str">
        <x:v>All India</x:v>
      </x:c>
      <x:c r="F1417" t="str">
        <x:v>EWS</x:v>
      </x:c>
      <x:c r="G1417" t="n">
        <x:v>2</x:v>
      </x:c>
      <x:c r="H1417" t="n">
        <x:v>2</x:v>
      </x:c>
      <x:c r="I1417" t="n">
        <x:f>G1417-H1417</x:f>
        <x:v>0</x:v>
      </x:c>
      <x:c r="J1417" s="20" t="n">
        <x:f>IFERROR(H1417/G1417,0)</x:f>
        <x:v>1</x:v>
      </x:c>
      <x:c r="K1417" t="n">
        <x:v>15084</x:v>
      </x:c>
      <x:c r="L1417" t="n">
        <x:v>15475.75</x:v>
      </x:c>
      <x:c r="M1417" t="n">
        <x:v>15867.5</x:v>
      </x:c>
      <x:c r="N1417" t="n">
        <x:v>16259.25</x:v>
      </x:c>
      <x:c r="O1417" t="n">
        <x:v>16651</x:v>
      </x:c>
    </x:row>
    <x:row r="1418">
      <x:c r="A1418" t="str">
        <x:v>Maharashtra</x:v>
      </x:c>
      <x:c r="B1418" t="str">
        <x:v>All India except Central University</x:v>
      </x:c>
      <x:c r="C1418" t="str">
        <x:v>200211</x:v>
      </x:c>
      <x:c r="D1418" t="str">
        <x:v>Government Medical College, Latur, Government Medical College, Latur, Behind Old Railway Station, Near Marwadi Rajasthan Vidyalaya, Lat</x:v>
      </x:c>
      <x:c r="E1418" t="str">
        <x:v>All India</x:v>
      </x:c>
      <x:c r="F1418" t="str">
        <x:v>OBC</x:v>
      </x:c>
      <x:c r="G1418" t="n">
        <x:v>6</x:v>
      </x:c>
      <x:c r="H1418" t="n">
        <x:v>6</x:v>
      </x:c>
      <x:c r="I1418" t="n">
        <x:f>G1418-H1418</x:f>
        <x:v>0</x:v>
      </x:c>
      <x:c r="J1418" s="20" t="n">
        <x:f>IFERROR(H1418/G1418,0)</x:f>
        <x:v>1</x:v>
      </x:c>
      <x:c r="K1418" t="n">
        <x:v>14454</x:v>
      </x:c>
      <x:c r="L1418" t="n">
        <x:v>14822.75</x:v>
      </x:c>
      <x:c r="M1418" t="n">
        <x:v>15067</x:v>
      </x:c>
      <x:c r="N1418" t="n">
        <x:v>15315.75</x:v>
      </x:c>
      <x:c r="O1418" t="n">
        <x:v>15416</x:v>
      </x:c>
    </x:row>
    <x:row r="1419">
      <x:c r="A1419" t="str">
        <x:v>Maharashtra</x:v>
      </x:c>
      <x:c r="B1419" t="str">
        <x:v>All India except Central University</x:v>
      </x:c>
      <x:c r="C1419" t="str">
        <x:v>200211</x:v>
      </x:c>
      <x:c r="D1419" t="str">
        <x:v>Government Medical College, Latur, Government Medical College, Latur, Behind Old Railway Station, Near Marwadi Rajasthan Vidyalaya, Lat</x:v>
      </x:c>
      <x:c r="E1419" t="str">
        <x:v>All India</x:v>
      </x:c>
      <x:c r="F1419" t="str">
        <x:v>Open</x:v>
      </x:c>
      <x:c r="G1419" t="n">
        <x:v>9</x:v>
      </x:c>
      <x:c r="H1419" t="n">
        <x:v>9</x:v>
      </x:c>
      <x:c r="I1419" t="n">
        <x:f>G1419-H1419</x:f>
        <x:v>0</x:v>
      </x:c>
      <x:c r="J1419" s="20" t="n">
        <x:f>IFERROR(H1419/G1419,0)</x:f>
        <x:v>1</x:v>
      </x:c>
      <x:c r="K1419" t="n">
        <x:v>9885</x:v>
      </x:c>
      <x:c r="L1419" t="n">
        <x:v>12564</x:v>
      </x:c>
      <x:c r="M1419" t="n">
        <x:v>13635</x:v>
      </x:c>
      <x:c r="N1419" t="n">
        <x:v>13760</x:v>
      </x:c>
      <x:c r="O1419" t="n">
        <x:v>13905</x:v>
      </x:c>
    </x:row>
    <x:row r="1420">
      <x:c r="A1420" t="str">
        <x:v>Maharashtra</x:v>
      </x:c>
      <x:c r="B1420" t="str">
        <x:v>All India except Central University</x:v>
      </x:c>
      <x:c r="C1420" t="str">
        <x:v>200211</x:v>
      </x:c>
      <x:c r="D1420" t="str">
        <x:v>Government Medical College, Latur, Government Medical College, Latur, Behind Old Railway Station, Near Marwadi Rajasthan Vidyalaya, Lat</x:v>
      </x:c>
      <x:c r="E1420" t="str">
        <x:v>All India</x:v>
      </x:c>
      <x:c r="F1420" t="str">
        <x:v>SC</x:v>
      </x:c>
      <x:c r="G1420" t="n">
        <x:v>3</x:v>
      </x:c>
      <x:c r="H1420" t="n">
        <x:v>3</x:v>
      </x:c>
      <x:c r="I1420" t="n">
        <x:f>G1420-H1420</x:f>
        <x:v>0</x:v>
      </x:c>
      <x:c r="J1420" s="20" t="n">
        <x:f>IFERROR(H1420/G1420,0)</x:f>
        <x:v>1</x:v>
      </x:c>
      <x:c r="K1420" t="n">
        <x:v>65685</x:v>
      </x:c>
      <x:c r="L1420" t="n">
        <x:v>70595.5</x:v>
      </x:c>
      <x:c r="M1420" t="n">
        <x:v>75506</x:v>
      </x:c>
      <x:c r="N1420" t="n">
        <x:v>76224.5</x:v>
      </x:c>
      <x:c r="O1420" t="n">
        <x:v>76943</x:v>
      </x:c>
    </x:row>
    <x:row r="1421">
      <x:c r="A1421" t="str">
        <x:v>Maharashtra</x:v>
      </x:c>
      <x:c r="B1421" t="str">
        <x:v>All India except Central University</x:v>
      </x:c>
      <x:c r="C1421" t="str">
        <x:v>200211</x:v>
      </x:c>
      <x:c r="D1421" t="str">
        <x:v>Government Medical College, Latur, Government Medical College, Latur, Behind Old Railway Station, Near Marwadi Rajasthan Vidyalaya, Lat</x:v>
      </x:c>
      <x:c r="E1421" t="str">
        <x:v>All India</x:v>
      </x:c>
      <x:c r="F1421" t="str">
        <x:v>SC PwD</x:v>
      </x:c>
      <x:c r="G1421" t="n">
        <x:v>1</x:v>
      </x:c>
      <x:c r="H1421" t="n">
        <x:v>1</x:v>
      </x:c>
      <x:c r="I1421" t="n">
        <x:f>G1421-H1421</x:f>
        <x:v>0</x:v>
      </x:c>
      <x:c r="J1421" s="20" t="n">
        <x:f>IFERROR(H1421/G1421,0)</x:f>
        <x:v>1</x:v>
      </x:c>
      <x:c r="K1421" t="n">
        <x:v>484259</x:v>
      </x:c>
      <x:c r="L1421" t="n">
        <x:v>484259</x:v>
      </x:c>
      <x:c r="M1421" t="n">
        <x:v>484259</x:v>
      </x:c>
      <x:c r="N1421" t="n">
        <x:v>484259</x:v>
      </x:c>
      <x:c r="O1421" t="n">
        <x:v>484259</x:v>
      </x:c>
    </x:row>
    <x:row r="1422">
      <x:c r="A1422" t="str">
        <x:v>Maharashtra</x:v>
      </x:c>
      <x:c r="B1422" t="str">
        <x:v>All India except Central University</x:v>
      </x:c>
      <x:c r="C1422" t="str">
        <x:v>200211</x:v>
      </x:c>
      <x:c r="D1422" t="str">
        <x:v>Government Medical College, Latur, Government Medical College, Latur, Behind Old Railway Station, Near Marwadi Rajasthan Vidyalaya, Lat</x:v>
      </x:c>
      <x:c r="E1422" t="str">
        <x:v>All India</x:v>
      </x:c>
      <x:c r="F1422" t="str">
        <x:v>ST</x:v>
      </x:c>
      <x:c r="G1422" t="n">
        <x:v>1</x:v>
      </x:c>
      <x:c r="H1422" t="n">
        <x:v>1</x:v>
      </x:c>
      <x:c r="I1422" t="n">
        <x:f>G1422-H1422</x:f>
        <x:v>0</x:v>
      </x:c>
      <x:c r="J1422" s="20" t="n">
        <x:f>IFERROR(H1422/G1422,0)</x:f>
        <x:v>1</x:v>
      </x:c>
      <x:c r="K1422" t="n">
        <x:v>109268</x:v>
      </x:c>
      <x:c r="L1422" t="n">
        <x:v>109268</x:v>
      </x:c>
      <x:c r="M1422" t="n">
        <x:v>109268</x:v>
      </x:c>
      <x:c r="N1422" t="n">
        <x:v>109268</x:v>
      </x:c>
      <x:c r="O1422" t="n">
        <x:v>109268</x:v>
      </x:c>
    </x:row>
    <x:row r="1423">
      <x:c r="A1423" t="str">
        <x:v>Maharashtra</x:v>
      </x:c>
      <x:c r="B1423" t="str">
        <x:v>All India except Central University</x:v>
      </x:c>
      <x:c r="C1423" t="str">
        <x:v>200211</x:v>
      </x:c>
      <x:c r="D1423" t="str">
        <x:v>Government Medical College, Latur, Government Medical College, Latur, Behind Old Railway Station, Near Marwadi Rajasthan Vidyalaya, Lat</x:v>
      </x:c>
      <x:c r="E1423" t="str">
        <x:v>All India</x:v>
      </x:c>
      <x:c r="F1423" t="str">
        <x:v>ST PwD</x:v>
      </x:c>
      <x:c r="G1423" t="n">
        <x:v>1</x:v>
      </x:c>
      <x:c r="H1423" t="n">
        <x:v>0</x:v>
      </x:c>
      <x:c r="I1423" t="n">
        <x:f>G1423-H1423</x:f>
        <x:v>1</x:v>
      </x:c>
      <x:c r="J1423" s="20" t="n">
        <x:f>IFERROR(H1423/G1423,0)</x:f>
        <x:v>0</x:v>
      </x:c>
      <x:c r="K1423"/>
      <x:c r="L1423"/>
      <x:c r="M1423"/>
      <x:c r="N1423"/>
      <x:c r="O1423"/>
    </x:row>
    <x:row r="1424">
      <x:c r="A1424" t="str">
        <x:v>Andhra Pradesh</x:v>
      </x:c>
      <x:c r="B1424" t="str">
        <x:v>All India except Central University</x:v>
      </x:c>
      <x:c r="C1424" t="str">
        <x:v>200673</x:v>
      </x:c>
      <x:c r="D1424" t="str">
        <x:v>Government Medical College, Machilipatnam, KARA AGRAHARAM, NEAR RADAR STATION, MACHILIPATNAM, KRISHNA DISTRICT, ANDHRA PRADESH -521002</x:v>
      </x:c>
      <x:c r="E1424" t="str">
        <x:v>All India</x:v>
      </x:c>
      <x:c r="F1424" t="str">
        <x:v>EWS</x:v>
      </x:c>
      <x:c r="G1424" t="n">
        <x:v>2</x:v>
      </x:c>
      <x:c r="H1424" t="n">
        <x:v>2</x:v>
      </x:c>
      <x:c r="I1424" t="n">
        <x:f>G1424-H1424</x:f>
        <x:v>0</x:v>
      </x:c>
      <x:c r="J1424" s="20" t="n">
        <x:f>IFERROR(H1424/G1424,0)</x:f>
        <x:v>1</x:v>
      </x:c>
      <x:c r="K1424" t="n">
        <x:v>25892</x:v>
      </x:c>
      <x:c r="L1424" t="n">
        <x:v>26034.5</x:v>
      </x:c>
      <x:c r="M1424" t="n">
        <x:v>26177</x:v>
      </x:c>
      <x:c r="N1424" t="n">
        <x:v>26319.5</x:v>
      </x:c>
      <x:c r="O1424" t="n">
        <x:v>26462</x:v>
      </x:c>
    </x:row>
    <x:row r="1425">
      <x:c r="A1425" t="str">
        <x:v>Andhra Pradesh</x:v>
      </x:c>
      <x:c r="B1425" t="str">
        <x:v>All India except Central University</x:v>
      </x:c>
      <x:c r="C1425" t="str">
        <x:v>200673</x:v>
      </x:c>
      <x:c r="D1425" t="str">
        <x:v>Government Medical College, Machilipatnam, KARA AGRAHARAM, NEAR RADAR STATION, MACHILIPATNAM, KRISHNA DISTRICT, ANDHRA PRADESH -521002</x:v>
      </x:c>
      <x:c r="E1425" t="str">
        <x:v>All India</x:v>
      </x:c>
      <x:c r="F1425" t="str">
        <x:v>OBC</x:v>
      </x:c>
      <x:c r="G1425" t="n">
        <x:v>6</x:v>
      </x:c>
      <x:c r="H1425" t="n">
        <x:v>6</x:v>
      </x:c>
      <x:c r="I1425" t="n">
        <x:f>G1425-H1425</x:f>
        <x:v>0</x:v>
      </x:c>
      <x:c r="J1425" s="20" t="n">
        <x:f>IFERROR(H1425/G1425,0)</x:f>
        <x:v>1</x:v>
      </x:c>
      <x:c r="K1425" t="n">
        <x:v>20839</x:v>
      </x:c>
      <x:c r="L1425" t="n">
        <x:v>21046.75</x:v>
      </x:c>
      <x:c r="M1425" t="n">
        <x:v>21149.5</x:v>
      </x:c>
      <x:c r="N1425" t="n">
        <x:v>21331.75</x:v>
      </x:c>
      <x:c r="O1425" t="n">
        <x:v>21516</x:v>
      </x:c>
    </x:row>
    <x:row r="1426">
      <x:c r="A1426" t="str">
        <x:v>Andhra Pradesh</x:v>
      </x:c>
      <x:c r="B1426" t="str">
        <x:v>All India except Central University</x:v>
      </x:c>
      <x:c r="C1426" t="str">
        <x:v>200673</x:v>
      </x:c>
      <x:c r="D1426" t="str">
        <x:v>Government Medical College, Machilipatnam, KARA AGRAHARAM, NEAR RADAR STATION, MACHILIPATNAM, KRISHNA DISTRICT, ANDHRA PRADESH -521002</x:v>
      </x:c>
      <x:c r="E1426" t="str">
        <x:v>All India</x:v>
      </x:c>
      <x:c r="F1426" t="str">
        <x:v>Open</x:v>
      </x:c>
      <x:c r="G1426" t="n">
        <x:v>8</x:v>
      </x:c>
      <x:c r="H1426" t="n">
        <x:v>8</x:v>
      </x:c>
      <x:c r="I1426" t="n">
        <x:f>G1426-H1426</x:f>
        <x:v>0</x:v>
      </x:c>
      <x:c r="J1426" s="20" t="n">
        <x:f>IFERROR(H1426/G1426,0)</x:f>
        <x:v>1</x:v>
      </x:c>
      <x:c r="K1426" t="n">
        <x:v>20020</x:v>
      </x:c>
      <x:c r="L1426" t="n">
        <x:v>20311.5</x:v>
      </x:c>
      <x:c r="M1426" t="n">
        <x:v>20554</x:v>
      </x:c>
      <x:c r="N1426" t="n">
        <x:v>20594.75</x:v>
      </x:c>
      <x:c r="O1426" t="n">
        <x:v>20637</x:v>
      </x:c>
    </x:row>
    <x:row r="1427">
      <x:c r="A1427" t="str">
        <x:v>Andhra Pradesh</x:v>
      </x:c>
      <x:c r="B1427" t="str">
        <x:v>All India except Central University</x:v>
      </x:c>
      <x:c r="C1427" t="str">
        <x:v>200673</x:v>
      </x:c>
      <x:c r="D1427" t="str">
        <x:v>Government Medical College, Machilipatnam, KARA AGRAHARAM, NEAR RADAR STATION, MACHILIPATNAM, KRISHNA DISTRICT, ANDHRA PRADESH -521002</x:v>
      </x:c>
      <x:c r="E1427" t="str">
        <x:v>All India</x:v>
      </x:c>
      <x:c r="F1427" t="str">
        <x:v>Open PwD</x:v>
      </x:c>
      <x:c r="G1427" t="n">
        <x:v>1</x:v>
      </x:c>
      <x:c r="H1427" t="n">
        <x:v>1</x:v>
      </x:c>
      <x:c r="I1427" t="n">
        <x:f>G1427-H1427</x:f>
        <x:v>0</x:v>
      </x:c>
      <x:c r="J1427" s="20" t="n">
        <x:f>IFERROR(H1427/G1427,0)</x:f>
        <x:v>1</x:v>
      </x:c>
      <x:c r="K1427" t="n">
        <x:v>679282</x:v>
      </x:c>
      <x:c r="L1427" t="n">
        <x:v>679282</x:v>
      </x:c>
      <x:c r="M1427" t="n">
        <x:v>679282</x:v>
      </x:c>
      <x:c r="N1427" t="n">
        <x:v>679282</x:v>
      </x:c>
      <x:c r="O1427" t="n">
        <x:v>679282</x:v>
      </x:c>
    </x:row>
    <x:row r="1428">
      <x:c r="A1428" t="str">
        <x:v>Andhra Pradesh</x:v>
      </x:c>
      <x:c r="B1428" t="str">
        <x:v>All India except Central University</x:v>
      </x:c>
      <x:c r="C1428" t="str">
        <x:v>200673</x:v>
      </x:c>
      <x:c r="D1428" t="str">
        <x:v>Government Medical College, Machilipatnam, KARA AGRAHARAM, NEAR RADAR STATION, MACHILIPATNAM, KRISHNA DISTRICT, ANDHRA PRADESH -521002</x:v>
      </x:c>
      <x:c r="E1428" t="str">
        <x:v>All India</x:v>
      </x:c>
      <x:c r="F1428" t="str">
        <x:v>SC</x:v>
      </x:c>
      <x:c r="G1428" t="n">
        <x:v>3</x:v>
      </x:c>
      <x:c r="H1428" t="n">
        <x:v>3</x:v>
      </x:c>
      <x:c r="I1428" t="n">
        <x:f>G1428-H1428</x:f>
        <x:v>0</x:v>
      </x:c>
      <x:c r="J1428" s="20" t="n">
        <x:f>IFERROR(H1428/G1428,0)</x:f>
        <x:v>1</x:v>
      </x:c>
      <x:c r="K1428" t="n">
        <x:v>78440</x:v>
      </x:c>
      <x:c r="L1428" t="n">
        <x:v>81571</x:v>
      </x:c>
      <x:c r="M1428" t="n">
        <x:v>84702</x:v>
      </x:c>
      <x:c r="N1428" t="n">
        <x:v>85338.5</x:v>
      </x:c>
      <x:c r="O1428" t="n">
        <x:v>85975</x:v>
      </x:c>
    </x:row>
    <x:row r="1429">
      <x:c r="A1429" t="str">
        <x:v>Andhra Pradesh</x:v>
      </x:c>
      <x:c r="B1429" t="str">
        <x:v>All India except Central University</x:v>
      </x:c>
      <x:c r="C1429" t="str">
        <x:v>200673</x:v>
      </x:c>
      <x:c r="D1429" t="str">
        <x:v>Government Medical College, Machilipatnam, KARA AGRAHARAM, NEAR RADAR STATION, MACHILIPATNAM, KRISHNA DISTRICT, ANDHRA PRADESH -521002</x:v>
      </x:c>
      <x:c r="E1429" t="str">
        <x:v>All India</x:v>
      </x:c>
      <x:c r="F1429" t="str">
        <x:v>ST</x:v>
      </x:c>
      <x:c r="G1429" t="n">
        <x:v>2</x:v>
      </x:c>
      <x:c r="H1429" t="n">
        <x:v>2</x:v>
      </x:c>
      <x:c r="I1429" t="n">
        <x:f>G1429-H1429</x:f>
        <x:v>0</x:v>
      </x:c>
      <x:c r="J1429" s="20" t="n">
        <x:f>IFERROR(H1429/G1429,0)</x:f>
        <x:v>1</x:v>
      </x:c>
      <x:c r="K1429" t="n">
        <x:v>108388</x:v>
      </x:c>
      <x:c r="L1429" t="n">
        <x:v>112430.25</x:v>
      </x:c>
      <x:c r="M1429" t="n">
        <x:v>116472.5</x:v>
      </x:c>
      <x:c r="N1429" t="n">
        <x:v>120514.75</x:v>
      </x:c>
      <x:c r="O1429" t="n">
        <x:v>124557</x:v>
      </x:c>
    </x:row>
    <x:row r="1430">
      <x:c r="A1430" t="str">
        <x:v>Telangana</x:v>
      </x:c>
      <x:c r="B1430" t="str">
        <x:v>All India except Central University</x:v>
      </x:c>
      <x:c r="C1430" t="str">
        <x:v>200594</x:v>
      </x:c>
      <x:c r="D1430" t="str">
        <x:v>Government Medical College, Mahabubabad, Government Medical College, Mahabubabad, Servey No 551-1-P ,Torrur Road ,Near SP Office , Mahabubaba</x:v>
      </x:c>
      <x:c r="E1430" t="str">
        <x:v>All India</x:v>
      </x:c>
      <x:c r="F1430" t="str">
        <x:v>EWS</x:v>
      </x:c>
      <x:c r="G1430" t="n">
        <x:v>2</x:v>
      </x:c>
      <x:c r="H1430" t="n">
        <x:v>2</x:v>
      </x:c>
      <x:c r="I1430" t="n">
        <x:f>G1430-H1430</x:f>
        <x:v>0</x:v>
      </x:c>
      <x:c r="J1430" s="20" t="n">
        <x:f>IFERROR(H1430/G1430,0)</x:f>
        <x:v>1</x:v>
      </x:c>
      <x:c r="K1430" t="n">
        <x:v>25787</x:v>
      </x:c>
      <x:c r="L1430" t="n">
        <x:v>25962.5</x:v>
      </x:c>
      <x:c r="M1430" t="n">
        <x:v>26138</x:v>
      </x:c>
      <x:c r="N1430" t="n">
        <x:v>26313.5</x:v>
      </x:c>
      <x:c r="O1430" t="n">
        <x:v>26489</x:v>
      </x:c>
    </x:row>
    <x:row r="1431">
      <x:c r="A1431" t="str">
        <x:v>Telangana</x:v>
      </x:c>
      <x:c r="B1431" t="str">
        <x:v>All India except Central University</x:v>
      </x:c>
      <x:c r="C1431" t="str">
        <x:v>200594</x:v>
      </x:c>
      <x:c r="D1431" t="str">
        <x:v>Government Medical College, Mahabubabad, Government Medical College, Mahabubabad, Servey No 551-1-P ,Torrur Road ,Near SP Office , Mahabubaba</x:v>
      </x:c>
      <x:c r="E1431" t="str">
        <x:v>All India</x:v>
      </x:c>
      <x:c r="F1431" t="str">
        <x:v>OBC</x:v>
      </x:c>
      <x:c r="G1431" t="n">
        <x:v>5</x:v>
      </x:c>
      <x:c r="H1431" t="n">
        <x:v>5</x:v>
      </x:c>
      <x:c r="I1431" t="n">
        <x:f>G1431-H1431</x:f>
        <x:v>0</x:v>
      </x:c>
      <x:c r="J1431" s="20" t="n">
        <x:f>IFERROR(H1431/G1431,0)</x:f>
        <x:v>1</x:v>
      </x:c>
      <x:c r="K1431" t="n">
        <x:v>21132</x:v>
      </x:c>
      <x:c r="L1431" t="n">
        <x:v>21168</x:v>
      </x:c>
      <x:c r="M1431" t="n">
        <x:v>21484</x:v>
      </x:c>
      <x:c r="N1431" t="n">
        <x:v>21518</x:v>
      </x:c>
      <x:c r="O1431" t="n">
        <x:v>21691</x:v>
      </x:c>
    </x:row>
    <x:row r="1432">
      <x:c r="A1432" t="str">
        <x:v>Telangana</x:v>
      </x:c>
      <x:c r="B1432" t="str">
        <x:v>All India except Central University</x:v>
      </x:c>
      <x:c r="C1432" t="str">
        <x:v>200594</x:v>
      </x:c>
      <x:c r="D1432" t="str">
        <x:v>Government Medical College, Mahabubabad, Government Medical College, Mahabubabad, Servey No 551-1-P ,Torrur Road ,Near SP Office , Mahabubaba</x:v>
      </x:c>
      <x:c r="E1432" t="str">
        <x:v>All India</x:v>
      </x:c>
      <x:c r="F1432" t="str">
        <x:v>OBC PwD</x:v>
      </x:c>
      <x:c r="G1432" t="n">
        <x:v>1</x:v>
      </x:c>
      <x:c r="H1432" t="n">
        <x:v>1</x:v>
      </x:c>
      <x:c r="I1432" t="n">
        <x:f>G1432-H1432</x:f>
        <x:v>0</x:v>
      </x:c>
      <x:c r="J1432" s="20" t="n">
        <x:f>IFERROR(H1432/G1432,0)</x:f>
        <x:v>1</x:v>
      </x:c>
      <x:c r="K1432" t="n">
        <x:v>705463</x:v>
      </x:c>
      <x:c r="L1432" t="n">
        <x:v>705463</x:v>
      </x:c>
      <x:c r="M1432" t="n">
        <x:v>705463</x:v>
      </x:c>
      <x:c r="N1432" t="n">
        <x:v>705463</x:v>
      </x:c>
      <x:c r="O1432" t="n">
        <x:v>705463</x:v>
      </x:c>
    </x:row>
    <x:row r="1433">
      <x:c r="A1433" t="str">
        <x:v>Telangana</x:v>
      </x:c>
      <x:c r="B1433" t="str">
        <x:v>All India except Central University</x:v>
      </x:c>
      <x:c r="C1433" t="str">
        <x:v>200594</x:v>
      </x:c>
      <x:c r="D1433" t="str">
        <x:v>Government Medical College, Mahabubabad, Government Medical College, Mahabubabad, Servey No 551-1-P ,Torrur Road ,Near SP Office , Mahabubaba</x:v>
      </x:c>
      <x:c r="E1433" t="str">
        <x:v>All India</x:v>
      </x:c>
      <x:c r="F1433" t="str">
        <x:v>Open</x:v>
      </x:c>
      <x:c r="G1433" t="n">
        <x:v>8</x:v>
      </x:c>
      <x:c r="H1433" t="n">
        <x:v>8</x:v>
      </x:c>
      <x:c r="I1433" t="n">
        <x:f>G1433-H1433</x:f>
        <x:v>0</x:v>
      </x:c>
      <x:c r="J1433" s="20" t="n">
        <x:f>IFERROR(H1433/G1433,0)</x:f>
        <x:v>1</x:v>
      </x:c>
      <x:c r="K1433" t="n">
        <x:v>18721</x:v>
      </x:c>
      <x:c r="L1433" t="n">
        <x:v>19913</x:v>
      </x:c>
      <x:c r="M1433" t="n">
        <x:v>20431.5</x:v>
      </x:c>
      <x:c r="N1433" t="n">
        <x:v>20719</x:v>
      </x:c>
      <x:c r="O1433" t="n">
        <x:v>21018</x:v>
      </x:c>
    </x:row>
    <x:row r="1434">
      <x:c r="A1434" t="str">
        <x:v>Telangana</x:v>
      </x:c>
      <x:c r="B1434" t="str">
        <x:v>All India except Central University</x:v>
      </x:c>
      <x:c r="C1434" t="str">
        <x:v>200594</x:v>
      </x:c>
      <x:c r="D1434" t="str">
        <x:v>Government Medical College, Mahabubabad, Government Medical College, Mahabubabad, Servey No 551-1-P ,Torrur Road ,Near SP Office , Mahabubaba</x:v>
      </x:c>
      <x:c r="E1434" t="str">
        <x:v>All India</x:v>
      </x:c>
      <x:c r="F1434" t="str">
        <x:v>Open PwD</x:v>
      </x:c>
      <x:c r="G1434" t="n">
        <x:v>1</x:v>
      </x:c>
      <x:c r="H1434" t="n">
        <x:v>1</x:v>
      </x:c>
      <x:c r="I1434" t="n">
        <x:f>G1434-H1434</x:f>
        <x:v>0</x:v>
      </x:c>
      <x:c r="J1434" s="20" t="n">
        <x:f>IFERROR(H1434/G1434,0)</x:f>
        <x:v>1</x:v>
      </x:c>
      <x:c r="K1434" t="n">
        <x:v>635245</x:v>
      </x:c>
      <x:c r="L1434" t="n">
        <x:v>635245</x:v>
      </x:c>
      <x:c r="M1434" t="n">
        <x:v>635245</x:v>
      </x:c>
      <x:c r="N1434" t="n">
        <x:v>635245</x:v>
      </x:c>
      <x:c r="O1434" t="n">
        <x:v>635245</x:v>
      </x:c>
    </x:row>
    <x:row r="1435">
      <x:c r="A1435" t="str">
        <x:v>Telangana</x:v>
      </x:c>
      <x:c r="B1435" t="str">
        <x:v>All India except Central University</x:v>
      </x:c>
      <x:c r="C1435" t="str">
        <x:v>200594</x:v>
      </x:c>
      <x:c r="D1435" t="str">
        <x:v>Government Medical College, Mahabubabad, Government Medical College, Mahabubabad, Servey No 551-1-P ,Torrur Road ,Near SP Office , Mahabubaba</x:v>
      </x:c>
      <x:c r="E1435" t="str">
        <x:v>All India</x:v>
      </x:c>
      <x:c r="F1435" t="str">
        <x:v>SC</x:v>
      </x:c>
      <x:c r="G1435" t="n">
        <x:v>3</x:v>
      </x:c>
      <x:c r="H1435" t="n">
        <x:v>3</x:v>
      </x:c>
      <x:c r="I1435" t="n">
        <x:f>G1435-H1435</x:f>
        <x:v>0</x:v>
      </x:c>
      <x:c r="J1435" s="20" t="n">
        <x:f>IFERROR(H1435/G1435,0)</x:f>
        <x:v>1</x:v>
      </x:c>
      <x:c r="K1435" t="n">
        <x:v>95917</x:v>
      </x:c>
      <x:c r="L1435" t="n">
        <x:v>97597.5</x:v>
      </x:c>
      <x:c r="M1435" t="n">
        <x:v>99278</x:v>
      </x:c>
      <x:c r="N1435" t="n">
        <x:v>99727</x:v>
      </x:c>
      <x:c r="O1435" t="n">
        <x:v>100176</x:v>
      </x:c>
    </x:row>
    <x:row r="1436">
      <x:c r="A1436" t="str">
        <x:v>Telangana</x:v>
      </x:c>
      <x:c r="B1436" t="str">
        <x:v>All India except Central University</x:v>
      </x:c>
      <x:c r="C1436" t="str">
        <x:v>200594</x:v>
      </x:c>
      <x:c r="D1436" t="str">
        <x:v>Government Medical College, Mahabubabad, Government Medical College, Mahabubabad, Servey No 551-1-P ,Torrur Road ,Near SP Office , Mahabubaba</x:v>
      </x:c>
      <x:c r="E1436" t="str">
        <x:v>All India</x:v>
      </x:c>
      <x:c r="F1436" t="str">
        <x:v>ST</x:v>
      </x:c>
      <x:c r="G1436" t="n">
        <x:v>2</x:v>
      </x:c>
      <x:c r="H1436" t="n">
        <x:v>2</x:v>
      </x:c>
      <x:c r="I1436" t="n">
        <x:f>G1436-H1436</x:f>
        <x:v>0</x:v>
      </x:c>
      <x:c r="J1436" s="20" t="n">
        <x:f>IFERROR(H1436/G1436,0)</x:f>
        <x:v>1</x:v>
      </x:c>
      <x:c r="K1436" t="n">
        <x:v>125576</x:v>
      </x:c>
      <x:c r="L1436" t="n">
        <x:v>125676.75</x:v>
      </x:c>
      <x:c r="M1436" t="n">
        <x:v>125777.5</x:v>
      </x:c>
      <x:c r="N1436" t="n">
        <x:v>125878.25</x:v>
      </x:c>
      <x:c r="O1436" t="n">
        <x:v>125979</x:v>
      </x:c>
    </x:row>
    <x:row r="1437">
      <x:c r="A1437" t="str">
        <x:v>Telangana</x:v>
      </x:c>
      <x:c r="B1437" t="str">
        <x:v>All India except Central University</x:v>
      </x:c>
      <x:c r="C1437" t="str">
        <x:v>200457</x:v>
      </x:c>
      <x:c r="D1437" t="str">
        <x:v>Government Medical College, Mahabubnagar, Government Medical College Mahabubnagar,Thirumala Hills, Edira Village.Mahabubnagar</x:v>
      </x:c>
      <x:c r="E1437" t="str">
        <x:v>All India</x:v>
      </x:c>
      <x:c r="F1437" t="str">
        <x:v>EWS</x:v>
      </x:c>
      <x:c r="G1437" t="n">
        <x:v>3</x:v>
      </x:c>
      <x:c r="H1437" t="n">
        <x:v>3</x:v>
      </x:c>
      <x:c r="I1437" t="n">
        <x:f>G1437-H1437</x:f>
        <x:v>0</x:v>
      </x:c>
      <x:c r="J1437" s="20" t="n">
        <x:f>IFERROR(H1437/G1437,0)</x:f>
        <x:v>1</x:v>
      </x:c>
      <x:c r="K1437" t="n">
        <x:v>18846</x:v>
      </x:c>
      <x:c r="L1437" t="n">
        <x:v>19501.5</x:v>
      </x:c>
      <x:c r="M1437" t="n">
        <x:v>20157</x:v>
      </x:c>
      <x:c r="N1437" t="n">
        <x:v>20766</x:v>
      </x:c>
      <x:c r="O1437" t="n">
        <x:v>21375</x:v>
      </x:c>
    </x:row>
    <x:row r="1438">
      <x:c r="A1438" t="str">
        <x:v>Telangana</x:v>
      </x:c>
      <x:c r="B1438" t="str">
        <x:v>All India except Central University</x:v>
      </x:c>
      <x:c r="C1438" t="str">
        <x:v>200457</x:v>
      </x:c>
      <x:c r="D1438" t="str">
        <x:v>Government Medical College, Mahabubnagar, Government Medical College Mahabubnagar,Thirumala Hills, Edira Village.Mahabubnagar</x:v>
      </x:c>
      <x:c r="E1438" t="str">
        <x:v>All India</x:v>
      </x:c>
      <x:c r="F1438" t="str">
        <x:v>OBC</x:v>
      </x:c>
      <x:c r="G1438" t="n">
        <x:v>8</x:v>
      </x:c>
      <x:c r="H1438" t="n">
        <x:v>8</x:v>
      </x:c>
      <x:c r="I1438" t="n">
        <x:f>G1438-H1438</x:f>
        <x:v>0</x:v>
      </x:c>
      <x:c r="J1438" s="20" t="n">
        <x:f>IFERROR(H1438/G1438,0)</x:f>
        <x:v>1</x:v>
      </x:c>
      <x:c r="K1438" t="n">
        <x:v>18256</x:v>
      </x:c>
      <x:c r="L1438" t="n">
        <x:v>19065</x:v>
      </x:c>
      <x:c r="M1438" t="n">
        <x:v>19410.5</x:v>
      </x:c>
      <x:c r="N1438" t="n">
        <x:v>19491.75</x:v>
      </x:c>
      <x:c r="O1438" t="n">
        <x:v>19641</x:v>
      </x:c>
    </x:row>
    <x:row r="1439">
      <x:c r="A1439" t="str">
        <x:v>Telangana</x:v>
      </x:c>
      <x:c r="B1439" t="str">
        <x:v>All India except Central University</x:v>
      </x:c>
      <x:c r="C1439" t="str">
        <x:v>200457</x:v>
      </x:c>
      <x:c r="D1439" t="str">
        <x:v>Government Medical College, Mahabubnagar, Government Medical College Mahabubnagar,Thirumala Hills, Edira Village.Mahabubnagar</x:v>
      </x:c>
      <x:c r="E1439" t="str">
        <x:v>All India</x:v>
      </x:c>
      <x:c r="F1439" t="str">
        <x:v>Open</x:v>
      </x:c>
      <x:c r="G1439" t="n">
        <x:v>12</x:v>
      </x:c>
      <x:c r="H1439" t="n">
        <x:v>12</x:v>
      </x:c>
      <x:c r="I1439" t="n">
        <x:f>G1439-H1439</x:f>
        <x:v>0</x:v>
      </x:c>
      <x:c r="J1439" s="20" t="n">
        <x:f>IFERROR(H1439/G1439,0)</x:f>
        <x:v>1</x:v>
      </x:c>
      <x:c r="K1439" t="n">
        <x:v>14817</x:v>
      </x:c>
      <x:c r="L1439" t="n">
        <x:v>16259</x:v>
      </x:c>
      <x:c r="M1439" t="n">
        <x:v>16753</x:v>
      </x:c>
      <x:c r="N1439" t="n">
        <x:v>17267.75</x:v>
      </x:c>
      <x:c r="O1439" t="n">
        <x:v>17629</x:v>
      </x:c>
    </x:row>
    <x:row r="1440">
      <x:c r="A1440" t="str">
        <x:v>Telangana</x:v>
      </x:c>
      <x:c r="B1440" t="str">
        <x:v>All India except Central University</x:v>
      </x:c>
      <x:c r="C1440" t="str">
        <x:v>200457</x:v>
      </x:c>
      <x:c r="D1440" t="str">
        <x:v>Government Medical College, Mahabubnagar, Government Medical College Mahabubnagar,Thirumala Hills, Edira Village.Mahabubnagar</x:v>
      </x:c>
      <x:c r="E1440" t="str">
        <x:v>All India</x:v>
      </x:c>
      <x:c r="F1440" t="str">
        <x:v>SC</x:v>
      </x:c>
      <x:c r="G1440" t="n">
        <x:v>4</x:v>
      </x:c>
      <x:c r="H1440" t="n">
        <x:v>4</x:v>
      </x:c>
      <x:c r="I1440" t="n">
        <x:f>G1440-H1440</x:f>
        <x:v>0</x:v>
      </x:c>
      <x:c r="J1440" s="20" t="n">
        <x:f>IFERROR(H1440/G1440,0)</x:f>
        <x:v>1</x:v>
      </x:c>
      <x:c r="K1440" t="n">
        <x:v>73371</x:v>
      </x:c>
      <x:c r="L1440" t="n">
        <x:v>81639.75</x:v>
      </x:c>
      <x:c r="M1440" t="n">
        <x:v>88401</x:v>
      </x:c>
      <x:c r="N1440" t="n">
        <x:v>92478</x:v>
      </x:c>
      <x:c r="O1440" t="n">
        <x:v>92694</x:v>
      </x:c>
    </x:row>
    <x:row r="1441">
      <x:c r="A1441" t="str">
        <x:v>Telangana</x:v>
      </x:c>
      <x:c r="B1441" t="str">
        <x:v>All India except Central University</x:v>
      </x:c>
      <x:c r="C1441" t="str">
        <x:v>200457</x:v>
      </x:c>
      <x:c r="D1441" t="str">
        <x:v>Government Medical College, Mahabubnagar, Government Medical College Mahabubnagar,Thirumala Hills, Edira Village.Mahabubnagar</x:v>
      </x:c>
      <x:c r="E1441" t="str">
        <x:v>All India</x:v>
      </x:c>
      <x:c r="F1441" t="str">
        <x:v>SC PwD</x:v>
      </x:c>
      <x:c r="G1441" t="n">
        <x:v>1</x:v>
      </x:c>
      <x:c r="H1441" t="n">
        <x:v>1</x:v>
      </x:c>
      <x:c r="I1441" t="n">
        <x:f>G1441-H1441</x:f>
        <x:v>0</x:v>
      </x:c>
      <x:c r="J1441" s="20" t="n">
        <x:f>IFERROR(H1441/G1441,0)</x:f>
        <x:v>1</x:v>
      </x:c>
      <x:c r="K1441" t="n">
        <x:v>555780</x:v>
      </x:c>
      <x:c r="L1441" t="n">
        <x:v>555780</x:v>
      </x:c>
      <x:c r="M1441" t="n">
        <x:v>555780</x:v>
      </x:c>
      <x:c r="N1441" t="n">
        <x:v>555780</x:v>
      </x:c>
      <x:c r="O1441" t="n">
        <x:v>555780</x:v>
      </x:c>
    </x:row>
    <x:row r="1442">
      <x:c r="A1442" t="str">
        <x:v>Telangana</x:v>
      </x:c>
      <x:c r="B1442" t="str">
        <x:v>All India except Central University</x:v>
      </x:c>
      <x:c r="C1442" t="str">
        <x:v>200457</x:v>
      </x:c>
      <x:c r="D1442" t="str">
        <x:v>Government Medical College, Mahabubnagar, Government Medical College Mahabubnagar,Thirumala Hills, Edira Village.Mahabubnagar</x:v>
      </x:c>
      <x:c r="E1442" t="str">
        <x:v>All India</x:v>
      </x:c>
      <x:c r="F1442" t="str">
        <x:v>ST</x:v>
      </x:c>
      <x:c r="G1442" t="n">
        <x:v>2</x:v>
      </x:c>
      <x:c r="H1442" t="n">
        <x:v>2</x:v>
      </x:c>
      <x:c r="I1442" t="n">
        <x:f>G1442-H1442</x:f>
        <x:v>0</x:v>
      </x:c>
      <x:c r="J1442" s="20" t="n">
        <x:f>IFERROR(H1442/G1442,0)</x:f>
        <x:v>1</x:v>
      </x:c>
      <x:c r="K1442" t="n">
        <x:v>75013</x:v>
      </x:c>
      <x:c r="L1442" t="n">
        <x:v>76177.5</x:v>
      </x:c>
      <x:c r="M1442" t="n">
        <x:v>77342</x:v>
      </x:c>
      <x:c r="N1442" t="n">
        <x:v>78506.5</x:v>
      </x:c>
      <x:c r="O1442" t="n">
        <x:v>79671</x:v>
      </x:c>
    </x:row>
    <x:row r="1443">
      <x:c r="A1443" t="str">
        <x:v>Chhattisgarh</x:v>
      </x:c>
      <x:c r="B1443" t="str">
        <x:v>All India except Central University</x:v>
      </x:c>
      <x:c r="C1443" t="str">
        <x:v>200596</x:v>
      </x:c>
      <x:c r="D1443" t="str">
        <x:v>Government Medical College, Mahasamund, In front of Sai temple raipur road village kharora Mahasamund</x:v>
      </x:c>
      <x:c r="E1443" t="str">
        <x:v>All India</x:v>
      </x:c>
      <x:c r="F1443" t="str">
        <x:v>EWS</x:v>
      </x:c>
      <x:c r="G1443" t="n">
        <x:v>1</x:v>
      </x:c>
      <x:c r="H1443" t="n">
        <x:v>1</x:v>
      </x:c>
      <x:c r="I1443" t="n">
        <x:f>G1443-H1443</x:f>
        <x:v>0</x:v>
      </x:c>
      <x:c r="J1443" s="20" t="n">
        <x:f>IFERROR(H1443/G1443,0)</x:f>
        <x:v>1</x:v>
      </x:c>
      <x:c r="K1443" t="n">
        <x:v>20131</x:v>
      </x:c>
      <x:c r="L1443" t="n">
        <x:v>20131</x:v>
      </x:c>
      <x:c r="M1443" t="n">
        <x:v>20131</x:v>
      </x:c>
      <x:c r="N1443" t="n">
        <x:v>20131</x:v>
      </x:c>
      <x:c r="O1443" t="n">
        <x:v>20131</x:v>
      </x:c>
    </x:row>
    <x:row r="1444">
      <x:c r="A1444" t="str">
        <x:v>Chhattisgarh</x:v>
      </x:c>
      <x:c r="B1444" t="str">
        <x:v>All India except Central University</x:v>
      </x:c>
      <x:c r="C1444" t="str">
        <x:v>200596</x:v>
      </x:c>
      <x:c r="D1444" t="str">
        <x:v>Government Medical College, Mahasamund, In front of Sai temple raipur road village kharora Mahasamund</x:v>
      </x:c>
      <x:c r="E1444" t="str">
        <x:v>All India</x:v>
      </x:c>
      <x:c r="F1444" t="str">
        <x:v>OBC</x:v>
      </x:c>
      <x:c r="G1444" t="n">
        <x:v>4</x:v>
      </x:c>
      <x:c r="H1444" t="n">
        <x:v>4</x:v>
      </x:c>
      <x:c r="I1444" t="n">
        <x:f>G1444-H1444</x:f>
        <x:v>0</x:v>
      </x:c>
      <x:c r="J1444" s="20" t="n">
        <x:f>IFERROR(H1444/G1444,0)</x:f>
        <x:v>1</x:v>
      </x:c>
      <x:c r="K1444" t="n">
        <x:v>19476</x:v>
      </x:c>
      <x:c r="L1444" t="n">
        <x:v>19581</x:v>
      </x:c>
      <x:c r="M1444" t="n">
        <x:v>19664</x:v>
      </x:c>
      <x:c r="N1444" t="n">
        <x:v>19760</x:v>
      </x:c>
      <x:c r="O1444" t="n">
        <x:v>19904</x:v>
      </x:c>
    </x:row>
    <x:row r="1445">
      <x:c r="A1445" t="str">
        <x:v>Chhattisgarh</x:v>
      </x:c>
      <x:c r="B1445" t="str">
        <x:v>All India except Central University</x:v>
      </x:c>
      <x:c r="C1445" t="str">
        <x:v>200596</x:v>
      </x:c>
      <x:c r="D1445" t="str">
        <x:v>Government Medical College, Mahasamund, In front of Sai temple raipur road village kharora Mahasamund</x:v>
      </x:c>
      <x:c r="E1445" t="str">
        <x:v>All India</x:v>
      </x:c>
      <x:c r="F1445" t="str">
        <x:v>Open</x:v>
      </x:c>
      <x:c r="G1445" t="n">
        <x:v>10</x:v>
      </x:c>
      <x:c r="H1445" t="n">
        <x:v>10</x:v>
      </x:c>
      <x:c r="I1445" t="n">
        <x:f>G1445-H1445</x:f>
        <x:v>0</x:v>
      </x:c>
      <x:c r="J1445" s="20" t="n">
        <x:f>IFERROR(H1445/G1445,0)</x:f>
        <x:v>1</x:v>
      </x:c>
      <x:c r="K1445" t="n">
        <x:v>14889</x:v>
      </x:c>
      <x:c r="L1445" t="n">
        <x:v>17333.25</x:v>
      </x:c>
      <x:c r="M1445" t="n">
        <x:v>17990</x:v>
      </x:c>
      <x:c r="N1445" t="n">
        <x:v>18747.25</x:v>
      </x:c>
      <x:c r="O1445" t="n">
        <x:v>19104</x:v>
      </x:c>
    </x:row>
    <x:row r="1446">
      <x:c r="A1446" t="str">
        <x:v>Chhattisgarh</x:v>
      </x:c>
      <x:c r="B1446" t="str">
        <x:v>All India except Central University</x:v>
      </x:c>
      <x:c r="C1446" t="str">
        <x:v>200596</x:v>
      </x:c>
      <x:c r="D1446" t="str">
        <x:v>Government Medical College, Mahasamund, In front of Sai temple raipur road village kharora Mahasamund</x:v>
      </x:c>
      <x:c r="E1446" t="str">
        <x:v>All India</x:v>
      </x:c>
      <x:c r="F1446" t="str">
        <x:v>SC</x:v>
      </x:c>
      <x:c r="G1446" t="n">
        <x:v>2</x:v>
      </x:c>
      <x:c r="H1446" t="n">
        <x:v>2</x:v>
      </x:c>
      <x:c r="I1446" t="n">
        <x:f>G1446-H1446</x:f>
        <x:v>0</x:v>
      </x:c>
      <x:c r="J1446" s="20" t="n">
        <x:f>IFERROR(H1446/G1446,0)</x:f>
        <x:v>1</x:v>
      </x:c>
      <x:c r="K1446" t="n">
        <x:v>95341</x:v>
      </x:c>
      <x:c r="L1446" t="n">
        <x:v>96232</x:v>
      </x:c>
      <x:c r="M1446" t="n">
        <x:v>97123</x:v>
      </x:c>
      <x:c r="N1446" t="n">
        <x:v>98014</x:v>
      </x:c>
      <x:c r="O1446" t="n">
        <x:v>98905</x:v>
      </x:c>
    </x:row>
    <x:row r="1447">
      <x:c r="A1447" t="str">
        <x:v>Chhattisgarh</x:v>
      </x:c>
      <x:c r="B1447" t="str">
        <x:v>All India except Central University</x:v>
      </x:c>
      <x:c r="C1447" t="str">
        <x:v>200596</x:v>
      </x:c>
      <x:c r="D1447" t="str">
        <x:v>Government Medical College, Mahasamund, In front of Sai temple raipur road village kharora Mahasamund</x:v>
      </x:c>
      <x:c r="E1447" t="str">
        <x:v>All India</x:v>
      </x:c>
      <x:c r="F1447" t="str">
        <x:v>ST</x:v>
      </x:c>
      <x:c r="G1447" t="n">
        <x:v>1</x:v>
      </x:c>
      <x:c r="H1447" t="n">
        <x:v>1</x:v>
      </x:c>
      <x:c r="I1447" t="n">
        <x:f>G1447-H1447</x:f>
        <x:v>0</x:v>
      </x:c>
      <x:c r="J1447" s="20" t="n">
        <x:f>IFERROR(H1447/G1447,0)</x:f>
        <x:v>1</x:v>
      </x:c>
      <x:c r="K1447" t="n">
        <x:v>120726</x:v>
      </x:c>
      <x:c r="L1447" t="n">
        <x:v>120726</x:v>
      </x:c>
      <x:c r="M1447" t="n">
        <x:v>120726</x:v>
      </x:c>
      <x:c r="N1447" t="n">
        <x:v>120726</x:v>
      </x:c>
      <x:c r="O1447" t="n">
        <x:v>120726</x:v>
      </x:c>
    </x:row>
    <x:row r="1448">
      <x:c r="A1448" t="str">
        <x:v>Telangana</x:v>
      </x:c>
      <x:c r="B1448" t="str">
        <x:v>All India except Central University</x:v>
      </x:c>
      <x:c r="C1448" t="str">
        <x:v>903350</x:v>
      </x:c>
      <x:c r="D1448" t="str">
        <x:v>Government Medical College, Maheshwaram, BIET COLLEGE CAMPUS, MANGALPALLY VILLAGE, IBRAHIMPATNAM, RANGAREDDY DISTRICT</x:v>
      </x:c>
      <x:c r="E1448" t="str">
        <x:v>All India</x:v>
      </x:c>
      <x:c r="F1448" t="str">
        <x:v>EWS</x:v>
      </x:c>
      <x:c r="G1448" t="n">
        <x:v>1</x:v>
      </x:c>
      <x:c r="H1448" t="n">
        <x:v>1</x:v>
      </x:c>
      <x:c r="I1448" t="n">
        <x:f>G1448-H1448</x:f>
        <x:v>0</x:v>
      </x:c>
      <x:c r="J1448" s="20" t="n">
        <x:f>IFERROR(H1448/G1448,0)</x:f>
        <x:v>1</x:v>
      </x:c>
      <x:c r="K1448" t="n">
        <x:v>25283</x:v>
      </x:c>
      <x:c r="L1448" t="n">
        <x:v>25283</x:v>
      </x:c>
      <x:c r="M1448" t="n">
        <x:v>25283</x:v>
      </x:c>
      <x:c r="N1448" t="n">
        <x:v>25283</x:v>
      </x:c>
      <x:c r="O1448" t="n">
        <x:v>25283</x:v>
      </x:c>
    </x:row>
    <x:row r="1449">
      <x:c r="A1449" t="str">
        <x:v>Telangana</x:v>
      </x:c>
      <x:c r="B1449" t="str">
        <x:v>All India except Central University</x:v>
      </x:c>
      <x:c r="C1449" t="str">
        <x:v>903350</x:v>
      </x:c>
      <x:c r="D1449" t="str">
        <x:v>Government Medical College, Maheshwaram, BIET COLLEGE CAMPUS, MANGALPALLY VILLAGE, IBRAHIMPATNAM, RANGAREDDY DISTRICT</x:v>
      </x:c>
      <x:c r="E1449" t="str">
        <x:v>All India</x:v>
      </x:c>
      <x:c r="F1449" t="str">
        <x:v>OBC</x:v>
      </x:c>
      <x:c r="G1449" t="n">
        <x:v>2</x:v>
      </x:c>
      <x:c r="H1449" t="n">
        <x:v>2</x:v>
      </x:c>
      <x:c r="I1449" t="n">
        <x:f>G1449-H1449</x:f>
        <x:v>0</x:v>
      </x:c>
      <x:c r="J1449" s="20" t="n">
        <x:f>IFERROR(H1449/G1449,0)</x:f>
        <x:v>1</x:v>
      </x:c>
      <x:c r="K1449" t="n">
        <x:v>21371</x:v>
      </x:c>
      <x:c r="L1449" t="n">
        <x:v>21556.75</x:v>
      </x:c>
      <x:c r="M1449" t="n">
        <x:v>21742.5</x:v>
      </x:c>
      <x:c r="N1449" t="n">
        <x:v>21928.25</x:v>
      </x:c>
      <x:c r="O1449" t="n">
        <x:v>22114</x:v>
      </x:c>
    </x:row>
    <x:row r="1450">
      <x:c r="A1450" t="str">
        <x:v>Telangana</x:v>
      </x:c>
      <x:c r="B1450" t="str">
        <x:v>All India except Central University</x:v>
      </x:c>
      <x:c r="C1450" t="str">
        <x:v>903350</x:v>
      </x:c>
      <x:c r="D1450" t="str">
        <x:v>Government Medical College, Maheshwaram, BIET COLLEGE CAMPUS, MANGALPALLY VILLAGE, IBRAHIMPATNAM, RANGAREDDY DISTRICT</x:v>
      </x:c>
      <x:c r="E1450" t="str">
        <x:v>All India</x:v>
      </x:c>
      <x:c r="F1450" t="str">
        <x:v>Open</x:v>
      </x:c>
      <x:c r="G1450" t="n">
        <x:v>3</x:v>
      </x:c>
      <x:c r="H1450" t="n">
        <x:v>3</x:v>
      </x:c>
      <x:c r="I1450" t="n">
        <x:f>G1450-H1450</x:f>
        <x:v>0</x:v>
      </x:c>
      <x:c r="J1450" s="20" t="n">
        <x:f>IFERROR(H1450/G1450,0)</x:f>
        <x:v>1</x:v>
      </x:c>
      <x:c r="K1450" t="n">
        <x:v>19001</x:v>
      </x:c>
      <x:c r="L1450" t="n">
        <x:v>19366.5</x:v>
      </x:c>
      <x:c r="M1450" t="n">
        <x:v>19732</x:v>
      </x:c>
      <x:c r="N1450" t="n">
        <x:v>19972</x:v>
      </x:c>
      <x:c r="O1450" t="n">
        <x:v>20212</x:v>
      </x:c>
    </x:row>
    <x:row r="1451">
      <x:c r="A1451" t="str">
        <x:v>Telangana</x:v>
      </x:c>
      <x:c r="B1451" t="str">
        <x:v>All India except Central University</x:v>
      </x:c>
      <x:c r="C1451" t="str">
        <x:v>903350</x:v>
      </x:c>
      <x:c r="D1451" t="str">
        <x:v>Government Medical College, Maheshwaram, BIET COLLEGE CAMPUS, MANGALPALLY VILLAGE, IBRAHIMPATNAM, RANGAREDDY DISTRICT</x:v>
      </x:c>
      <x:c r="E1451" t="str">
        <x:v>All India</x:v>
      </x:c>
      <x:c r="F1451" t="str">
        <x:v>SC</x:v>
      </x:c>
      <x:c r="G1451" t="n">
        <x:v>1</x:v>
      </x:c>
      <x:c r="H1451" t="n">
        <x:v>1</x:v>
      </x:c>
      <x:c r="I1451" t="n">
        <x:f>G1451-H1451</x:f>
        <x:v>0</x:v>
      </x:c>
      <x:c r="J1451" s="20" t="n">
        <x:f>IFERROR(H1451/G1451,0)</x:f>
        <x:v>1</x:v>
      </x:c>
      <x:c r="K1451" t="n">
        <x:v>98101</x:v>
      </x:c>
      <x:c r="L1451" t="n">
        <x:v>98101</x:v>
      </x:c>
      <x:c r="M1451" t="n">
        <x:v>98101</x:v>
      </x:c>
      <x:c r="N1451" t="n">
        <x:v>98101</x:v>
      </x:c>
      <x:c r="O1451" t="n">
        <x:v>98101</x:v>
      </x:c>
    </x:row>
    <x:row r="1452">
      <x:c r="A1452" t="str">
        <x:v>Telangana</x:v>
      </x:c>
      <x:c r="B1452" t="str">
        <x:v>All India except Central University</x:v>
      </x:c>
      <x:c r="C1452" t="str">
        <x:v>200643</x:v>
      </x:c>
      <x:c r="D1452" t="str">
        <x:v>Government Medical College, Mancherial, Government Medical College Mancherial, Gudipet Haziput mandal, Mancherial District, Telangana, 5042</x:v>
      </x:c>
      <x:c r="E1452" t="str">
        <x:v>All India</x:v>
      </x:c>
      <x:c r="F1452" t="str">
        <x:v>EWS</x:v>
      </x:c>
      <x:c r="G1452" t="n">
        <x:v>1</x:v>
      </x:c>
      <x:c r="H1452" t="n">
        <x:v>1</x:v>
      </x:c>
      <x:c r="I1452" t="n">
        <x:f>G1452-H1452</x:f>
        <x:v>0</x:v>
      </x:c>
      <x:c r="J1452" s="20" t="n">
        <x:f>IFERROR(H1452/G1452,0)</x:f>
        <x:v>1</x:v>
      </x:c>
      <x:c r="K1452" t="n">
        <x:v>24287</x:v>
      </x:c>
      <x:c r="L1452" t="n">
        <x:v>24287</x:v>
      </x:c>
      <x:c r="M1452" t="n">
        <x:v>24287</x:v>
      </x:c>
      <x:c r="N1452" t="n">
        <x:v>24287</x:v>
      </x:c>
      <x:c r="O1452" t="n">
        <x:v>24287</x:v>
      </x:c>
    </x:row>
    <x:row r="1453">
      <x:c r="A1453" t="str">
        <x:v>Telangana</x:v>
      </x:c>
      <x:c r="B1453" t="str">
        <x:v>All India except Central University</x:v>
      </x:c>
      <x:c r="C1453" t="str">
        <x:v>200643</x:v>
      </x:c>
      <x:c r="D1453" t="str">
        <x:v>Government Medical College, Mancherial, Government Medical College Mancherial, Gudipet Haziput mandal, Mancherial District, Telangana, 5042</x:v>
      </x:c>
      <x:c r="E1453" t="str">
        <x:v>All India</x:v>
      </x:c>
      <x:c r="F1453" t="str">
        <x:v>OBC</x:v>
      </x:c>
      <x:c r="G1453" t="n">
        <x:v>4</x:v>
      </x:c>
      <x:c r="H1453" t="n">
        <x:v>4</x:v>
      </x:c>
      <x:c r="I1453" t="n">
        <x:f>G1453-H1453</x:f>
        <x:v>0</x:v>
      </x:c>
      <x:c r="J1453" s="20" t="n">
        <x:f>IFERROR(H1453/G1453,0)</x:f>
        <x:v>1</x:v>
      </x:c>
      <x:c r="K1453" t="n">
        <x:v>21725</x:v>
      </x:c>
      <x:c r="L1453" t="n">
        <x:v>21877.25</x:v>
      </x:c>
      <x:c r="M1453" t="n">
        <x:v>22071.5</x:v>
      </x:c>
      <x:c r="N1453" t="n">
        <x:v>22297.5</x:v>
      </x:c>
      <x:c r="O1453" t="n">
        <x:v>22545</x:v>
      </x:c>
    </x:row>
    <x:row r="1454">
      <x:c r="A1454" t="str">
        <x:v>Telangana</x:v>
      </x:c>
      <x:c r="B1454" t="str">
        <x:v>All India except Central University</x:v>
      </x:c>
      <x:c r="C1454" t="str">
        <x:v>200643</x:v>
      </x:c>
      <x:c r="D1454" t="str">
        <x:v>Government Medical College, Mancherial, Government Medical College Mancherial, Gudipet Haziput mandal, Mancherial District, Telangana, 5042</x:v>
      </x:c>
      <x:c r="E1454" t="str">
        <x:v>All India</x:v>
      </x:c>
      <x:c r="F1454" t="str">
        <x:v>Open</x:v>
      </x:c>
      <x:c r="G1454" t="n">
        <x:v>5</x:v>
      </x:c>
      <x:c r="H1454" t="n">
        <x:v>5</x:v>
      </x:c>
      <x:c r="I1454" t="n">
        <x:f>G1454-H1454</x:f>
        <x:v>0</x:v>
      </x:c>
      <x:c r="J1454" s="20" t="n">
        <x:f>IFERROR(H1454/G1454,0)</x:f>
        <x:v>1</x:v>
      </x:c>
      <x:c r="K1454" t="n">
        <x:v>9836</x:v>
      </x:c>
      <x:c r="L1454" t="n">
        <x:v>15506</x:v>
      </x:c>
      <x:c r="M1454" t="n">
        <x:v>20586</x:v>
      </x:c>
      <x:c r="N1454" t="n">
        <x:v>21055</x:v>
      </x:c>
      <x:c r="O1454" t="n">
        <x:v>21357</x:v>
      </x:c>
    </x:row>
    <x:row r="1455">
      <x:c r="A1455" t="str">
        <x:v>Telangana</x:v>
      </x:c>
      <x:c r="B1455" t="str">
        <x:v>All India except Central University</x:v>
      </x:c>
      <x:c r="C1455" t="str">
        <x:v>200643</x:v>
      </x:c>
      <x:c r="D1455" t="str">
        <x:v>Government Medical College, Mancherial, Government Medical College Mancherial, Gudipet Haziput mandal, Mancherial District, Telangana, 5042</x:v>
      </x:c>
      <x:c r="E1455" t="str">
        <x:v>All India</x:v>
      </x:c>
      <x:c r="F1455" t="str">
        <x:v>Open PwD</x:v>
      </x:c>
      <x:c r="G1455" t="n">
        <x:v>1</x:v>
      </x:c>
      <x:c r="H1455" t="n">
        <x:v>1</x:v>
      </x:c>
      <x:c r="I1455" t="n">
        <x:f>G1455-H1455</x:f>
        <x:v>0</x:v>
      </x:c>
      <x:c r="J1455" s="20" t="n">
        <x:f>IFERROR(H1455/G1455,0)</x:f>
        <x:v>1</x:v>
      </x:c>
      <x:c r="K1455" t="n">
        <x:v>643409</x:v>
      </x:c>
      <x:c r="L1455" t="n">
        <x:v>643409</x:v>
      </x:c>
      <x:c r="M1455" t="n">
        <x:v>643409</x:v>
      </x:c>
      <x:c r="N1455" t="n">
        <x:v>643409</x:v>
      </x:c>
      <x:c r="O1455" t="n">
        <x:v>643409</x:v>
      </x:c>
    </x:row>
    <x:row r="1456">
      <x:c r="A1456" t="str">
        <x:v>Telangana</x:v>
      </x:c>
      <x:c r="B1456" t="str">
        <x:v>All India except Central University</x:v>
      </x:c>
      <x:c r="C1456" t="str">
        <x:v>200643</x:v>
      </x:c>
      <x:c r="D1456" t="str">
        <x:v>Government Medical College, Mancherial, Government Medical College Mancherial, Gudipet Haziput mandal, Mancherial District, Telangana, 5042</x:v>
      </x:c>
      <x:c r="E1456" t="str">
        <x:v>All India</x:v>
      </x:c>
      <x:c r="F1456" t="str">
        <x:v>SC</x:v>
      </x:c>
      <x:c r="G1456" t="n">
        <x:v>2</x:v>
      </x:c>
      <x:c r="H1456" t="n">
        <x:v>2</x:v>
      </x:c>
      <x:c r="I1456" t="n">
        <x:f>G1456-H1456</x:f>
        <x:v>0</x:v>
      </x:c>
      <x:c r="J1456" s="20" t="n">
        <x:f>IFERROR(H1456/G1456,0)</x:f>
        <x:v>1</x:v>
      </x:c>
      <x:c r="K1456" t="n">
        <x:v>66009</x:v>
      </x:c>
      <x:c r="L1456" t="n">
        <x:v>72215.5</x:v>
      </x:c>
      <x:c r="M1456" t="n">
        <x:v>78422</x:v>
      </x:c>
      <x:c r="N1456" t="n">
        <x:v>84628.5</x:v>
      </x:c>
      <x:c r="O1456" t="n">
        <x:v>90835</x:v>
      </x:c>
    </x:row>
    <x:row r="1457">
      <x:c r="A1457" t="str">
        <x:v>Telangana</x:v>
      </x:c>
      <x:c r="B1457" t="str">
        <x:v>All India except Central University</x:v>
      </x:c>
      <x:c r="C1457" t="str">
        <x:v>200643</x:v>
      </x:c>
      <x:c r="D1457" t="str">
        <x:v>Government Medical College, Mancherial, Government Medical College Mancherial, Gudipet Haziput mandal, Mancherial District, Telangana, 5042</x:v>
      </x:c>
      <x:c r="E1457" t="str">
        <x:v>All India</x:v>
      </x:c>
      <x:c r="F1457" t="str">
        <x:v>ST</x:v>
      </x:c>
      <x:c r="G1457" t="n">
        <x:v>2</x:v>
      </x:c>
      <x:c r="H1457" t="n">
        <x:v>2</x:v>
      </x:c>
      <x:c r="I1457" t="n">
        <x:f>G1457-H1457</x:f>
        <x:v>0</x:v>
      </x:c>
      <x:c r="J1457" s="20" t="n">
        <x:f>IFERROR(H1457/G1457,0)</x:f>
        <x:v>1</x:v>
      </x:c>
      <x:c r="K1457" t="n">
        <x:v>117653</x:v>
      </x:c>
      <x:c r="L1457" t="n">
        <x:v>119547.5</x:v>
      </x:c>
      <x:c r="M1457" t="n">
        <x:v>121442</x:v>
      </x:c>
      <x:c r="N1457" t="n">
        <x:v>123336.5</x:v>
      </x:c>
      <x:c r="O1457" t="n">
        <x:v>125231</x:v>
      </x:c>
    </x:row>
    <x:row r="1458">
      <x:c r="A1458" t="str">
        <x:v>Kerala</x:v>
      </x:c>
      <x:c r="B1458" t="str">
        <x:v>All India except Central University</x:v>
      </x:c>
      <x:c r="C1458" t="str">
        <x:v>200183</x:v>
      </x:c>
      <x:c r="D1458" t="str">
        <x:v>Government Medical College, Manjeri, Malapuram Dist., GOVERNMENT MEDICAL COLLEGE, MANJERI, MALAPPURAM</x:v>
      </x:c>
      <x:c r="E1458" t="str">
        <x:v>All India</x:v>
      </x:c>
      <x:c r="F1458" t="str">
        <x:v>EWS</x:v>
      </x:c>
      <x:c r="G1458" t="n">
        <x:v>2</x:v>
      </x:c>
      <x:c r="H1458" t="n">
        <x:v>2</x:v>
      </x:c>
      <x:c r="I1458" t="n">
        <x:f>G1458-H1458</x:f>
        <x:v>0</x:v>
      </x:c>
      <x:c r="J1458" s="20" t="n">
        <x:f>IFERROR(H1458/G1458,0)</x:f>
        <x:v>1</x:v>
      </x:c>
      <x:c r="K1458" t="n">
        <x:v>15145</x:v>
      </x:c>
      <x:c r="L1458" t="n">
        <x:v>15249.5</x:v>
      </x:c>
      <x:c r="M1458" t="n">
        <x:v>15354</x:v>
      </x:c>
      <x:c r="N1458" t="n">
        <x:v>15458.5</x:v>
      </x:c>
      <x:c r="O1458" t="n">
        <x:v>15563</x:v>
      </x:c>
    </x:row>
    <x:row r="1459">
      <x:c r="A1459" t="str">
        <x:v>Kerala</x:v>
      </x:c>
      <x:c r="B1459" t="str">
        <x:v>All India except Central University</x:v>
      </x:c>
      <x:c r="C1459" t="str">
        <x:v>200183</x:v>
      </x:c>
      <x:c r="D1459" t="str">
        <x:v>Government Medical College, Manjeri, Malapuram Dist., GOVERNMENT MEDICAL COLLEGE, MANJERI, MALAPPURAM</x:v>
      </x:c>
      <x:c r="E1459" t="str">
        <x:v>All India</x:v>
      </x:c>
      <x:c r="F1459" t="str">
        <x:v>OBC</x:v>
      </x:c>
      <x:c r="G1459" t="n">
        <x:v>4</x:v>
      </x:c>
      <x:c r="H1459" t="n">
        <x:v>4</x:v>
      </x:c>
      <x:c r="I1459" t="n">
        <x:f>G1459-H1459</x:f>
        <x:v>0</x:v>
      </x:c>
      <x:c r="J1459" s="20" t="n">
        <x:f>IFERROR(H1459/G1459,0)</x:f>
        <x:v>1</x:v>
      </x:c>
      <x:c r="K1459" t="n">
        <x:v>5130</x:v>
      </x:c>
      <x:c r="L1459" t="n">
        <x:v>5583.75</x:v>
      </x:c>
      <x:c r="M1459" t="n">
        <x:v>5803.5</x:v>
      </x:c>
      <x:c r="N1459" t="n">
        <x:v>5954.5</x:v>
      </x:c>
      <x:c r="O1459" t="n">
        <x:v>6202</x:v>
      </x:c>
    </x:row>
    <x:row r="1460">
      <x:c r="A1460" t="str">
        <x:v>Kerala</x:v>
      </x:c>
      <x:c r="B1460" t="str">
        <x:v>All India except Central University</x:v>
      </x:c>
      <x:c r="C1460" t="str">
        <x:v>200183</x:v>
      </x:c>
      <x:c r="D1460" t="str">
        <x:v>Government Medical College, Manjeri, Malapuram Dist., GOVERNMENT MEDICAL COLLEGE, MANJERI, MALAPPURAM</x:v>
      </x:c>
      <x:c r="E1460" t="str">
        <x:v>All India</x:v>
      </x:c>
      <x:c r="F1460" t="str">
        <x:v>Open</x:v>
      </x:c>
      <x:c r="G1460" t="n">
        <x:v>7</x:v>
      </x:c>
      <x:c r="H1460" t="n">
        <x:v>7</x:v>
      </x:c>
      <x:c r="I1460" t="n">
        <x:f>G1460-H1460</x:f>
        <x:v>0</x:v>
      </x:c>
      <x:c r="J1460" s="20" t="n">
        <x:f>IFERROR(H1460/G1460,0)</x:f>
        <x:v>1</x:v>
      </x:c>
      <x:c r="K1460" t="n">
        <x:v>3898</x:v>
      </x:c>
      <x:c r="L1460" t="n">
        <x:v>4137.5</x:v>
      </x:c>
      <x:c r="M1460" t="n">
        <x:v>4387</x:v>
      </x:c>
      <x:c r="N1460" t="n">
        <x:v>4528.5</x:v>
      </x:c>
      <x:c r="O1460" t="n">
        <x:v>5045</x:v>
      </x:c>
    </x:row>
    <x:row r="1461">
      <x:c r="A1461" t="str">
        <x:v>Kerala</x:v>
      </x:c>
      <x:c r="B1461" t="str">
        <x:v>All India except Central University</x:v>
      </x:c>
      <x:c r="C1461" t="str">
        <x:v>200183</x:v>
      </x:c>
      <x:c r="D1461" t="str">
        <x:v>Government Medical College, Manjeri, Malapuram Dist., GOVERNMENT MEDICAL COLLEGE, MANJERI, MALAPPURAM</x:v>
      </x:c>
      <x:c r="E1461" t="str">
        <x:v>All India</x:v>
      </x:c>
      <x:c r="F1461" t="str">
        <x:v>SC</x:v>
      </x:c>
      <x:c r="G1461" t="n">
        <x:v>2</x:v>
      </x:c>
      <x:c r="H1461" t="n">
        <x:v>2</x:v>
      </x:c>
      <x:c r="I1461" t="n">
        <x:f>G1461-H1461</x:f>
        <x:v>0</x:v>
      </x:c>
      <x:c r="J1461" s="20" t="n">
        <x:f>IFERROR(H1461/G1461,0)</x:f>
        <x:v>1</x:v>
      </x:c>
      <x:c r="K1461" t="n">
        <x:v>57388</x:v>
      </x:c>
      <x:c r="L1461" t="n">
        <x:v>59441</x:v>
      </x:c>
      <x:c r="M1461" t="n">
        <x:v>61494</x:v>
      </x:c>
      <x:c r="N1461" t="n">
        <x:v>63547</x:v>
      </x:c>
      <x:c r="O1461" t="n">
        <x:v>65600</x:v>
      </x:c>
    </x:row>
    <x:row r="1462">
      <x:c r="A1462" t="str">
        <x:v>Kerala</x:v>
      </x:c>
      <x:c r="B1462" t="str">
        <x:v>All India except Central University</x:v>
      </x:c>
      <x:c r="C1462" t="str">
        <x:v>200183</x:v>
      </x:c>
      <x:c r="D1462" t="str">
        <x:v>Government Medical College, Manjeri, Malapuram Dist., GOVERNMENT MEDICAL COLLEGE, MANJERI, MALAPPURAM</x:v>
      </x:c>
      <x:c r="E1462" t="str">
        <x:v>All India</x:v>
      </x:c>
      <x:c r="F1462" t="str">
        <x:v>ST</x:v>
      </x:c>
      <x:c r="G1462" t="n">
        <x:v>1</x:v>
      </x:c>
      <x:c r="H1462" t="n">
        <x:v>1</x:v>
      </x:c>
      <x:c r="I1462" t="n">
        <x:f>G1462-H1462</x:f>
        <x:v>0</x:v>
      </x:c>
      <x:c r="J1462" s="20" t="n">
        <x:f>IFERROR(H1462/G1462,0)</x:f>
        <x:v>1</x:v>
      </x:c>
      <x:c r="K1462" t="n">
        <x:v>74362</x:v>
      </x:c>
      <x:c r="L1462" t="n">
        <x:v>74362</x:v>
      </x:c>
      <x:c r="M1462" t="n">
        <x:v>74362</x:v>
      </x:c>
      <x:c r="N1462" t="n">
        <x:v>74362</x:v>
      </x:c>
      <x:c r="O1462" t="n">
        <x:v>74362</x:v>
      </x:c>
    </x:row>
    <x:row r="1463">
      <x:c r="A1463" t="str">
        <x:v>Maharashtra</x:v>
      </x:c>
      <x:c r="B1463" t="str">
        <x:v>All India except Central University</x:v>
      </x:c>
      <x:c r="C1463" t="str">
        <x:v>200212</x:v>
      </x:c>
      <x:c r="D1463" t="str">
        <x:v>Government Medical College, Miraj, Pandharpur Road Miraj tal Miraj Dist sangli</x:v>
      </x:c>
      <x:c r="E1463" t="str">
        <x:v>All India</x:v>
      </x:c>
      <x:c r="F1463" t="str">
        <x:v>EWS</x:v>
      </x:c>
      <x:c r="G1463" t="n">
        <x:v>3</x:v>
      </x:c>
      <x:c r="H1463" t="n">
        <x:v>3</x:v>
      </x:c>
      <x:c r="I1463" t="n">
        <x:f>G1463-H1463</x:f>
        <x:v>0</x:v>
      </x:c>
      <x:c r="J1463" s="20" t="n">
        <x:f>IFERROR(H1463/G1463,0)</x:f>
        <x:v>1</x:v>
      </x:c>
      <x:c r="K1463" t="n">
        <x:v>14130</x:v>
      </x:c>
      <x:c r="L1463" t="n">
        <x:v>14265</x:v>
      </x:c>
      <x:c r="M1463" t="n">
        <x:v>14400</x:v>
      </x:c>
      <x:c r="N1463" t="n">
        <x:v>14402</x:v>
      </x:c>
      <x:c r="O1463" t="n">
        <x:v>14404</x:v>
      </x:c>
    </x:row>
    <x:row r="1464">
      <x:c r="A1464" t="str">
        <x:v>Maharashtra</x:v>
      </x:c>
      <x:c r="B1464" t="str">
        <x:v>All India except Central University</x:v>
      </x:c>
      <x:c r="C1464" t="str">
        <x:v>200212</x:v>
      </x:c>
      <x:c r="D1464" t="str">
        <x:v>Government Medical College, Miraj, Pandharpur Road Miraj tal Miraj Dist sangli</x:v>
      </x:c>
      <x:c r="E1464" t="str">
        <x:v>All India</x:v>
      </x:c>
      <x:c r="F1464" t="str">
        <x:v>OBC</x:v>
      </x:c>
      <x:c r="G1464" t="n">
        <x:v>7</x:v>
      </x:c>
      <x:c r="H1464" t="n">
        <x:v>7</x:v>
      </x:c>
      <x:c r="I1464" t="n">
        <x:f>G1464-H1464</x:f>
        <x:v>0</x:v>
      </x:c>
      <x:c r="J1464" s="20" t="n">
        <x:f>IFERROR(H1464/G1464,0)</x:f>
        <x:v>1</x:v>
      </x:c>
      <x:c r="K1464" t="n">
        <x:v>11488</x:v>
      </x:c>
      <x:c r="L1464" t="n">
        <x:v>12324</x:v>
      </x:c>
      <x:c r="M1464" t="n">
        <x:v>12675</x:v>
      </x:c>
      <x:c r="N1464" t="n">
        <x:v>12873.5</x:v>
      </x:c>
      <x:c r="O1464" t="n">
        <x:v>13064</x:v>
      </x:c>
    </x:row>
    <x:row r="1465">
      <x:c r="A1465" t="str">
        <x:v>Maharashtra</x:v>
      </x:c>
      <x:c r="B1465" t="str">
        <x:v>All India except Central University</x:v>
      </x:c>
      <x:c r="C1465" t="str">
        <x:v>200212</x:v>
      </x:c>
      <x:c r="D1465" t="str">
        <x:v>Government Medical College, Miraj, Pandharpur Road Miraj tal Miraj Dist sangli</x:v>
      </x:c>
      <x:c r="E1465" t="str">
        <x:v>All India</x:v>
      </x:c>
      <x:c r="F1465" t="str">
        <x:v>OBC PwD</x:v>
      </x:c>
      <x:c r="G1465" t="n">
        <x:v>1</x:v>
      </x:c>
      <x:c r="H1465" t="n">
        <x:v>1</x:v>
      </x:c>
      <x:c r="I1465" t="n">
        <x:f>G1465-H1465</x:f>
        <x:v>0</x:v>
      </x:c>
      <x:c r="J1465" s="20" t="n">
        <x:f>IFERROR(H1465/G1465,0)</x:f>
        <x:v>1</x:v>
      </x:c>
      <x:c r="K1465" t="n">
        <x:v>465850</x:v>
      </x:c>
      <x:c r="L1465" t="n">
        <x:v>465850</x:v>
      </x:c>
      <x:c r="M1465" t="n">
        <x:v>465850</x:v>
      </x:c>
      <x:c r="N1465" t="n">
        <x:v>465850</x:v>
      </x:c>
      <x:c r="O1465" t="n">
        <x:v>465850</x:v>
      </x:c>
    </x:row>
    <x:row r="1466">
      <x:c r="A1466" t="str">
        <x:v>Maharashtra</x:v>
      </x:c>
      <x:c r="B1466" t="str">
        <x:v>All India except Central University</x:v>
      </x:c>
      <x:c r="C1466" t="str">
        <x:v>200212</x:v>
      </x:c>
      <x:c r="D1466" t="str">
        <x:v>Government Medical College, Miraj, Pandharpur Road Miraj tal Miraj Dist sangli</x:v>
      </x:c>
      <x:c r="E1466" t="str">
        <x:v>All India</x:v>
      </x:c>
      <x:c r="F1466" t="str">
        <x:v>Open</x:v>
      </x:c>
      <x:c r="G1466" t="n">
        <x:v>12</x:v>
      </x:c>
      <x:c r="H1466" t="n">
        <x:v>12</x:v>
      </x:c>
      <x:c r="I1466" t="n">
        <x:f>G1466-H1466</x:f>
        <x:v>0</x:v>
      </x:c>
      <x:c r="J1466" s="20" t="n">
        <x:f>IFERROR(H1466/G1466,0)</x:f>
        <x:v>1</x:v>
      </x:c>
      <x:c r="K1466" t="n">
        <x:v>4009</x:v>
      </x:c>
      <x:c r="L1466" t="n">
        <x:v>9001.25</x:v>
      </x:c>
      <x:c r="M1466" t="n">
        <x:v>10247.5</x:v>
      </x:c>
      <x:c r="N1466" t="n">
        <x:v>10731</x:v>
      </x:c>
      <x:c r="O1466" t="n">
        <x:v>11405</x:v>
      </x:c>
    </x:row>
    <x:row r="1467">
      <x:c r="A1467" t="str">
        <x:v>Maharashtra</x:v>
      </x:c>
      <x:c r="B1467" t="str">
        <x:v>All India except Central University</x:v>
      </x:c>
      <x:c r="C1467" t="str">
        <x:v>200212</x:v>
      </x:c>
      <x:c r="D1467" t="str">
        <x:v>Government Medical College, Miraj, Pandharpur Road Miraj tal Miraj Dist sangli</x:v>
      </x:c>
      <x:c r="E1467" t="str">
        <x:v>All India</x:v>
      </x:c>
      <x:c r="F1467" t="str">
        <x:v>Open PwD</x:v>
      </x:c>
      <x:c r="G1467" t="n">
        <x:v>1</x:v>
      </x:c>
      <x:c r="H1467" t="n">
        <x:v>1</x:v>
      </x:c>
      <x:c r="I1467" t="n">
        <x:f>G1467-H1467</x:f>
        <x:v>0</x:v>
      </x:c>
      <x:c r="J1467" s="20" t="n">
        <x:f>IFERROR(H1467/G1467,0)</x:f>
        <x:v>1</x:v>
      </x:c>
      <x:c r="K1467" t="n">
        <x:v>370748</x:v>
      </x:c>
      <x:c r="L1467" t="n">
        <x:v>370748</x:v>
      </x:c>
      <x:c r="M1467" t="n">
        <x:v>370748</x:v>
      </x:c>
      <x:c r="N1467" t="n">
        <x:v>370748</x:v>
      </x:c>
      <x:c r="O1467" t="n">
        <x:v>370748</x:v>
      </x:c>
    </x:row>
    <x:row r="1468">
      <x:c r="A1468" t="str">
        <x:v>Maharashtra</x:v>
      </x:c>
      <x:c r="B1468" t="str">
        <x:v>All India except Central University</x:v>
      </x:c>
      <x:c r="C1468" t="str">
        <x:v>200212</x:v>
      </x:c>
      <x:c r="D1468" t="str">
        <x:v>Government Medical College, Miraj, Pandharpur Road Miraj tal Miraj Dist sangli</x:v>
      </x:c>
      <x:c r="E1468" t="str">
        <x:v>All India</x:v>
      </x:c>
      <x:c r="F1468" t="str">
        <x:v>SC</x:v>
      </x:c>
      <x:c r="G1468" t="n">
        <x:v>4</x:v>
      </x:c>
      <x:c r="H1468" t="n">
        <x:v>4</x:v>
      </x:c>
      <x:c r="I1468" t="n">
        <x:f>G1468-H1468</x:f>
        <x:v>0</x:v>
      </x:c>
      <x:c r="J1468" s="20" t="n">
        <x:f>IFERROR(H1468/G1468,0)</x:f>
        <x:v>1</x:v>
      </x:c>
      <x:c r="K1468" t="n">
        <x:v>59935</x:v>
      </x:c>
      <x:c r="L1468" t="n">
        <x:v>61510.75</x:v>
      </x:c>
      <x:c r="M1468" t="n">
        <x:v>63169</x:v>
      </x:c>
      <x:c r="N1468" t="n">
        <x:v>64615</x:v>
      </x:c>
      <x:c r="O1468" t="n">
        <x:v>65554</x:v>
      </x:c>
    </x:row>
    <x:row r="1469">
      <x:c r="A1469" t="str">
        <x:v>Maharashtra</x:v>
      </x:c>
      <x:c r="B1469" t="str">
        <x:v>All India except Central University</x:v>
      </x:c>
      <x:c r="C1469" t="str">
        <x:v>200212</x:v>
      </x:c>
      <x:c r="D1469" t="str">
        <x:v>Government Medical College, Miraj, Pandharpur Road Miraj tal Miraj Dist sangli</x:v>
      </x:c>
      <x:c r="E1469" t="str">
        <x:v>All India</x:v>
      </x:c>
      <x:c r="F1469" t="str">
        <x:v>ST</x:v>
      </x:c>
      <x:c r="G1469" t="n">
        <x:v>2</x:v>
      </x:c>
      <x:c r="H1469" t="n">
        <x:v>2</x:v>
      </x:c>
      <x:c r="I1469" t="n">
        <x:f>G1469-H1469</x:f>
        <x:v>0</x:v>
      </x:c>
      <x:c r="J1469" s="20" t="n">
        <x:f>IFERROR(H1469/G1469,0)</x:f>
        <x:v>1</x:v>
      </x:c>
      <x:c r="K1469" t="n">
        <x:v>75937</x:v>
      </x:c>
      <x:c r="L1469" t="n">
        <x:v>80923.75</x:v>
      </x:c>
      <x:c r="M1469" t="n">
        <x:v>85910.5</x:v>
      </x:c>
      <x:c r="N1469" t="n">
        <x:v>90897.25</x:v>
      </x:c>
      <x:c r="O1469" t="n">
        <x:v>95884</x:v>
      </x:c>
    </x:row>
    <x:row r="1470">
      <x:c r="A1470" t="str">
        <x:v>Gujarat</x:v>
      </x:c>
      <x:c r="B1470" t="str">
        <x:v>All India except Central University</x:v>
      </x:c>
      <x:c r="C1470" t="str">
        <x:v>200635</x:v>
      </x:c>
      <x:c r="D1470" t="str">
        <x:v>Government Medical College, Morbi , Rajkot-Morbi Highway, Opp Toyota Showroom, Sakat Shanala, Morbi, Gujarat</x:v>
      </x:c>
      <x:c r="E1470" t="str">
        <x:v>All India</x:v>
      </x:c>
      <x:c r="F1470" t="str">
        <x:v>EWS</x:v>
      </x:c>
      <x:c r="G1470" t="n">
        <x:v>2</x:v>
      </x:c>
      <x:c r="H1470" t="n">
        <x:v>2</x:v>
      </x:c>
      <x:c r="I1470" t="n">
        <x:f>G1470-H1470</x:f>
        <x:v>0</x:v>
      </x:c>
      <x:c r="J1470" s="20" t="n">
        <x:f>IFERROR(H1470/G1470,0)</x:f>
        <x:v>1</x:v>
      </x:c>
      <x:c r="K1470" t="n">
        <x:v>19367</x:v>
      </x:c>
      <x:c r="L1470" t="n">
        <x:v>19799.5</x:v>
      </x:c>
      <x:c r="M1470" t="n">
        <x:v>20232</x:v>
      </x:c>
      <x:c r="N1470" t="n">
        <x:v>20664.5</x:v>
      </x:c>
      <x:c r="O1470" t="n">
        <x:v>21097</x:v>
      </x:c>
    </x:row>
    <x:row r="1471">
      <x:c r="A1471" t="str">
        <x:v>Gujarat</x:v>
      </x:c>
      <x:c r="B1471" t="str">
        <x:v>All India except Central University</x:v>
      </x:c>
      <x:c r="C1471" t="str">
        <x:v>200635</x:v>
      </x:c>
      <x:c r="D1471" t="str">
        <x:v>Government Medical College, Morbi , Rajkot-Morbi Highway, Opp Toyota Showroom, Sakat Shanala, Morbi, Gujarat</x:v>
      </x:c>
      <x:c r="E1471" t="str">
        <x:v>All India</x:v>
      </x:c>
      <x:c r="F1471" t="str">
        <x:v>OBC</x:v>
      </x:c>
      <x:c r="G1471" t="n">
        <x:v>4</x:v>
      </x:c>
      <x:c r="H1471" t="n">
        <x:v>4</x:v>
      </x:c>
      <x:c r="I1471" t="n">
        <x:f>G1471-H1471</x:f>
        <x:v>0</x:v>
      </x:c>
      <x:c r="J1471" s="20" t="n">
        <x:f>IFERROR(H1471/G1471,0)</x:f>
        <x:v>1</x:v>
      </x:c>
      <x:c r="K1471" t="n">
        <x:v>17084</x:v>
      </x:c>
      <x:c r="L1471" t="n">
        <x:v>17422.25</x:v>
      </x:c>
      <x:c r="M1471" t="n">
        <x:v>17595</x:v>
      </x:c>
      <x:c r="N1471" t="n">
        <x:v>17794.25</x:v>
      </x:c>
      <x:c r="O1471" t="n">
        <x:v>18212</x:v>
      </x:c>
    </x:row>
    <x:row r="1472">
      <x:c r="A1472" t="str">
        <x:v>Gujarat</x:v>
      </x:c>
      <x:c r="B1472" t="str">
        <x:v>All India except Central University</x:v>
      </x:c>
      <x:c r="C1472" t="str">
        <x:v>200635</x:v>
      </x:c>
      <x:c r="D1472" t="str">
        <x:v>Government Medical College, Morbi , Rajkot-Morbi Highway, Opp Toyota Showroom, Sakat Shanala, Morbi, Gujarat</x:v>
      </x:c>
      <x:c r="E1472" t="str">
        <x:v>All India</x:v>
      </x:c>
      <x:c r="F1472" t="str">
        <x:v>Open</x:v>
      </x:c>
      <x:c r="G1472" t="n">
        <x:v>6</x:v>
      </x:c>
      <x:c r="H1472" t="n">
        <x:v>6</x:v>
      </x:c>
      <x:c r="I1472" t="n">
        <x:f>G1472-H1472</x:f>
        <x:v>0</x:v>
      </x:c>
      <x:c r="J1472" s="20" t="n">
        <x:f>IFERROR(H1472/G1472,0)</x:f>
        <x:v>1</x:v>
      </x:c>
      <x:c r="K1472" t="n">
        <x:v>13765</x:v>
      </x:c>
      <x:c r="L1472" t="n">
        <x:v>14766.75</x:v>
      </x:c>
      <x:c r="M1472" t="n">
        <x:v>15372</x:v>
      </x:c>
      <x:c r="N1472" t="n">
        <x:v>16107</x:v>
      </x:c>
      <x:c r="O1472" t="n">
        <x:v>16917</x:v>
      </x:c>
    </x:row>
    <x:row r="1473">
      <x:c r="A1473" t="str">
        <x:v>Gujarat</x:v>
      </x:c>
      <x:c r="B1473" t="str">
        <x:v>All India except Central University</x:v>
      </x:c>
      <x:c r="C1473" t="str">
        <x:v>200635</x:v>
      </x:c>
      <x:c r="D1473" t="str">
        <x:v>Government Medical College, Morbi , Rajkot-Morbi Highway, Opp Toyota Showroom, Sakat Shanala, Morbi, Gujarat</x:v>
      </x:c>
      <x:c r="E1473" t="str">
        <x:v>All India</x:v>
      </x:c>
      <x:c r="F1473" t="str">
        <x:v>SC</x:v>
      </x:c>
      <x:c r="G1473" t="n">
        <x:v>2</x:v>
      </x:c>
      <x:c r="H1473" t="n">
        <x:v>2</x:v>
      </x:c>
      <x:c r="I1473" t="n">
        <x:f>G1473-H1473</x:f>
        <x:v>0</x:v>
      </x:c>
      <x:c r="J1473" s="20" t="n">
        <x:f>IFERROR(H1473/G1473,0)</x:f>
        <x:v>1</x:v>
      </x:c>
      <x:c r="K1473" t="n">
        <x:v>61969</x:v>
      </x:c>
      <x:c r="L1473" t="n">
        <x:v>62783.5</x:v>
      </x:c>
      <x:c r="M1473" t="n">
        <x:v>63598</x:v>
      </x:c>
      <x:c r="N1473" t="n">
        <x:v>64412.5</x:v>
      </x:c>
      <x:c r="O1473" t="n">
        <x:v>65227</x:v>
      </x:c>
    </x:row>
    <x:row r="1474">
      <x:c r="A1474" t="str">
        <x:v>Gujarat</x:v>
      </x:c>
      <x:c r="B1474" t="str">
        <x:v>All India except Central University</x:v>
      </x:c>
      <x:c r="C1474" t="str">
        <x:v>200635</x:v>
      </x:c>
      <x:c r="D1474" t="str">
        <x:v>Government Medical College, Morbi , Rajkot-Morbi Highway, Opp Toyota Showroom, Sakat Shanala, Morbi, Gujarat</x:v>
      </x:c>
      <x:c r="E1474" t="str">
        <x:v>All India</x:v>
      </x:c>
      <x:c r="F1474" t="str">
        <x:v>ST</x:v>
      </x:c>
      <x:c r="G1474" t="n">
        <x:v>1</x:v>
      </x:c>
      <x:c r="H1474" t="n">
        <x:v>1</x:v>
      </x:c>
      <x:c r="I1474" t="n">
        <x:f>G1474-H1474</x:f>
        <x:v>0</x:v>
      </x:c>
      <x:c r="J1474" s="20" t="n">
        <x:f>IFERROR(H1474/G1474,0)</x:f>
        <x:v>1</x:v>
      </x:c>
      <x:c r="K1474" t="n">
        <x:v>85591</x:v>
      </x:c>
      <x:c r="L1474" t="n">
        <x:v>85591</x:v>
      </x:c>
      <x:c r="M1474" t="n">
        <x:v>85591</x:v>
      </x:c>
      <x:c r="N1474" t="n">
        <x:v>85591</x:v>
      </x:c>
      <x:c r="O1474" t="n">
        <x:v>85591</x:v>
      </x:c>
    </x:row>
    <x:row r="1475">
      <x:c r="A1475" t="str">
        <x:v>Telangana</x:v>
      </x:c>
      <x:c r="B1475" t="str">
        <x:v>All India except Central University</x:v>
      </x:c>
      <x:c r="C1475" t="str">
        <x:v>902819</x:v>
      </x:c>
      <x:c r="D1475" t="str">
        <x:v>Government Medical College, Mulugu, gmc.mulugu@gmail.com</x:v>
      </x:c>
      <x:c r="E1475" t="str">
        <x:v>All India</x:v>
      </x:c>
      <x:c r="F1475" t="str">
        <x:v>EWS</x:v>
      </x:c>
      <x:c r="G1475" t="n">
        <x:v>1</x:v>
      </x:c>
      <x:c r="H1475" t="n">
        <x:v>1</x:v>
      </x:c>
      <x:c r="I1475" t="n">
        <x:f>G1475-H1475</x:f>
        <x:v>0</x:v>
      </x:c>
      <x:c r="J1475" s="20" t="n">
        <x:f>IFERROR(H1475/G1475,0)</x:f>
        <x:v>1</x:v>
      </x:c>
      <x:c r="K1475" t="n">
        <x:v>26213</x:v>
      </x:c>
      <x:c r="L1475" t="n">
        <x:v>26213</x:v>
      </x:c>
      <x:c r="M1475" t="n">
        <x:v>26213</x:v>
      </x:c>
      <x:c r="N1475" t="n">
        <x:v>26213</x:v>
      </x:c>
      <x:c r="O1475" t="n">
        <x:v>26213</x:v>
      </x:c>
    </x:row>
    <x:row r="1476">
      <x:c r="A1476" t="str">
        <x:v>Telangana</x:v>
      </x:c>
      <x:c r="B1476" t="str">
        <x:v>All India except Central University</x:v>
      </x:c>
      <x:c r="C1476" t="str">
        <x:v>902819</x:v>
      </x:c>
      <x:c r="D1476" t="str">
        <x:v>Government Medical College, Mulugu, gmc.mulugu@gmail.com</x:v>
      </x:c>
      <x:c r="E1476" t="str">
        <x:v>All India</x:v>
      </x:c>
      <x:c r="F1476" t="str">
        <x:v>OBC</x:v>
      </x:c>
      <x:c r="G1476" t="n">
        <x:v>1</x:v>
      </x:c>
      <x:c r="H1476" t="n">
        <x:v>1</x:v>
      </x:c>
      <x:c r="I1476" t="n">
        <x:f>G1476-H1476</x:f>
        <x:v>0</x:v>
      </x:c>
      <x:c r="J1476" s="20" t="n">
        <x:f>IFERROR(H1476/G1476,0)</x:f>
        <x:v>1</x:v>
      </x:c>
      <x:c r="K1476" t="n">
        <x:v>22007</x:v>
      </x:c>
      <x:c r="L1476" t="n">
        <x:v>22007</x:v>
      </x:c>
      <x:c r="M1476" t="n">
        <x:v>22007</x:v>
      </x:c>
      <x:c r="N1476" t="n">
        <x:v>22007</x:v>
      </x:c>
      <x:c r="O1476" t="n">
        <x:v>22007</x:v>
      </x:c>
    </x:row>
    <x:row r="1477">
      <x:c r="A1477" t="str">
        <x:v>Telangana</x:v>
      </x:c>
      <x:c r="B1477" t="str">
        <x:v>All India except Central University</x:v>
      </x:c>
      <x:c r="C1477" t="str">
        <x:v>902819</x:v>
      </x:c>
      <x:c r="D1477" t="str">
        <x:v>Government Medical College, Mulugu, gmc.mulugu@gmail.com</x:v>
      </x:c>
      <x:c r="E1477" t="str">
        <x:v>All India</x:v>
      </x:c>
      <x:c r="F1477" t="str">
        <x:v>OBC PwD</x:v>
      </x:c>
      <x:c r="G1477" t="n">
        <x:v>1</x:v>
      </x:c>
      <x:c r="H1477" t="n">
        <x:v>1</x:v>
      </x:c>
      <x:c r="I1477" t="n">
        <x:f>G1477-H1477</x:f>
        <x:v>0</x:v>
      </x:c>
      <x:c r="J1477" s="20" t="n">
        <x:f>IFERROR(H1477/G1477,0)</x:f>
        <x:v>1</x:v>
      </x:c>
      <x:c r="K1477" t="n">
        <x:v>829273</x:v>
      </x:c>
      <x:c r="L1477" t="n">
        <x:v>829273</x:v>
      </x:c>
      <x:c r="M1477" t="n">
        <x:v>829273</x:v>
      </x:c>
      <x:c r="N1477" t="n">
        <x:v>829273</x:v>
      </x:c>
      <x:c r="O1477" t="n">
        <x:v>829273</x:v>
      </x:c>
    </x:row>
    <x:row r="1478">
      <x:c r="A1478" t="str">
        <x:v>Telangana</x:v>
      </x:c>
      <x:c r="B1478" t="str">
        <x:v>All India except Central University</x:v>
      </x:c>
      <x:c r="C1478" t="str">
        <x:v>902819</x:v>
      </x:c>
      <x:c r="D1478" t="str">
        <x:v>Government Medical College, Mulugu, gmc.mulugu@gmail.com</x:v>
      </x:c>
      <x:c r="E1478" t="str">
        <x:v>All India</x:v>
      </x:c>
      <x:c r="F1478" t="str">
        <x:v>Open</x:v>
      </x:c>
      <x:c r="G1478" t="n">
        <x:v>3</x:v>
      </x:c>
      <x:c r="H1478" t="n">
        <x:v>3</x:v>
      </x:c>
      <x:c r="I1478" t="n">
        <x:f>G1478-H1478</x:f>
        <x:v>0</x:v>
      </x:c>
      <x:c r="J1478" s="20" t="n">
        <x:f>IFERROR(H1478/G1478,0)</x:f>
        <x:v>1</x:v>
      </x:c>
      <x:c r="K1478" t="n">
        <x:v>20265</x:v>
      </x:c>
      <x:c r="L1478" t="n">
        <x:v>20302.5</x:v>
      </x:c>
      <x:c r="M1478" t="n">
        <x:v>20340</x:v>
      </x:c>
      <x:c r="N1478" t="n">
        <x:v>20505</x:v>
      </x:c>
      <x:c r="O1478" t="n">
        <x:v>20670</x:v>
      </x:c>
    </x:row>
    <x:row r="1479">
      <x:c r="A1479" t="str">
        <x:v>Telangana</x:v>
      </x:c>
      <x:c r="B1479" t="str">
        <x:v>All India except Central University</x:v>
      </x:c>
      <x:c r="C1479" t="str">
        <x:v>902819</x:v>
      </x:c>
      <x:c r="D1479" t="str">
        <x:v>Government Medical College, Mulugu, gmc.mulugu@gmail.com</x:v>
      </x:c>
      <x:c r="E1479" t="str">
        <x:v>All India</x:v>
      </x:c>
      <x:c r="F1479" t="str">
        <x:v>SC</x:v>
      </x:c>
      <x:c r="G1479" t="n">
        <x:v>1</x:v>
      </x:c>
      <x:c r="H1479" t="n">
        <x:v>1</x:v>
      </x:c>
      <x:c r="I1479" t="n">
        <x:f>G1479-H1479</x:f>
        <x:v>0</x:v>
      </x:c>
      <x:c r="J1479" s="20" t="n">
        <x:f>IFERROR(H1479/G1479,0)</x:f>
        <x:v>1</x:v>
      </x:c>
      <x:c r="K1479" t="n">
        <x:v>102880</x:v>
      </x:c>
      <x:c r="L1479" t="n">
        <x:v>102880</x:v>
      </x:c>
      <x:c r="M1479" t="n">
        <x:v>102880</x:v>
      </x:c>
      <x:c r="N1479" t="n">
        <x:v>102880</x:v>
      </x:c>
      <x:c r="O1479" t="n">
        <x:v>102880</x:v>
      </x:c>
    </x:row>
    <x:row r="1480">
      <x:c r="A1480" t="str">
        <x:v>Tamil Nadu</x:v>
      </x:c>
      <x:c r="B1480" t="str">
        <x:v>All India except Central University</x:v>
      </x:c>
      <x:c r="C1480" t="str">
        <x:v>200571</x:v>
      </x:c>
      <x:c r="D1480" t="str">
        <x:v>Government Medical College, Nagapattinam, NO.1,MANALMEDU, ORATHUR VILLAGE, NAGAPATTINAM TK, NAGAPATTINAM DISTRICT</x:v>
      </x:c>
      <x:c r="E1480" t="str">
        <x:v>All India</x:v>
      </x:c>
      <x:c r="F1480" t="str">
        <x:v>EWS</x:v>
      </x:c>
      <x:c r="G1480" t="n">
        <x:v>2</x:v>
      </x:c>
      <x:c r="H1480" t="n">
        <x:v>2</x:v>
      </x:c>
      <x:c r="I1480" t="n">
        <x:f>G1480-H1480</x:f>
        <x:v>0</x:v>
      </x:c>
      <x:c r="J1480" s="20" t="n">
        <x:f>IFERROR(H1480/G1480,0)</x:f>
        <x:v>1</x:v>
      </x:c>
      <x:c r="K1480" t="n">
        <x:v>27171</x:v>
      </x:c>
      <x:c r="L1480" t="n">
        <x:v>27173</x:v>
      </x:c>
      <x:c r="M1480" t="n">
        <x:v>27175</x:v>
      </x:c>
      <x:c r="N1480" t="n">
        <x:v>27177</x:v>
      </x:c>
      <x:c r="O1480" t="n">
        <x:v>27179</x:v>
      </x:c>
    </x:row>
    <x:row r="1481">
      <x:c r="A1481" t="str">
        <x:v>Tamil Nadu</x:v>
      </x:c>
      <x:c r="B1481" t="str">
        <x:v>All India except Central University</x:v>
      </x:c>
      <x:c r="C1481" t="str">
        <x:v>200571</x:v>
      </x:c>
      <x:c r="D1481" t="str">
        <x:v>Government Medical College, Nagapattinam, NO.1,MANALMEDU, ORATHUR VILLAGE, NAGAPATTINAM TK, NAGAPATTINAM DISTRICT</x:v>
      </x:c>
      <x:c r="E1481" t="str">
        <x:v>All India</x:v>
      </x:c>
      <x:c r="F1481" t="str">
        <x:v>OBC</x:v>
      </x:c>
      <x:c r="G1481" t="n">
        <x:v>6</x:v>
      </x:c>
      <x:c r="H1481" t="n">
        <x:v>6</x:v>
      </x:c>
      <x:c r="I1481" t="n">
        <x:f>G1481-H1481</x:f>
        <x:v>0</x:v>
      </x:c>
      <x:c r="J1481" s="20" t="n">
        <x:f>IFERROR(H1481/G1481,0)</x:f>
        <x:v>1</x:v>
      </x:c>
      <x:c r="K1481" t="n">
        <x:v>14779</x:v>
      </x:c>
      <x:c r="L1481" t="n">
        <x:v>14828.5</x:v>
      </x:c>
      <x:c r="M1481" t="n">
        <x:v>14909.5</x:v>
      </x:c>
      <x:c r="N1481" t="n">
        <x:v>14929</x:v>
      </x:c>
      <x:c r="O1481" t="n">
        <x:v>15019</x:v>
      </x:c>
    </x:row>
    <x:row r="1482">
      <x:c r="A1482" t="str">
        <x:v>Tamil Nadu</x:v>
      </x:c>
      <x:c r="B1482" t="str">
        <x:v>All India except Central University</x:v>
      </x:c>
      <x:c r="C1482" t="str">
        <x:v>200571</x:v>
      </x:c>
      <x:c r="D1482" t="str">
        <x:v>Government Medical College, Nagapattinam, NO.1,MANALMEDU, ORATHUR VILLAGE, NAGAPATTINAM TK, NAGAPATTINAM DISTRICT</x:v>
      </x:c>
      <x:c r="E1482" t="str">
        <x:v>All India</x:v>
      </x:c>
      <x:c r="F1482" t="str">
        <x:v>Open</x:v>
      </x:c>
      <x:c r="G1482" t="n">
        <x:v>8</x:v>
      </x:c>
      <x:c r="H1482" t="n">
        <x:v>8</x:v>
      </x:c>
      <x:c r="I1482" t="n">
        <x:f>G1482-H1482</x:f>
        <x:v>0</x:v>
      </x:c>
      <x:c r="J1482" s="20" t="n">
        <x:f>IFERROR(H1482/G1482,0)</x:f>
        <x:v>1</x:v>
      </x:c>
      <x:c r="K1482" t="n">
        <x:v>12784</x:v>
      </x:c>
      <x:c r="L1482" t="n">
        <x:v>14123.75</x:v>
      </x:c>
      <x:c r="M1482" t="n">
        <x:v>14367</x:v>
      </x:c>
      <x:c r="N1482" t="n">
        <x:v>14634</x:v>
      </x:c>
      <x:c r="O1482" t="n">
        <x:v>14737</x:v>
      </x:c>
    </x:row>
    <x:row r="1483">
      <x:c r="A1483" t="str">
        <x:v>Tamil Nadu</x:v>
      </x:c>
      <x:c r="B1483" t="str">
        <x:v>All India except Central University</x:v>
      </x:c>
      <x:c r="C1483" t="str">
        <x:v>200571</x:v>
      </x:c>
      <x:c r="D1483" t="str">
        <x:v>Government Medical College, Nagapattinam, NO.1,MANALMEDU, ORATHUR VILLAGE, NAGAPATTINAM TK, NAGAPATTINAM DISTRICT</x:v>
      </x:c>
      <x:c r="E1483" t="str">
        <x:v>All India</x:v>
      </x:c>
      <x:c r="F1483" t="str">
        <x:v>Open PwD</x:v>
      </x:c>
      <x:c r="G1483" t="n">
        <x:v>1</x:v>
      </x:c>
      <x:c r="H1483" t="n">
        <x:v>1</x:v>
      </x:c>
      <x:c r="I1483" t="n">
        <x:f>G1483-H1483</x:f>
        <x:v>0</x:v>
      </x:c>
      <x:c r="J1483" s="20" t="n">
        <x:f>IFERROR(H1483/G1483,0)</x:f>
        <x:v>1</x:v>
      </x:c>
      <x:c r="K1483" t="n">
        <x:v>664395</x:v>
      </x:c>
      <x:c r="L1483" t="n">
        <x:v>664395</x:v>
      </x:c>
      <x:c r="M1483" t="n">
        <x:v>664395</x:v>
      </x:c>
      <x:c r="N1483" t="n">
        <x:v>664395</x:v>
      </x:c>
      <x:c r="O1483" t="n">
        <x:v>664395</x:v>
      </x:c>
    </x:row>
    <x:row r="1484">
      <x:c r="A1484" t="str">
        <x:v>Tamil Nadu</x:v>
      </x:c>
      <x:c r="B1484" t="str">
        <x:v>All India except Central University</x:v>
      </x:c>
      <x:c r="C1484" t="str">
        <x:v>200571</x:v>
      </x:c>
      <x:c r="D1484" t="str">
        <x:v>Government Medical College, Nagapattinam, NO.1,MANALMEDU, ORATHUR VILLAGE, NAGAPATTINAM TK, NAGAPATTINAM DISTRICT</x:v>
      </x:c>
      <x:c r="E1484" t="str">
        <x:v>All India</x:v>
      </x:c>
      <x:c r="F1484" t="str">
        <x:v>SC</x:v>
      </x:c>
      <x:c r="G1484" t="n">
        <x:v>2</x:v>
      </x:c>
      <x:c r="H1484" t="n">
        <x:v>2</x:v>
      </x:c>
      <x:c r="I1484" t="n">
        <x:f>G1484-H1484</x:f>
        <x:v>0</x:v>
      </x:c>
      <x:c r="J1484" s="20" t="n">
        <x:f>IFERROR(H1484/G1484,0)</x:f>
        <x:v>1</x:v>
      </x:c>
      <x:c r="K1484" t="n">
        <x:v>60300</x:v>
      </x:c>
      <x:c r="L1484" t="n">
        <x:v>62290.25</x:v>
      </x:c>
      <x:c r="M1484" t="n">
        <x:v>64280.5</x:v>
      </x:c>
      <x:c r="N1484" t="n">
        <x:v>66270.75</x:v>
      </x:c>
      <x:c r="O1484" t="n">
        <x:v>68261</x:v>
      </x:c>
    </x:row>
    <x:row r="1485">
      <x:c r="A1485" t="str">
        <x:v>Tamil Nadu</x:v>
      </x:c>
      <x:c r="B1485" t="str">
        <x:v>All India except Central University</x:v>
      </x:c>
      <x:c r="C1485" t="str">
        <x:v>200571</x:v>
      </x:c>
      <x:c r="D1485" t="str">
        <x:v>Government Medical College, Nagapattinam, NO.1,MANALMEDU, ORATHUR VILLAGE, NAGAPATTINAM TK, NAGAPATTINAM DISTRICT</x:v>
      </x:c>
      <x:c r="E1485" t="str">
        <x:v>All India</x:v>
      </x:c>
      <x:c r="F1485" t="str">
        <x:v>SC PwD</x:v>
      </x:c>
      <x:c r="G1485" t="n">
        <x:v>1</x:v>
      </x:c>
      <x:c r="H1485" t="n">
        <x:v>1</x:v>
      </x:c>
      <x:c r="I1485" t="n">
        <x:f>G1485-H1485</x:f>
        <x:v>0</x:v>
      </x:c>
      <x:c r="J1485" s="20" t="n">
        <x:f>IFERROR(H1485/G1485,0)</x:f>
        <x:v>1</x:v>
      </x:c>
      <x:c r="K1485" t="n">
        <x:v>1116976</x:v>
      </x:c>
      <x:c r="L1485" t="n">
        <x:v>1116976</x:v>
      </x:c>
      <x:c r="M1485" t="n">
        <x:v>1116976</x:v>
      </x:c>
      <x:c r="N1485" t="n">
        <x:v>1116976</x:v>
      </x:c>
      <x:c r="O1485" t="n">
        <x:v>1116976</x:v>
      </x:c>
    </x:row>
    <x:row r="1486">
      <x:c r="A1486" t="str">
        <x:v>Tamil Nadu</x:v>
      </x:c>
      <x:c r="B1486" t="str">
        <x:v>All India except Central University</x:v>
      </x:c>
      <x:c r="C1486" t="str">
        <x:v>200571</x:v>
      </x:c>
      <x:c r="D1486" t="str">
        <x:v>Government Medical College, Nagapattinam, NO.1,MANALMEDU, ORATHUR VILLAGE, NAGAPATTINAM TK, NAGAPATTINAM DISTRICT</x:v>
      </x:c>
      <x:c r="E1486" t="str">
        <x:v>All India</x:v>
      </x:c>
      <x:c r="F1486" t="str">
        <x:v>ST</x:v>
      </x:c>
      <x:c r="G1486" t="n">
        <x:v>2</x:v>
      </x:c>
      <x:c r="H1486" t="n">
        <x:v>2</x:v>
      </x:c>
      <x:c r="I1486" t="n">
        <x:f>G1486-H1486</x:f>
        <x:v>0</x:v>
      </x:c>
      <x:c r="J1486" s="20" t="n">
        <x:f>IFERROR(H1486/G1486,0)</x:f>
        <x:v>1</x:v>
      </x:c>
      <x:c r="K1486" t="n">
        <x:v>129746</x:v>
      </x:c>
      <x:c r="L1486" t="n">
        <x:v>130262.75</x:v>
      </x:c>
      <x:c r="M1486" t="n">
        <x:v>130779.5</x:v>
      </x:c>
      <x:c r="N1486" t="n">
        <x:v>131296.25</x:v>
      </x:c>
      <x:c r="O1486" t="n">
        <x:v>131813</x:v>
      </x:c>
    </x:row>
    <x:row r="1487">
      <x:c r="A1487" t="str">
        <x:v>Telangana</x:v>
      </x:c>
      <x:c r="B1487" t="str">
        <x:v>All India except Central University</x:v>
      </x:c>
      <x:c r="C1487" t="str">
        <x:v>200595</x:v>
      </x:c>
      <x:c r="D1487" t="str">
        <x:v>Government Medical College, Nagarkurnool, Sy no. 237, Uyyalawada village, Nanagarkurnool</x:v>
      </x:c>
      <x:c r="E1487" t="str">
        <x:v>All India</x:v>
      </x:c>
      <x:c r="F1487" t="str">
        <x:v>EWS</x:v>
      </x:c>
      <x:c r="G1487" t="n">
        <x:v>2</x:v>
      </x:c>
      <x:c r="H1487" t="n">
        <x:v>2</x:v>
      </x:c>
      <x:c r="I1487" t="n">
        <x:f>G1487-H1487</x:f>
        <x:v>0</x:v>
      </x:c>
      <x:c r="J1487" s="20" t="n">
        <x:f>IFERROR(H1487/G1487,0)</x:f>
        <x:v>1</x:v>
      </x:c>
      <x:c r="K1487" t="n">
        <x:v>19896</x:v>
      </x:c>
      <x:c r="L1487" t="n">
        <x:v>21345.5</x:v>
      </x:c>
      <x:c r="M1487" t="n">
        <x:v>22795</x:v>
      </x:c>
      <x:c r="N1487" t="n">
        <x:v>24244.5</x:v>
      </x:c>
      <x:c r="O1487" t="n">
        <x:v>25694</x:v>
      </x:c>
    </x:row>
    <x:row r="1488">
      <x:c r="A1488" t="str">
        <x:v>Telangana</x:v>
      </x:c>
      <x:c r="B1488" t="str">
        <x:v>All India except Central University</x:v>
      </x:c>
      <x:c r="C1488" t="str">
        <x:v>200595</x:v>
      </x:c>
      <x:c r="D1488" t="str">
        <x:v>Government Medical College, Nagarkurnool, Sy no. 237, Uyyalawada village, Nanagarkurnool</x:v>
      </x:c>
      <x:c r="E1488" t="str">
        <x:v>All India</x:v>
      </x:c>
      <x:c r="F1488" t="str">
        <x:v>OBC</x:v>
      </x:c>
      <x:c r="G1488" t="n">
        <x:v>6</x:v>
      </x:c>
      <x:c r="H1488" t="n">
        <x:v>6</x:v>
      </x:c>
      <x:c r="I1488" t="n">
        <x:f>G1488-H1488</x:f>
        <x:v>0</x:v>
      </x:c>
      <x:c r="J1488" s="20" t="n">
        <x:f>IFERROR(H1488/G1488,0)</x:f>
        <x:v>1</x:v>
      </x:c>
      <x:c r="K1488" t="n">
        <x:v>20318</x:v>
      </x:c>
      <x:c r="L1488" t="n">
        <x:v>20554</x:v>
      </x:c>
      <x:c r="M1488" t="n">
        <x:v>20772</x:v>
      </x:c>
      <x:c r="N1488" t="n">
        <x:v>20990.75</x:v>
      </x:c>
      <x:c r="O1488" t="n">
        <x:v>21454</x:v>
      </x:c>
    </x:row>
    <x:row r="1489">
      <x:c r="A1489" t="str">
        <x:v>Telangana</x:v>
      </x:c>
      <x:c r="B1489" t="str">
        <x:v>All India except Central University</x:v>
      </x:c>
      <x:c r="C1489" t="str">
        <x:v>200595</x:v>
      </x:c>
      <x:c r="D1489" t="str">
        <x:v>Government Medical College, Nagarkurnool, Sy no. 237, Uyyalawada village, Nanagarkurnool</x:v>
      </x:c>
      <x:c r="E1489" t="str">
        <x:v>All India</x:v>
      </x:c>
      <x:c r="F1489" t="str">
        <x:v>Open</x:v>
      </x:c>
      <x:c r="G1489" t="n">
        <x:v>9</x:v>
      </x:c>
      <x:c r="H1489" t="n">
        <x:v>9</x:v>
      </x:c>
      <x:c r="I1489" t="n">
        <x:f>G1489-H1489</x:f>
        <x:v>0</x:v>
      </x:c>
      <x:c r="J1489" s="20" t="n">
        <x:f>IFERROR(H1489/G1489,0)</x:f>
        <x:v>1</x:v>
      </x:c>
      <x:c r="K1489" t="n">
        <x:v>10153</x:v>
      </x:c>
      <x:c r="L1489" t="n">
        <x:v>15178</x:v>
      </x:c>
      <x:c r="M1489" t="n">
        <x:v>17888</x:v>
      </x:c>
      <x:c r="N1489" t="n">
        <x:v>19681</x:v>
      </x:c>
      <x:c r="O1489" t="n">
        <x:v>19893</x:v>
      </x:c>
    </x:row>
    <x:row r="1490">
      <x:c r="A1490" t="str">
        <x:v>Telangana</x:v>
      </x:c>
      <x:c r="B1490" t="str">
        <x:v>All India except Central University</x:v>
      </x:c>
      <x:c r="C1490" t="str">
        <x:v>200595</x:v>
      </x:c>
      <x:c r="D1490" t="str">
        <x:v>Government Medical College, Nagarkurnool, Sy no. 237, Uyyalawada village, Nanagarkurnool</x:v>
      </x:c>
      <x:c r="E1490" t="str">
        <x:v>All India</x:v>
      </x:c>
      <x:c r="F1490" t="str">
        <x:v>SC</x:v>
      </x:c>
      <x:c r="G1490" t="n">
        <x:v>3</x:v>
      </x:c>
      <x:c r="H1490" t="n">
        <x:v>3</x:v>
      </x:c>
      <x:c r="I1490" t="n">
        <x:f>G1490-H1490</x:f>
        <x:v>0</x:v>
      </x:c>
      <x:c r="J1490" s="20" t="n">
        <x:f>IFERROR(H1490/G1490,0)</x:f>
        <x:v>1</x:v>
      </x:c>
      <x:c r="K1490" t="n">
        <x:v>85921</x:v>
      </x:c>
      <x:c r="L1490" t="n">
        <x:v>92347.5</x:v>
      </x:c>
      <x:c r="M1490" t="n">
        <x:v>98774</x:v>
      </x:c>
      <x:c r="N1490" t="n">
        <x:v>100111</x:v>
      </x:c>
      <x:c r="O1490" t="n">
        <x:v>101448</x:v>
      </x:c>
    </x:row>
    <x:row r="1491">
      <x:c r="A1491" t="str">
        <x:v>Telangana</x:v>
      </x:c>
      <x:c r="B1491" t="str">
        <x:v>All India except Central University</x:v>
      </x:c>
      <x:c r="C1491" t="str">
        <x:v>200595</x:v>
      </x:c>
      <x:c r="D1491" t="str">
        <x:v>Government Medical College, Nagarkurnool, Sy no. 237, Uyyalawada village, Nanagarkurnool</x:v>
      </x:c>
      <x:c r="E1491" t="str">
        <x:v>All India</x:v>
      </x:c>
      <x:c r="F1491" t="str">
        <x:v>ST</x:v>
      </x:c>
      <x:c r="G1491" t="n">
        <x:v>2</x:v>
      </x:c>
      <x:c r="H1491" t="n">
        <x:v>2</x:v>
      </x:c>
      <x:c r="I1491" t="n">
        <x:f>G1491-H1491</x:f>
        <x:v>0</x:v>
      </x:c>
      <x:c r="J1491" s="20" t="n">
        <x:f>IFERROR(H1491/G1491,0)</x:f>
        <x:v>1</x:v>
      </x:c>
      <x:c r="K1491" t="n">
        <x:v>111343</x:v>
      </x:c>
      <x:c r="L1491" t="n">
        <x:v>113252.5</x:v>
      </x:c>
      <x:c r="M1491" t="n">
        <x:v>115162</x:v>
      </x:c>
      <x:c r="N1491" t="n">
        <x:v>117071.5</x:v>
      </x:c>
      <x:c r="O1491" t="n">
        <x:v>118981</x:v>
      </x:c>
    </x:row>
    <x:row r="1492">
      <x:c r="A1492" t="str">
        <x:v>Rajasthan</x:v>
      </x:c>
      <x:c r="B1492" t="str">
        <x:v>All India except Central University</x:v>
      </x:c>
      <x:c r="C1492" t="str">
        <x:v>902864</x:v>
      </x:c>
      <x:c r="D1492" t="str">
        <x:v>Government Medical College, Nagaur, gmcnagaur@gmail.com</x:v>
      </x:c>
      <x:c r="E1492" t="str">
        <x:v>All India</x:v>
      </x:c>
      <x:c r="F1492" t="str">
        <x:v>EWS</x:v>
      </x:c>
      <x:c r="G1492" t="n">
        <x:v>2</x:v>
      </x:c>
      <x:c r="H1492" t="n">
        <x:v>2</x:v>
      </x:c>
      <x:c r="I1492" t="n">
        <x:f>G1492-H1492</x:f>
        <x:v>0</x:v>
      </x:c>
      <x:c r="J1492" s="20" t="n">
        <x:f>IFERROR(H1492/G1492,0)</x:f>
        <x:v>1</x:v>
      </x:c>
      <x:c r="K1492" t="n">
        <x:v>11049</x:v>
      </x:c>
      <x:c r="L1492" t="n">
        <x:v>11367.25</x:v>
      </x:c>
      <x:c r="M1492" t="n">
        <x:v>11685.5</x:v>
      </x:c>
      <x:c r="N1492" t="n">
        <x:v>12003.75</x:v>
      </x:c>
      <x:c r="O1492" t="n">
        <x:v>12322</x:v>
      </x:c>
    </x:row>
    <x:row r="1493">
      <x:c r="A1493" t="str">
        <x:v>Rajasthan</x:v>
      </x:c>
      <x:c r="B1493" t="str">
        <x:v>All India except Central University</x:v>
      </x:c>
      <x:c r="C1493" t="str">
        <x:v>902864</x:v>
      </x:c>
      <x:c r="D1493" t="str">
        <x:v>Government Medical College, Nagaur, gmcnagaur@gmail.com</x:v>
      </x:c>
      <x:c r="E1493" t="str">
        <x:v>All India</x:v>
      </x:c>
      <x:c r="F1493" t="str">
        <x:v>OBC</x:v>
      </x:c>
      <x:c r="G1493" t="n">
        <x:v>3</x:v>
      </x:c>
      <x:c r="H1493" t="n">
        <x:v>3</x:v>
      </x:c>
      <x:c r="I1493" t="n">
        <x:f>G1493-H1493</x:f>
        <x:v>0</x:v>
      </x:c>
      <x:c r="J1493" s="20" t="n">
        <x:f>IFERROR(H1493/G1493,0)</x:f>
        <x:v>1</x:v>
      </x:c>
      <x:c r="K1493" t="n">
        <x:v>8293</x:v>
      </x:c>
      <x:c r="L1493" t="n">
        <x:v>8491</x:v>
      </x:c>
      <x:c r="M1493" t="n">
        <x:v>8689</x:v>
      </x:c>
      <x:c r="N1493" t="n">
        <x:v>8740.5</x:v>
      </x:c>
      <x:c r="O1493" t="n">
        <x:v>8792</x:v>
      </x:c>
    </x:row>
    <x:row r="1494">
      <x:c r="A1494" t="str">
        <x:v>Rajasthan</x:v>
      </x:c>
      <x:c r="B1494" t="str">
        <x:v>All India except Central University</x:v>
      </x:c>
      <x:c r="C1494" t="str">
        <x:v>902864</x:v>
      </x:c>
      <x:c r="D1494" t="str">
        <x:v>Government Medical College, Nagaur, gmcnagaur@gmail.com</x:v>
      </x:c>
      <x:c r="E1494" t="str">
        <x:v>All India</x:v>
      </x:c>
      <x:c r="F1494" t="str">
        <x:v>OBC PwD</x:v>
      </x:c>
      <x:c r="G1494" t="n">
        <x:v>1</x:v>
      </x:c>
      <x:c r="H1494" t="n">
        <x:v>1</x:v>
      </x:c>
      <x:c r="I1494" t="n">
        <x:f>G1494-H1494</x:f>
        <x:v>0</x:v>
      </x:c>
      <x:c r="J1494" s="20" t="n">
        <x:f>IFERROR(H1494/G1494,0)</x:f>
        <x:v>1</x:v>
      </x:c>
      <x:c r="K1494" t="n">
        <x:v>526023</x:v>
      </x:c>
      <x:c r="L1494" t="n">
        <x:v>526023</x:v>
      </x:c>
      <x:c r="M1494" t="n">
        <x:v>526023</x:v>
      </x:c>
      <x:c r="N1494" t="n">
        <x:v>526023</x:v>
      </x:c>
      <x:c r="O1494" t="n">
        <x:v>526023</x:v>
      </x:c>
    </x:row>
    <x:row r="1495">
      <x:c r="A1495" t="str">
        <x:v>Rajasthan</x:v>
      </x:c>
      <x:c r="B1495" t="str">
        <x:v>All India except Central University</x:v>
      </x:c>
      <x:c r="C1495" t="str">
        <x:v>902864</x:v>
      </x:c>
      <x:c r="D1495" t="str">
        <x:v>Government Medical College, Nagaur, gmcnagaur@gmail.com</x:v>
      </x:c>
      <x:c r="E1495" t="str">
        <x:v>All India</x:v>
      </x:c>
      <x:c r="F1495" t="str">
        <x:v>Open</x:v>
      </x:c>
      <x:c r="G1495" t="n">
        <x:v>6</x:v>
      </x:c>
      <x:c r="H1495" t="n">
        <x:v>6</x:v>
      </x:c>
      <x:c r="I1495" t="n">
        <x:f>G1495-H1495</x:f>
        <x:v>0</x:v>
      </x:c>
      <x:c r="J1495" s="20" t="n">
        <x:f>IFERROR(H1495/G1495,0)</x:f>
        <x:v>1</x:v>
      </x:c>
      <x:c r="K1495" t="n">
        <x:v>4969</x:v>
      </x:c>
      <x:c r="L1495" t="n">
        <x:v>6690.25</x:v>
      </x:c>
      <x:c r="M1495" t="n">
        <x:v>6954.5</x:v>
      </x:c>
      <x:c r="N1495" t="n">
        <x:v>7076.25</x:v>
      </x:c>
      <x:c r="O1495" t="n">
        <x:v>7810</x:v>
      </x:c>
    </x:row>
    <x:row r="1496">
      <x:c r="A1496" t="str">
        <x:v>Rajasthan</x:v>
      </x:c>
      <x:c r="B1496" t="str">
        <x:v>All India except Central University</x:v>
      </x:c>
      <x:c r="C1496" t="str">
        <x:v>902864</x:v>
      </x:c>
      <x:c r="D1496" t="str">
        <x:v>Government Medical College, Nagaur, gmcnagaur@gmail.com</x:v>
      </x:c>
      <x:c r="E1496" t="str">
        <x:v>All India</x:v>
      </x:c>
      <x:c r="F1496" t="str">
        <x:v>SC</x:v>
      </x:c>
      <x:c r="G1496" t="n">
        <x:v>2</x:v>
      </x:c>
      <x:c r="H1496" t="n">
        <x:v>2</x:v>
      </x:c>
      <x:c r="I1496" t="n">
        <x:f>G1496-H1496</x:f>
        <x:v>0</x:v>
      </x:c>
      <x:c r="J1496" s="20" t="n">
        <x:f>IFERROR(H1496/G1496,0)</x:f>
        <x:v>1</x:v>
      </x:c>
      <x:c r="K1496" t="n">
        <x:v>17746</x:v>
      </x:c>
      <x:c r="L1496" t="n">
        <x:v>25151.25</x:v>
      </x:c>
      <x:c r="M1496" t="n">
        <x:v>32556.5</x:v>
      </x:c>
      <x:c r="N1496" t="n">
        <x:v>39961.75</x:v>
      </x:c>
      <x:c r="O1496" t="n">
        <x:v>47367</x:v>
      </x:c>
    </x:row>
    <x:row r="1497">
      <x:c r="A1497" t="str">
        <x:v>Rajasthan</x:v>
      </x:c>
      <x:c r="B1497" t="str">
        <x:v>All India except Central University</x:v>
      </x:c>
      <x:c r="C1497" t="str">
        <x:v>902864</x:v>
      </x:c>
      <x:c r="D1497" t="str">
        <x:v>Government Medical College, Nagaur, gmcnagaur@gmail.com</x:v>
      </x:c>
      <x:c r="E1497" t="str">
        <x:v>All India</x:v>
      </x:c>
      <x:c r="F1497" t="str">
        <x:v>ST</x:v>
      </x:c>
      <x:c r="G1497" t="n">
        <x:v>1</x:v>
      </x:c>
      <x:c r="H1497" t="n">
        <x:v>1</x:v>
      </x:c>
      <x:c r="I1497" t="n">
        <x:f>G1497-H1497</x:f>
        <x:v>0</x:v>
      </x:c>
      <x:c r="J1497" s="20" t="n">
        <x:f>IFERROR(H1497/G1497,0)</x:f>
        <x:v>1</x:v>
      </x:c>
      <x:c r="K1497" t="n">
        <x:v>76306</x:v>
      </x:c>
      <x:c r="L1497" t="n">
        <x:v>76306</x:v>
      </x:c>
      <x:c r="M1497" t="n">
        <x:v>76306</x:v>
      </x:c>
      <x:c r="N1497" t="n">
        <x:v>76306</x:v>
      </x:c>
      <x:c r="O1497" t="n">
        <x:v>76306</x:v>
      </x:c>
    </x:row>
    <x:row r="1498">
      <x:c r="A1498" t="str">
        <x:v>Maharashtra</x:v>
      </x:c>
      <x:c r="B1498" t="str">
        <x:v>All India except Central University</x:v>
      </x:c>
      <x:c r="C1498" t="str">
        <x:v>200217</x:v>
      </x:c>
      <x:c r="D1498" t="str">
        <x:v>Government Medical College, Nagpur, Hanuman Nagar,Nagpur</x:v>
      </x:c>
      <x:c r="E1498" t="str">
        <x:v>All India</x:v>
      </x:c>
      <x:c r="F1498" t="str">
        <x:v>EWS</x:v>
      </x:c>
      <x:c r="G1498" t="n">
        <x:v>4</x:v>
      </x:c>
      <x:c r="H1498" t="n">
        <x:v>4</x:v>
      </x:c>
      <x:c r="I1498" t="n">
        <x:f>G1498-H1498</x:f>
        <x:v>0</x:v>
      </x:c>
      <x:c r="J1498" s="20" t="n">
        <x:f>IFERROR(H1498/G1498,0)</x:f>
        <x:v>1</x:v>
      </x:c>
      <x:c r="K1498" t="n">
        <x:v>5953</x:v>
      </x:c>
      <x:c r="L1498" t="n">
        <x:v>6367.75</x:v>
      </x:c>
      <x:c r="M1498" t="n">
        <x:v>7200.5</x:v>
      </x:c>
      <x:c r="N1498" t="n">
        <x:v>8019.25</x:v>
      </x:c>
      <x:c r="O1498" t="n">
        <x:v>8392</x:v>
      </x:c>
    </x:row>
    <x:row r="1499">
      <x:c r="A1499" t="str">
        <x:v>Maharashtra</x:v>
      </x:c>
      <x:c r="B1499" t="str">
        <x:v>All India except Central University</x:v>
      </x:c>
      <x:c r="C1499" t="str">
        <x:v>200217</x:v>
      </x:c>
      <x:c r="D1499" t="str">
        <x:v>Government Medical College, Nagpur, Hanuman Nagar,Nagpur</x:v>
      </x:c>
      <x:c r="E1499" t="str">
        <x:v>All India</x:v>
      </x:c>
      <x:c r="F1499" t="str">
        <x:v>OBC</x:v>
      </x:c>
      <x:c r="G1499" t="n">
        <x:v>10</x:v>
      </x:c>
      <x:c r="H1499" t="n">
        <x:v>10</x:v>
      </x:c>
      <x:c r="I1499" t="n">
        <x:f>G1499-H1499</x:f>
        <x:v>0</x:v>
      </x:c>
      <x:c r="J1499" s="20" t="n">
        <x:f>IFERROR(H1499/G1499,0)</x:f>
        <x:v>1</x:v>
      </x:c>
      <x:c r="K1499" t="n">
        <x:v>4743</x:v>
      </x:c>
      <x:c r="L1499" t="n">
        <x:v>4942</x:v>
      </x:c>
      <x:c r="M1499" t="n">
        <x:v>5418</x:v>
      </x:c>
      <x:c r="N1499" t="n">
        <x:v>5571.25</x:v>
      </x:c>
      <x:c r="O1499" t="n">
        <x:v>6120</x:v>
      </x:c>
    </x:row>
    <x:row r="1500">
      <x:c r="A1500" t="str">
        <x:v>Maharashtra</x:v>
      </x:c>
      <x:c r="B1500" t="str">
        <x:v>All India except Central University</x:v>
      </x:c>
      <x:c r="C1500" t="str">
        <x:v>200217</x:v>
      </x:c>
      <x:c r="D1500" t="str">
        <x:v>Government Medical College, Nagpur, Hanuman Nagar,Nagpur</x:v>
      </x:c>
      <x:c r="E1500" t="str">
        <x:v>All India</x:v>
      </x:c>
      <x:c r="F1500" t="str">
        <x:v>Open</x:v>
      </x:c>
      <x:c r="G1500" t="n">
        <x:v>14</x:v>
      </x:c>
      <x:c r="H1500" t="n">
        <x:v>14</x:v>
      </x:c>
      <x:c r="I1500" t="n">
        <x:f>G1500-H1500</x:f>
        <x:v>0</x:v>
      </x:c>
      <x:c r="J1500" s="20" t="n">
        <x:f>IFERROR(H1500/G1500,0)</x:f>
        <x:v>1</x:v>
      </x:c>
      <x:c r="K1500" t="n">
        <x:v>2394</x:v>
      </x:c>
      <x:c r="L1500" t="n">
        <x:v>3252</x:v>
      </x:c>
      <x:c r="M1500" t="n">
        <x:v>3691</x:v>
      </x:c>
      <x:c r="N1500" t="n">
        <x:v>3976.75</x:v>
      </x:c>
      <x:c r="O1500" t="n">
        <x:v>4044</x:v>
      </x:c>
    </x:row>
    <x:row r="1501">
      <x:c r="A1501" t="str">
        <x:v>Maharashtra</x:v>
      </x:c>
      <x:c r="B1501" t="str">
        <x:v>All India except Central University</x:v>
      </x:c>
      <x:c r="C1501" t="str">
        <x:v>200217</x:v>
      </x:c>
      <x:c r="D1501" t="str">
        <x:v>Government Medical College, Nagpur, Hanuman Nagar,Nagpur</x:v>
      </x:c>
      <x:c r="E1501" t="str">
        <x:v>All India</x:v>
      </x:c>
      <x:c r="F1501" t="str">
        <x:v>Open PwD</x:v>
      </x:c>
      <x:c r="G1501" t="n">
        <x:v>1</x:v>
      </x:c>
      <x:c r="H1501" t="n">
        <x:v>1</x:v>
      </x:c>
      <x:c r="I1501" t="n">
        <x:f>G1501-H1501</x:f>
        <x:v>0</x:v>
      </x:c>
      <x:c r="J1501" s="20" t="n">
        <x:f>IFERROR(H1501/G1501,0)</x:f>
        <x:v>1</x:v>
      </x:c>
      <x:c r="K1501" t="n">
        <x:v>236679</x:v>
      </x:c>
      <x:c r="L1501" t="n">
        <x:v>236679</x:v>
      </x:c>
      <x:c r="M1501" t="n">
        <x:v>236679</x:v>
      </x:c>
      <x:c r="N1501" t="n">
        <x:v>236679</x:v>
      </x:c>
      <x:c r="O1501" t="n">
        <x:v>236679</x:v>
      </x:c>
    </x:row>
    <x:row r="1502">
      <x:c r="A1502" t="str">
        <x:v>Maharashtra</x:v>
      </x:c>
      <x:c r="B1502" t="str">
        <x:v>All India except Central University</x:v>
      </x:c>
      <x:c r="C1502" t="str">
        <x:v>200217</x:v>
      </x:c>
      <x:c r="D1502" t="str">
        <x:v>Government Medical College, Nagpur, Hanuman Nagar,Nagpur</x:v>
      </x:c>
      <x:c r="E1502" t="str">
        <x:v>All India</x:v>
      </x:c>
      <x:c r="F1502" t="str">
        <x:v>SC</x:v>
      </x:c>
      <x:c r="G1502" t="n">
        <x:v>6</x:v>
      </x:c>
      <x:c r="H1502" t="n">
        <x:v>6</x:v>
      </x:c>
      <x:c r="I1502" t="n">
        <x:f>G1502-H1502</x:f>
        <x:v>0</x:v>
      </x:c>
      <x:c r="J1502" s="20" t="n">
        <x:f>IFERROR(H1502/G1502,0)</x:f>
        <x:v>1</x:v>
      </x:c>
      <x:c r="K1502" t="n">
        <x:v>12692</x:v>
      </x:c>
      <x:c r="L1502" t="n">
        <x:v>23511.25</x:v>
      </x:c>
      <x:c r="M1502" t="n">
        <x:v>27537</x:v>
      </x:c>
      <x:c r="N1502" t="n">
        <x:v>29709.5</x:v>
      </x:c>
      <x:c r="O1502" t="n">
        <x:v>30736</x:v>
      </x:c>
    </x:row>
    <x:row r="1503">
      <x:c r="A1503" t="str">
        <x:v>Maharashtra</x:v>
      </x:c>
      <x:c r="B1503" t="str">
        <x:v>All India except Central University</x:v>
      </x:c>
      <x:c r="C1503" t="str">
        <x:v>200217</x:v>
      </x:c>
      <x:c r="D1503" t="str">
        <x:v>Government Medical College, Nagpur, Hanuman Nagar,Nagpur</x:v>
      </x:c>
      <x:c r="E1503" t="str">
        <x:v>All India</x:v>
      </x:c>
      <x:c r="F1503" t="str">
        <x:v>ST</x:v>
      </x:c>
      <x:c r="G1503" t="n">
        <x:v>3</x:v>
      </x:c>
      <x:c r="H1503" t="n">
        <x:v>3</x:v>
      </x:c>
      <x:c r="I1503" t="n">
        <x:f>G1503-H1503</x:f>
        <x:v>0</x:v>
      </x:c>
      <x:c r="J1503" s="20" t="n">
        <x:f>IFERROR(H1503/G1503,0)</x:f>
        <x:v>1</x:v>
      </x:c>
      <x:c r="K1503" t="n">
        <x:v>44856</x:v>
      </x:c>
      <x:c r="L1503" t="n">
        <x:v>50413.5</x:v>
      </x:c>
      <x:c r="M1503" t="n">
        <x:v>55971</x:v>
      </x:c>
      <x:c r="N1503" t="n">
        <x:v>58175.5</x:v>
      </x:c>
      <x:c r="O1503" t="n">
        <x:v>60380</x:v>
      </x:c>
    </x:row>
    <x:row r="1504">
      <x:c r="A1504" t="str">
        <x:v>Himachal Pradesh</x:v>
      </x:c>
      <x:c r="B1504" t="str">
        <x:v>All India except Central University</x:v>
      </x:c>
      <x:c r="C1504" t="str">
        <x:v>200151</x:v>
      </x:c>
      <x:c r="D1504" t="str">
        <x:v>Government Medical College, Nahan, Sirmour H.P., Nahan, District Sirmaur, Himachal Pradesh</x:v>
      </x:c>
      <x:c r="E1504" t="str">
        <x:v>All India</x:v>
      </x:c>
      <x:c r="F1504" t="str">
        <x:v>EWS</x:v>
      </x:c>
      <x:c r="G1504" t="n">
        <x:v>2</x:v>
      </x:c>
      <x:c r="H1504" t="n">
        <x:v>2</x:v>
      </x:c>
      <x:c r="I1504" t="n">
        <x:f>G1504-H1504</x:f>
        <x:v>0</x:v>
      </x:c>
      <x:c r="J1504" s="20" t="n">
        <x:f>IFERROR(H1504/G1504,0)</x:f>
        <x:v>1</x:v>
      </x:c>
      <x:c r="K1504" t="n">
        <x:v>10722</x:v>
      </x:c>
      <x:c r="L1504" t="n">
        <x:v>10772.5</x:v>
      </x:c>
      <x:c r="M1504" t="n">
        <x:v>10823</x:v>
      </x:c>
      <x:c r="N1504" t="n">
        <x:v>10873.5</x:v>
      </x:c>
      <x:c r="O1504" t="n">
        <x:v>10924</x:v>
      </x:c>
    </x:row>
    <x:row r="1505">
      <x:c r="A1505" t="str">
        <x:v>Himachal Pradesh</x:v>
      </x:c>
      <x:c r="B1505" t="str">
        <x:v>All India except Central University</x:v>
      </x:c>
      <x:c r="C1505" t="str">
        <x:v>200151</x:v>
      </x:c>
      <x:c r="D1505" t="str">
        <x:v>Government Medical College, Nahan, Sirmour H.P., Nahan, District Sirmaur, Himachal Pradesh</x:v>
      </x:c>
      <x:c r="E1505" t="str">
        <x:v>All India</x:v>
      </x:c>
      <x:c r="F1505" t="str">
        <x:v>OBC</x:v>
      </x:c>
      <x:c r="G1505" t="n">
        <x:v>5</x:v>
      </x:c>
      <x:c r="H1505" t="n">
        <x:v>5</x:v>
      </x:c>
      <x:c r="I1505" t="n">
        <x:f>G1505-H1505</x:f>
        <x:v>0</x:v>
      </x:c>
      <x:c r="J1505" s="20" t="n">
        <x:f>IFERROR(H1505/G1505,0)</x:f>
        <x:v>1</x:v>
      </x:c>
      <x:c r="K1505" t="n">
        <x:v>8705</x:v>
      </x:c>
      <x:c r="L1505" t="n">
        <x:v>9111</x:v>
      </x:c>
      <x:c r="M1505" t="n">
        <x:v>9195</x:v>
      </x:c>
      <x:c r="N1505" t="n">
        <x:v>9411</x:v>
      </x:c>
      <x:c r="O1505" t="n">
        <x:v>9431</x:v>
      </x:c>
    </x:row>
    <x:row r="1506">
      <x:c r="A1506" t="str">
        <x:v>Himachal Pradesh</x:v>
      </x:c>
      <x:c r="B1506" t="str">
        <x:v>All India except Central University</x:v>
      </x:c>
      <x:c r="C1506" t="str">
        <x:v>200151</x:v>
      </x:c>
      <x:c r="D1506" t="str">
        <x:v>Government Medical College, Nahan, Sirmour H.P., Nahan, District Sirmaur, Himachal Pradesh</x:v>
      </x:c>
      <x:c r="E1506" t="str">
        <x:v>All India</x:v>
      </x:c>
      <x:c r="F1506" t="str">
        <x:v>Open</x:v>
      </x:c>
      <x:c r="G1506" t="n">
        <x:v>6</x:v>
      </x:c>
      <x:c r="H1506" t="n">
        <x:v>6</x:v>
      </x:c>
      <x:c r="I1506" t="n">
        <x:f>G1506-H1506</x:f>
        <x:v>0</x:v>
      </x:c>
      <x:c r="J1506" s="20" t="n">
        <x:f>IFERROR(H1506/G1506,0)</x:f>
        <x:v>1</x:v>
      </x:c>
      <x:c r="K1506" t="n">
        <x:v>6919</x:v>
      </x:c>
      <x:c r="L1506" t="n">
        <x:v>7178.75</x:v>
      </x:c>
      <x:c r="M1506" t="n">
        <x:v>7880.5</x:v>
      </x:c>
      <x:c r="N1506" t="n">
        <x:v>8139.75</x:v>
      </x:c>
      <x:c r="O1506" t="n">
        <x:v>8415</x:v>
      </x:c>
    </x:row>
    <x:row r="1507">
      <x:c r="A1507" t="str">
        <x:v>Himachal Pradesh</x:v>
      </x:c>
      <x:c r="B1507" t="str">
        <x:v>All India except Central University</x:v>
      </x:c>
      <x:c r="C1507" t="str">
        <x:v>200151</x:v>
      </x:c>
      <x:c r="D1507" t="str">
        <x:v>Government Medical College, Nahan, Sirmour H.P., Nahan, District Sirmaur, Himachal Pradesh</x:v>
      </x:c>
      <x:c r="E1507" t="str">
        <x:v>All India</x:v>
      </x:c>
      <x:c r="F1507" t="str">
        <x:v>SC</x:v>
      </x:c>
      <x:c r="G1507" t="n">
        <x:v>3</x:v>
      </x:c>
      <x:c r="H1507" t="n">
        <x:v>3</x:v>
      </x:c>
      <x:c r="I1507" t="n">
        <x:f>G1507-H1507</x:f>
        <x:v>0</x:v>
      </x:c>
      <x:c r="J1507" s="20" t="n">
        <x:f>IFERROR(H1507/G1507,0)</x:f>
        <x:v>1</x:v>
      </x:c>
      <x:c r="K1507" t="n">
        <x:v>42151</x:v>
      </x:c>
      <x:c r="L1507" t="n">
        <x:v>47129</x:v>
      </x:c>
      <x:c r="M1507" t="n">
        <x:v>52107</x:v>
      </x:c>
      <x:c r="N1507" t="n">
        <x:v>52807</x:v>
      </x:c>
      <x:c r="O1507" t="n">
        <x:v>53507</x:v>
      </x:c>
    </x:row>
    <x:row r="1508">
      <x:c r="A1508" t="str">
        <x:v>Himachal Pradesh</x:v>
      </x:c>
      <x:c r="B1508" t="str">
        <x:v>All India except Central University</x:v>
      </x:c>
      <x:c r="C1508" t="str">
        <x:v>200151</x:v>
      </x:c>
      <x:c r="D1508" t="str">
        <x:v>Government Medical College, Nahan, Sirmour H.P., Nahan, District Sirmaur, Himachal Pradesh</x:v>
      </x:c>
      <x:c r="E1508" t="str">
        <x:v>All India</x:v>
      </x:c>
      <x:c r="F1508" t="str">
        <x:v>ST</x:v>
      </x:c>
      <x:c r="G1508" t="n">
        <x:v>2</x:v>
      </x:c>
      <x:c r="H1508" t="n">
        <x:v>2</x:v>
      </x:c>
      <x:c r="I1508" t="n">
        <x:f>G1508-H1508</x:f>
        <x:v>0</x:v>
      </x:c>
      <x:c r="J1508" s="20" t="n">
        <x:f>IFERROR(H1508/G1508,0)</x:f>
        <x:v>1</x:v>
      </x:c>
      <x:c r="K1508" t="n">
        <x:v>70114</x:v>
      </x:c>
      <x:c r="L1508" t="n">
        <x:v>70525</x:v>
      </x:c>
      <x:c r="M1508" t="n">
        <x:v>70936</x:v>
      </x:c>
      <x:c r="N1508" t="n">
        <x:v>71347</x:v>
      </x:c>
      <x:c r="O1508" t="n">
        <x:v>71758</x:v>
      </x:c>
    </x:row>
    <x:row r="1509">
      <x:c r="A1509" t="str">
        <x:v>Telangana</x:v>
      </x:c>
      <x:c r="B1509" t="str">
        <x:v>All India except Central University</x:v>
      </x:c>
      <x:c r="C1509" t="str">
        <x:v>200482</x:v>
      </x:c>
      <x:c r="D1509" t="str">
        <x:v>Government Medical College, Nalgonda, OFFICE OF THE PRINCIPAL, GOVERNMENT MEDICAL COLLGEGE,GANDHAMVARI GUDEM,SLBC,SAGAR ROAD,NALGONDA,TELA</x:v>
      </x:c>
      <x:c r="E1509" t="str">
        <x:v>All India</x:v>
      </x:c>
      <x:c r="F1509" t="str">
        <x:v>EWS</x:v>
      </x:c>
      <x:c r="G1509" t="n">
        <x:v>2</x:v>
      </x:c>
      <x:c r="H1509" t="n">
        <x:v>2</x:v>
      </x:c>
      <x:c r="I1509" t="n">
        <x:f>G1509-H1509</x:f>
        <x:v>0</x:v>
      </x:c>
      <x:c r="J1509" s="20" t="n">
        <x:f>IFERROR(H1509/G1509,0)</x:f>
        <x:v>1</x:v>
      </x:c>
      <x:c r="K1509" t="n">
        <x:v>23252</x:v>
      </x:c>
      <x:c r="L1509" t="n">
        <x:v>23517</x:v>
      </x:c>
      <x:c r="M1509" t="n">
        <x:v>23782</x:v>
      </x:c>
      <x:c r="N1509" t="n">
        <x:v>24047</x:v>
      </x:c>
      <x:c r="O1509" t="n">
        <x:v>24312</x:v>
      </x:c>
    </x:row>
    <x:row r="1510">
      <x:c r="A1510" t="str">
        <x:v>Telangana</x:v>
      </x:c>
      <x:c r="B1510" t="str">
        <x:v>All India except Central University</x:v>
      </x:c>
      <x:c r="C1510" t="str">
        <x:v>200482</x:v>
      </x:c>
      <x:c r="D1510" t="str">
        <x:v>Government Medical College, Nalgonda, OFFICE OF THE PRINCIPAL, GOVERNMENT MEDICAL COLLGEGE,GANDHAMVARI GUDEM,SLBC,SAGAR ROAD,NALGONDA,TELA</x:v>
      </x:c>
      <x:c r="E1510" t="str">
        <x:v>All India</x:v>
      </x:c>
      <x:c r="F1510" t="str">
        <x:v>OBC</x:v>
      </x:c>
      <x:c r="G1510" t="n">
        <x:v>6</x:v>
      </x:c>
      <x:c r="H1510" t="n">
        <x:v>6</x:v>
      </x:c>
      <x:c r="I1510" t="n">
        <x:f>G1510-H1510</x:f>
        <x:v>0</x:v>
      </x:c>
      <x:c r="J1510" s="20" t="n">
        <x:f>IFERROR(H1510/G1510,0)</x:f>
        <x:v>1</x:v>
      </x:c>
      <x:c r="K1510" t="n">
        <x:v>20219</x:v>
      </x:c>
      <x:c r="L1510" t="n">
        <x:v>20278.5</x:v>
      </x:c>
      <x:c r="M1510" t="n">
        <x:v>20495.5</x:v>
      </x:c>
      <x:c r="N1510" t="n">
        <x:v>20552</x:v>
      </x:c>
      <x:c r="O1510" t="n">
        <x:v>20564</x:v>
      </x:c>
    </x:row>
    <x:row r="1511">
      <x:c r="A1511" t="str">
        <x:v>Telangana</x:v>
      </x:c>
      <x:c r="B1511" t="str">
        <x:v>All India except Central University</x:v>
      </x:c>
      <x:c r="C1511" t="str">
        <x:v>200482</x:v>
      </x:c>
      <x:c r="D1511" t="str">
        <x:v>Government Medical College, Nalgonda, OFFICE OF THE PRINCIPAL, GOVERNMENT MEDICAL COLLGEGE,GANDHAMVARI GUDEM,SLBC,SAGAR ROAD,NALGONDA,TELA</x:v>
      </x:c>
      <x:c r="E1511" t="str">
        <x:v>All India</x:v>
      </x:c>
      <x:c r="F1511" t="str">
        <x:v>Open</x:v>
      </x:c>
      <x:c r="G1511" t="n">
        <x:v>9</x:v>
      </x:c>
      <x:c r="H1511" t="n">
        <x:v>9</x:v>
      </x:c>
      <x:c r="I1511" t="n">
        <x:f>G1511-H1511</x:f>
        <x:v>0</x:v>
      </x:c>
      <x:c r="J1511" s="20" t="n">
        <x:f>IFERROR(H1511/G1511,0)</x:f>
        <x:v>1</x:v>
      </x:c>
      <x:c r="K1511" t="n">
        <x:v>17691</x:v>
      </x:c>
      <x:c r="L1511" t="n">
        <x:v>18590</x:v>
      </x:c>
      <x:c r="M1511" t="n">
        <x:v>18870</x:v>
      </x:c>
      <x:c r="N1511" t="n">
        <x:v>19125</x:v>
      </x:c>
      <x:c r="O1511" t="n">
        <x:v>19443</x:v>
      </x:c>
    </x:row>
    <x:row r="1512">
      <x:c r="A1512" t="str">
        <x:v>Telangana</x:v>
      </x:c>
      <x:c r="B1512" t="str">
        <x:v>All India except Central University</x:v>
      </x:c>
      <x:c r="C1512" t="str">
        <x:v>200482</x:v>
      </x:c>
      <x:c r="D1512" t="str">
        <x:v>Government Medical College, Nalgonda, OFFICE OF THE PRINCIPAL, GOVERNMENT MEDICAL COLLGEGE,GANDHAMVARI GUDEM,SLBC,SAGAR ROAD,NALGONDA,TELA</x:v>
      </x:c>
      <x:c r="E1512" t="str">
        <x:v>All India</x:v>
      </x:c>
      <x:c r="F1512" t="str">
        <x:v>Open PwD</x:v>
      </x:c>
      <x:c r="G1512" t="n">
        <x:v>1</x:v>
      </x:c>
      <x:c r="H1512" t="n">
        <x:v>1</x:v>
      </x:c>
      <x:c r="I1512" t="n">
        <x:f>G1512-H1512</x:f>
        <x:v>0</x:v>
      </x:c>
      <x:c r="J1512" s="20" t="n">
        <x:f>IFERROR(H1512/G1512,0)</x:f>
        <x:v>1</x:v>
      </x:c>
      <x:c r="K1512" t="n">
        <x:v>511423</x:v>
      </x:c>
      <x:c r="L1512" t="n">
        <x:v>511423</x:v>
      </x:c>
      <x:c r="M1512" t="n">
        <x:v>511423</x:v>
      </x:c>
      <x:c r="N1512" t="n">
        <x:v>511423</x:v>
      </x:c>
      <x:c r="O1512" t="n">
        <x:v>511423</x:v>
      </x:c>
    </x:row>
    <x:row r="1513">
      <x:c r="A1513" t="str">
        <x:v>Telangana</x:v>
      </x:c>
      <x:c r="B1513" t="str">
        <x:v>All India except Central University</x:v>
      </x:c>
      <x:c r="C1513" t="str">
        <x:v>200482</x:v>
      </x:c>
      <x:c r="D1513" t="str">
        <x:v>Government Medical College, Nalgonda, OFFICE OF THE PRINCIPAL, GOVERNMENT MEDICAL COLLGEGE,GANDHAMVARI GUDEM,SLBC,SAGAR ROAD,NALGONDA,TELA</x:v>
      </x:c>
      <x:c r="E1513" t="str">
        <x:v>All India</x:v>
      </x:c>
      <x:c r="F1513" t="str">
        <x:v>SC</x:v>
      </x:c>
      <x:c r="G1513" t="n">
        <x:v>3</x:v>
      </x:c>
      <x:c r="H1513" t="n">
        <x:v>3</x:v>
      </x:c>
      <x:c r="I1513" t="n">
        <x:f>G1513-H1513</x:f>
        <x:v>0</x:v>
      </x:c>
      <x:c r="J1513" s="20" t="n">
        <x:f>IFERROR(H1513/G1513,0)</x:f>
        <x:v>1</x:v>
      </x:c>
      <x:c r="K1513" t="n">
        <x:v>92112</x:v>
      </x:c>
      <x:c r="L1513" t="n">
        <x:v>92674</x:v>
      </x:c>
      <x:c r="M1513" t="n">
        <x:v>93236</x:v>
      </x:c>
      <x:c r="N1513" t="n">
        <x:v>93693</x:v>
      </x:c>
      <x:c r="O1513" t="n">
        <x:v>94150</x:v>
      </x:c>
    </x:row>
    <x:row r="1514">
      <x:c r="A1514" t="str">
        <x:v>Telangana</x:v>
      </x:c>
      <x:c r="B1514" t="str">
        <x:v>All India except Central University</x:v>
      </x:c>
      <x:c r="C1514" t="str">
        <x:v>200482</x:v>
      </x:c>
      <x:c r="D1514" t="str">
        <x:v>Government Medical College, Nalgonda, OFFICE OF THE PRINCIPAL, GOVERNMENT MEDICAL COLLGEGE,GANDHAMVARI GUDEM,SLBC,SAGAR ROAD,NALGONDA,TELA</x:v>
      </x:c>
      <x:c r="E1514" t="str">
        <x:v>All India</x:v>
      </x:c>
      <x:c r="F1514" t="str">
        <x:v>ST</x:v>
      </x:c>
      <x:c r="G1514" t="n">
        <x:v>1</x:v>
      </x:c>
      <x:c r="H1514" t="n">
        <x:v>1</x:v>
      </x:c>
      <x:c r="I1514" t="n">
        <x:f>G1514-H1514</x:f>
        <x:v>0</x:v>
      </x:c>
      <x:c r="J1514" s="20" t="n">
        <x:f>IFERROR(H1514/G1514,0)</x:f>
        <x:v>1</x:v>
      </x:c>
      <x:c r="K1514" t="n">
        <x:v>106416</x:v>
      </x:c>
      <x:c r="L1514" t="n">
        <x:v>106416</x:v>
      </x:c>
      <x:c r="M1514" t="n">
        <x:v>106416</x:v>
      </x:c>
      <x:c r="N1514" t="n">
        <x:v>106416</x:v>
      </x:c>
      <x:c r="O1514" t="n">
        <x:v>106416</x:v>
      </x:c>
    </x:row>
    <x:row r="1515">
      <x:c r="A1515" t="str">
        <x:v>Tamil Nadu</x:v>
      </x:c>
      <x:c r="B1515" t="str">
        <x:v>All India except Central University</x:v>
      </x:c>
      <x:c r="C1515" t="str">
        <x:v>200557</x:v>
      </x:c>
      <x:c r="D1515" t="str">
        <x:v>Government Medical College, Namakkal, 353 MASTER PLAN COMPLEX SILUVAMPATTY NAMAKKAL</x:v>
      </x:c>
      <x:c r="E1515" t="str">
        <x:v>All India</x:v>
      </x:c>
      <x:c r="F1515" t="str">
        <x:v>EWS</x:v>
      </x:c>
      <x:c r="G1515" t="n">
        <x:v>2</x:v>
      </x:c>
      <x:c r="H1515" t="n">
        <x:v>2</x:v>
      </x:c>
      <x:c r="I1515" t="n">
        <x:f>G1515-H1515</x:f>
        <x:v>0</x:v>
      </x:c>
      <x:c r="J1515" s="20" t="n">
        <x:f>IFERROR(H1515/G1515,0)</x:f>
        <x:v>1</x:v>
      </x:c>
      <x:c r="K1515" t="n">
        <x:v>25954</x:v>
      </x:c>
      <x:c r="L1515" t="n">
        <x:v>26233.75</x:v>
      </x:c>
      <x:c r="M1515" t="n">
        <x:v>26513.5</x:v>
      </x:c>
      <x:c r="N1515" t="n">
        <x:v>26793.25</x:v>
      </x:c>
      <x:c r="O1515" t="n">
        <x:v>27073</x:v>
      </x:c>
    </x:row>
    <x:row r="1516">
      <x:c r="A1516" t="str">
        <x:v>Tamil Nadu</x:v>
      </x:c>
      <x:c r="B1516" t="str">
        <x:v>All India except Central University</x:v>
      </x:c>
      <x:c r="C1516" t="str">
        <x:v>200557</x:v>
      </x:c>
      <x:c r="D1516" t="str">
        <x:v>Government Medical College, Namakkal, 353 MASTER PLAN COMPLEX SILUVAMPATTY NAMAKKAL</x:v>
      </x:c>
      <x:c r="E1516" t="str">
        <x:v>All India</x:v>
      </x:c>
      <x:c r="F1516" t="str">
        <x:v>OBC</x:v>
      </x:c>
      <x:c r="G1516" t="n">
        <x:v>5</x:v>
      </x:c>
      <x:c r="H1516" t="n">
        <x:v>5</x:v>
      </x:c>
      <x:c r="I1516" t="n">
        <x:f>G1516-H1516</x:f>
        <x:v>0</x:v>
      </x:c>
      <x:c r="J1516" s="20" t="n">
        <x:f>IFERROR(H1516/G1516,0)</x:f>
        <x:v>1</x:v>
      </x:c>
      <x:c r="K1516" t="n">
        <x:v>12494</x:v>
      </x:c>
      <x:c r="L1516" t="n">
        <x:v>12519</x:v>
      </x:c>
      <x:c r="M1516" t="n">
        <x:v>12705</x:v>
      </x:c>
      <x:c r="N1516" t="n">
        <x:v>13227</x:v>
      </x:c>
      <x:c r="O1516" t="n">
        <x:v>13280</x:v>
      </x:c>
    </x:row>
    <x:row r="1517">
      <x:c r="A1517" t="str">
        <x:v>Tamil Nadu</x:v>
      </x:c>
      <x:c r="B1517" t="str">
        <x:v>All India except Central University</x:v>
      </x:c>
      <x:c r="C1517" t="str">
        <x:v>200557</x:v>
      </x:c>
      <x:c r="D1517" t="str">
        <x:v>Government Medical College, Namakkal, 353 MASTER PLAN COMPLEX SILUVAMPATTY NAMAKKAL</x:v>
      </x:c>
      <x:c r="E1517" t="str">
        <x:v>All India</x:v>
      </x:c>
      <x:c r="F1517" t="str">
        <x:v>OBC PwD</x:v>
      </x:c>
      <x:c r="G1517" t="n">
        <x:v>1</x:v>
      </x:c>
      <x:c r="H1517" t="n">
        <x:v>1</x:v>
      </x:c>
      <x:c r="I1517" t="n">
        <x:f>G1517-H1517</x:f>
        <x:v>0</x:v>
      </x:c>
      <x:c r="J1517" s="20" t="n">
        <x:f>IFERROR(H1517/G1517,0)</x:f>
        <x:v>1</x:v>
      </x:c>
      <x:c r="K1517" t="n">
        <x:v>637083</x:v>
      </x:c>
      <x:c r="L1517" t="n">
        <x:v>637083</x:v>
      </x:c>
      <x:c r="M1517" t="n">
        <x:v>637083</x:v>
      </x:c>
      <x:c r="N1517" t="n">
        <x:v>637083</x:v>
      </x:c>
      <x:c r="O1517" t="n">
        <x:v>637083</x:v>
      </x:c>
    </x:row>
    <x:row r="1518">
      <x:c r="A1518" t="str">
        <x:v>Tamil Nadu</x:v>
      </x:c>
      <x:c r="B1518" t="str">
        <x:v>All India except Central University</x:v>
      </x:c>
      <x:c r="C1518" t="str">
        <x:v>200557</x:v>
      </x:c>
      <x:c r="D1518" t="str">
        <x:v>Government Medical College, Namakkal, 353 MASTER PLAN COMPLEX SILUVAMPATTY NAMAKKAL</x:v>
      </x:c>
      <x:c r="E1518" t="str">
        <x:v>All India</x:v>
      </x:c>
      <x:c r="F1518" t="str">
        <x:v>Open</x:v>
      </x:c>
      <x:c r="G1518" t="n">
        <x:v>10</x:v>
      </x:c>
      <x:c r="H1518" t="n">
        <x:v>10</x:v>
      </x:c>
      <x:c r="I1518" t="n">
        <x:f>G1518-H1518</x:f>
        <x:v>0</x:v>
      </x:c>
      <x:c r="J1518" s="20" t="n">
        <x:f>IFERROR(H1518/G1518,0)</x:f>
        <x:v>1</x:v>
      </x:c>
      <x:c r="K1518" t="n">
        <x:v>7740</x:v>
      </x:c>
      <x:c r="L1518" t="n">
        <x:v>10102</x:v>
      </x:c>
      <x:c r="M1518" t="n">
        <x:v>10880.5</x:v>
      </x:c>
      <x:c r="N1518" t="n">
        <x:v>11958.5</x:v>
      </x:c>
      <x:c r="O1518" t="n">
        <x:v>12449</x:v>
      </x:c>
    </x:row>
    <x:row r="1519">
      <x:c r="A1519" t="str">
        <x:v>Tamil Nadu</x:v>
      </x:c>
      <x:c r="B1519" t="str">
        <x:v>All India except Central University</x:v>
      </x:c>
      <x:c r="C1519" t="str">
        <x:v>200557</x:v>
      </x:c>
      <x:c r="D1519" t="str">
        <x:v>Government Medical College, Namakkal, 353 MASTER PLAN COMPLEX SILUVAMPATTY NAMAKKAL</x:v>
      </x:c>
      <x:c r="E1519" t="str">
        <x:v>All India</x:v>
      </x:c>
      <x:c r="F1519" t="str">
        <x:v>SC</x:v>
      </x:c>
      <x:c r="G1519" t="n">
        <x:v>3</x:v>
      </x:c>
      <x:c r="H1519" t="n">
        <x:v>3</x:v>
      </x:c>
      <x:c r="I1519" t="n">
        <x:f>G1519-H1519</x:f>
        <x:v>0</x:v>
      </x:c>
      <x:c r="J1519" s="20" t="n">
        <x:f>IFERROR(H1519/G1519,0)</x:f>
        <x:v>1</x:v>
      </x:c>
      <x:c r="K1519" t="n">
        <x:v>38623</x:v>
      </x:c>
      <x:c r="L1519" t="n">
        <x:v>41873.5</x:v>
      </x:c>
      <x:c r="M1519" t="n">
        <x:v>45124</x:v>
      </x:c>
      <x:c r="N1519" t="n">
        <x:v>48692.5</x:v>
      </x:c>
      <x:c r="O1519" t="n">
        <x:v>52261</x:v>
      </x:c>
    </x:row>
    <x:row r="1520">
      <x:c r="A1520" t="str">
        <x:v>Tamil Nadu</x:v>
      </x:c>
      <x:c r="B1520" t="str">
        <x:v>All India except Central University</x:v>
      </x:c>
      <x:c r="C1520" t="str">
        <x:v>200557</x:v>
      </x:c>
      <x:c r="D1520" t="str">
        <x:v>Government Medical College, Namakkal, 353 MASTER PLAN COMPLEX SILUVAMPATTY NAMAKKAL</x:v>
      </x:c>
      <x:c r="E1520" t="str">
        <x:v>All India</x:v>
      </x:c>
      <x:c r="F1520" t="str">
        <x:v>ST</x:v>
      </x:c>
      <x:c r="G1520" t="n">
        <x:v>1</x:v>
      </x:c>
      <x:c r="H1520" t="n">
        <x:v>1</x:v>
      </x:c>
      <x:c r="I1520" t="n">
        <x:f>G1520-H1520</x:f>
        <x:v>0</x:v>
      </x:c>
      <x:c r="J1520" s="20" t="n">
        <x:f>IFERROR(H1520/G1520,0)</x:f>
        <x:v>1</x:v>
      </x:c>
      <x:c r="K1520" t="n">
        <x:v>129985</x:v>
      </x:c>
      <x:c r="L1520" t="n">
        <x:v>129985</x:v>
      </x:c>
      <x:c r="M1520" t="n">
        <x:v>129985</x:v>
      </x:c>
      <x:c r="N1520" t="n">
        <x:v>129985</x:v>
      </x:c>
      <x:c r="O1520" t="n">
        <x:v>129985</x:v>
      </x:c>
    </x:row>
    <x:row r="1521">
      <x:c r="A1521" t="str">
        <x:v>Maharashtra</x:v>
      </x:c>
      <x:c r="B1521" t="str">
        <x:v>All India except Central University</x:v>
      </x:c>
      <x:c r="C1521" t="str">
        <x:v>200535</x:v>
      </x:c>
      <x:c r="D1521" t="str">
        <x:v>Government Medical College, Nandurbar, DISTRICT CIVIL HOSPITAL CAMPUS SAKRI ROAD NANDURBAR</x:v>
      </x:c>
      <x:c r="E1521" t="str">
        <x:v>All India</x:v>
      </x:c>
      <x:c r="F1521" t="str">
        <x:v>EWS</x:v>
      </x:c>
      <x:c r="G1521" t="n">
        <x:v>1</x:v>
      </x:c>
      <x:c r="H1521" t="n">
        <x:v>1</x:v>
      </x:c>
      <x:c r="I1521" t="n">
        <x:f>G1521-H1521</x:f>
        <x:v>0</x:v>
      </x:c>
      <x:c r="J1521" s="20" t="n">
        <x:f>IFERROR(H1521/G1521,0)</x:f>
        <x:v>1</x:v>
      </x:c>
      <x:c r="K1521" t="n">
        <x:v>20467</x:v>
      </x:c>
      <x:c r="L1521" t="n">
        <x:v>20467</x:v>
      </x:c>
      <x:c r="M1521" t="n">
        <x:v>20467</x:v>
      </x:c>
      <x:c r="N1521" t="n">
        <x:v>20467</x:v>
      </x:c>
      <x:c r="O1521" t="n">
        <x:v>20467</x:v>
      </x:c>
    </x:row>
    <x:row r="1522">
      <x:c r="A1522" t="str">
        <x:v>Maharashtra</x:v>
      </x:c>
      <x:c r="B1522" t="str">
        <x:v>All India except Central University</x:v>
      </x:c>
      <x:c r="C1522" t="str">
        <x:v>200535</x:v>
      </x:c>
      <x:c r="D1522" t="str">
        <x:v>Government Medical College, Nandurbar, DISTRICT CIVIL HOSPITAL CAMPUS SAKRI ROAD NANDURBAR</x:v>
      </x:c>
      <x:c r="E1522" t="str">
        <x:v>All India</x:v>
      </x:c>
      <x:c r="F1522" t="str">
        <x:v>OBC</x:v>
      </x:c>
      <x:c r="G1522" t="n">
        <x:v>4</x:v>
      </x:c>
      <x:c r="H1522" t="n">
        <x:v>4</x:v>
      </x:c>
      <x:c r="I1522" t="n">
        <x:f>G1522-H1522</x:f>
        <x:v>0</x:v>
      </x:c>
      <x:c r="J1522" s="20" t="n">
        <x:f>IFERROR(H1522/G1522,0)</x:f>
        <x:v>1</x:v>
      </x:c>
      <x:c r="K1522" t="n">
        <x:v>16617</x:v>
      </x:c>
      <x:c r="L1522" t="n">
        <x:v>16670.25</x:v>
      </x:c>
      <x:c r="M1522" t="n">
        <x:v>16743.5</x:v>
      </x:c>
      <x:c r="N1522" t="n">
        <x:v>16836.5</x:v>
      </x:c>
      <x:c r="O1522" t="n">
        <x:v>16949</x:v>
      </x:c>
    </x:row>
    <x:row r="1523">
      <x:c r="A1523" t="str">
        <x:v>Maharashtra</x:v>
      </x:c>
      <x:c r="B1523" t="str">
        <x:v>All India except Central University</x:v>
      </x:c>
      <x:c r="C1523" t="str">
        <x:v>200535</x:v>
      </x:c>
      <x:c r="D1523" t="str">
        <x:v>Government Medical College, Nandurbar, DISTRICT CIVIL HOSPITAL CAMPUS SAKRI ROAD NANDURBAR</x:v>
      </x:c>
      <x:c r="E1523" t="str">
        <x:v>All India</x:v>
      </x:c>
      <x:c r="F1523" t="str">
        <x:v>Open</x:v>
      </x:c>
      <x:c r="G1523" t="n">
        <x:v>7</x:v>
      </x:c>
      <x:c r="H1523" t="n">
        <x:v>7</x:v>
      </x:c>
      <x:c r="I1523" t="n">
        <x:f>G1523-H1523</x:f>
        <x:v>0</x:v>
      </x:c>
      <x:c r="J1523" s="20" t="n">
        <x:f>IFERROR(H1523/G1523,0)</x:f>
        <x:v>1</x:v>
      </x:c>
      <x:c r="K1523" t="n">
        <x:v>15128</x:v>
      </x:c>
      <x:c r="L1523" t="n">
        <x:v>15587</x:v>
      </x:c>
      <x:c r="M1523" t="n">
        <x:v>16074</x:v>
      </x:c>
      <x:c r="N1523" t="n">
        <x:v>16270</x:v>
      </x:c>
      <x:c r="O1523" t="n">
        <x:v>16589</x:v>
      </x:c>
    </x:row>
    <x:row r="1524">
      <x:c r="A1524" t="str">
        <x:v>Maharashtra</x:v>
      </x:c>
      <x:c r="B1524" t="str">
        <x:v>All India except Central University</x:v>
      </x:c>
      <x:c r="C1524" t="str">
        <x:v>200535</x:v>
      </x:c>
      <x:c r="D1524" t="str">
        <x:v>Government Medical College, Nandurbar, DISTRICT CIVIL HOSPITAL CAMPUS SAKRI ROAD NANDURBAR</x:v>
      </x:c>
      <x:c r="E1524" t="str">
        <x:v>All India</x:v>
      </x:c>
      <x:c r="F1524" t="str">
        <x:v>SC</x:v>
      </x:c>
      <x:c r="G1524" t="n">
        <x:v>2</x:v>
      </x:c>
      <x:c r="H1524" t="n">
        <x:v>2</x:v>
      </x:c>
      <x:c r="I1524" t="n">
        <x:f>G1524-H1524</x:f>
        <x:v>0</x:v>
      </x:c>
      <x:c r="J1524" s="20" t="n">
        <x:f>IFERROR(H1524/G1524,0)</x:f>
        <x:v>1</x:v>
      </x:c>
      <x:c r="K1524" t="n">
        <x:v>84333</x:v>
      </x:c>
      <x:c r="L1524" t="n">
        <x:v>84665.5</x:v>
      </x:c>
      <x:c r="M1524" t="n">
        <x:v>84998</x:v>
      </x:c>
      <x:c r="N1524" t="n">
        <x:v>85330.5</x:v>
      </x:c>
      <x:c r="O1524" t="n">
        <x:v>85663</x:v>
      </x:c>
    </x:row>
    <x:row r="1525">
      <x:c r="A1525" t="str">
        <x:v>Maharashtra</x:v>
      </x:c>
      <x:c r="B1525" t="str">
        <x:v>All India except Central University</x:v>
      </x:c>
      <x:c r="C1525" t="str">
        <x:v>200535</x:v>
      </x:c>
      <x:c r="D1525" t="str">
        <x:v>Government Medical College, Nandurbar, DISTRICT CIVIL HOSPITAL CAMPUS SAKRI ROAD NANDURBAR</x:v>
      </x:c>
      <x:c r="E1525" t="str">
        <x:v>All India</x:v>
      </x:c>
      <x:c r="F1525" t="str">
        <x:v>ST</x:v>
      </x:c>
      <x:c r="G1525" t="n">
        <x:v>1</x:v>
      </x:c>
      <x:c r="H1525" t="n">
        <x:v>1</x:v>
      </x:c>
      <x:c r="I1525" t="n">
        <x:f>G1525-H1525</x:f>
        <x:v>0</x:v>
      </x:c>
      <x:c r="J1525" s="20" t="n">
        <x:f>IFERROR(H1525/G1525,0)</x:f>
        <x:v>1</x:v>
      </x:c>
      <x:c r="K1525" t="n">
        <x:v>113389</x:v>
      </x:c>
      <x:c r="L1525" t="n">
        <x:v>113389</x:v>
      </x:c>
      <x:c r="M1525" t="n">
        <x:v>113389</x:v>
      </x:c>
      <x:c r="N1525" t="n">
        <x:v>113389</x:v>
      </x:c>
      <x:c r="O1525" t="n">
        <x:v>113389</x:v>
      </x:c>
    </x:row>
    <x:row r="1526">
      <x:c r="A1526" t="str">
        <x:v>Andhra Pradesh</x:v>
      </x:c>
      <x:c r="B1526" t="str">
        <x:v>All India except Central University</x:v>
      </x:c>
      <x:c r="C1526" t="str">
        <x:v>200674</x:v>
      </x:c>
      <x:c r="D1526" t="str">
        <x:v>Government Medical College, Nandyal, principalgmcnandyala@gmail.com</x:v>
      </x:c>
      <x:c r="E1526" t="str">
        <x:v>All India</x:v>
      </x:c>
      <x:c r="F1526" t="str">
        <x:v>EWS</x:v>
      </x:c>
      <x:c r="G1526" t="n">
        <x:v>2</x:v>
      </x:c>
      <x:c r="H1526" t="n">
        <x:v>2</x:v>
      </x:c>
      <x:c r="I1526" t="n">
        <x:f>G1526-H1526</x:f>
        <x:v>0</x:v>
      </x:c>
      <x:c r="J1526" s="20" t="n">
        <x:f>IFERROR(H1526/G1526,0)</x:f>
        <x:v>1</x:v>
      </x:c>
      <x:c r="K1526" t="n">
        <x:v>22947</x:v>
      </x:c>
      <x:c r="L1526" t="n">
        <x:v>23041.75</x:v>
      </x:c>
      <x:c r="M1526" t="n">
        <x:v>23136.5</x:v>
      </x:c>
      <x:c r="N1526" t="n">
        <x:v>23231.25</x:v>
      </x:c>
      <x:c r="O1526" t="n">
        <x:v>23326</x:v>
      </x:c>
    </x:row>
    <x:row r="1527">
      <x:c r="A1527" t="str">
        <x:v>Andhra Pradesh</x:v>
      </x:c>
      <x:c r="B1527" t="str">
        <x:v>All India except Central University</x:v>
      </x:c>
      <x:c r="C1527" t="str">
        <x:v>200674</x:v>
      </x:c>
      <x:c r="D1527" t="str">
        <x:v>Government Medical College, Nandyal, principalgmcnandyala@gmail.com</x:v>
      </x:c>
      <x:c r="E1527" t="str">
        <x:v>All India</x:v>
      </x:c>
      <x:c r="F1527" t="str">
        <x:v>OBC</x:v>
      </x:c>
      <x:c r="G1527" t="n">
        <x:v>6</x:v>
      </x:c>
      <x:c r="H1527" t="n">
        <x:v>6</x:v>
      </x:c>
      <x:c r="I1527" t="n">
        <x:f>G1527-H1527</x:f>
        <x:v>0</x:v>
      </x:c>
      <x:c r="J1527" s="20" t="n">
        <x:f>IFERROR(H1527/G1527,0)</x:f>
        <x:v>1</x:v>
      </x:c>
      <x:c r="K1527" t="n">
        <x:v>20683</x:v>
      </x:c>
      <x:c r="L1527" t="n">
        <x:v>21030.5</x:v>
      </x:c>
      <x:c r="M1527" t="n">
        <x:v>21117.5</x:v>
      </x:c>
      <x:c r="N1527" t="n">
        <x:v>21308</x:v>
      </x:c>
      <x:c r="O1527" t="n">
        <x:v>21356</x:v>
      </x:c>
    </x:row>
    <x:row r="1528">
      <x:c r="A1528" t="str">
        <x:v>Andhra Pradesh</x:v>
      </x:c>
      <x:c r="B1528" t="str">
        <x:v>All India except Central University</x:v>
      </x:c>
      <x:c r="C1528" t="str">
        <x:v>200674</x:v>
      </x:c>
      <x:c r="D1528" t="str">
        <x:v>Government Medical College, Nandyal, principalgmcnandyala@gmail.com</x:v>
      </x:c>
      <x:c r="E1528" t="str">
        <x:v>All India</x:v>
      </x:c>
      <x:c r="F1528" t="str">
        <x:v>Open</x:v>
      </x:c>
      <x:c r="G1528" t="n">
        <x:v>9</x:v>
      </x:c>
      <x:c r="H1528" t="n">
        <x:v>9</x:v>
      </x:c>
      <x:c r="I1528" t="n">
        <x:f>G1528-H1528</x:f>
        <x:v>0</x:v>
      </x:c>
      <x:c r="J1528" s="20" t="n">
        <x:f>IFERROR(H1528/G1528,0)</x:f>
        <x:v>1</x:v>
      </x:c>
      <x:c r="K1528" t="n">
        <x:v>14266</x:v>
      </x:c>
      <x:c r="L1528" t="n">
        <x:v>18427</x:v>
      </x:c>
      <x:c r="M1528" t="n">
        <x:v>19461</x:v>
      </x:c>
      <x:c r="N1528" t="n">
        <x:v>19526</x:v>
      </x:c>
      <x:c r="O1528" t="n">
        <x:v>19947</x:v>
      </x:c>
    </x:row>
    <x:row r="1529">
      <x:c r="A1529" t="str">
        <x:v>Andhra Pradesh</x:v>
      </x:c>
      <x:c r="B1529" t="str">
        <x:v>All India except Central University</x:v>
      </x:c>
      <x:c r="C1529" t="str">
        <x:v>200674</x:v>
      </x:c>
      <x:c r="D1529" t="str">
        <x:v>Government Medical College, Nandyal, principalgmcnandyala@gmail.com</x:v>
      </x:c>
      <x:c r="E1529" t="str">
        <x:v>All India</x:v>
      </x:c>
      <x:c r="F1529" t="str">
        <x:v>SC</x:v>
      </x:c>
      <x:c r="G1529" t="n">
        <x:v>4</x:v>
      </x:c>
      <x:c r="H1529" t="n">
        <x:v>4</x:v>
      </x:c>
      <x:c r="I1529" t="n">
        <x:f>G1529-H1529</x:f>
        <x:v>0</x:v>
      </x:c>
      <x:c r="J1529" s="20" t="n">
        <x:f>IFERROR(H1529/G1529,0)</x:f>
        <x:v>1</x:v>
      </x:c>
      <x:c r="K1529" t="n">
        <x:v>68164</x:v>
      </x:c>
      <x:c r="L1529" t="n">
        <x:v>82465</x:v>
      </x:c>
      <x:c r="M1529" t="n">
        <x:v>87398.5</x:v>
      </x:c>
      <x:c r="N1529" t="n">
        <x:v>88146.75</x:v>
      </x:c>
      <x:c r="O1529" t="n">
        <x:v>89892</x:v>
      </x:c>
    </x:row>
    <x:row r="1530">
      <x:c r="A1530" t="str">
        <x:v>Andhra Pradesh</x:v>
      </x:c>
      <x:c r="B1530" t="str">
        <x:v>All India except Central University</x:v>
      </x:c>
      <x:c r="C1530" t="str">
        <x:v>200674</x:v>
      </x:c>
      <x:c r="D1530" t="str">
        <x:v>Government Medical College, Nandyal, principalgmcnandyala@gmail.com</x:v>
      </x:c>
      <x:c r="E1530" t="str">
        <x:v>All India</x:v>
      </x:c>
      <x:c r="F1530" t="str">
        <x:v>ST</x:v>
      </x:c>
      <x:c r="G1530" t="n">
        <x:v>1</x:v>
      </x:c>
      <x:c r="H1530" t="n">
        <x:v>1</x:v>
      </x:c>
      <x:c r="I1530" t="n">
        <x:f>G1530-H1530</x:f>
        <x:v>0</x:v>
      </x:c>
      <x:c r="J1530" s="20" t="n">
        <x:f>IFERROR(H1530/G1530,0)</x:f>
        <x:v>1</x:v>
      </x:c>
      <x:c r="K1530" t="n">
        <x:v>117359</x:v>
      </x:c>
      <x:c r="L1530" t="n">
        <x:v>117359</x:v>
      </x:c>
      <x:c r="M1530" t="n">
        <x:v>117359</x:v>
      </x:c>
      <x:c r="N1530" t="n">
        <x:v>117359</x:v>
      </x:c>
      <x:c r="O1530" t="n">
        <x:v>117359</x:v>
      </x:c>
    </x:row>
    <x:row r="1531">
      <x:c r="A1531" t="str">
        <x:v>Telangana</x:v>
      </x:c>
      <x:c r="B1531" t="str">
        <x:v>All India except Central University</x:v>
      </x:c>
      <x:c r="C1531" t="str">
        <x:v>902821</x:v>
      </x:c>
      <x:c r="D1531" t="str">
        <x:v>Government Medical College, Narayanpet, Government Medical College Narayanpet Jajapur Narayanpet District Telangana Pincode 509210</x:v>
      </x:c>
      <x:c r="E1531" t="str">
        <x:v>All India</x:v>
      </x:c>
      <x:c r="F1531" t="str">
        <x:v>EWS</x:v>
      </x:c>
      <x:c r="G1531" t="n">
        <x:v>1</x:v>
      </x:c>
      <x:c r="H1531" t="n">
        <x:v>1</x:v>
      </x:c>
      <x:c r="I1531" t="n">
        <x:f>G1531-H1531</x:f>
        <x:v>0</x:v>
      </x:c>
      <x:c r="J1531" s="20" t="n">
        <x:f>IFERROR(H1531/G1531,0)</x:f>
        <x:v>1</x:v>
      </x:c>
      <x:c r="K1531" t="n">
        <x:v>25317</x:v>
      </x:c>
      <x:c r="L1531" t="n">
        <x:v>25317</x:v>
      </x:c>
      <x:c r="M1531" t="n">
        <x:v>25317</x:v>
      </x:c>
      <x:c r="N1531" t="n">
        <x:v>25317</x:v>
      </x:c>
      <x:c r="O1531" t="n">
        <x:v>25317</x:v>
      </x:c>
    </x:row>
    <x:row r="1532">
      <x:c r="A1532" t="str">
        <x:v>Telangana</x:v>
      </x:c>
      <x:c r="B1532" t="str">
        <x:v>All India except Central University</x:v>
      </x:c>
      <x:c r="C1532" t="str">
        <x:v>902821</x:v>
      </x:c>
      <x:c r="D1532" t="str">
        <x:v>Government Medical College, Narayanpet, Government Medical College Narayanpet Jajapur Narayanpet District Telangana Pincode 509210</x:v>
      </x:c>
      <x:c r="E1532" t="str">
        <x:v>All India</x:v>
      </x:c>
      <x:c r="F1532" t="str">
        <x:v>OBC</x:v>
      </x:c>
      <x:c r="G1532" t="n">
        <x:v>2</x:v>
      </x:c>
      <x:c r="H1532" t="n">
        <x:v>2</x:v>
      </x:c>
      <x:c r="I1532" t="n">
        <x:f>G1532-H1532</x:f>
        <x:v>0</x:v>
      </x:c>
      <x:c r="J1532" s="20" t="n">
        <x:f>IFERROR(H1532/G1532,0)</x:f>
        <x:v>1</x:v>
      </x:c>
      <x:c r="K1532" t="n">
        <x:v>20972</x:v>
      </x:c>
      <x:c r="L1532" t="n">
        <x:v>21070.75</x:v>
      </x:c>
      <x:c r="M1532" t="n">
        <x:v>21169.5</x:v>
      </x:c>
      <x:c r="N1532" t="n">
        <x:v>21268.25</x:v>
      </x:c>
      <x:c r="O1532" t="n">
        <x:v>21367</x:v>
      </x:c>
    </x:row>
    <x:row r="1533">
      <x:c r="A1533" t="str">
        <x:v>Telangana</x:v>
      </x:c>
      <x:c r="B1533" t="str">
        <x:v>All India except Central University</x:v>
      </x:c>
      <x:c r="C1533" t="str">
        <x:v>902821</x:v>
      </x:c>
      <x:c r="D1533" t="str">
        <x:v>Government Medical College, Narayanpet, Government Medical College Narayanpet Jajapur Narayanpet District Telangana Pincode 509210</x:v>
      </x:c>
      <x:c r="E1533" t="str">
        <x:v>All India</x:v>
      </x:c>
      <x:c r="F1533" t="str">
        <x:v>Open</x:v>
      </x:c>
      <x:c r="G1533" t="n">
        <x:v>2</x:v>
      </x:c>
      <x:c r="H1533" t="n">
        <x:v>2</x:v>
      </x:c>
      <x:c r="I1533" t="n">
        <x:f>G1533-H1533</x:f>
        <x:v>0</x:v>
      </x:c>
      <x:c r="J1533" s="20" t="n">
        <x:f>IFERROR(H1533/G1533,0)</x:f>
        <x:v>1</x:v>
      </x:c>
      <x:c r="K1533" t="n">
        <x:v>18513</x:v>
      </x:c>
      <x:c r="L1533" t="n">
        <x:v>18914</x:v>
      </x:c>
      <x:c r="M1533" t="n">
        <x:v>19315</x:v>
      </x:c>
      <x:c r="N1533" t="n">
        <x:v>19716</x:v>
      </x:c>
      <x:c r="O1533" t="n">
        <x:v>20117</x:v>
      </x:c>
    </x:row>
    <x:row r="1534">
      <x:c r="A1534" t="str">
        <x:v>Telangana</x:v>
      </x:c>
      <x:c r="B1534" t="str">
        <x:v>All India except Central University</x:v>
      </x:c>
      <x:c r="C1534" t="str">
        <x:v>902821</x:v>
      </x:c>
      <x:c r="D1534" t="str">
        <x:v>Government Medical College, Narayanpet, Government Medical College Narayanpet Jajapur Narayanpet District Telangana Pincode 509210</x:v>
      </x:c>
      <x:c r="E1534" t="str">
        <x:v>All India</x:v>
      </x:c>
      <x:c r="F1534" t="str">
        <x:v>SC</x:v>
      </x:c>
      <x:c r="G1534" t="n">
        <x:v>1</x:v>
      </x:c>
      <x:c r="H1534" t="n">
        <x:v>1</x:v>
      </x:c>
      <x:c r="I1534" t="n">
        <x:f>G1534-H1534</x:f>
        <x:v>0</x:v>
      </x:c>
      <x:c r="J1534" s="20" t="n">
        <x:f>IFERROR(H1534/G1534,0)</x:f>
        <x:v>1</x:v>
      </x:c>
      <x:c r="K1534" t="n">
        <x:v>89056</x:v>
      </x:c>
      <x:c r="L1534" t="n">
        <x:v>89056</x:v>
      </x:c>
      <x:c r="M1534" t="n">
        <x:v>89056</x:v>
      </x:c>
      <x:c r="N1534" t="n">
        <x:v>89056</x:v>
      </x:c>
      <x:c r="O1534" t="n">
        <x:v>89056</x:v>
      </x:c>
    </x:row>
    <x:row r="1535">
      <x:c r="A1535" t="str">
        <x:v>Telangana</x:v>
      </x:c>
      <x:c r="B1535" t="str">
        <x:v>All India except Central University</x:v>
      </x:c>
      <x:c r="C1535" t="str">
        <x:v>902821</x:v>
      </x:c>
      <x:c r="D1535" t="str">
        <x:v>Government Medical College, Narayanpet, Government Medical College Narayanpet Jajapur Narayanpet District Telangana Pincode 509210</x:v>
      </x:c>
      <x:c r="E1535" t="str">
        <x:v>All India</x:v>
      </x:c>
      <x:c r="F1535" t="str">
        <x:v>ST</x:v>
      </x:c>
      <x:c r="G1535" t="n">
        <x:v>1</x:v>
      </x:c>
      <x:c r="H1535" t="n">
        <x:v>1</x:v>
      </x:c>
      <x:c r="I1535" t="n">
        <x:f>G1535-H1535</x:f>
        <x:v>0</x:v>
      </x:c>
      <x:c r="J1535" s="20" t="n">
        <x:f>IFERROR(H1535/G1535,0)</x:f>
        <x:v>1</x:v>
      </x:c>
      <x:c r="K1535" t="n">
        <x:v>120465</x:v>
      </x:c>
      <x:c r="L1535" t="n">
        <x:v>120465</x:v>
      </x:c>
      <x:c r="M1535" t="n">
        <x:v>120465</x:v>
      </x:c>
      <x:c r="N1535" t="n">
        <x:v>120465</x:v>
      </x:c>
      <x:c r="O1535" t="n">
        <x:v>120465</x:v>
      </x:c>
    </x:row>
    <x:row r="1536">
      <x:c r="A1536" t="str">
        <x:v>Telangana</x:v>
      </x:c>
      <x:c r="B1536" t="str">
        <x:v>All India except Central University</x:v>
      </x:c>
      <x:c r="C1536" t="str">
        <x:v>902817</x:v>
      </x:c>
      <x:c r="D1536" t="str">
        <x:v>Government Medical College, Narsampet, Sarwapuram, Pakhal road, Land mark- Bharath petrol pump, Narsamapet</x:v>
      </x:c>
      <x:c r="E1536" t="str">
        <x:v>All India</x:v>
      </x:c>
      <x:c r="F1536" t="str">
        <x:v>EWS</x:v>
      </x:c>
      <x:c r="G1536" t="n">
        <x:v>1</x:v>
      </x:c>
      <x:c r="H1536" t="n">
        <x:v>1</x:v>
      </x:c>
      <x:c r="I1536" t="n">
        <x:f>G1536-H1536</x:f>
        <x:v>0</x:v>
      </x:c>
      <x:c r="J1536" s="20" t="n">
        <x:f>IFERROR(H1536/G1536,0)</x:f>
        <x:v>1</x:v>
      </x:c>
      <x:c r="K1536" t="n">
        <x:v>26348</x:v>
      </x:c>
      <x:c r="L1536" t="n">
        <x:v>26348</x:v>
      </x:c>
      <x:c r="M1536" t="n">
        <x:v>26348</x:v>
      </x:c>
      <x:c r="N1536" t="n">
        <x:v>26348</x:v>
      </x:c>
      <x:c r="O1536" t="n">
        <x:v>26348</x:v>
      </x:c>
    </x:row>
    <x:row r="1537">
      <x:c r="A1537" t="str">
        <x:v>Telangana</x:v>
      </x:c>
      <x:c r="B1537" t="str">
        <x:v>All India except Central University</x:v>
      </x:c>
      <x:c r="C1537" t="str">
        <x:v>902817</x:v>
      </x:c>
      <x:c r="D1537" t="str">
        <x:v>Government Medical College, Narsampet, Sarwapuram, Pakhal road, Land mark- Bharath petrol pump, Narsamapet</x:v>
      </x:c>
      <x:c r="E1537" t="str">
        <x:v>All India</x:v>
      </x:c>
      <x:c r="F1537" t="str">
        <x:v>OBC</x:v>
      </x:c>
      <x:c r="G1537" t="n">
        <x:v>1</x:v>
      </x:c>
      <x:c r="H1537" t="n">
        <x:v>1</x:v>
      </x:c>
      <x:c r="I1537" t="n">
        <x:f>G1537-H1537</x:f>
        <x:v>0</x:v>
      </x:c>
      <x:c r="J1537" s="20" t="n">
        <x:f>IFERROR(H1537/G1537,0)</x:f>
        <x:v>1</x:v>
      </x:c>
      <x:c r="K1537" t="n">
        <x:v>21701</x:v>
      </x:c>
      <x:c r="L1537" t="n">
        <x:v>21701</x:v>
      </x:c>
      <x:c r="M1537" t="n">
        <x:v>21701</x:v>
      </x:c>
      <x:c r="N1537" t="n">
        <x:v>21701</x:v>
      </x:c>
      <x:c r="O1537" t="n">
        <x:v>21701</x:v>
      </x:c>
    </x:row>
    <x:row r="1538">
      <x:c r="A1538" t="str">
        <x:v>Telangana</x:v>
      </x:c>
      <x:c r="B1538" t="str">
        <x:v>All India except Central University</x:v>
      </x:c>
      <x:c r="C1538" t="str">
        <x:v>902817</x:v>
      </x:c>
      <x:c r="D1538" t="str">
        <x:v>Government Medical College, Narsampet, Sarwapuram, Pakhal road, Land mark- Bharath petrol pump, Narsamapet</x:v>
      </x:c>
      <x:c r="E1538" t="str">
        <x:v>All India</x:v>
      </x:c>
      <x:c r="F1538" t="str">
        <x:v>Open</x:v>
      </x:c>
      <x:c r="G1538" t="n">
        <x:v>3</x:v>
      </x:c>
      <x:c r="H1538" t="n">
        <x:v>3</x:v>
      </x:c>
      <x:c r="I1538" t="n">
        <x:f>G1538-H1538</x:f>
        <x:v>0</x:v>
      </x:c>
      <x:c r="J1538" s="20" t="n">
        <x:f>IFERROR(H1538/G1538,0)</x:f>
        <x:v>1</x:v>
      </x:c>
      <x:c r="K1538" t="n">
        <x:v>20169</x:v>
      </x:c>
      <x:c r="L1538" t="n">
        <x:v>20630</x:v>
      </x:c>
      <x:c r="M1538" t="n">
        <x:v>21091</x:v>
      </x:c>
      <x:c r="N1538" t="n">
        <x:v>21196</x:v>
      </x:c>
      <x:c r="O1538" t="n">
        <x:v>21301</x:v>
      </x:c>
    </x:row>
    <x:row r="1539">
      <x:c r="A1539" t="str">
        <x:v>Telangana</x:v>
      </x:c>
      <x:c r="B1539" t="str">
        <x:v>All India except Central University</x:v>
      </x:c>
      <x:c r="C1539" t="str">
        <x:v>902817</x:v>
      </x:c>
      <x:c r="D1539" t="str">
        <x:v>Government Medical College, Narsampet, Sarwapuram, Pakhal road, Land mark- Bharath petrol pump, Narsamapet</x:v>
      </x:c>
      <x:c r="E1539" t="str">
        <x:v>All India</x:v>
      </x:c>
      <x:c r="F1539" t="str">
        <x:v>SC</x:v>
      </x:c>
      <x:c r="G1539" t="n">
        <x:v>2</x:v>
      </x:c>
      <x:c r="H1539" t="n">
        <x:v>2</x:v>
      </x:c>
      <x:c r="I1539" t="n">
        <x:f>G1539-H1539</x:f>
        <x:v>0</x:v>
      </x:c>
      <x:c r="J1539" s="20" t="n">
        <x:f>IFERROR(H1539/G1539,0)</x:f>
        <x:v>1</x:v>
      </x:c>
      <x:c r="K1539" t="n">
        <x:v>103289</x:v>
      </x:c>
      <x:c r="L1539" t="n">
        <x:v>103340</x:v>
      </x:c>
      <x:c r="M1539" t="n">
        <x:v>103391</x:v>
      </x:c>
      <x:c r="N1539" t="n">
        <x:v>103442</x:v>
      </x:c>
      <x:c r="O1539" t="n">
        <x:v>103493</x:v>
      </x:c>
    </x:row>
    <x:row r="1540">
      <x:c r="A1540" t="str">
        <x:v>Telangana</x:v>
      </x:c>
      <x:c r="B1540" t="str">
        <x:v>All India except Central University</x:v>
      </x:c>
      <x:c r="C1540" t="str">
        <x:v>200653</x:v>
      </x:c>
      <x:c r="D1540" t="str">
        <x:v>Government Medical College, Nirmal, BESIDE DIVYA GARDEN , DIVYA NAGAR NIRMAL</x:v>
      </x:c>
      <x:c r="E1540" t="str">
        <x:v>All India</x:v>
      </x:c>
      <x:c r="F1540" t="str">
        <x:v>EWS</x:v>
      </x:c>
      <x:c r="G1540" t="n">
        <x:v>1</x:v>
      </x:c>
      <x:c r="H1540" t="n">
        <x:v>1</x:v>
      </x:c>
      <x:c r="I1540" t="n">
        <x:f>G1540-H1540</x:f>
        <x:v>0</x:v>
      </x:c>
      <x:c r="J1540" s="20" t="n">
        <x:f>IFERROR(H1540/G1540,0)</x:f>
        <x:v>1</x:v>
      </x:c>
      <x:c r="K1540" t="n">
        <x:v>26636</x:v>
      </x:c>
      <x:c r="L1540" t="n">
        <x:v>26636</x:v>
      </x:c>
      <x:c r="M1540" t="n">
        <x:v>26636</x:v>
      </x:c>
      <x:c r="N1540" t="n">
        <x:v>26636</x:v>
      </x:c>
      <x:c r="O1540" t="n">
        <x:v>26636</x:v>
      </x:c>
    </x:row>
    <x:row r="1541">
      <x:c r="A1541" t="str">
        <x:v>Telangana</x:v>
      </x:c>
      <x:c r="B1541" t="str">
        <x:v>All India except Central University</x:v>
      </x:c>
      <x:c r="C1541" t="str">
        <x:v>200653</x:v>
      </x:c>
      <x:c r="D1541" t="str">
        <x:v>Government Medical College, Nirmal, BESIDE DIVYA GARDEN , DIVYA NAGAR NIRMAL</x:v>
      </x:c>
      <x:c r="E1541" t="str">
        <x:v>All India</x:v>
      </x:c>
      <x:c r="F1541" t="str">
        <x:v>OBC</x:v>
      </x:c>
      <x:c r="G1541" t="n">
        <x:v>4</x:v>
      </x:c>
      <x:c r="H1541" t="n">
        <x:v>4</x:v>
      </x:c>
      <x:c r="I1541" t="n">
        <x:f>G1541-H1541</x:f>
        <x:v>0</x:v>
      </x:c>
      <x:c r="J1541" s="20" t="n">
        <x:f>IFERROR(H1541/G1541,0)</x:f>
        <x:v>1</x:v>
      </x:c>
      <x:c r="K1541" t="n">
        <x:v>19190</x:v>
      </x:c>
      <x:c r="L1541" t="n">
        <x:v>19576.25</x:v>
      </x:c>
      <x:c r="M1541" t="n">
        <x:v>20738.5</x:v>
      </x:c>
      <x:c r="N1541" t="n">
        <x:v>21872.75</x:v>
      </x:c>
      <x:c r="O1541" t="n">
        <x:v>22175</x:v>
      </x:c>
    </x:row>
    <x:row r="1542">
      <x:c r="A1542" t="str">
        <x:v>Telangana</x:v>
      </x:c>
      <x:c r="B1542" t="str">
        <x:v>All India except Central University</x:v>
      </x:c>
      <x:c r="C1542" t="str">
        <x:v>200653</x:v>
      </x:c>
      <x:c r="D1542" t="str">
        <x:v>Government Medical College, Nirmal, BESIDE DIVYA GARDEN , DIVYA NAGAR NIRMAL</x:v>
      </x:c>
      <x:c r="E1542" t="str">
        <x:v>All India</x:v>
      </x:c>
      <x:c r="F1542" t="str">
        <x:v>OBC PwD</x:v>
      </x:c>
      <x:c r="G1542" t="n">
        <x:v>1</x:v>
      </x:c>
      <x:c r="H1542" t="n">
        <x:v>1</x:v>
      </x:c>
      <x:c r="I1542" t="n">
        <x:f>G1542-H1542</x:f>
        <x:v>0</x:v>
      </x:c>
      <x:c r="J1542" s="20" t="n">
        <x:f>IFERROR(H1542/G1542,0)</x:f>
        <x:v>1</x:v>
      </x:c>
      <x:c r="K1542" t="n">
        <x:v>813205</x:v>
      </x:c>
      <x:c r="L1542" t="n">
        <x:v>813205</x:v>
      </x:c>
      <x:c r="M1542" t="n">
        <x:v>813205</x:v>
      </x:c>
      <x:c r="N1542" t="n">
        <x:v>813205</x:v>
      </x:c>
      <x:c r="O1542" t="n">
        <x:v>813205</x:v>
      </x:c>
    </x:row>
    <x:row r="1543">
      <x:c r="A1543" t="str">
        <x:v>Telangana</x:v>
      </x:c>
      <x:c r="B1543" t="str">
        <x:v>All India except Central University</x:v>
      </x:c>
      <x:c r="C1543" t="str">
        <x:v>200653</x:v>
      </x:c>
      <x:c r="D1543" t="str">
        <x:v>Government Medical College, Nirmal, BESIDE DIVYA GARDEN , DIVYA NAGAR NIRMAL</x:v>
      </x:c>
      <x:c r="E1543" t="str">
        <x:v>All India</x:v>
      </x:c>
      <x:c r="F1543" t="str">
        <x:v>Open</x:v>
      </x:c>
      <x:c r="G1543" t="n">
        <x:v>5</x:v>
      </x:c>
      <x:c r="H1543" t="n">
        <x:v>5</x:v>
      </x:c>
      <x:c r="I1543" t="n">
        <x:f>G1543-H1543</x:f>
        <x:v>0</x:v>
      </x:c>
      <x:c r="J1543" s="20" t="n">
        <x:f>IFERROR(H1543/G1543,0)</x:f>
        <x:v>1</x:v>
      </x:c>
      <x:c r="K1543" t="n">
        <x:v>11853</x:v>
      </x:c>
      <x:c r="L1543" t="n">
        <x:v>15510</x:v>
      </x:c>
      <x:c r="M1543" t="n">
        <x:v>16526</x:v>
      </x:c>
      <x:c r="N1543" t="n">
        <x:v>17602</x:v>
      </x:c>
      <x:c r="O1543" t="n">
        <x:v>17996</x:v>
      </x:c>
    </x:row>
    <x:row r="1544">
      <x:c r="A1544" t="str">
        <x:v>Telangana</x:v>
      </x:c>
      <x:c r="B1544" t="str">
        <x:v>All India except Central University</x:v>
      </x:c>
      <x:c r="C1544" t="str">
        <x:v>200653</x:v>
      </x:c>
      <x:c r="D1544" t="str">
        <x:v>Government Medical College, Nirmal, BESIDE DIVYA GARDEN , DIVYA NAGAR NIRMAL</x:v>
      </x:c>
      <x:c r="E1544" t="str">
        <x:v>All India</x:v>
      </x:c>
      <x:c r="F1544" t="str">
        <x:v>SC</x:v>
      </x:c>
      <x:c r="G1544" t="n">
        <x:v>2</x:v>
      </x:c>
      <x:c r="H1544" t="n">
        <x:v>2</x:v>
      </x:c>
      <x:c r="I1544" t="n">
        <x:f>G1544-H1544</x:f>
        <x:v>0</x:v>
      </x:c>
      <x:c r="J1544" s="20" t="n">
        <x:f>IFERROR(H1544/G1544,0)</x:f>
        <x:v>1</x:v>
      </x:c>
      <x:c r="K1544" t="n">
        <x:v>90353</x:v>
      </x:c>
      <x:c r="L1544" t="n">
        <x:v>92760.75</x:v>
      </x:c>
      <x:c r="M1544" t="n">
        <x:v>95168.5</x:v>
      </x:c>
      <x:c r="N1544" t="n">
        <x:v>97576.25</x:v>
      </x:c>
      <x:c r="O1544" t="n">
        <x:v>99984</x:v>
      </x:c>
    </x:row>
    <x:row r="1545">
      <x:c r="A1545" t="str">
        <x:v>Telangana</x:v>
      </x:c>
      <x:c r="B1545" t="str">
        <x:v>All India except Central University</x:v>
      </x:c>
      <x:c r="C1545" t="str">
        <x:v>200653</x:v>
      </x:c>
      <x:c r="D1545" t="str">
        <x:v>Government Medical College, Nirmal, BESIDE DIVYA GARDEN , DIVYA NAGAR NIRMAL</x:v>
      </x:c>
      <x:c r="E1545" t="str">
        <x:v>All India</x:v>
      </x:c>
      <x:c r="F1545" t="str">
        <x:v>ST</x:v>
      </x:c>
      <x:c r="G1545" t="n">
        <x:v>2</x:v>
      </x:c>
      <x:c r="H1545" t="n">
        <x:v>2</x:v>
      </x:c>
      <x:c r="I1545" t="n">
        <x:f>G1545-H1545</x:f>
        <x:v>0</x:v>
      </x:c>
      <x:c r="J1545" s="20" t="n">
        <x:f>IFERROR(H1545/G1545,0)</x:f>
        <x:v>1</x:v>
      </x:c>
      <x:c r="K1545" t="n">
        <x:v>114258</x:v>
      </x:c>
      <x:c r="L1545" t="n">
        <x:v>116898.25</x:v>
      </x:c>
      <x:c r="M1545" t="n">
        <x:v>119538.5</x:v>
      </x:c>
      <x:c r="N1545" t="n">
        <x:v>122178.75</x:v>
      </x:c>
      <x:c r="O1545" t="n">
        <x:v>124819</x:v>
      </x:c>
    </x:row>
    <x:row r="1546">
      <x:c r="A1546" t="str">
        <x:v>Telangana</x:v>
      </x:c>
      <x:c r="B1546" t="str">
        <x:v>All India except Central University</x:v>
      </x:c>
      <x:c r="C1546" t="str">
        <x:v>200456</x:v>
      </x:c>
      <x:c r="D1546" t="str">
        <x:v>Government Medical College, Nizamabad, R.P.Road, Near Bustand, Khaleelwadi Nizamabad</x:v>
      </x:c>
      <x:c r="E1546" t="str">
        <x:v>All India</x:v>
      </x:c>
      <x:c r="F1546" t="str">
        <x:v>EWS</x:v>
      </x:c>
      <x:c r="G1546" t="n">
        <x:v>1</x:v>
      </x:c>
      <x:c r="H1546" t="n">
        <x:v>1</x:v>
      </x:c>
      <x:c r="I1546" t="n">
        <x:f>G1546-H1546</x:f>
        <x:v>0</x:v>
      </x:c>
      <x:c r="J1546" s="20" t="n">
        <x:f>IFERROR(H1546/G1546,0)</x:f>
        <x:v>1</x:v>
      </x:c>
      <x:c r="K1546" t="n">
        <x:v>16350</x:v>
      </x:c>
      <x:c r="L1546" t="n">
        <x:v>16350</x:v>
      </x:c>
      <x:c r="M1546" t="n">
        <x:v>16350</x:v>
      </x:c>
      <x:c r="N1546" t="n">
        <x:v>16350</x:v>
      </x:c>
      <x:c r="O1546" t="n">
        <x:v>16350</x:v>
      </x:c>
    </x:row>
    <x:row r="1547">
      <x:c r="A1547" t="str">
        <x:v>Telangana</x:v>
      </x:c>
      <x:c r="B1547" t="str">
        <x:v>All India except Central University</x:v>
      </x:c>
      <x:c r="C1547" t="str">
        <x:v>200456</x:v>
      </x:c>
      <x:c r="D1547" t="str">
        <x:v>Government Medical College, Nizamabad, R.P.Road, Near Bustand, Khaleelwadi Nizamabad</x:v>
      </x:c>
      <x:c r="E1547" t="str">
        <x:v>All India</x:v>
      </x:c>
      <x:c r="F1547" t="str">
        <x:v>EWS PwD</x:v>
      </x:c>
      <x:c r="G1547" t="n">
        <x:v>1</x:v>
      </x:c>
      <x:c r="H1547" t="n">
        <x:v>1</x:v>
      </x:c>
      <x:c r="I1547" t="n">
        <x:f>G1547-H1547</x:f>
        <x:v>0</x:v>
      </x:c>
      <x:c r="J1547" s="20" t="n">
        <x:f>IFERROR(H1547/G1547,0)</x:f>
        <x:v>1</x:v>
      </x:c>
      <x:c r="K1547" t="n">
        <x:v>595214</x:v>
      </x:c>
      <x:c r="L1547" t="n">
        <x:v>595214</x:v>
      </x:c>
      <x:c r="M1547" t="n">
        <x:v>595214</x:v>
      </x:c>
      <x:c r="N1547" t="n">
        <x:v>595214</x:v>
      </x:c>
      <x:c r="O1547" t="n">
        <x:v>595214</x:v>
      </x:c>
    </x:row>
    <x:row r="1548">
      <x:c r="A1548" t="str">
        <x:v>Telangana</x:v>
      </x:c>
      <x:c r="B1548" t="str">
        <x:v>All India except Central University</x:v>
      </x:c>
      <x:c r="C1548" t="str">
        <x:v>200456</x:v>
      </x:c>
      <x:c r="D1548" t="str">
        <x:v>Government Medical College, Nizamabad, R.P.Road, Near Bustand, Khaleelwadi Nizamabad</x:v>
      </x:c>
      <x:c r="E1548" t="str">
        <x:v>All India</x:v>
      </x:c>
      <x:c r="F1548" t="str">
        <x:v>OBC</x:v>
      </x:c>
      <x:c r="G1548" t="n">
        <x:v>5</x:v>
      </x:c>
      <x:c r="H1548" t="n">
        <x:v>5</x:v>
      </x:c>
      <x:c r="I1548" t="n">
        <x:f>G1548-H1548</x:f>
        <x:v>0</x:v>
      </x:c>
      <x:c r="J1548" s="20" t="n">
        <x:f>IFERROR(H1548/G1548,0)</x:f>
        <x:v>1</x:v>
      </x:c>
      <x:c r="K1548" t="n">
        <x:v>14909</x:v>
      </x:c>
      <x:c r="L1548" t="n">
        <x:v>15277</x:v>
      </x:c>
      <x:c r="M1548" t="n">
        <x:v>16004</x:v>
      </x:c>
      <x:c r="N1548" t="n">
        <x:v>16301</x:v>
      </x:c>
      <x:c r="O1548" t="n">
        <x:v>16341</x:v>
      </x:c>
    </x:row>
    <x:row r="1549">
      <x:c r="A1549" t="str">
        <x:v>Telangana</x:v>
      </x:c>
      <x:c r="B1549" t="str">
        <x:v>All India except Central University</x:v>
      </x:c>
      <x:c r="C1549" t="str">
        <x:v>200456</x:v>
      </x:c>
      <x:c r="D1549" t="str">
        <x:v>Government Medical College, Nizamabad, R.P.Road, Near Bustand, Khaleelwadi Nizamabad</x:v>
      </x:c>
      <x:c r="E1549" t="str">
        <x:v>All India</x:v>
      </x:c>
      <x:c r="F1549" t="str">
        <x:v>Open</x:v>
      </x:c>
      <x:c r="G1549" t="n">
        <x:v>8</x:v>
      </x:c>
      <x:c r="H1549" t="n">
        <x:v>8</x:v>
      </x:c>
      <x:c r="I1549" t="n">
        <x:f>G1549-H1549</x:f>
        <x:v>0</x:v>
      </x:c>
      <x:c r="J1549" s="20" t="n">
        <x:f>IFERROR(H1549/G1549,0)</x:f>
        <x:v>1</x:v>
      </x:c>
      <x:c r="K1549" t="n">
        <x:v>9583</x:v>
      </x:c>
      <x:c r="L1549" t="n">
        <x:v>10611</x:v>
      </x:c>
      <x:c r="M1549" t="n">
        <x:v>12180</x:v>
      </x:c>
      <x:c r="N1549" t="n">
        <x:v>13623.5</x:v>
      </x:c>
      <x:c r="O1549" t="n">
        <x:v>14277</x:v>
      </x:c>
    </x:row>
    <x:row r="1550">
      <x:c r="A1550" t="str">
        <x:v>Telangana</x:v>
      </x:c>
      <x:c r="B1550" t="str">
        <x:v>All India except Central University</x:v>
      </x:c>
      <x:c r="C1550" t="str">
        <x:v>200456</x:v>
      </x:c>
      <x:c r="D1550" t="str">
        <x:v>Government Medical College, Nizamabad, R.P.Road, Near Bustand, Khaleelwadi Nizamabad</x:v>
      </x:c>
      <x:c r="E1550" t="str">
        <x:v>All India</x:v>
      </x:c>
      <x:c r="F1550" t="str">
        <x:v>SC</x:v>
      </x:c>
      <x:c r="G1550" t="n">
        <x:v>2</x:v>
      </x:c>
      <x:c r="H1550" t="n">
        <x:v>2</x:v>
      </x:c>
      <x:c r="I1550" t="n">
        <x:f>G1550-H1550</x:f>
        <x:v>0</x:v>
      </x:c>
      <x:c r="J1550" s="20" t="n">
        <x:f>IFERROR(H1550/G1550,0)</x:f>
        <x:v>1</x:v>
      </x:c>
      <x:c r="K1550" t="n">
        <x:v>62538</x:v>
      </x:c>
      <x:c r="L1550" t="n">
        <x:v>65707.75</x:v>
      </x:c>
      <x:c r="M1550" t="n">
        <x:v>68877.5</x:v>
      </x:c>
      <x:c r="N1550" t="n">
        <x:v>72047.25</x:v>
      </x:c>
      <x:c r="O1550" t="n">
        <x:v>75217</x:v>
      </x:c>
    </x:row>
    <x:row r="1551">
      <x:c r="A1551" t="str">
        <x:v>Telangana</x:v>
      </x:c>
      <x:c r="B1551" t="str">
        <x:v>All India except Central University</x:v>
      </x:c>
      <x:c r="C1551" t="str">
        <x:v>200456</x:v>
      </x:c>
      <x:c r="D1551" t="str">
        <x:v>Government Medical College, Nizamabad, R.P.Road, Near Bustand, Khaleelwadi Nizamabad</x:v>
      </x:c>
      <x:c r="E1551" t="str">
        <x:v>All India</x:v>
      </x:c>
      <x:c r="F1551" t="str">
        <x:v>SC PwD</x:v>
      </x:c>
      <x:c r="G1551" t="n">
        <x:v>1</x:v>
      </x:c>
      <x:c r="H1551" t="n">
        <x:v>1</x:v>
      </x:c>
      <x:c r="I1551" t="n">
        <x:f>G1551-H1551</x:f>
        <x:v>0</x:v>
      </x:c>
      <x:c r="J1551" s="20" t="n">
        <x:f>IFERROR(H1551/G1551,0)</x:f>
        <x:v>1</x:v>
      </x:c>
      <x:c r="K1551" t="n">
        <x:v>1180240</x:v>
      </x:c>
      <x:c r="L1551" t="n">
        <x:v>1180240</x:v>
      </x:c>
      <x:c r="M1551" t="n">
        <x:v>1180240</x:v>
      </x:c>
      <x:c r="N1551" t="n">
        <x:v>1180240</x:v>
      </x:c>
      <x:c r="O1551" t="n">
        <x:v>1180240</x:v>
      </x:c>
    </x:row>
    <x:row r="1552">
      <x:c r="A1552" t="str">
        <x:v>Telangana</x:v>
      </x:c>
      <x:c r="B1552" t="str">
        <x:v>All India except Central University</x:v>
      </x:c>
      <x:c r="C1552" t="str">
        <x:v>200456</x:v>
      </x:c>
      <x:c r="D1552" t="str">
        <x:v>Government Medical College, Nizamabad, R.P.Road, Near Bustand, Khaleelwadi Nizamabad</x:v>
      </x:c>
      <x:c r="E1552" t="str">
        <x:v>All India</x:v>
      </x:c>
      <x:c r="F1552" t="str">
        <x:v>ST PwD</x:v>
      </x:c>
      <x:c r="G1552" t="n">
        <x:v>1</x:v>
      </x:c>
      <x:c r="H1552" t="n">
        <x:v>1</x:v>
      </x:c>
      <x:c r="I1552" t="n">
        <x:f>G1552-H1552</x:f>
        <x:v>0</x:v>
      </x:c>
      <x:c r="J1552" s="20" t="n">
        <x:f>IFERROR(H1552/G1552,0)</x:f>
        <x:v>1</x:v>
      </x:c>
      <x:c r="K1552" t="n">
        <x:v>580210</x:v>
      </x:c>
      <x:c r="L1552" t="n">
        <x:v>580210</x:v>
      </x:c>
      <x:c r="M1552" t="n">
        <x:v>580210</x:v>
      </x:c>
      <x:c r="N1552" t="n">
        <x:v>580210</x:v>
      </x:c>
      <x:c r="O1552" t="n">
        <x:v>580210</x:v>
      </x:c>
    </x:row>
    <x:row r="1553">
      <x:c r="A1553" t="str">
        <x:v>Tamil Nadu</x:v>
      </x:c>
      <x:c r="B1553" t="str">
        <x:v>All India except Central University</x:v>
      </x:c>
      <x:c r="C1553" t="str">
        <x:v>200569</x:v>
      </x:c>
      <x:c r="D1553" t="str">
        <x:v>Government Medical College, Omandurar, NO.169, GOVERNMENT MEDICAL COLLEGE AND HOSPITAL, OMANDURAR GOVERNMENT ESTATE, WALLAJAH ROAD, TRIPLIC</x:v>
      </x:c>
      <x:c r="E1553" t="str">
        <x:v>All India</x:v>
      </x:c>
      <x:c r="F1553" t="str">
        <x:v>EWS</x:v>
      </x:c>
      <x:c r="G1553" t="n">
        <x:v>1</x:v>
      </x:c>
      <x:c r="H1553" t="n">
        <x:v>1</x:v>
      </x:c>
      <x:c r="I1553" t="n">
        <x:f>G1553-H1553</x:f>
        <x:v>0</x:v>
      </x:c>
      <x:c r="J1553" s="20" t="n">
        <x:f>IFERROR(H1553/G1553,0)</x:f>
        <x:v>1</x:v>
      </x:c>
      <x:c r="K1553" t="n">
        <x:v>14053</x:v>
      </x:c>
      <x:c r="L1553" t="n">
        <x:v>14053</x:v>
      </x:c>
      <x:c r="M1553" t="n">
        <x:v>14053</x:v>
      </x:c>
      <x:c r="N1553" t="n">
        <x:v>14053</x:v>
      </x:c>
      <x:c r="O1553" t="n">
        <x:v>14053</x:v>
      </x:c>
    </x:row>
    <x:row r="1554">
      <x:c r="A1554" t="str">
        <x:v>Tamil Nadu</x:v>
      </x:c>
      <x:c r="B1554" t="str">
        <x:v>All India except Central University</x:v>
      </x:c>
      <x:c r="C1554" t="str">
        <x:v>200569</x:v>
      </x:c>
      <x:c r="D1554" t="str">
        <x:v>Government Medical College, Omandurar, NO.169, GOVERNMENT MEDICAL COLLEGE AND HOSPITAL, OMANDURAR GOVERNMENT ESTATE, WALLAJAH ROAD, TRIPLIC</x:v>
      </x:c>
      <x:c r="E1554" t="str">
        <x:v>All India</x:v>
      </x:c>
      <x:c r="F1554" t="str">
        <x:v>OBC</x:v>
      </x:c>
      <x:c r="G1554" t="n">
        <x:v>4</x:v>
      </x:c>
      <x:c r="H1554" t="n">
        <x:v>4</x:v>
      </x:c>
      <x:c r="I1554" t="n">
        <x:f>G1554-H1554</x:f>
        <x:v>0</x:v>
      </x:c>
      <x:c r="J1554" s="20" t="n">
        <x:f>IFERROR(H1554/G1554,0)</x:f>
        <x:v>1</x:v>
      </x:c>
      <x:c r="K1554" t="n">
        <x:v>2469</x:v>
      </x:c>
      <x:c r="L1554" t="n">
        <x:v>2539.5</x:v>
      </x:c>
      <x:c r="M1554" t="n">
        <x:v>2607.5</x:v>
      </x:c>
      <x:c r="N1554" t="n">
        <x:v>2705.75</x:v>
      </x:c>
      <x:c r="O1554" t="n">
        <x:v>2867</x:v>
      </x:c>
    </x:row>
    <x:row r="1555">
      <x:c r="A1555" t="str">
        <x:v>Tamil Nadu</x:v>
      </x:c>
      <x:c r="B1555" t="str">
        <x:v>All India except Central University</x:v>
      </x:c>
      <x:c r="C1555" t="str">
        <x:v>200569</x:v>
      </x:c>
      <x:c r="D1555" t="str">
        <x:v>Government Medical College, Omandurar, NO.169, GOVERNMENT MEDICAL COLLEGE AND HOSPITAL, OMANDURAR GOVERNMENT ESTATE, WALLAJAH ROAD, TRIPLIC</x:v>
      </x:c>
      <x:c r="E1555" t="str">
        <x:v>All India</x:v>
      </x:c>
      <x:c r="F1555" t="str">
        <x:v>Open</x:v>
      </x:c>
      <x:c r="G1555" t="n">
        <x:v>4</x:v>
      </x:c>
      <x:c r="H1555" t="n">
        <x:v>4</x:v>
      </x:c>
      <x:c r="I1555" t="n">
        <x:f>G1555-H1555</x:f>
        <x:v>0</x:v>
      </x:c>
      <x:c r="J1555" s="20" t="n">
        <x:f>IFERROR(H1555/G1555,0)</x:f>
        <x:v>1</x:v>
      </x:c>
      <x:c r="K1555" t="n">
        <x:v>2043</x:v>
      </x:c>
      <x:c r="L1555" t="n">
        <x:v>2094.75</x:v>
      </x:c>
      <x:c r="M1555" t="n">
        <x:v>2202.5</x:v>
      </x:c>
      <x:c r="N1555" t="n">
        <x:v>2308.25</x:v>
      </x:c>
      <x:c r="O1555" t="n">
        <x:v>2354</x:v>
      </x:c>
    </x:row>
    <x:row r="1556">
      <x:c r="A1556" t="str">
        <x:v>Tamil Nadu</x:v>
      </x:c>
      <x:c r="B1556" t="str">
        <x:v>All India except Central University</x:v>
      </x:c>
      <x:c r="C1556" t="str">
        <x:v>200569</x:v>
      </x:c>
      <x:c r="D1556" t="str">
        <x:v>Government Medical College, Omandurar, NO.169, GOVERNMENT MEDICAL COLLEGE AND HOSPITAL, OMANDURAR GOVERNMENT ESTATE, WALLAJAH ROAD, TRIPLIC</x:v>
      </x:c>
      <x:c r="E1556" t="str">
        <x:v>All India</x:v>
      </x:c>
      <x:c r="F1556" t="str">
        <x:v>Open PwD</x:v>
      </x:c>
      <x:c r="G1556" t="n">
        <x:v>1</x:v>
      </x:c>
      <x:c r="H1556" t="n">
        <x:v>1</x:v>
      </x:c>
      <x:c r="I1556" t="n">
        <x:f>G1556-H1556</x:f>
        <x:v>0</x:v>
      </x:c>
      <x:c r="J1556" s="20" t="n">
        <x:f>IFERROR(H1556/G1556,0)</x:f>
        <x:v>1</x:v>
      </x:c>
      <x:c r="K1556" t="n">
        <x:v>364079</x:v>
      </x:c>
      <x:c r="L1556" t="n">
        <x:v>364079</x:v>
      </x:c>
      <x:c r="M1556" t="n">
        <x:v>364079</x:v>
      </x:c>
      <x:c r="N1556" t="n">
        <x:v>364079</x:v>
      </x:c>
      <x:c r="O1556" t="n">
        <x:v>364079</x:v>
      </x:c>
    </x:row>
    <x:row r="1557">
      <x:c r="A1557" t="str">
        <x:v>Tamil Nadu</x:v>
      </x:c>
      <x:c r="B1557" t="str">
        <x:v>All India except Central University</x:v>
      </x:c>
      <x:c r="C1557" t="str">
        <x:v>200569</x:v>
      </x:c>
      <x:c r="D1557" t="str">
        <x:v>Government Medical College, Omandurar, NO.169, GOVERNMENT MEDICAL COLLEGE AND HOSPITAL, OMANDURAR GOVERNMENT ESTATE, WALLAJAH ROAD, TRIPLIC</x:v>
      </x:c>
      <x:c r="E1557" t="str">
        <x:v>All India</x:v>
      </x:c>
      <x:c r="F1557" t="str">
        <x:v>SC</x:v>
      </x:c>
      <x:c r="G1557" t="n">
        <x:v>3</x:v>
      </x:c>
      <x:c r="H1557" t="n">
        <x:v>3</x:v>
      </x:c>
      <x:c r="I1557" t="n">
        <x:f>G1557-H1557</x:f>
        <x:v>0</x:v>
      </x:c>
      <x:c r="J1557" s="20" t="n">
        <x:f>IFERROR(H1557/G1557,0)</x:f>
        <x:v>1</x:v>
      </x:c>
      <x:c r="K1557" t="n">
        <x:v>16430</x:v>
      </x:c>
      <x:c r="L1557" t="n">
        <x:v>17152</x:v>
      </x:c>
      <x:c r="M1557" t="n">
        <x:v>17874</x:v>
      </x:c>
      <x:c r="N1557" t="n">
        <x:v>20674</x:v>
      </x:c>
      <x:c r="O1557" t="n">
        <x:v>23474</x:v>
      </x:c>
    </x:row>
    <x:row r="1558">
      <x:c r="A1558" t="str">
        <x:v>Tamil Nadu</x:v>
      </x:c>
      <x:c r="B1558" t="str">
        <x:v>All India except Central University</x:v>
      </x:c>
      <x:c r="C1558" t="str">
        <x:v>200569</x:v>
      </x:c>
      <x:c r="D1558" t="str">
        <x:v>Government Medical College, Omandurar, NO.169, GOVERNMENT MEDICAL COLLEGE AND HOSPITAL, OMANDURAR GOVERNMENT ESTATE, WALLAJAH ROAD, TRIPLIC</x:v>
      </x:c>
      <x:c r="E1558" t="str">
        <x:v>All India</x:v>
      </x:c>
      <x:c r="F1558" t="str">
        <x:v>ST</x:v>
      </x:c>
      <x:c r="G1558" t="n">
        <x:v>2</x:v>
      </x:c>
      <x:c r="H1558" t="n">
        <x:v>2</x:v>
      </x:c>
      <x:c r="I1558" t="n">
        <x:f>G1558-H1558</x:f>
        <x:v>0</x:v>
      </x:c>
      <x:c r="J1558" s="20" t="n">
        <x:f>IFERROR(H1558/G1558,0)</x:f>
        <x:v>1</x:v>
      </x:c>
      <x:c r="K1558" t="n">
        <x:v>74103</x:v>
      </x:c>
      <x:c r="L1558" t="n">
        <x:v>76989</x:v>
      </x:c>
      <x:c r="M1558" t="n">
        <x:v>79875</x:v>
      </x:c>
      <x:c r="N1558" t="n">
        <x:v>82761</x:v>
      </x:c>
      <x:c r="O1558" t="n">
        <x:v>85647</x:v>
      </x:c>
    </x:row>
    <x:row r="1559">
      <x:c r="A1559" t="str">
        <x:v>Andhra Pradesh</x:v>
      </x:c>
      <x:c r="B1559" t="str">
        <x:v>All India except Central University</x:v>
      </x:c>
      <x:c r="C1559" t="str">
        <x:v>200443</x:v>
      </x:c>
      <x:c r="D1559" t="str">
        <x:v>Government Medical College, Ongole (previously Rajiv Gandhi Institute of Medical Sciences, Ongole), BHAGYANAGAR 5TH LANE, RIMS, ONGOLE, PRAKASAM DISTRICT, ANDHRA PRADESH</x:v>
      </x:c>
      <x:c r="E1559" t="str">
        <x:v>All India</x:v>
      </x:c>
      <x:c r="F1559" t="str">
        <x:v>EWS</x:v>
      </x:c>
      <x:c r="G1559" t="n">
        <x:v>2</x:v>
      </x:c>
      <x:c r="H1559" t="n">
        <x:v>2</x:v>
      </x:c>
      <x:c r="I1559" t="n">
        <x:f>G1559-H1559</x:f>
        <x:v>0</x:v>
      </x:c>
      <x:c r="J1559" s="20" t="n">
        <x:f>IFERROR(H1559/G1559,0)</x:f>
        <x:v>1</x:v>
      </x:c>
      <x:c r="K1559" t="n">
        <x:v>18401</x:v>
      </x:c>
      <x:c r="L1559" t="n">
        <x:v>19018.5</x:v>
      </x:c>
      <x:c r="M1559" t="n">
        <x:v>19636</x:v>
      </x:c>
      <x:c r="N1559" t="n">
        <x:v>20253.5</x:v>
      </x:c>
      <x:c r="O1559" t="n">
        <x:v>20871</x:v>
      </x:c>
    </x:row>
    <x:row r="1560">
      <x:c r="A1560" t="str">
        <x:v>Andhra Pradesh</x:v>
      </x:c>
      <x:c r="B1560" t="str">
        <x:v>All India except Central University</x:v>
      </x:c>
      <x:c r="C1560" t="str">
        <x:v>200443</x:v>
      </x:c>
      <x:c r="D1560" t="str">
        <x:v>Government Medical College, Ongole (previously Rajiv Gandhi Institute of Medical Sciences, Ongole), BHAGYANAGAR 5TH LANE, RIMS, ONGOLE, PRAKASAM DISTRICT, ANDHRA PRADESH</x:v>
      </x:c>
      <x:c r="E1560" t="str">
        <x:v>All India</x:v>
      </x:c>
      <x:c r="F1560" t="str">
        <x:v>OBC</x:v>
      </x:c>
      <x:c r="G1560" t="n">
        <x:v>6</x:v>
      </x:c>
      <x:c r="H1560" t="n">
        <x:v>6</x:v>
      </x:c>
      <x:c r="I1560" t="n">
        <x:f>G1560-H1560</x:f>
        <x:v>0</x:v>
      </x:c>
      <x:c r="J1560" s="20" t="n">
        <x:f>IFERROR(H1560/G1560,0)</x:f>
        <x:v>1</x:v>
      </x:c>
      <x:c r="K1560" t="n">
        <x:v>18008</x:v>
      </x:c>
      <x:c r="L1560" t="n">
        <x:v>18627</x:v>
      </x:c>
      <x:c r="M1560" t="n">
        <x:v>18688.5</x:v>
      </x:c>
      <x:c r="N1560" t="n">
        <x:v>18708</x:v>
      </x:c>
      <x:c r="O1560" t="n">
        <x:v>18773</x:v>
      </x:c>
    </x:row>
    <x:row r="1561">
      <x:c r="A1561" t="str">
        <x:v>Andhra Pradesh</x:v>
      </x:c>
      <x:c r="B1561" t="str">
        <x:v>All India except Central University</x:v>
      </x:c>
      <x:c r="C1561" t="str">
        <x:v>200443</x:v>
      </x:c>
      <x:c r="D1561" t="str">
        <x:v>Government Medical College, Ongole (previously Rajiv Gandhi Institute of Medical Sciences, Ongole), BHAGYANAGAR 5TH LANE, RIMS, ONGOLE, PRAKASAM DISTRICT, ANDHRA PRADESH</x:v>
      </x:c>
      <x:c r="E1561" t="str">
        <x:v>All India</x:v>
      </x:c>
      <x:c r="F1561" t="str">
        <x:v>Open</x:v>
      </x:c>
      <x:c r="G1561" t="n">
        <x:v>8</x:v>
      </x:c>
      <x:c r="H1561" t="n">
        <x:v>8</x:v>
      </x:c>
      <x:c r="I1561" t="n">
        <x:f>G1561-H1561</x:f>
        <x:v>0</x:v>
      </x:c>
      <x:c r="J1561" s="20" t="n">
        <x:f>IFERROR(H1561/G1561,0)</x:f>
        <x:v>1</x:v>
      </x:c>
      <x:c r="K1561" t="n">
        <x:v>12241</x:v>
      </x:c>
      <x:c r="L1561" t="n">
        <x:v>14638.5</x:v>
      </x:c>
      <x:c r="M1561" t="n">
        <x:v>15776.5</x:v>
      </x:c>
      <x:c r="N1561" t="n">
        <x:v>16837.5</x:v>
      </x:c>
      <x:c r="O1561" t="n">
        <x:v>17108</x:v>
      </x:c>
    </x:row>
    <x:row r="1562">
      <x:c r="A1562" t="str">
        <x:v>Andhra Pradesh</x:v>
      </x:c>
      <x:c r="B1562" t="str">
        <x:v>All India except Central University</x:v>
      </x:c>
      <x:c r="C1562" t="str">
        <x:v>200443</x:v>
      </x:c>
      <x:c r="D1562" t="str">
        <x:v>Government Medical College, Ongole (previously Rajiv Gandhi Institute of Medical Sciences, Ongole), BHAGYANAGAR 5TH LANE, RIMS, ONGOLE, PRAKASAM DISTRICT, ANDHRA PRADESH</x:v>
      </x:c>
      <x:c r="E1562" t="str">
        <x:v>All India</x:v>
      </x:c>
      <x:c r="F1562" t="str">
        <x:v>Open PwD</x:v>
      </x:c>
      <x:c r="G1562" t="n">
        <x:v>1</x:v>
      </x:c>
      <x:c r="H1562" t="n">
        <x:v>1</x:v>
      </x:c>
      <x:c r="I1562" t="n">
        <x:f>G1562-H1562</x:f>
        <x:v>0</x:v>
      </x:c>
      <x:c r="J1562" s="20" t="n">
        <x:f>IFERROR(H1562/G1562,0)</x:f>
        <x:v>1</x:v>
      </x:c>
      <x:c r="K1562" t="n">
        <x:v>532442</x:v>
      </x:c>
      <x:c r="L1562" t="n">
        <x:v>532442</x:v>
      </x:c>
      <x:c r="M1562" t="n">
        <x:v>532442</x:v>
      </x:c>
      <x:c r="N1562" t="n">
        <x:v>532442</x:v>
      </x:c>
      <x:c r="O1562" t="n">
        <x:v>532442</x:v>
      </x:c>
    </x:row>
    <x:row r="1563">
      <x:c r="A1563" t="str">
        <x:v>Andhra Pradesh</x:v>
      </x:c>
      <x:c r="B1563" t="str">
        <x:v>All India except Central University</x:v>
      </x:c>
      <x:c r="C1563" t="str">
        <x:v>200443</x:v>
      </x:c>
      <x:c r="D1563" t="str">
        <x:v>Government Medical College, Ongole (previously Rajiv Gandhi Institute of Medical Sciences, Ongole), BHAGYANAGAR 5TH LANE, RIMS, ONGOLE, PRAKASAM DISTRICT, ANDHRA PRADESH</x:v>
      </x:c>
      <x:c r="E1563" t="str">
        <x:v>All India</x:v>
      </x:c>
      <x:c r="F1563" t="str">
        <x:v>SC</x:v>
      </x:c>
      <x:c r="G1563" t="n">
        <x:v>3</x:v>
      </x:c>
      <x:c r="H1563" t="n">
        <x:v>3</x:v>
      </x:c>
      <x:c r="I1563" t="n">
        <x:f>G1563-H1563</x:f>
        <x:v>0</x:v>
      </x:c>
      <x:c r="J1563" s="20" t="n">
        <x:f>IFERROR(H1563/G1563,0)</x:f>
        <x:v>1</x:v>
      </x:c>
      <x:c r="K1563" t="n">
        <x:v>47740</x:v>
      </x:c>
      <x:c r="L1563" t="n">
        <x:v>56869</x:v>
      </x:c>
      <x:c r="M1563" t="n">
        <x:v>65998</x:v>
      </x:c>
      <x:c r="N1563" t="n">
        <x:v>68581.5</x:v>
      </x:c>
      <x:c r="O1563" t="n">
        <x:v>71165</x:v>
      </x:c>
    </x:row>
    <x:row r="1564">
      <x:c r="A1564" t="str">
        <x:v>Andhra Pradesh</x:v>
      </x:c>
      <x:c r="B1564" t="str">
        <x:v>All India except Central University</x:v>
      </x:c>
      <x:c r="C1564" t="str">
        <x:v>200443</x:v>
      </x:c>
      <x:c r="D1564" t="str">
        <x:v>Government Medical College, Ongole (previously Rajiv Gandhi Institute of Medical Sciences, Ongole), BHAGYANAGAR 5TH LANE, RIMS, ONGOLE, PRAKASAM DISTRICT, ANDHRA PRADESH</x:v>
      </x:c>
      <x:c r="E1564" t="str">
        <x:v>All India</x:v>
      </x:c>
      <x:c r="F1564" t="str">
        <x:v>ST</x:v>
      </x:c>
      <x:c r="G1564" t="n">
        <x:v>2</x:v>
      </x:c>
      <x:c r="H1564" t="n">
        <x:v>2</x:v>
      </x:c>
      <x:c r="I1564" t="n">
        <x:f>G1564-H1564</x:f>
        <x:v>0</x:v>
      </x:c>
      <x:c r="J1564" s="20" t="n">
        <x:f>IFERROR(H1564/G1564,0)</x:f>
        <x:v>1</x:v>
      </x:c>
      <x:c r="K1564" t="n">
        <x:v>103045</x:v>
      </x:c>
      <x:c r="L1564" t="n">
        <x:v>104922.75</x:v>
      </x:c>
      <x:c r="M1564" t="n">
        <x:v>106800.5</x:v>
      </x:c>
      <x:c r="N1564" t="n">
        <x:v>108678.25</x:v>
      </x:c>
      <x:c r="O1564" t="n">
        <x:v>110556</x:v>
      </x:c>
    </x:row>
    <x:row r="1565">
      <x:c r="A1565" t="str">
        <x:v>Maharashtra</x:v>
      </x:c>
      <x:c r="B1565" t="str">
        <x:v>All India except Central University</x:v>
      </x:c>
      <x:c r="C1565" t="str">
        <x:v>200638</x:v>
      </x:c>
      <x:c r="D1565" t="str">
        <x:v>Government Medical College, Osmanabad, New Building, Civil Hospital Compound, Marwad Galli, Osmanabad</x:v>
      </x:c>
      <x:c r="E1565" t="str">
        <x:v>All India</x:v>
      </x:c>
      <x:c r="F1565" t="str">
        <x:v>EWS</x:v>
      </x:c>
      <x:c r="G1565" t="n">
        <x:v>2</x:v>
      </x:c>
      <x:c r="H1565" t="n">
        <x:v>2</x:v>
      </x:c>
      <x:c r="I1565" t="n">
        <x:f>G1565-H1565</x:f>
        <x:v>0</x:v>
      </x:c>
      <x:c r="J1565" s="20" t="n">
        <x:f>IFERROR(H1565/G1565,0)</x:f>
        <x:v>1</x:v>
      </x:c>
      <x:c r="K1565" t="n">
        <x:v>20384</x:v>
      </x:c>
      <x:c r="L1565" t="n">
        <x:v>20621.25</x:v>
      </x:c>
      <x:c r="M1565" t="n">
        <x:v>20858.5</x:v>
      </x:c>
      <x:c r="N1565" t="n">
        <x:v>21095.75</x:v>
      </x:c>
      <x:c r="O1565" t="n">
        <x:v>21333</x:v>
      </x:c>
    </x:row>
    <x:row r="1566">
      <x:c r="A1566" t="str">
        <x:v>Maharashtra</x:v>
      </x:c>
      <x:c r="B1566" t="str">
        <x:v>All India except Central University</x:v>
      </x:c>
      <x:c r="C1566" t="str">
        <x:v>200638</x:v>
      </x:c>
      <x:c r="D1566" t="str">
        <x:v>Government Medical College, Osmanabad, New Building, Civil Hospital Compound, Marwad Galli, Osmanabad</x:v>
      </x:c>
      <x:c r="E1566" t="str">
        <x:v>All India</x:v>
      </x:c>
      <x:c r="F1566" t="str">
        <x:v>OBC</x:v>
      </x:c>
      <x:c r="G1566" t="n">
        <x:v>3</x:v>
      </x:c>
      <x:c r="H1566" t="n">
        <x:v>3</x:v>
      </x:c>
      <x:c r="I1566" t="n">
        <x:f>G1566-H1566</x:f>
        <x:v>0</x:v>
      </x:c>
      <x:c r="J1566" s="20" t="n">
        <x:f>IFERROR(H1566/G1566,0)</x:f>
        <x:v>1</x:v>
      </x:c>
      <x:c r="K1566" t="n">
        <x:v>17932</x:v>
      </x:c>
      <x:c r="L1566" t="n">
        <x:v>17998.5</x:v>
      </x:c>
      <x:c r="M1566" t="n">
        <x:v>18065</x:v>
      </x:c>
      <x:c r="N1566" t="n">
        <x:v>18095</x:v>
      </x:c>
      <x:c r="O1566" t="n">
        <x:v>18125</x:v>
      </x:c>
    </x:row>
    <x:row r="1567">
      <x:c r="A1567" t="str">
        <x:v>Maharashtra</x:v>
      </x:c>
      <x:c r="B1567" t="str">
        <x:v>All India except Central University</x:v>
      </x:c>
      <x:c r="C1567" t="str">
        <x:v>200638</x:v>
      </x:c>
      <x:c r="D1567" t="str">
        <x:v>Government Medical College, Osmanabad, New Building, Civil Hospital Compound, Marwad Galli, Osmanabad</x:v>
      </x:c>
      <x:c r="E1567" t="str">
        <x:v>All India</x:v>
      </x:c>
      <x:c r="F1567" t="str">
        <x:v>OBC PwD</x:v>
      </x:c>
      <x:c r="G1567" t="n">
        <x:v>1</x:v>
      </x:c>
      <x:c r="H1567" t="n">
        <x:v>1</x:v>
      </x:c>
      <x:c r="I1567" t="n">
        <x:f>G1567-H1567</x:f>
        <x:v>0</x:v>
      </x:c>
      <x:c r="J1567" s="20" t="n">
        <x:f>IFERROR(H1567/G1567,0)</x:f>
        <x:v>1</x:v>
      </x:c>
      <x:c r="K1567" t="n">
        <x:v>610437</x:v>
      </x:c>
      <x:c r="L1567" t="n">
        <x:v>610437</x:v>
      </x:c>
      <x:c r="M1567" t="n">
        <x:v>610437</x:v>
      </x:c>
      <x:c r="N1567" t="n">
        <x:v>610437</x:v>
      </x:c>
      <x:c r="O1567" t="n">
        <x:v>610437</x:v>
      </x:c>
    </x:row>
    <x:row r="1568">
      <x:c r="A1568" t="str">
        <x:v>Maharashtra</x:v>
      </x:c>
      <x:c r="B1568" t="str">
        <x:v>All India except Central University</x:v>
      </x:c>
      <x:c r="C1568" t="str">
        <x:v>200638</x:v>
      </x:c>
      <x:c r="D1568" t="str">
        <x:v>Government Medical College, Osmanabad, New Building, Civil Hospital Compound, Marwad Galli, Osmanabad</x:v>
      </x:c>
      <x:c r="E1568" t="str">
        <x:v>All India</x:v>
      </x:c>
      <x:c r="F1568" t="str">
        <x:v>Open</x:v>
      </x:c>
      <x:c r="G1568" t="n">
        <x:v>6</x:v>
      </x:c>
      <x:c r="H1568" t="n">
        <x:v>6</x:v>
      </x:c>
      <x:c r="I1568" t="n">
        <x:f>G1568-H1568</x:f>
        <x:v>0</x:v>
      </x:c>
      <x:c r="J1568" s="20" t="n">
        <x:f>IFERROR(H1568/G1568,0)</x:f>
        <x:v>1</x:v>
      </x:c>
      <x:c r="K1568" t="n">
        <x:v>8201</x:v>
      </x:c>
      <x:c r="L1568" t="n">
        <x:v>16656.25</x:v>
      </x:c>
      <x:c r="M1568" t="n">
        <x:v>17006</x:v>
      </x:c>
      <x:c r="N1568" t="n">
        <x:v>17283</x:v>
      </x:c>
      <x:c r="O1568" t="n">
        <x:v>17519</x:v>
      </x:c>
    </x:row>
    <x:row r="1569">
      <x:c r="A1569" t="str">
        <x:v>Maharashtra</x:v>
      </x:c>
      <x:c r="B1569" t="str">
        <x:v>All India except Central University</x:v>
      </x:c>
      <x:c r="C1569" t="str">
        <x:v>200638</x:v>
      </x:c>
      <x:c r="D1569" t="str">
        <x:v>Government Medical College, Osmanabad, New Building, Civil Hospital Compound, Marwad Galli, Osmanabad</x:v>
      </x:c>
      <x:c r="E1569" t="str">
        <x:v>All India</x:v>
      </x:c>
      <x:c r="F1569" t="str">
        <x:v>SC</x:v>
      </x:c>
      <x:c r="G1569" t="n">
        <x:v>2</x:v>
      </x:c>
      <x:c r="H1569" t="n">
        <x:v>2</x:v>
      </x:c>
      <x:c r="I1569" t="n">
        <x:f>G1569-H1569</x:f>
        <x:v>0</x:v>
      </x:c>
      <x:c r="J1569" s="20" t="n">
        <x:f>IFERROR(H1569/G1569,0)</x:f>
        <x:v>1</x:v>
      </x:c>
      <x:c r="K1569" t="n">
        <x:v>84149</x:v>
      </x:c>
      <x:c r="L1569" t="n">
        <x:v>84366.75</x:v>
      </x:c>
      <x:c r="M1569" t="n">
        <x:v>84584.5</x:v>
      </x:c>
      <x:c r="N1569" t="n">
        <x:v>84802.25</x:v>
      </x:c>
      <x:c r="O1569" t="n">
        <x:v>85020</x:v>
      </x:c>
    </x:row>
    <x:row r="1570">
      <x:c r="A1570" t="str">
        <x:v>Maharashtra</x:v>
      </x:c>
      <x:c r="B1570" t="str">
        <x:v>All India except Central University</x:v>
      </x:c>
      <x:c r="C1570" t="str">
        <x:v>200638</x:v>
      </x:c>
      <x:c r="D1570" t="str">
        <x:v>Government Medical College, Osmanabad, New Building, Civil Hospital Compound, Marwad Galli, Osmanabad</x:v>
      </x:c>
      <x:c r="E1570" t="str">
        <x:v>All India</x:v>
      </x:c>
      <x:c r="F1570" t="str">
        <x:v>ST</x:v>
      </x:c>
      <x:c r="G1570" t="n">
        <x:v>1</x:v>
      </x:c>
      <x:c r="H1570" t="n">
        <x:v>1</x:v>
      </x:c>
      <x:c r="I1570" t="n">
        <x:f>G1570-H1570</x:f>
        <x:v>0</x:v>
      </x:c>
      <x:c r="J1570" s="20" t="n">
        <x:f>IFERROR(H1570/G1570,0)</x:f>
        <x:v>1</x:v>
      </x:c>
      <x:c r="K1570" t="n">
        <x:v>115627</x:v>
      </x:c>
      <x:c r="L1570" t="n">
        <x:v>115627</x:v>
      </x:c>
      <x:c r="M1570" t="n">
        <x:v>115627</x:v>
      </x:c>
      <x:c r="N1570" t="n">
        <x:v>115627</x:v>
      </x:c>
      <x:c r="O1570" t="n">
        <x:v>115627</x:v>
      </x:c>
    </x:row>
    <x:row r="1571">
      <x:c r="A1571" t="str">
        <x:v>Andhra Pradesh</x:v>
      </x:c>
      <x:c r="B1571" t="str">
        <x:v>All India except Central University</x:v>
      </x:c>
      <x:c r="C1571" t="str">
        <x:v>902841</x:v>
      </x:c>
      <x:c r="D1571" t="str">
        <x:v>Government Medical College, Paderu, TALARASINGI VILLAGE,PADERU, ASR DISTRICT</x:v>
      </x:c>
      <x:c r="E1571" t="str">
        <x:v>All India</x:v>
      </x:c>
      <x:c r="F1571" t="str">
        <x:v>EWS</x:v>
      </x:c>
      <x:c r="G1571" t="n">
        <x:v>2</x:v>
      </x:c>
      <x:c r="H1571" t="n">
        <x:v>2</x:v>
      </x:c>
      <x:c r="I1571" t="n">
        <x:f>G1571-H1571</x:f>
        <x:v>0</x:v>
      </x:c>
      <x:c r="J1571" s="20" t="n">
        <x:f>IFERROR(H1571/G1571,0)</x:f>
        <x:v>1</x:v>
      </x:c>
      <x:c r="K1571" t="n">
        <x:v>26662</x:v>
      </x:c>
      <x:c r="L1571" t="n">
        <x:v>26671.25</x:v>
      </x:c>
      <x:c r="M1571" t="n">
        <x:v>26680.5</x:v>
      </x:c>
      <x:c r="N1571" t="n">
        <x:v>26689.75</x:v>
      </x:c>
      <x:c r="O1571" t="n">
        <x:v>26699</x:v>
      </x:c>
    </x:row>
    <x:row r="1572">
      <x:c r="A1572" t="str">
        <x:v>Andhra Pradesh</x:v>
      </x:c>
      <x:c r="B1572" t="str">
        <x:v>All India except Central University</x:v>
      </x:c>
      <x:c r="C1572" t="str">
        <x:v>902841</x:v>
      </x:c>
      <x:c r="D1572" t="str">
        <x:v>Government Medical College, Paderu, TALARASINGI VILLAGE,PADERU, ASR DISTRICT</x:v>
      </x:c>
      <x:c r="E1572" t="str">
        <x:v>All India</x:v>
      </x:c>
      <x:c r="F1572" t="str">
        <x:v>OBC</x:v>
      </x:c>
      <x:c r="G1572" t="n">
        <x:v>3</x:v>
      </x:c>
      <x:c r="H1572" t="n">
        <x:v>3</x:v>
      </x:c>
      <x:c r="I1572" t="n">
        <x:f>G1572-H1572</x:f>
        <x:v>0</x:v>
      </x:c>
      <x:c r="J1572" s="20" t="n">
        <x:f>IFERROR(H1572/G1572,0)</x:f>
        <x:v>1</x:v>
      </x:c>
      <x:c r="K1572" t="n">
        <x:v>21130</x:v>
      </x:c>
      <x:c r="L1572" t="n">
        <x:v>21327</x:v>
      </x:c>
      <x:c r="M1572" t="n">
        <x:v>21524</x:v>
      </x:c>
      <x:c r="N1572" t="n">
        <x:v>21663.5</x:v>
      </x:c>
      <x:c r="O1572" t="n">
        <x:v>21803</x:v>
      </x:c>
    </x:row>
    <x:row r="1573">
      <x:c r="A1573" t="str">
        <x:v>Andhra Pradesh</x:v>
      </x:c>
      <x:c r="B1573" t="str">
        <x:v>All India except Central University</x:v>
      </x:c>
      <x:c r="C1573" t="str">
        <x:v>902841</x:v>
      </x:c>
      <x:c r="D1573" t="str">
        <x:v>Government Medical College, Paderu, TALARASINGI VILLAGE,PADERU, ASR DISTRICT</x:v>
      </x:c>
      <x:c r="E1573" t="str">
        <x:v>All India</x:v>
      </x:c>
      <x:c r="F1573" t="str">
        <x:v>OBC PwD</x:v>
      </x:c>
      <x:c r="G1573" t="n">
        <x:v>1</x:v>
      </x:c>
      <x:c r="H1573" t="n">
        <x:v>1</x:v>
      </x:c>
      <x:c r="I1573" t="n">
        <x:f>G1573-H1573</x:f>
        <x:v>0</x:v>
      </x:c>
      <x:c r="J1573" s="20" t="n">
        <x:f>IFERROR(H1573/G1573,0)</x:f>
        <x:v>1</x:v>
      </x:c>
      <x:c r="K1573" t="n">
        <x:v>824227</x:v>
      </x:c>
      <x:c r="L1573" t="n">
        <x:v>824227</x:v>
      </x:c>
      <x:c r="M1573" t="n">
        <x:v>824227</x:v>
      </x:c>
      <x:c r="N1573" t="n">
        <x:v>824227</x:v>
      </x:c>
      <x:c r="O1573" t="n">
        <x:v>824227</x:v>
      </x:c>
    </x:row>
    <x:row r="1574">
      <x:c r="A1574" t="str">
        <x:v>Andhra Pradesh</x:v>
      </x:c>
      <x:c r="B1574" t="str">
        <x:v>All India except Central University</x:v>
      </x:c>
      <x:c r="C1574" t="str">
        <x:v>902841</x:v>
      </x:c>
      <x:c r="D1574" t="str">
        <x:v>Government Medical College, Paderu, TALARASINGI VILLAGE,PADERU, ASR DISTRICT</x:v>
      </x:c>
      <x:c r="E1574" t="str">
        <x:v>All India</x:v>
      </x:c>
      <x:c r="F1574" t="str">
        <x:v>Open</x:v>
      </x:c>
      <x:c r="G1574" t="n">
        <x:v>6</x:v>
      </x:c>
      <x:c r="H1574" t="n">
        <x:v>6</x:v>
      </x:c>
      <x:c r="I1574" t="n">
        <x:f>G1574-H1574</x:f>
        <x:v>0</x:v>
      </x:c>
      <x:c r="J1574" s="20" t="n">
        <x:f>IFERROR(H1574/G1574,0)</x:f>
        <x:v>1</x:v>
      </x:c>
      <x:c r="K1574" t="n">
        <x:v>18966</x:v>
      </x:c>
      <x:c r="L1574" t="n">
        <x:v>19316.25</x:v>
      </x:c>
      <x:c r="M1574" t="n">
        <x:v>19466</x:v>
      </x:c>
      <x:c r="N1574" t="n">
        <x:v>19921.75</x:v>
      </x:c>
      <x:c r="O1574" t="n">
        <x:v>20481</x:v>
      </x:c>
    </x:row>
    <x:row r="1575">
      <x:c r="A1575" t="str">
        <x:v>Andhra Pradesh</x:v>
      </x:c>
      <x:c r="B1575" t="str">
        <x:v>All India except Central University</x:v>
      </x:c>
      <x:c r="C1575" t="str">
        <x:v>902841</x:v>
      </x:c>
      <x:c r="D1575" t="str">
        <x:v>Government Medical College, Paderu, TALARASINGI VILLAGE,PADERU, ASR DISTRICT</x:v>
      </x:c>
      <x:c r="E1575" t="str">
        <x:v>All India</x:v>
      </x:c>
      <x:c r="F1575" t="str">
        <x:v>SC</x:v>
      </x:c>
      <x:c r="G1575" t="n">
        <x:v>2</x:v>
      </x:c>
      <x:c r="H1575" t="n">
        <x:v>2</x:v>
      </x:c>
      <x:c r="I1575" t="n">
        <x:f>G1575-H1575</x:f>
        <x:v>0</x:v>
      </x:c>
      <x:c r="J1575" s="20" t="n">
        <x:f>IFERROR(H1575/G1575,0)</x:f>
        <x:v>1</x:v>
      </x:c>
      <x:c r="K1575" t="n">
        <x:v>72263</x:v>
      </x:c>
      <x:c r="L1575" t="n">
        <x:v>76150.25</x:v>
      </x:c>
      <x:c r="M1575" t="n">
        <x:v>80037.5</x:v>
      </x:c>
      <x:c r="N1575" t="n">
        <x:v>83924.75</x:v>
      </x:c>
      <x:c r="O1575" t="n">
        <x:v>87812</x:v>
      </x:c>
    </x:row>
    <x:row r="1576">
      <x:c r="A1576" t="str">
        <x:v>Andhra Pradesh</x:v>
      </x:c>
      <x:c r="B1576" t="str">
        <x:v>All India except Central University</x:v>
      </x:c>
      <x:c r="C1576" t="str">
        <x:v>902841</x:v>
      </x:c>
      <x:c r="D1576" t="str">
        <x:v>Government Medical College, Paderu, TALARASINGI VILLAGE,PADERU, ASR DISTRICT</x:v>
      </x:c>
      <x:c r="E1576" t="str">
        <x:v>All India</x:v>
      </x:c>
      <x:c r="F1576" t="str">
        <x:v>ST</x:v>
      </x:c>
      <x:c r="G1576" t="n">
        <x:v>1</x:v>
      </x:c>
      <x:c r="H1576" t="n">
        <x:v>1</x:v>
      </x:c>
      <x:c r="I1576" t="n">
        <x:f>G1576-H1576</x:f>
        <x:v>0</x:v>
      </x:c>
      <x:c r="J1576" s="20" t="n">
        <x:f>IFERROR(H1576/G1576,0)</x:f>
        <x:v>1</x:v>
      </x:c>
      <x:c r="K1576" t="n">
        <x:v>118869</x:v>
      </x:c>
      <x:c r="L1576" t="n">
        <x:v>118869</x:v>
      </x:c>
      <x:c r="M1576" t="n">
        <x:v>118869</x:v>
      </x:c>
      <x:c r="N1576" t="n">
        <x:v>118869</x:v>
      </x:c>
      <x:c r="O1576" t="n">
        <x:v>118869</x:v>
      </x:c>
    </x:row>
    <x:row r="1577">
      <x:c r="A1577" t="str">
        <x:v>Rajasthan</x:v>
      </x:c>
      <x:c r="B1577" t="str">
        <x:v>All India except Central University</x:v>
      </x:c>
      <x:c r="C1577" t="str">
        <x:v>200435</x:v>
      </x:c>
      <x:c r="D1577" t="str">
        <x:v>Government Medical College, Pali, Rajasthan, NH- 62,SumerpurRoad,Ramasia.Hemawas,Pali</x:v>
      </x:c>
      <x:c r="E1577" t="str">
        <x:v>All India</x:v>
      </x:c>
      <x:c r="F1577" t="str">
        <x:v>EWS</x:v>
      </x:c>
      <x:c r="G1577" t="n">
        <x:v>2</x:v>
      </x:c>
      <x:c r="H1577" t="n">
        <x:v>2</x:v>
      </x:c>
      <x:c r="I1577" t="n">
        <x:f>G1577-H1577</x:f>
        <x:v>0</x:v>
      </x:c>
      <x:c r="J1577" s="20" t="n">
        <x:f>IFERROR(H1577/G1577,0)</x:f>
        <x:v>1</x:v>
      </x:c>
      <x:c r="K1577" t="n">
        <x:v>8291</x:v>
      </x:c>
      <x:c r="L1577" t="n">
        <x:v>8448.75</x:v>
      </x:c>
      <x:c r="M1577" t="n">
        <x:v>8606.5</x:v>
      </x:c>
      <x:c r="N1577" t="n">
        <x:v>8764.25</x:v>
      </x:c>
      <x:c r="O1577" t="n">
        <x:v>8922</x:v>
      </x:c>
    </x:row>
    <x:row r="1578">
      <x:c r="A1578" t="str">
        <x:v>Rajasthan</x:v>
      </x:c>
      <x:c r="B1578" t="str">
        <x:v>All India except Central University</x:v>
      </x:c>
      <x:c r="C1578" t="str">
        <x:v>200435</x:v>
      </x:c>
      <x:c r="D1578" t="str">
        <x:v>Government Medical College, Pali, Rajasthan, NH- 62,SumerpurRoad,Ramasia.Hemawas,Pali</x:v>
      </x:c>
      <x:c r="E1578" t="str">
        <x:v>All India</x:v>
      </x:c>
      <x:c r="F1578" t="str">
        <x:v>OBC</x:v>
      </x:c>
      <x:c r="G1578" t="n">
        <x:v>6</x:v>
      </x:c>
      <x:c r="H1578" t="n">
        <x:v>6</x:v>
      </x:c>
      <x:c r="I1578" t="n">
        <x:f>G1578-H1578</x:f>
        <x:v>0</x:v>
      </x:c>
      <x:c r="J1578" s="20" t="n">
        <x:f>IFERROR(H1578/G1578,0)</x:f>
        <x:v>1</x:v>
      </x:c>
      <x:c r="K1578" t="n">
        <x:v>7255</x:v>
      </x:c>
      <x:c r="L1578" t="n">
        <x:v>7366</x:v>
      </x:c>
      <x:c r="M1578" t="n">
        <x:v>7470.5</x:v>
      </x:c>
      <x:c r="N1578" t="n">
        <x:v>7609.5</x:v>
      </x:c>
      <x:c r="O1578" t="n">
        <x:v>7694</x:v>
      </x:c>
    </x:row>
    <x:row r="1579">
      <x:c r="A1579" t="str">
        <x:v>Rajasthan</x:v>
      </x:c>
      <x:c r="B1579" t="str">
        <x:v>All India except Central University</x:v>
      </x:c>
      <x:c r="C1579" t="str">
        <x:v>200435</x:v>
      </x:c>
      <x:c r="D1579" t="str">
        <x:v>Government Medical College, Pali, Rajasthan, NH- 62,SumerpurRoad,Ramasia.Hemawas,Pali</x:v>
      </x:c>
      <x:c r="E1579" t="str">
        <x:v>All India</x:v>
      </x:c>
      <x:c r="F1579" t="str">
        <x:v>Open</x:v>
      </x:c>
      <x:c r="G1579" t="n">
        <x:v>9</x:v>
      </x:c>
      <x:c r="H1579" t="n">
        <x:v>9</x:v>
      </x:c>
      <x:c r="I1579" t="n">
        <x:f>G1579-H1579</x:f>
        <x:v>0</x:v>
      </x:c>
      <x:c r="J1579" s="20" t="n">
        <x:f>IFERROR(H1579/G1579,0)</x:f>
        <x:v>1</x:v>
      </x:c>
      <x:c r="K1579" t="n">
        <x:v>5455</x:v>
      </x:c>
      <x:c r="L1579" t="n">
        <x:v>6296</x:v>
      </x:c>
      <x:c r="M1579" t="n">
        <x:v>6630</x:v>
      </x:c>
      <x:c r="N1579" t="n">
        <x:v>7171</x:v>
      </x:c>
      <x:c r="O1579" t="n">
        <x:v>7241</x:v>
      </x:c>
    </x:row>
    <x:row r="1580">
      <x:c r="A1580" t="str">
        <x:v>Rajasthan</x:v>
      </x:c>
      <x:c r="B1580" t="str">
        <x:v>All India except Central University</x:v>
      </x:c>
      <x:c r="C1580" t="str">
        <x:v>200435</x:v>
      </x:c>
      <x:c r="D1580" t="str">
        <x:v>Government Medical College, Pali, Rajasthan, NH- 62,SumerpurRoad,Ramasia.Hemawas,Pali</x:v>
      </x:c>
      <x:c r="E1580" t="str">
        <x:v>All India</x:v>
      </x:c>
      <x:c r="F1580" t="str">
        <x:v>Open PwD</x:v>
      </x:c>
      <x:c r="G1580" t="n">
        <x:v>1</x:v>
      </x:c>
      <x:c r="H1580" t="n">
        <x:v>1</x:v>
      </x:c>
      <x:c r="I1580" t="n">
        <x:f>G1580-H1580</x:f>
        <x:v>0</x:v>
      </x:c>
      <x:c r="J1580" s="20" t="n">
        <x:f>IFERROR(H1580/G1580,0)</x:f>
        <x:v>1</x:v>
      </x:c>
      <x:c r="K1580" t="n">
        <x:v>315386</x:v>
      </x:c>
      <x:c r="L1580" t="n">
        <x:v>315386</x:v>
      </x:c>
      <x:c r="M1580" t="n">
        <x:v>315386</x:v>
      </x:c>
      <x:c r="N1580" t="n">
        <x:v>315386</x:v>
      </x:c>
      <x:c r="O1580" t="n">
        <x:v>315386</x:v>
      </x:c>
    </x:row>
    <x:row r="1581">
      <x:c r="A1581" t="str">
        <x:v>Rajasthan</x:v>
      </x:c>
      <x:c r="B1581" t="str">
        <x:v>All India except Central University</x:v>
      </x:c>
      <x:c r="C1581" t="str">
        <x:v>200435</x:v>
      </x:c>
      <x:c r="D1581" t="str">
        <x:v>Government Medical College, Pali, Rajasthan, NH- 62,SumerpurRoad,Ramasia.Hemawas,Pali</x:v>
      </x:c>
      <x:c r="E1581" t="str">
        <x:v>All India</x:v>
      </x:c>
      <x:c r="F1581" t="str">
        <x:v>SC</x:v>
      </x:c>
      <x:c r="G1581" t="n">
        <x:v>3</x:v>
      </x:c>
      <x:c r="H1581" t="n">
        <x:v>3</x:v>
      </x:c>
      <x:c r="I1581" t="n">
        <x:f>G1581-H1581</x:f>
        <x:v>0</x:v>
      </x:c>
      <x:c r="J1581" s="20" t="n">
        <x:f>IFERROR(H1581/G1581,0)</x:f>
        <x:v>1</x:v>
      </x:c>
      <x:c r="K1581" t="n">
        <x:v>29374</x:v>
      </x:c>
      <x:c r="L1581" t="n">
        <x:v>38367.5</x:v>
      </x:c>
      <x:c r="M1581" t="n">
        <x:v>47361</x:v>
      </x:c>
      <x:c r="N1581" t="n">
        <x:v>48860</x:v>
      </x:c>
      <x:c r="O1581" t="n">
        <x:v>50359</x:v>
      </x:c>
    </x:row>
    <x:row r="1582">
      <x:c r="A1582" t="str">
        <x:v>Rajasthan</x:v>
      </x:c>
      <x:c r="B1582" t="str">
        <x:v>All India except Central University</x:v>
      </x:c>
      <x:c r="C1582" t="str">
        <x:v>200435</x:v>
      </x:c>
      <x:c r="D1582" t="str">
        <x:v>Government Medical College, Pali, Rajasthan, NH- 62,SumerpurRoad,Ramasia.Hemawas,Pali</x:v>
      </x:c>
      <x:c r="E1582" t="str">
        <x:v>All India</x:v>
      </x:c>
      <x:c r="F1582" t="str">
        <x:v>ST</x:v>
      </x:c>
      <x:c r="G1582" t="n">
        <x:v>1</x:v>
      </x:c>
      <x:c r="H1582" t="n">
        <x:v>1</x:v>
      </x:c>
      <x:c r="I1582" t="n">
        <x:f>G1582-H1582</x:f>
        <x:v>0</x:v>
      </x:c>
      <x:c r="J1582" s="20" t="n">
        <x:f>IFERROR(H1582/G1582,0)</x:f>
        <x:v>1</x:v>
      </x:c>
      <x:c r="K1582" t="n">
        <x:v>59432</x:v>
      </x:c>
      <x:c r="L1582" t="n">
        <x:v>59432</x:v>
      </x:c>
      <x:c r="M1582" t="n">
        <x:v>59432</x:v>
      </x:c>
      <x:c r="N1582" t="n">
        <x:v>59432</x:v>
      </x:c>
      <x:c r="O1582" t="n">
        <x:v>59432</x:v>
      </x:c>
    </x:row>
    <x:row r="1583">
      <x:c r="A1583" t="str">
        <x:v>Gujarat</x:v>
      </x:c>
      <x:c r="B1583" t="str">
        <x:v>All India except Central University</x:v>
      </x:c>
      <x:c r="C1583" t="str">
        <x:v>200637</x:v>
      </x:c>
      <x:c r="D1583" t="str">
        <x:v>Government Medical College, Panchmahal Godhra, GMERS Medical College Panchmahal Godhra, Near New RTO, Chanchopa, Godhra, Dist: Panchmahal, GUJARAT</x:v>
      </x:c>
      <x:c r="E1583" t="str">
        <x:v>All India</x:v>
      </x:c>
      <x:c r="F1583" t="str">
        <x:v>EWS</x:v>
      </x:c>
      <x:c r="G1583" t="n">
        <x:v>1</x:v>
      </x:c>
      <x:c r="H1583" t="n">
        <x:v>1</x:v>
      </x:c>
      <x:c r="I1583" t="n">
        <x:f>G1583-H1583</x:f>
        <x:v>0</x:v>
      </x:c>
      <x:c r="J1583" s="20" t="n">
        <x:f>IFERROR(H1583/G1583,0)</x:f>
        <x:v>1</x:v>
      </x:c>
      <x:c r="K1583" t="n">
        <x:v>18327</x:v>
      </x:c>
      <x:c r="L1583" t="n">
        <x:v>18327</x:v>
      </x:c>
      <x:c r="M1583" t="n">
        <x:v>18327</x:v>
      </x:c>
      <x:c r="N1583" t="n">
        <x:v>18327</x:v>
      </x:c>
      <x:c r="O1583" t="n">
        <x:v>18327</x:v>
      </x:c>
    </x:row>
    <x:row r="1584">
      <x:c r="A1584" t="str">
        <x:v>Gujarat</x:v>
      </x:c>
      <x:c r="B1584" t="str">
        <x:v>All India except Central University</x:v>
      </x:c>
      <x:c r="C1584" t="str">
        <x:v>200637</x:v>
      </x:c>
      <x:c r="D1584" t="str">
        <x:v>Government Medical College, Panchmahal Godhra, GMERS Medical College Panchmahal Godhra, Near New RTO, Chanchopa, Godhra, Dist: Panchmahal, GUJARAT</x:v>
      </x:c>
      <x:c r="E1584" t="str">
        <x:v>All India</x:v>
      </x:c>
      <x:c r="F1584" t="str">
        <x:v>OBC</x:v>
      </x:c>
      <x:c r="G1584" t="n">
        <x:v>4</x:v>
      </x:c>
      <x:c r="H1584" t="n">
        <x:v>4</x:v>
      </x:c>
      <x:c r="I1584" t="n">
        <x:f>G1584-H1584</x:f>
        <x:v>0</x:v>
      </x:c>
      <x:c r="J1584" s="20" t="n">
        <x:f>IFERROR(H1584/G1584,0)</x:f>
        <x:v>1</x:v>
      </x:c>
      <x:c r="K1584" t="n">
        <x:v>19076</x:v>
      </x:c>
      <x:c r="L1584" t="n">
        <x:v>19326.5</x:v>
      </x:c>
      <x:c r="M1584" t="n">
        <x:v>19485.5</x:v>
      </x:c>
      <x:c r="N1584" t="n">
        <x:v>19704.5</x:v>
      </x:c>
      <x:c r="O1584" t="n">
        <x:v>20135</x:v>
      </x:c>
    </x:row>
    <x:row r="1585">
      <x:c r="A1585" t="str">
        <x:v>Gujarat</x:v>
      </x:c>
      <x:c r="B1585" t="str">
        <x:v>All India except Central University</x:v>
      </x:c>
      <x:c r="C1585" t="str">
        <x:v>200637</x:v>
      </x:c>
      <x:c r="D1585" t="str">
        <x:v>Government Medical College, Panchmahal Godhra, GMERS Medical College Panchmahal Godhra, Near New RTO, Chanchopa, Godhra, Dist: Panchmahal, GUJARAT</x:v>
      </x:c>
      <x:c r="E1585" t="str">
        <x:v>All India</x:v>
      </x:c>
      <x:c r="F1585" t="str">
        <x:v>Open</x:v>
      </x:c>
      <x:c r="G1585" t="n">
        <x:v>6</x:v>
      </x:c>
      <x:c r="H1585" t="n">
        <x:v>6</x:v>
      </x:c>
      <x:c r="I1585" t="n">
        <x:f>G1585-H1585</x:f>
        <x:v>0</x:v>
      </x:c>
      <x:c r="J1585" s="20" t="n">
        <x:f>IFERROR(H1585/G1585,0)</x:f>
        <x:v>1</x:v>
      </x:c>
      <x:c r="K1585" t="n">
        <x:v>9466</x:v>
      </x:c>
      <x:c r="L1585" t="n">
        <x:v>12499.5</x:v>
      </x:c>
      <x:c r="M1585" t="n">
        <x:v>14462.5</x:v>
      </x:c>
      <x:c r="N1585" t="n">
        <x:v>16880</x:v>
      </x:c>
      <x:c r="O1585" t="n">
        <x:v>17260</x:v>
      </x:c>
    </x:row>
    <x:row r="1586">
      <x:c r="A1586" t="str">
        <x:v>Gujarat</x:v>
      </x:c>
      <x:c r="B1586" t="str">
        <x:v>All India except Central University</x:v>
      </x:c>
      <x:c r="C1586" t="str">
        <x:v>200637</x:v>
      </x:c>
      <x:c r="D1586" t="str">
        <x:v>Government Medical College, Panchmahal Godhra, GMERS Medical College Panchmahal Godhra, Near New RTO, Chanchopa, Godhra, Dist: Panchmahal, GUJARAT</x:v>
      </x:c>
      <x:c r="E1586" t="str">
        <x:v>All India</x:v>
      </x:c>
      <x:c r="F1586" t="str">
        <x:v>SC</x:v>
      </x:c>
      <x:c r="G1586" t="n">
        <x:v>3</x:v>
      </x:c>
      <x:c r="H1586" t="n">
        <x:v>3</x:v>
      </x:c>
      <x:c r="I1586" t="n">
        <x:f>G1586-H1586</x:f>
        <x:v>0</x:v>
      </x:c>
      <x:c r="J1586" s="20" t="n">
        <x:f>IFERROR(H1586/G1586,0)</x:f>
        <x:v>1</x:v>
      </x:c>
      <x:c r="K1586" t="n">
        <x:v>71690</x:v>
      </x:c>
      <x:c r="L1586" t="n">
        <x:v>73015.5</x:v>
      </x:c>
      <x:c r="M1586" t="n">
        <x:v>74341</x:v>
      </x:c>
      <x:c r="N1586" t="n">
        <x:v>80208.5</x:v>
      </x:c>
      <x:c r="O1586" t="n">
        <x:v>86076</x:v>
      </x:c>
    </x:row>
    <x:row r="1587">
      <x:c r="A1587" t="str">
        <x:v>Gujarat</x:v>
      </x:c>
      <x:c r="B1587" t="str">
        <x:v>All India except Central University</x:v>
      </x:c>
      <x:c r="C1587" t="str">
        <x:v>200637</x:v>
      </x:c>
      <x:c r="D1587" t="str">
        <x:v>Government Medical College, Panchmahal Godhra, GMERS Medical College Panchmahal Godhra, Near New RTO, Chanchopa, Godhra, Dist: Panchmahal, GUJARAT</x:v>
      </x:c>
      <x:c r="E1587" t="str">
        <x:v>All India</x:v>
      </x:c>
      <x:c r="F1587" t="str">
        <x:v>ST</x:v>
      </x:c>
      <x:c r="G1587" t="n">
        <x:v>1</x:v>
      </x:c>
      <x:c r="H1587" t="n">
        <x:v>1</x:v>
      </x:c>
      <x:c r="I1587" t="n">
        <x:f>G1587-H1587</x:f>
        <x:v>0</x:v>
      </x:c>
      <x:c r="J1587" s="20" t="n">
        <x:f>IFERROR(H1587/G1587,0)</x:f>
        <x:v>1</x:v>
      </x:c>
      <x:c r="K1587" t="n">
        <x:v>112876</x:v>
      </x:c>
      <x:c r="L1587" t="n">
        <x:v>112876</x:v>
      </x:c>
      <x:c r="M1587" t="n">
        <x:v>112876</x:v>
      </x:c>
      <x:c r="N1587" t="n">
        <x:v>112876</x:v>
      </x:c>
      <x:c r="O1587" t="n">
        <x:v>112876</x:v>
      </x:c>
    </x:row>
    <x:row r="1588">
      <x:c r="A1588" t="str">
        <x:v>Maharashtra</x:v>
      </x:c>
      <x:c r="B1588" t="str">
        <x:v>All India except Central University</x:v>
      </x:c>
      <x:c r="C1588" t="str">
        <x:v>200679</x:v>
      </x:c>
      <x:c r="D1588" t="str">
        <x:v>Government Medical College, Parbhani, ITI CAMPUS, BEHIND DSM COLLEGE, JINTUR ROAD, PARBHANI - 431401</x:v>
      </x:c>
      <x:c r="E1588" t="str">
        <x:v>All India</x:v>
      </x:c>
      <x:c r="F1588" t="str">
        <x:v>EWS</x:v>
      </x:c>
      <x:c r="G1588" t="n">
        <x:v>1</x:v>
      </x:c>
      <x:c r="H1588" t="n">
        <x:v>1</x:v>
      </x:c>
      <x:c r="I1588" t="n">
        <x:f>G1588-H1588</x:f>
        <x:v>0</x:v>
      </x:c>
      <x:c r="J1588" s="20" t="n">
        <x:f>IFERROR(H1588/G1588,0)</x:f>
        <x:v>1</x:v>
      </x:c>
      <x:c r="K1588" t="n">
        <x:v>21360</x:v>
      </x:c>
      <x:c r="L1588" t="n">
        <x:v>21360</x:v>
      </x:c>
      <x:c r="M1588" t="n">
        <x:v>21360</x:v>
      </x:c>
      <x:c r="N1588" t="n">
        <x:v>21360</x:v>
      </x:c>
      <x:c r="O1588" t="n">
        <x:v>21360</x:v>
      </x:c>
    </x:row>
    <x:row r="1589">
      <x:c r="A1589" t="str">
        <x:v>Maharashtra</x:v>
      </x:c>
      <x:c r="B1589" t="str">
        <x:v>All India except Central University</x:v>
      </x:c>
      <x:c r="C1589" t="str">
        <x:v>200679</x:v>
      </x:c>
      <x:c r="D1589" t="str">
        <x:v>Government Medical College, Parbhani, ITI CAMPUS, BEHIND DSM COLLEGE, JINTUR ROAD, PARBHANI - 431401</x:v>
      </x:c>
      <x:c r="E1589" t="str">
        <x:v>All India</x:v>
      </x:c>
      <x:c r="F1589" t="str">
        <x:v>OBC</x:v>
      </x:c>
      <x:c r="G1589" t="n">
        <x:v>4</x:v>
      </x:c>
      <x:c r="H1589" t="n">
        <x:v>4</x:v>
      </x:c>
      <x:c r="I1589" t="n">
        <x:f>G1589-H1589</x:f>
        <x:v>0</x:v>
      </x:c>
      <x:c r="J1589" s="20" t="n">
        <x:f>IFERROR(H1589/G1589,0)</x:f>
        <x:v>1</x:v>
      </x:c>
      <x:c r="K1589" t="n">
        <x:v>18020</x:v>
      </x:c>
      <x:c r="L1589" t="n">
        <x:v>18119</x:v>
      </x:c>
      <x:c r="M1589" t="n">
        <x:v>18161.5</x:v>
      </x:c>
      <x:c r="N1589" t="n">
        <x:v>18175.5</x:v>
      </x:c>
      <x:c r="O1589" t="n">
        <x:v>18189</x:v>
      </x:c>
    </x:row>
    <x:row r="1590">
      <x:c r="A1590" t="str">
        <x:v>Maharashtra</x:v>
      </x:c>
      <x:c r="B1590" t="str">
        <x:v>All India except Central University</x:v>
      </x:c>
      <x:c r="C1590" t="str">
        <x:v>200679</x:v>
      </x:c>
      <x:c r="D1590" t="str">
        <x:v>Government Medical College, Parbhani, ITI CAMPUS, BEHIND DSM COLLEGE, JINTUR ROAD, PARBHANI - 431401</x:v>
      </x:c>
      <x:c r="E1590" t="str">
        <x:v>All India</x:v>
      </x:c>
      <x:c r="F1590" t="str">
        <x:v>Open</x:v>
      </x:c>
      <x:c r="G1590" t="n">
        <x:v>5</x:v>
      </x:c>
      <x:c r="H1590" t="n">
        <x:v>5</x:v>
      </x:c>
      <x:c r="I1590" t="n">
        <x:f>G1590-H1590</x:f>
        <x:v>0</x:v>
      </x:c>
      <x:c r="J1590" s="20" t="n">
        <x:f>IFERROR(H1590/G1590,0)</x:f>
        <x:v>1</x:v>
      </x:c>
      <x:c r="K1590" t="n">
        <x:v>17099</x:v>
      </x:c>
      <x:c r="L1590" t="n">
        <x:v>17608</x:v>
      </x:c>
      <x:c r="M1590" t="n">
        <x:v>17657</x:v>
      </x:c>
      <x:c r="N1590" t="n">
        <x:v>17798</x:v>
      </x:c>
      <x:c r="O1590" t="n">
        <x:v>17836</x:v>
      </x:c>
    </x:row>
    <x:row r="1591">
      <x:c r="A1591" t="str">
        <x:v>Maharashtra</x:v>
      </x:c>
      <x:c r="B1591" t="str">
        <x:v>All India except Central University</x:v>
      </x:c>
      <x:c r="C1591" t="str">
        <x:v>200679</x:v>
      </x:c>
      <x:c r="D1591" t="str">
        <x:v>Government Medical College, Parbhani, ITI CAMPUS, BEHIND DSM COLLEGE, JINTUR ROAD, PARBHANI - 431401</x:v>
      </x:c>
      <x:c r="E1591" t="str">
        <x:v>All India</x:v>
      </x:c>
      <x:c r="F1591" t="str">
        <x:v>SC</x:v>
      </x:c>
      <x:c r="G1591" t="n">
        <x:v>3</x:v>
      </x:c>
      <x:c r="H1591" t="n">
        <x:v>3</x:v>
      </x:c>
      <x:c r="I1591" t="n">
        <x:f>G1591-H1591</x:f>
        <x:v>0</x:v>
      </x:c>
      <x:c r="J1591" s="20" t="n">
        <x:f>IFERROR(H1591/G1591,0)</x:f>
        <x:v>1</x:v>
      </x:c>
      <x:c r="K1591" t="n">
        <x:v>90527</x:v>
      </x:c>
      <x:c r="L1591" t="n">
        <x:v>91043</x:v>
      </x:c>
      <x:c r="M1591" t="n">
        <x:v>91559</x:v>
      </x:c>
      <x:c r="N1591" t="n">
        <x:v>92696</x:v>
      </x:c>
      <x:c r="O1591" t="n">
        <x:v>93833</x:v>
      </x:c>
    </x:row>
    <x:row r="1592">
      <x:c r="A1592" t="str">
        <x:v>Maharashtra</x:v>
      </x:c>
      <x:c r="B1592" t="str">
        <x:v>All India except Central University</x:v>
      </x:c>
      <x:c r="C1592" t="str">
        <x:v>200679</x:v>
      </x:c>
      <x:c r="D1592" t="str">
        <x:v>Government Medical College, Parbhani, ITI CAMPUS, BEHIND DSM COLLEGE, JINTUR ROAD, PARBHANI - 431401</x:v>
      </x:c>
      <x:c r="E1592" t="str">
        <x:v>All India</x:v>
      </x:c>
      <x:c r="F1592" t="str">
        <x:v>ST</x:v>
      </x:c>
      <x:c r="G1592" t="n">
        <x:v>2</x:v>
      </x:c>
      <x:c r="H1592" t="n">
        <x:v>2</x:v>
      </x:c>
      <x:c r="I1592" t="n">
        <x:f>G1592-H1592</x:f>
        <x:v>0</x:v>
      </x:c>
      <x:c r="J1592" s="20" t="n">
        <x:f>IFERROR(H1592/G1592,0)</x:f>
        <x:v>1</x:v>
      </x:c>
      <x:c r="K1592" t="n">
        <x:v>119387</x:v>
      </x:c>
      <x:c r="L1592" t="n">
        <x:v>119720.25</x:v>
      </x:c>
      <x:c r="M1592" t="n">
        <x:v>120053.5</x:v>
      </x:c>
      <x:c r="N1592" t="n">
        <x:v>120386.75</x:v>
      </x:c>
      <x:c r="O1592" t="n">
        <x:v>120720</x:v>
      </x:c>
    </x:row>
    <x:row r="1593">
      <x:c r="A1593" t="str">
        <x:v>Punjab</x:v>
      </x:c>
      <x:c r="B1593" t="str">
        <x:v>All India except Central University</x:v>
      </x:c>
      <x:c r="C1593" t="str">
        <x:v>200244</x:v>
      </x:c>
      <x:c r="D1593" t="str">
        <x:v>Government Medical College, Patiala, Sangrur road Government Medical College, Patiala</x:v>
      </x:c>
      <x:c r="E1593" t="str">
        <x:v>All India</x:v>
      </x:c>
      <x:c r="F1593" t="str">
        <x:v>EWS</x:v>
      </x:c>
      <x:c r="G1593" t="n">
        <x:v>4</x:v>
      </x:c>
      <x:c r="H1593" t="n">
        <x:v>4</x:v>
      </x:c>
      <x:c r="I1593" t="n">
        <x:f>G1593-H1593</x:f>
        <x:v>0</x:v>
      </x:c>
      <x:c r="J1593" s="20" t="n">
        <x:f>IFERROR(H1593/G1593,0)</x:f>
        <x:v>1</x:v>
      </x:c>
      <x:c r="K1593" t="n">
        <x:v>5440</x:v>
      </x:c>
      <x:c r="L1593" t="n">
        <x:v>5948.5</x:v>
      </x:c>
      <x:c r="M1593" t="n">
        <x:v>6332.5</x:v>
      </x:c>
      <x:c r="N1593" t="n">
        <x:v>6867.75</x:v>
      </x:c>
      <x:c r="O1593" t="n">
        <x:v>7830</x:v>
      </x:c>
    </x:row>
    <x:row r="1594">
      <x:c r="A1594" t="str">
        <x:v>Punjab</x:v>
      </x:c>
      <x:c r="B1594" t="str">
        <x:v>All India except Central University</x:v>
      </x:c>
      <x:c r="C1594" t="str">
        <x:v>200244</x:v>
      </x:c>
      <x:c r="D1594" t="str">
        <x:v>Government Medical College, Patiala, Sangrur road Government Medical College, Patiala</x:v>
      </x:c>
      <x:c r="E1594" t="str">
        <x:v>All India</x:v>
      </x:c>
      <x:c r="F1594" t="str">
        <x:v>OBC</x:v>
      </x:c>
      <x:c r="G1594" t="n">
        <x:v>9</x:v>
      </x:c>
      <x:c r="H1594" t="n">
        <x:v>9</x:v>
      </x:c>
      <x:c r="I1594" t="n">
        <x:f>G1594-H1594</x:f>
        <x:v>0</x:v>
      </x:c>
      <x:c r="J1594" s="20" t="n">
        <x:f>IFERROR(H1594/G1594,0)</x:f>
        <x:v>1</x:v>
      </x:c>
      <x:c r="K1594" t="n">
        <x:v>4400</x:v>
      </x:c>
      <x:c r="L1594" t="n">
        <x:v>4625</x:v>
      </x:c>
      <x:c r="M1594" t="n">
        <x:v>4945</x:v>
      </x:c>
      <x:c r="N1594" t="n">
        <x:v>5650</x:v>
      </x:c>
      <x:c r="O1594" t="n">
        <x:v>6076</x:v>
      </x:c>
    </x:row>
    <x:row r="1595">
      <x:c r="A1595" t="str">
        <x:v>Punjab</x:v>
      </x:c>
      <x:c r="B1595" t="str">
        <x:v>All India except Central University</x:v>
      </x:c>
      <x:c r="C1595" t="str">
        <x:v>200244</x:v>
      </x:c>
      <x:c r="D1595" t="str">
        <x:v>Government Medical College, Patiala, Sangrur road Government Medical College, Patiala</x:v>
      </x:c>
      <x:c r="E1595" t="str">
        <x:v>All India</x:v>
      </x:c>
      <x:c r="F1595" t="str">
        <x:v>OBC PwD</x:v>
      </x:c>
      <x:c r="G1595" t="n">
        <x:v>1</x:v>
      </x:c>
      <x:c r="H1595" t="n">
        <x:v>1</x:v>
      </x:c>
      <x:c r="I1595" t="n">
        <x:f>G1595-H1595</x:f>
        <x:v>0</x:v>
      </x:c>
      <x:c r="J1595" s="20" t="n">
        <x:f>IFERROR(H1595/G1595,0)</x:f>
        <x:v>1</x:v>
      </x:c>
      <x:c r="K1595" t="n">
        <x:v>396535</x:v>
      </x:c>
      <x:c r="L1595" t="n">
        <x:v>396535</x:v>
      </x:c>
      <x:c r="M1595" t="n">
        <x:v>396535</x:v>
      </x:c>
      <x:c r="N1595" t="n">
        <x:v>396535</x:v>
      </x:c>
      <x:c r="O1595" t="n">
        <x:v>396535</x:v>
      </x:c>
    </x:row>
    <x:row r="1596">
      <x:c r="A1596" t="str">
        <x:v>Punjab</x:v>
      </x:c>
      <x:c r="B1596" t="str">
        <x:v>All India except Central University</x:v>
      </x:c>
      <x:c r="C1596" t="str">
        <x:v>200244</x:v>
      </x:c>
      <x:c r="D1596" t="str">
        <x:v>Government Medical College, Patiala, Sangrur road Government Medical College, Patiala</x:v>
      </x:c>
      <x:c r="E1596" t="str">
        <x:v>All India</x:v>
      </x:c>
      <x:c r="F1596" t="str">
        <x:v>Open</x:v>
      </x:c>
      <x:c r="G1596" t="n">
        <x:v>13</x:v>
      </x:c>
      <x:c r="H1596" t="n">
        <x:v>13</x:v>
      </x:c>
      <x:c r="I1596" t="n">
        <x:f>G1596-H1596</x:f>
        <x:v>0</x:v>
      </x:c>
      <x:c r="J1596" s="20" t="n">
        <x:f>IFERROR(H1596/G1596,0)</x:f>
        <x:v>1</x:v>
      </x:c>
      <x:c r="K1596" t="n">
        <x:v>736</x:v>
      </x:c>
      <x:c r="L1596" t="n">
        <x:v>2669</x:v>
      </x:c>
      <x:c r="M1596" t="n">
        <x:v>3564</x:v>
      </x:c>
      <x:c r="N1596" t="n">
        <x:v>3736</x:v>
      </x:c>
      <x:c r="O1596" t="n">
        <x:v>3949</x:v>
      </x:c>
    </x:row>
    <x:row r="1597">
      <x:c r="A1597" t="str">
        <x:v>Punjab</x:v>
      </x:c>
      <x:c r="B1597" t="str">
        <x:v>All India except Central University</x:v>
      </x:c>
      <x:c r="C1597" t="str">
        <x:v>200244</x:v>
      </x:c>
      <x:c r="D1597" t="str">
        <x:v>Government Medical College, Patiala, Sangrur road Government Medical College, Patiala</x:v>
      </x:c>
      <x:c r="E1597" t="str">
        <x:v>All India</x:v>
      </x:c>
      <x:c r="F1597" t="str">
        <x:v>Open PwD</x:v>
      </x:c>
      <x:c r="G1597" t="n">
        <x:v>1</x:v>
      </x:c>
      <x:c r="H1597" t="n">
        <x:v>1</x:v>
      </x:c>
      <x:c r="I1597" t="n">
        <x:f>G1597-H1597</x:f>
        <x:v>0</x:v>
      </x:c>
      <x:c r="J1597" s="20" t="n">
        <x:f>IFERROR(H1597/G1597,0)</x:f>
        <x:v>1</x:v>
      </x:c>
      <x:c r="K1597" t="n">
        <x:v>329195</x:v>
      </x:c>
      <x:c r="L1597" t="n">
        <x:v>329195</x:v>
      </x:c>
      <x:c r="M1597" t="n">
        <x:v>329195</x:v>
      </x:c>
      <x:c r="N1597" t="n">
        <x:v>329195</x:v>
      </x:c>
      <x:c r="O1597" t="n">
        <x:v>329195</x:v>
      </x:c>
    </x:row>
    <x:row r="1598">
      <x:c r="A1598" t="str">
        <x:v>Punjab</x:v>
      </x:c>
      <x:c r="B1598" t="str">
        <x:v>All India except Central University</x:v>
      </x:c>
      <x:c r="C1598" t="str">
        <x:v>200244</x:v>
      </x:c>
      <x:c r="D1598" t="str">
        <x:v>Government Medical College, Patiala, Sangrur road Government Medical College, Patiala</x:v>
      </x:c>
      <x:c r="E1598" t="str">
        <x:v>All India</x:v>
      </x:c>
      <x:c r="F1598" t="str">
        <x:v>SC</x:v>
      </x:c>
      <x:c r="G1598" t="n">
        <x:v>6</x:v>
      </x:c>
      <x:c r="H1598" t="n">
        <x:v>6</x:v>
      </x:c>
      <x:c r="I1598" t="n">
        <x:f>G1598-H1598</x:f>
        <x:v>0</x:v>
      </x:c>
      <x:c r="J1598" s="20" t="n">
        <x:f>IFERROR(H1598/G1598,0)</x:f>
        <x:v>1</x:v>
      </x:c>
      <x:c r="K1598" t="n">
        <x:v>27959</x:v>
      </x:c>
      <x:c r="L1598" t="n">
        <x:v>31334.75</x:v>
      </x:c>
      <x:c r="M1598" t="n">
        <x:v>34631.5</x:v>
      </x:c>
      <x:c r="N1598" t="n">
        <x:v>35326.5</x:v>
      </x:c>
      <x:c r="O1598" t="n">
        <x:v>36877</x:v>
      </x:c>
    </x:row>
    <x:row r="1599">
      <x:c r="A1599" t="str">
        <x:v>Punjab</x:v>
      </x:c>
      <x:c r="B1599" t="str">
        <x:v>All India except Central University</x:v>
      </x:c>
      <x:c r="C1599" t="str">
        <x:v>200244</x:v>
      </x:c>
      <x:c r="D1599" t="str">
        <x:v>Government Medical College, Patiala, Sangrur road Government Medical College, Patiala</x:v>
      </x:c>
      <x:c r="E1599" t="str">
        <x:v>All India</x:v>
      </x:c>
      <x:c r="F1599" t="str">
        <x:v>ST</x:v>
      </x:c>
      <x:c r="G1599" t="n">
        <x:v>3</x:v>
      </x:c>
      <x:c r="H1599" t="n">
        <x:v>3</x:v>
      </x:c>
      <x:c r="I1599" t="n">
        <x:f>G1599-H1599</x:f>
        <x:v>0</x:v>
      </x:c>
      <x:c r="J1599" s="20" t="n">
        <x:f>IFERROR(H1599/G1599,0)</x:f>
        <x:v>1</x:v>
      </x:c>
      <x:c r="K1599" t="n">
        <x:v>66750</x:v>
      </x:c>
      <x:c r="L1599" t="n">
        <x:v>71840.5</x:v>
      </x:c>
      <x:c r="M1599" t="n">
        <x:v>76931</x:v>
      </x:c>
      <x:c r="N1599" t="n">
        <x:v>80853</x:v>
      </x:c>
      <x:c r="O1599" t="n">
        <x:v>84775</x:v>
      </x:c>
    </x:row>
    <x:row r="1600">
      <x:c r="A1600" t="str">
        <x:v>Andhra Pradesh</x:v>
      </x:c>
      <x:c r="B1600" t="str">
        <x:v>All India except Central University</x:v>
      </x:c>
      <x:c r="C1600" t="str">
        <x:v>904737</x:v>
      </x:c>
      <x:c r="D1600" t="str">
        <x:v>Government Medical College, Piduguralla, BRAHMMANAPALLE VILLAGE, STATE HIGHWAY-2,PIDUGURALLA MANDAL , PALNADU DISTRICT</x:v>
      </x:c>
      <x:c r="E1600" t="str">
        <x:v>All India</x:v>
      </x:c>
      <x:c r="F1600" t="str">
        <x:v>OBC</x:v>
      </x:c>
      <x:c r="G1600" t="n">
        <x:v>2</x:v>
      </x:c>
      <x:c r="H1600" t="n">
        <x:v>2</x:v>
      </x:c>
      <x:c r="I1600" t="n">
        <x:f>G1600-H1600</x:f>
        <x:v>0</x:v>
      </x:c>
      <x:c r="J1600" s="20" t="n">
        <x:f>IFERROR(H1600/G1600,0)</x:f>
        <x:v>1</x:v>
      </x:c>
      <x:c r="K1600" t="n">
        <x:v>22440</x:v>
      </x:c>
      <x:c r="L1600" t="n">
        <x:v>22464</x:v>
      </x:c>
      <x:c r="M1600" t="n">
        <x:v>22488</x:v>
      </x:c>
      <x:c r="N1600" t="n">
        <x:v>22512</x:v>
      </x:c>
      <x:c r="O1600" t="n">
        <x:v>22536</x:v>
      </x:c>
    </x:row>
    <x:row r="1601">
      <x:c r="A1601" t="str">
        <x:v>Andhra Pradesh</x:v>
      </x:c>
      <x:c r="B1601" t="str">
        <x:v>All India except Central University</x:v>
      </x:c>
      <x:c r="C1601" t="str">
        <x:v>904737</x:v>
      </x:c>
      <x:c r="D1601" t="str">
        <x:v>Government Medical College, Piduguralla, BRAHMMANAPALLE VILLAGE, STATE HIGHWAY-2,PIDUGURALLA MANDAL , PALNADU DISTRICT</x:v>
      </x:c>
      <x:c r="E1601" t="str">
        <x:v>All India</x:v>
      </x:c>
      <x:c r="F1601" t="str">
        <x:v>Open</x:v>
      </x:c>
      <x:c r="G1601" t="n">
        <x:v>3</x:v>
      </x:c>
      <x:c r="H1601" t="n">
        <x:v>3</x:v>
      </x:c>
      <x:c r="I1601" t="n">
        <x:f>G1601-H1601</x:f>
        <x:v>0</x:v>
      </x:c>
      <x:c r="J1601" s="20" t="n">
        <x:f>IFERROR(H1601/G1601,0)</x:f>
        <x:v>1</x:v>
      </x:c>
      <x:c r="K1601" t="n">
        <x:v>17322</x:v>
      </x:c>
      <x:c r="L1601" t="n">
        <x:v>17545</x:v>
      </x:c>
      <x:c r="M1601" t="n">
        <x:v>17768</x:v>
      </x:c>
      <x:c r="N1601" t="n">
        <x:v>20055</x:v>
      </x:c>
      <x:c r="O1601" t="n">
        <x:v>22342</x:v>
      </x:c>
    </x:row>
    <x:row r="1602">
      <x:c r="A1602" t="str">
        <x:v>Andhra Pradesh</x:v>
      </x:c>
      <x:c r="B1602" t="str">
        <x:v>All India except Central University</x:v>
      </x:c>
      <x:c r="C1602" t="str">
        <x:v>904737</x:v>
      </x:c>
      <x:c r="D1602" t="str">
        <x:v>Government Medical College, Piduguralla, BRAHMMANAPALLE VILLAGE, STATE HIGHWAY-2,PIDUGURALLA MANDAL , PALNADU DISTRICT</x:v>
      </x:c>
      <x:c r="E1602" t="str">
        <x:v>All India</x:v>
      </x:c>
      <x:c r="F1602" t="str">
        <x:v>SC PwD</x:v>
      </x:c>
      <x:c r="G1602" t="n">
        <x:v>1</x:v>
      </x:c>
      <x:c r="H1602" t="n">
        <x:v>1</x:v>
      </x:c>
      <x:c r="I1602" t="n">
        <x:f>G1602-H1602</x:f>
        <x:v>0</x:v>
      </x:c>
      <x:c r="J1602" s="20" t="n">
        <x:f>IFERROR(H1602/G1602,0)</x:f>
        <x:v>1</x:v>
      </x:c>
      <x:c r="K1602" t="n">
        <x:v>1143583</x:v>
      </x:c>
      <x:c r="L1602" t="n">
        <x:v>1143583</x:v>
      </x:c>
      <x:c r="M1602" t="n">
        <x:v>1143583</x:v>
      </x:c>
      <x:c r="N1602" t="n">
        <x:v>1143583</x:v>
      </x:c>
      <x:c r="O1602" t="n">
        <x:v>1143583</x:v>
      </x:c>
    </x:row>
    <x:row r="1603">
      <x:c r="A1603" t="str">
        <x:v>Andhra Pradesh</x:v>
      </x:c>
      <x:c r="B1603" t="str">
        <x:v>All India except Central University</x:v>
      </x:c>
      <x:c r="C1603" t="str">
        <x:v>904737</x:v>
      </x:c>
      <x:c r="D1603" t="str">
        <x:v>Government Medical College, Piduguralla, BRAHMMANAPALLE VILLAGE, STATE HIGHWAY-2,PIDUGURALLA MANDAL , PALNADU DISTRICT</x:v>
      </x:c>
      <x:c r="E1603" t="str">
        <x:v>All India</x:v>
      </x:c>
      <x:c r="F1603" t="str">
        <x:v>ST</x:v>
      </x:c>
      <x:c r="G1603" t="n">
        <x:v>1</x:v>
      </x:c>
      <x:c r="H1603" t="n">
        <x:v>1</x:v>
      </x:c>
      <x:c r="I1603" t="n">
        <x:f>G1603-H1603</x:f>
        <x:v>0</x:v>
      </x:c>
      <x:c r="J1603" s="20" t="n">
        <x:f>IFERROR(H1603/G1603,0)</x:f>
        <x:v>1</x:v>
      </x:c>
      <x:c r="K1603" t="n">
        <x:v>131363</x:v>
      </x:c>
      <x:c r="L1603" t="n">
        <x:v>131363</x:v>
      </x:c>
      <x:c r="M1603" t="n">
        <x:v>131363</x:v>
      </x:c>
      <x:c r="N1603" t="n">
        <x:v>131363</x:v>
      </x:c>
      <x:c r="O1603" t="n">
        <x:v>131363</x:v>
      </x:c>
    </x:row>
    <x:row r="1604">
      <x:c r="A1604" t="str">
        <x:v>Gujarat</x:v>
      </x:c>
      <x:c r="B1604" t="str">
        <x:v>All India except Central University</x:v>
      </x:c>
      <x:c r="C1604" t="str">
        <x:v>200636</x:v>
      </x:c>
      <x:c r="D1604" t="str">
        <x:v>Government Medical College, Porbandar, Behind ITI and Navoday Vidyalay, Dharampur, Porbandar</x:v>
      </x:c>
      <x:c r="E1604" t="str">
        <x:v>All India</x:v>
      </x:c>
      <x:c r="F1604" t="str">
        <x:v>EWS</x:v>
      </x:c>
      <x:c r="G1604" t="n">
        <x:v>2</x:v>
      </x:c>
      <x:c r="H1604" t="n">
        <x:v>2</x:v>
      </x:c>
      <x:c r="I1604" t="n">
        <x:f>G1604-H1604</x:f>
        <x:v>0</x:v>
      </x:c>
      <x:c r="J1604" s="20" t="n">
        <x:f>IFERROR(H1604/G1604,0)</x:f>
        <x:v>1</x:v>
      </x:c>
      <x:c r="K1604" t="n">
        <x:v>19955</x:v>
      </x:c>
      <x:c r="L1604" t="n">
        <x:v>20313.75</x:v>
      </x:c>
      <x:c r="M1604" t="n">
        <x:v>20672.5</x:v>
      </x:c>
      <x:c r="N1604" t="n">
        <x:v>21031.25</x:v>
      </x:c>
      <x:c r="O1604" t="n">
        <x:v>21390</x:v>
      </x:c>
    </x:row>
    <x:row r="1605">
      <x:c r="A1605" t="str">
        <x:v>Gujarat</x:v>
      </x:c>
      <x:c r="B1605" t="str">
        <x:v>All India except Central University</x:v>
      </x:c>
      <x:c r="C1605" t="str">
        <x:v>200636</x:v>
      </x:c>
      <x:c r="D1605" t="str">
        <x:v>Government Medical College, Porbandar, Behind ITI and Navoday Vidyalay, Dharampur, Porbandar</x:v>
      </x:c>
      <x:c r="E1605" t="str">
        <x:v>All India</x:v>
      </x:c>
      <x:c r="F1605" t="str">
        <x:v>OBC</x:v>
      </x:c>
      <x:c r="G1605" t="n">
        <x:v>3</x:v>
      </x:c>
      <x:c r="H1605" t="n">
        <x:v>3</x:v>
      </x:c>
      <x:c r="I1605" t="n">
        <x:f>G1605-H1605</x:f>
        <x:v>0</x:v>
      </x:c>
      <x:c r="J1605" s="20" t="n">
        <x:f>IFERROR(H1605/G1605,0)</x:f>
        <x:v>1</x:v>
      </x:c>
      <x:c r="K1605" t="n">
        <x:v>18112</x:v>
      </x:c>
      <x:c r="L1605" t="n">
        <x:v>18143</x:v>
      </x:c>
      <x:c r="M1605" t="n">
        <x:v>18174</x:v>
      </x:c>
      <x:c r="N1605" t="n">
        <x:v>18356.5</x:v>
      </x:c>
      <x:c r="O1605" t="n">
        <x:v>18539</x:v>
      </x:c>
    </x:row>
    <x:row r="1606">
      <x:c r="A1606" t="str">
        <x:v>Gujarat</x:v>
      </x:c>
      <x:c r="B1606" t="str">
        <x:v>All India except Central University</x:v>
      </x:c>
      <x:c r="C1606" t="str">
        <x:v>200636</x:v>
      </x:c>
      <x:c r="D1606" t="str">
        <x:v>Government Medical College, Porbandar, Behind ITI and Navoday Vidyalay, Dharampur, Porbandar</x:v>
      </x:c>
      <x:c r="E1606" t="str">
        <x:v>All India</x:v>
      </x:c>
      <x:c r="F1606" t="str">
        <x:v>OBC PwD</x:v>
      </x:c>
      <x:c r="G1606" t="n">
        <x:v>1</x:v>
      </x:c>
      <x:c r="H1606" t="n">
        <x:v>1</x:v>
      </x:c>
      <x:c r="I1606" t="n">
        <x:f>G1606-H1606</x:f>
        <x:v>0</x:v>
      </x:c>
      <x:c r="J1606" s="20" t="n">
        <x:f>IFERROR(H1606/G1606,0)</x:f>
        <x:v>1</x:v>
      </x:c>
      <x:c r="K1606" t="n">
        <x:v>633328</x:v>
      </x:c>
      <x:c r="L1606" t="n">
        <x:v>633328</x:v>
      </x:c>
      <x:c r="M1606" t="n">
        <x:v>633328</x:v>
      </x:c>
      <x:c r="N1606" t="n">
        <x:v>633328</x:v>
      </x:c>
      <x:c r="O1606" t="n">
        <x:v>633328</x:v>
      </x:c>
    </x:row>
    <x:row r="1607">
      <x:c r="A1607" t="str">
        <x:v>Gujarat</x:v>
      </x:c>
      <x:c r="B1607" t="str">
        <x:v>All India except Central University</x:v>
      </x:c>
      <x:c r="C1607" t="str">
        <x:v>200636</x:v>
      </x:c>
      <x:c r="D1607" t="str">
        <x:v>Government Medical College, Porbandar, Behind ITI and Navoday Vidyalay, Dharampur, Porbandar</x:v>
      </x:c>
      <x:c r="E1607" t="str">
        <x:v>All India</x:v>
      </x:c>
      <x:c r="F1607" t="str">
        <x:v>Open</x:v>
      </x:c>
      <x:c r="G1607" t="n">
        <x:v>5</x:v>
      </x:c>
      <x:c r="H1607" t="n">
        <x:v>5</x:v>
      </x:c>
      <x:c r="I1607" t="n">
        <x:f>G1607-H1607</x:f>
        <x:v>0</x:v>
      </x:c>
      <x:c r="J1607" s="20" t="n">
        <x:f>IFERROR(H1607/G1607,0)</x:f>
        <x:v>1</x:v>
      </x:c>
      <x:c r="K1607" t="n">
        <x:v>13141</x:v>
      </x:c>
      <x:c r="L1607" t="n">
        <x:v>14115</x:v>
      </x:c>
      <x:c r="M1607" t="n">
        <x:v>14692</x:v>
      </x:c>
      <x:c r="N1607" t="n">
        <x:v>14819</x:v>
      </x:c>
      <x:c r="O1607" t="n">
        <x:v>15006</x:v>
      </x:c>
    </x:row>
    <x:row r="1608">
      <x:c r="A1608" t="str">
        <x:v>Gujarat</x:v>
      </x:c>
      <x:c r="B1608" t="str">
        <x:v>All India except Central University</x:v>
      </x:c>
      <x:c r="C1608" t="str">
        <x:v>200636</x:v>
      </x:c>
      <x:c r="D1608" t="str">
        <x:v>Government Medical College, Porbandar, Behind ITI and Navoday Vidyalay, Dharampur, Porbandar</x:v>
      </x:c>
      <x:c r="E1608" t="str">
        <x:v>All India</x:v>
      </x:c>
      <x:c r="F1608" t="str">
        <x:v>Open PwD</x:v>
      </x:c>
      <x:c r="G1608" t="n">
        <x:v>1</x:v>
      </x:c>
      <x:c r="H1608" t="n">
        <x:v>1</x:v>
      </x:c>
      <x:c r="I1608" t="n">
        <x:f>G1608-H1608</x:f>
        <x:v>0</x:v>
      </x:c>
      <x:c r="J1608" s="20" t="n">
        <x:f>IFERROR(H1608/G1608,0)</x:f>
        <x:v>1</x:v>
      </x:c>
      <x:c r="K1608" t="n">
        <x:v>592487</x:v>
      </x:c>
      <x:c r="L1608" t="n">
        <x:v>592487</x:v>
      </x:c>
      <x:c r="M1608" t="n">
        <x:v>592487</x:v>
      </x:c>
      <x:c r="N1608" t="n">
        <x:v>592487</x:v>
      </x:c>
      <x:c r="O1608" t="n">
        <x:v>592487</x:v>
      </x:c>
    </x:row>
    <x:row r="1609">
      <x:c r="A1609" t="str">
        <x:v>Gujarat</x:v>
      </x:c>
      <x:c r="B1609" t="str">
        <x:v>All India except Central University</x:v>
      </x:c>
      <x:c r="C1609" t="str">
        <x:v>200636</x:v>
      </x:c>
      <x:c r="D1609" t="str">
        <x:v>Government Medical College, Porbandar, Behind ITI and Navoday Vidyalay, Dharampur, Porbandar</x:v>
      </x:c>
      <x:c r="E1609" t="str">
        <x:v>All India</x:v>
      </x:c>
      <x:c r="F1609" t="str">
        <x:v>SC</x:v>
      </x:c>
      <x:c r="G1609" t="n">
        <x:v>2</x:v>
      </x:c>
      <x:c r="H1609" t="n">
        <x:v>2</x:v>
      </x:c>
      <x:c r="I1609" t="n">
        <x:f>G1609-H1609</x:f>
        <x:v>0</x:v>
      </x:c>
      <x:c r="J1609" s="20" t="n">
        <x:f>IFERROR(H1609/G1609,0)</x:f>
        <x:v>1</x:v>
      </x:c>
      <x:c r="K1609" t="n">
        <x:v>89019</x:v>
      </x:c>
      <x:c r="L1609" t="n">
        <x:v>89970.25</x:v>
      </x:c>
      <x:c r="M1609" t="n">
        <x:v>90921.5</x:v>
      </x:c>
      <x:c r="N1609" t="n">
        <x:v>91872.75</x:v>
      </x:c>
      <x:c r="O1609" t="n">
        <x:v>92824</x:v>
      </x:c>
    </x:row>
    <x:row r="1610">
      <x:c r="A1610" t="str">
        <x:v>Gujarat</x:v>
      </x:c>
      <x:c r="B1610" t="str">
        <x:v>All India except Central University</x:v>
      </x:c>
      <x:c r="C1610" t="str">
        <x:v>200636</x:v>
      </x:c>
      <x:c r="D1610" t="str">
        <x:v>Government Medical College, Porbandar, Behind ITI and Navoday Vidyalay, Dharampur, Porbandar</x:v>
      </x:c>
      <x:c r="E1610" t="str">
        <x:v>All India</x:v>
      </x:c>
      <x:c r="F1610" t="str">
        <x:v>ST</x:v>
      </x:c>
      <x:c r="G1610" t="n">
        <x:v>1</x:v>
      </x:c>
      <x:c r="H1610" t="n">
        <x:v>1</x:v>
      </x:c>
      <x:c r="I1610" t="n">
        <x:f>G1610-H1610</x:f>
        <x:v>0</x:v>
      </x:c>
      <x:c r="J1610" s="20" t="n">
        <x:f>IFERROR(H1610/G1610,0)</x:f>
        <x:v>1</x:v>
      </x:c>
      <x:c r="K1610" t="n">
        <x:v>76825</x:v>
      </x:c>
      <x:c r="L1610" t="n">
        <x:v>76825</x:v>
      </x:c>
      <x:c r="M1610" t="n">
        <x:v>76825</x:v>
      </x:c>
      <x:c r="N1610" t="n">
        <x:v>76825</x:v>
      </x:c>
      <x:c r="O1610" t="n">
        <x:v>76825</x:v>
      </x:c>
    </x:row>
    <x:row r="1611">
      <x:c r="A1611" t="str">
        <x:v>Tamil Nadu</x:v>
      </x:c>
      <x:c r="B1611" t="str">
        <x:v>All India except Central University</x:v>
      </x:c>
      <x:c r="C1611" t="str">
        <x:v>200267</x:v>
      </x:c>
      <x:c r="D1611" t="str">
        <x:v>Government Medical College, Pudukottai, Tamil Nadu, MULLUR PUDUKKOTTAI PO PUDUKKOTTAI</x:v>
      </x:c>
      <x:c r="E1611" t="str">
        <x:v>All India</x:v>
      </x:c>
      <x:c r="F1611" t="str">
        <x:v>EWS</x:v>
      </x:c>
      <x:c r="G1611" t="n">
        <x:v>3</x:v>
      </x:c>
      <x:c r="H1611" t="n">
        <x:v>3</x:v>
      </x:c>
      <x:c r="I1611" t="n">
        <x:f>G1611-H1611</x:f>
        <x:v>0</x:v>
      </x:c>
      <x:c r="J1611" s="20" t="n">
        <x:f>IFERROR(H1611/G1611,0)</x:f>
        <x:v>1</x:v>
      </x:c>
      <x:c r="K1611" t="n">
        <x:v>23217</x:v>
      </x:c>
      <x:c r="L1611" t="n">
        <x:v>24582.5</x:v>
      </x:c>
      <x:c r="M1611" t="n">
        <x:v>25948</x:v>
      </x:c>
      <x:c r="N1611" t="n">
        <x:v>26362</x:v>
      </x:c>
      <x:c r="O1611" t="n">
        <x:v>26776</x:v>
      </x:c>
    </x:row>
    <x:row r="1612">
      <x:c r="A1612" t="str">
        <x:v>Tamil Nadu</x:v>
      </x:c>
      <x:c r="B1612" t="str">
        <x:v>All India except Central University</x:v>
      </x:c>
      <x:c r="C1612" t="str">
        <x:v>200267</x:v>
      </x:c>
      <x:c r="D1612" t="str">
        <x:v>Government Medical College, Pudukottai, Tamil Nadu, MULLUR PUDUKKOTTAI PO PUDUKKOTTAI</x:v>
      </x:c>
      <x:c r="E1612" t="str">
        <x:v>All India</x:v>
      </x:c>
      <x:c r="F1612" t="str">
        <x:v>OBC</x:v>
      </x:c>
      <x:c r="G1612" t="n">
        <x:v>6</x:v>
      </x:c>
      <x:c r="H1612" t="n">
        <x:v>6</x:v>
      </x:c>
      <x:c r="I1612" t="n">
        <x:f>G1612-H1612</x:f>
        <x:v>0</x:v>
      </x:c>
      <x:c r="J1612" s="20" t="n">
        <x:f>IFERROR(H1612/G1612,0)</x:f>
        <x:v>1</x:v>
      </x:c>
      <x:c r="K1612" t="n">
        <x:v>12656</x:v>
      </x:c>
      <x:c r="L1612" t="n">
        <x:v>12825.75</x:v>
      </x:c>
      <x:c r="M1612" t="n">
        <x:v>12912.5</x:v>
      </x:c>
      <x:c r="N1612" t="n">
        <x:v>13098.25</x:v>
      </x:c>
      <x:c r="O1612" t="n">
        <x:v>13147</x:v>
      </x:c>
    </x:row>
    <x:row r="1613">
      <x:c r="A1613" t="str">
        <x:v>Tamil Nadu</x:v>
      </x:c>
      <x:c r="B1613" t="str">
        <x:v>All India except Central University</x:v>
      </x:c>
      <x:c r="C1613" t="str">
        <x:v>200267</x:v>
      </x:c>
      <x:c r="D1613" t="str">
        <x:v>Government Medical College, Pudukottai, Tamil Nadu, MULLUR PUDUKKOTTAI PO PUDUKKOTTAI</x:v>
      </x:c>
      <x:c r="E1613" t="str">
        <x:v>All India</x:v>
      </x:c>
      <x:c r="F1613" t="str">
        <x:v>Open</x:v>
      </x:c>
      <x:c r="G1613" t="n">
        <x:v>9</x:v>
      </x:c>
      <x:c r="H1613" t="n">
        <x:v>9</x:v>
      </x:c>
      <x:c r="I1613" t="n">
        <x:f>G1613-H1613</x:f>
        <x:v>0</x:v>
      </x:c>
      <x:c r="J1613" s="20" t="n">
        <x:f>IFERROR(H1613/G1613,0)</x:f>
        <x:v>1</x:v>
      </x:c>
      <x:c r="K1613" t="n">
        <x:v>7323</x:v>
      </x:c>
      <x:c r="L1613" t="n">
        <x:v>9498</x:v>
      </x:c>
      <x:c r="M1613" t="n">
        <x:v>11517</x:v>
      </x:c>
      <x:c r="N1613" t="n">
        <x:v>12131</x:v>
      </x:c>
      <x:c r="O1613" t="n">
        <x:v>12570</x:v>
      </x:c>
    </x:row>
    <x:row r="1614">
      <x:c r="A1614" t="str">
        <x:v>Tamil Nadu</x:v>
      </x:c>
      <x:c r="B1614" t="str">
        <x:v>All India except Central University</x:v>
      </x:c>
      <x:c r="C1614" t="str">
        <x:v>200267</x:v>
      </x:c>
      <x:c r="D1614" t="str">
        <x:v>Government Medical College, Pudukottai, Tamil Nadu, MULLUR PUDUKKOTTAI PO PUDUKKOTTAI</x:v>
      </x:c>
      <x:c r="E1614" t="str">
        <x:v>All India</x:v>
      </x:c>
      <x:c r="F1614" t="str">
        <x:v>SC</x:v>
      </x:c>
      <x:c r="G1614" t="n">
        <x:v>3</x:v>
      </x:c>
      <x:c r="H1614" t="n">
        <x:v>3</x:v>
      </x:c>
      <x:c r="I1614" t="n">
        <x:f>G1614-H1614</x:f>
        <x:v>0</x:v>
      </x:c>
      <x:c r="J1614" s="20" t="n">
        <x:f>IFERROR(H1614/G1614,0)</x:f>
        <x:v>1</x:v>
      </x:c>
      <x:c r="K1614" t="n">
        <x:v>43756</x:v>
      </x:c>
      <x:c r="L1614" t="n">
        <x:v>44913</x:v>
      </x:c>
      <x:c r="M1614" t="n">
        <x:v>46070</x:v>
      </x:c>
      <x:c r="N1614" t="n">
        <x:v>47373.5</x:v>
      </x:c>
      <x:c r="O1614" t="n">
        <x:v>48677</x:v>
      </x:c>
    </x:row>
    <x:row r="1615">
      <x:c r="A1615" t="str">
        <x:v>Tamil Nadu</x:v>
      </x:c>
      <x:c r="B1615" t="str">
        <x:v>All India except Central University</x:v>
      </x:c>
      <x:c r="C1615" t="str">
        <x:v>200267</x:v>
      </x:c>
      <x:c r="D1615" t="str">
        <x:v>Government Medical College, Pudukottai, Tamil Nadu, MULLUR PUDUKKOTTAI PO PUDUKKOTTAI</x:v>
      </x:c>
      <x:c r="E1615" t="str">
        <x:v>All India</x:v>
      </x:c>
      <x:c r="F1615" t="str">
        <x:v>ST</x:v>
      </x:c>
      <x:c r="G1615" t="n">
        <x:v>1</x:v>
      </x:c>
      <x:c r="H1615" t="n">
        <x:v>1</x:v>
      </x:c>
      <x:c r="I1615" t="n">
        <x:f>G1615-H1615</x:f>
        <x:v>0</x:v>
      </x:c>
      <x:c r="J1615" s="20" t="n">
        <x:f>IFERROR(H1615/G1615,0)</x:f>
        <x:v>1</x:v>
      </x:c>
      <x:c r="K1615" t="n">
        <x:v>120178</x:v>
      </x:c>
      <x:c r="L1615" t="n">
        <x:v>120178</x:v>
      </x:c>
      <x:c r="M1615" t="n">
        <x:v>120178</x:v>
      </x:c>
      <x:c r="N1615" t="n">
        <x:v>120178</x:v>
      </x:c>
      <x:c r="O1615" t="n">
        <x:v>120178</x:v>
      </x:c>
    </x:row>
    <x:row r="1616">
      <x:c r="A1616" t="str">
        <x:v>Bihar</x:v>
      </x:c>
      <x:c r="B1616" t="str">
        <x:v>All India except Central University</x:v>
      </x:c>
      <x:c r="C1616" t="str">
        <x:v>200677</x:v>
      </x:c>
      <x:c r="D1616" t="str">
        <x:v>Government Medical College, Purnea, govt.mcpurnea@gmail.com</x:v>
      </x:c>
      <x:c r="E1616" t="str">
        <x:v>All India</x:v>
      </x:c>
      <x:c r="F1616" t="str">
        <x:v>EWS</x:v>
      </x:c>
      <x:c r="G1616" t="n">
        <x:v>2</x:v>
      </x:c>
      <x:c r="H1616" t="n">
        <x:v>2</x:v>
      </x:c>
      <x:c r="I1616" t="n">
        <x:f>G1616-H1616</x:f>
        <x:v>0</x:v>
      </x:c>
      <x:c r="J1616" s="20" t="n">
        <x:f>IFERROR(H1616/G1616,0)</x:f>
        <x:v>1</x:v>
      </x:c>
      <x:c r="K1616" t="n">
        <x:v>14770</x:v>
      </x:c>
      <x:c r="L1616" t="n">
        <x:v>15086.5</x:v>
      </x:c>
      <x:c r="M1616" t="n">
        <x:v>15403</x:v>
      </x:c>
      <x:c r="N1616" t="n">
        <x:v>15719.5</x:v>
      </x:c>
      <x:c r="O1616" t="n">
        <x:v>16036</x:v>
      </x:c>
    </x:row>
    <x:row r="1617">
      <x:c r="A1617" t="str">
        <x:v>Bihar</x:v>
      </x:c>
      <x:c r="B1617" t="str">
        <x:v>All India except Central University</x:v>
      </x:c>
      <x:c r="C1617" t="str">
        <x:v>200677</x:v>
      </x:c>
      <x:c r="D1617" t="str">
        <x:v>Government Medical College, Purnea, govt.mcpurnea@gmail.com</x:v>
      </x:c>
      <x:c r="E1617" t="str">
        <x:v>All India</x:v>
      </x:c>
      <x:c r="F1617" t="str">
        <x:v>OBC</x:v>
      </x:c>
      <x:c r="G1617" t="n">
        <x:v>3</x:v>
      </x:c>
      <x:c r="H1617" t="n">
        <x:v>3</x:v>
      </x:c>
      <x:c r="I1617" t="n">
        <x:f>G1617-H1617</x:f>
        <x:v>0</x:v>
      </x:c>
      <x:c r="J1617" s="20" t="n">
        <x:f>IFERROR(H1617/G1617,0)</x:f>
        <x:v>1</x:v>
      </x:c>
      <x:c r="K1617" t="n">
        <x:v>14059</x:v>
      </x:c>
      <x:c r="L1617" t="n">
        <x:v>14165.5</x:v>
      </x:c>
      <x:c r="M1617" t="n">
        <x:v>14272</x:v>
      </x:c>
      <x:c r="N1617" t="n">
        <x:v>14329</x:v>
      </x:c>
      <x:c r="O1617" t="n">
        <x:v>14386</x:v>
      </x:c>
    </x:row>
    <x:row r="1618">
      <x:c r="A1618" t="str">
        <x:v>Bihar</x:v>
      </x:c>
      <x:c r="B1618" t="str">
        <x:v>All India except Central University</x:v>
      </x:c>
      <x:c r="C1618" t="str">
        <x:v>200677</x:v>
      </x:c>
      <x:c r="D1618" t="str">
        <x:v>Government Medical College, Purnea, govt.mcpurnea@gmail.com</x:v>
      </x:c>
      <x:c r="E1618" t="str">
        <x:v>All India</x:v>
      </x:c>
      <x:c r="F1618" t="str">
        <x:v>OBC PwD</x:v>
      </x:c>
      <x:c r="G1618" t="n">
        <x:v>1</x:v>
      </x:c>
      <x:c r="H1618" t="n">
        <x:v>1</x:v>
      </x:c>
      <x:c r="I1618" t="n">
        <x:f>G1618-H1618</x:f>
        <x:v>0</x:v>
      </x:c>
      <x:c r="J1618" s="20" t="n">
        <x:f>IFERROR(H1618/G1618,0)</x:f>
        <x:v>1</x:v>
      </x:c>
      <x:c r="K1618" t="n">
        <x:v>549084</x:v>
      </x:c>
      <x:c r="L1618" t="n">
        <x:v>549084</x:v>
      </x:c>
      <x:c r="M1618" t="n">
        <x:v>549084</x:v>
      </x:c>
      <x:c r="N1618" t="n">
        <x:v>549084</x:v>
      </x:c>
      <x:c r="O1618" t="n">
        <x:v>549084</x:v>
      </x:c>
    </x:row>
    <x:row r="1619">
      <x:c r="A1619" t="str">
        <x:v>Bihar</x:v>
      </x:c>
      <x:c r="B1619" t="str">
        <x:v>All India except Central University</x:v>
      </x:c>
      <x:c r="C1619" t="str">
        <x:v>200677</x:v>
      </x:c>
      <x:c r="D1619" t="str">
        <x:v>Government Medical College, Purnea, govt.mcpurnea@gmail.com</x:v>
      </x:c>
      <x:c r="E1619" t="str">
        <x:v>All India</x:v>
      </x:c>
      <x:c r="F1619" t="str">
        <x:v>Open</x:v>
      </x:c>
      <x:c r="G1619" t="n">
        <x:v>6</x:v>
      </x:c>
      <x:c r="H1619" t="n">
        <x:v>6</x:v>
      </x:c>
      <x:c r="I1619" t="n">
        <x:f>G1619-H1619</x:f>
        <x:v>0</x:v>
      </x:c>
      <x:c r="J1619" s="20" t="n">
        <x:f>IFERROR(H1619/G1619,0)</x:f>
        <x:v>1</x:v>
      </x:c>
      <x:c r="K1619" t="n">
        <x:v>12644</x:v>
      </x:c>
      <x:c r="L1619" t="n">
        <x:v>13054.75</x:v>
      </x:c>
      <x:c r="M1619" t="n">
        <x:v>13214.5</x:v>
      </x:c>
      <x:c r="N1619" t="n">
        <x:v>13600.75</x:v>
      </x:c>
      <x:c r="O1619" t="n">
        <x:v>13799</x:v>
      </x:c>
    </x:row>
    <x:row r="1620">
      <x:c r="A1620" t="str">
        <x:v>Bihar</x:v>
      </x:c>
      <x:c r="B1620" t="str">
        <x:v>All India except Central University</x:v>
      </x:c>
      <x:c r="C1620" t="str">
        <x:v>200677</x:v>
      </x:c>
      <x:c r="D1620" t="str">
        <x:v>Government Medical College, Purnea, govt.mcpurnea@gmail.com</x:v>
      </x:c>
      <x:c r="E1620" t="str">
        <x:v>All India</x:v>
      </x:c>
      <x:c r="F1620" t="str">
        <x:v>SC</x:v>
      </x:c>
      <x:c r="G1620" t="n">
        <x:v>2</x:v>
      </x:c>
      <x:c r="H1620" t="n">
        <x:v>2</x:v>
      </x:c>
      <x:c r="I1620" t="n">
        <x:f>G1620-H1620</x:f>
        <x:v>0</x:v>
      </x:c>
      <x:c r="J1620" s="20" t="n">
        <x:f>IFERROR(H1620/G1620,0)</x:f>
        <x:v>1</x:v>
      </x:c>
      <x:c r="K1620" t="n">
        <x:v>72633</x:v>
      </x:c>
      <x:c r="L1620" t="n">
        <x:v>75307.5</x:v>
      </x:c>
      <x:c r="M1620" t="n">
        <x:v>77982</x:v>
      </x:c>
      <x:c r="N1620" t="n">
        <x:v>80656.5</x:v>
      </x:c>
      <x:c r="O1620" t="n">
        <x:v>83331</x:v>
      </x:c>
    </x:row>
    <x:row r="1621">
      <x:c r="A1621" t="str">
        <x:v>Bihar</x:v>
      </x:c>
      <x:c r="B1621" t="str">
        <x:v>All India except Central University</x:v>
      </x:c>
      <x:c r="C1621" t="str">
        <x:v>200677</x:v>
      </x:c>
      <x:c r="D1621" t="str">
        <x:v>Government Medical College, Purnea, govt.mcpurnea@gmail.com</x:v>
      </x:c>
      <x:c r="E1621" t="str">
        <x:v>All India</x:v>
      </x:c>
      <x:c r="F1621" t="str">
        <x:v>ST</x:v>
      </x:c>
      <x:c r="G1621" t="n">
        <x:v>1</x:v>
      </x:c>
      <x:c r="H1621" t="n">
        <x:v>1</x:v>
      </x:c>
      <x:c r="I1621" t="n">
        <x:f>G1621-H1621</x:f>
        <x:v>0</x:v>
      </x:c>
      <x:c r="J1621" s="20" t="n">
        <x:f>IFERROR(H1621/G1621,0)</x:f>
        <x:v>1</x:v>
      </x:c>
      <x:c r="K1621" t="n">
        <x:v>113289</x:v>
      </x:c>
      <x:c r="L1621" t="n">
        <x:v>113289</x:v>
      </x:c>
      <x:c r="M1621" t="n">
        <x:v>113289</x:v>
      </x:c>
      <x:c r="N1621" t="n">
        <x:v>113289</x:v>
      </x:c>
      <x:c r="O1621" t="n">
        <x:v>113289</x:v>
      </x:c>
    </x:row>
    <x:row r="1622">
      <x:c r="A1622" t="str">
        <x:v>Andhra Pradesh</x:v>
      </x:c>
      <x:c r="B1622" t="str">
        <x:v>All India except Central University</x:v>
      </x:c>
      <x:c r="C1622" t="str">
        <x:v>200662</x:v>
      </x:c>
      <x:c r="D1622" t="str">
        <x:v>Government Medical College, Rajamahendravaram, Government Medical College,D.No.55-4-1,Central Jail Road ,Near CTRI, Rajamahendravaram.</x:v>
      </x:c>
      <x:c r="E1622" t="str">
        <x:v>All India</x:v>
      </x:c>
      <x:c r="F1622" t="str">
        <x:v>EWS</x:v>
      </x:c>
      <x:c r="G1622" t="n">
        <x:v>2</x:v>
      </x:c>
      <x:c r="H1622" t="n">
        <x:v>2</x:v>
      </x:c>
      <x:c r="I1622" t="n">
        <x:f>G1622-H1622</x:f>
        <x:v>0</x:v>
      </x:c>
      <x:c r="J1622" s="20" t="n">
        <x:f>IFERROR(H1622/G1622,0)</x:f>
        <x:v>1</x:v>
      </x:c>
      <x:c r="K1622" t="n">
        <x:v>25149</x:v>
      </x:c>
      <x:c r="L1622" t="n">
        <x:v>25319</x:v>
      </x:c>
      <x:c r="M1622" t="n">
        <x:v>25489</x:v>
      </x:c>
      <x:c r="N1622" t="n">
        <x:v>25659</x:v>
      </x:c>
      <x:c r="O1622" t="n">
        <x:v>25829</x:v>
      </x:c>
    </x:row>
    <x:row r="1623">
      <x:c r="A1623" t="str">
        <x:v>Andhra Pradesh</x:v>
      </x:c>
      <x:c r="B1623" t="str">
        <x:v>All India except Central University</x:v>
      </x:c>
      <x:c r="C1623" t="str">
        <x:v>200662</x:v>
      </x:c>
      <x:c r="D1623" t="str">
        <x:v>Government Medical College, Rajamahendravaram, Government Medical College,D.No.55-4-1,Central Jail Road ,Near CTRI, Rajamahendravaram.</x:v>
      </x:c>
      <x:c r="E1623" t="str">
        <x:v>All India</x:v>
      </x:c>
      <x:c r="F1623" t="str">
        <x:v>OBC</x:v>
      </x:c>
      <x:c r="G1623" t="n">
        <x:v>6</x:v>
      </x:c>
      <x:c r="H1623" t="n">
        <x:v>6</x:v>
      </x:c>
      <x:c r="I1623" t="n">
        <x:f>G1623-H1623</x:f>
        <x:v>0</x:v>
      </x:c>
      <x:c r="J1623" s="20" t="n">
        <x:f>IFERROR(H1623/G1623,0)</x:f>
        <x:v>1</x:v>
      </x:c>
      <x:c r="K1623" t="n">
        <x:v>19830</x:v>
      </x:c>
      <x:c r="L1623" t="n">
        <x:v>20450.75</x:v>
      </x:c>
      <x:c r="M1623" t="n">
        <x:v>20930</x:v>
      </x:c>
      <x:c r="N1623" t="n">
        <x:v>21308.75</x:v>
      </x:c>
      <x:c r="O1623" t="n">
        <x:v>21444</x:v>
      </x:c>
    </x:row>
    <x:row r="1624">
      <x:c r="A1624" t="str">
        <x:v>Andhra Pradesh</x:v>
      </x:c>
      <x:c r="B1624" t="str">
        <x:v>All India except Central University</x:v>
      </x:c>
      <x:c r="C1624" t="str">
        <x:v>200662</x:v>
      </x:c>
      <x:c r="D1624" t="str">
        <x:v>Government Medical College, Rajamahendravaram, Government Medical College,D.No.55-4-1,Central Jail Road ,Near CTRI, Rajamahendravaram.</x:v>
      </x:c>
      <x:c r="E1624" t="str">
        <x:v>All India</x:v>
      </x:c>
      <x:c r="F1624" t="str">
        <x:v>Open</x:v>
      </x:c>
      <x:c r="G1624" t="n">
        <x:v>9</x:v>
      </x:c>
      <x:c r="H1624" t="n">
        <x:v>9</x:v>
      </x:c>
      <x:c r="I1624" t="n">
        <x:f>G1624-H1624</x:f>
        <x:v>0</x:v>
      </x:c>
      <x:c r="J1624" s="20" t="n">
        <x:f>IFERROR(H1624/G1624,0)</x:f>
        <x:v>1</x:v>
      </x:c>
      <x:c r="K1624" t="n">
        <x:v>16884</x:v>
      </x:c>
      <x:c r="L1624" t="n">
        <x:v>18103</x:v>
      </x:c>
      <x:c r="M1624" t="n">
        <x:v>19446</x:v>
      </x:c>
      <x:c r="N1624" t="n">
        <x:v>19488</x:v>
      </x:c>
      <x:c r="O1624" t="n">
        <x:v>19765</x:v>
      </x:c>
    </x:row>
    <x:row r="1625">
      <x:c r="A1625" t="str">
        <x:v>Andhra Pradesh</x:v>
      </x:c>
      <x:c r="B1625" t="str">
        <x:v>All India except Central University</x:v>
      </x:c>
      <x:c r="C1625" t="str">
        <x:v>200662</x:v>
      </x:c>
      <x:c r="D1625" t="str">
        <x:v>Government Medical College, Rajamahendravaram, Government Medical College,D.No.55-4-1,Central Jail Road ,Near CTRI, Rajamahendravaram.</x:v>
      </x:c>
      <x:c r="E1625" t="str">
        <x:v>All India</x:v>
      </x:c>
      <x:c r="F1625" t="str">
        <x:v>Open PwD</x:v>
      </x:c>
      <x:c r="G1625" t="n">
        <x:v>1</x:v>
      </x:c>
      <x:c r="H1625" t="n">
        <x:v>1</x:v>
      </x:c>
      <x:c r="I1625" t="n">
        <x:f>G1625-H1625</x:f>
        <x:v>0</x:v>
      </x:c>
      <x:c r="J1625" s="20" t="n">
        <x:f>IFERROR(H1625/G1625,0)</x:f>
        <x:v>1</x:v>
      </x:c>
      <x:c r="K1625" t="n">
        <x:v>398598</x:v>
      </x:c>
      <x:c r="L1625" t="n">
        <x:v>398598</x:v>
      </x:c>
      <x:c r="M1625" t="n">
        <x:v>398598</x:v>
      </x:c>
      <x:c r="N1625" t="n">
        <x:v>398598</x:v>
      </x:c>
      <x:c r="O1625" t="n">
        <x:v>398598</x:v>
      </x:c>
    </x:row>
    <x:row r="1626">
      <x:c r="A1626" t="str">
        <x:v>Andhra Pradesh</x:v>
      </x:c>
      <x:c r="B1626" t="str">
        <x:v>All India except Central University</x:v>
      </x:c>
      <x:c r="C1626" t="str">
        <x:v>200662</x:v>
      </x:c>
      <x:c r="D1626" t="str">
        <x:v>Government Medical College, Rajamahendravaram, Government Medical College,D.No.55-4-1,Central Jail Road ,Near CTRI, Rajamahendravaram.</x:v>
      </x:c>
      <x:c r="E1626" t="str">
        <x:v>All India</x:v>
      </x:c>
      <x:c r="F1626" t="str">
        <x:v>SC</x:v>
      </x:c>
      <x:c r="G1626" t="n">
        <x:v>3</x:v>
      </x:c>
      <x:c r="H1626" t="n">
        <x:v>3</x:v>
      </x:c>
      <x:c r="I1626" t="n">
        <x:f>G1626-H1626</x:f>
        <x:v>0</x:v>
      </x:c>
      <x:c r="J1626" s="20" t="n">
        <x:f>IFERROR(H1626/G1626,0)</x:f>
        <x:v>1</x:v>
      </x:c>
      <x:c r="K1626" t="n">
        <x:v>42735</x:v>
      </x:c>
      <x:c r="L1626" t="n">
        <x:v>49999</x:v>
      </x:c>
      <x:c r="M1626" t="n">
        <x:v>57263</x:v>
      </x:c>
      <x:c r="N1626" t="n">
        <x:v>64442</x:v>
      </x:c>
      <x:c r="O1626" t="n">
        <x:v>71621</x:v>
      </x:c>
    </x:row>
    <x:row r="1627">
      <x:c r="A1627" t="str">
        <x:v>Andhra Pradesh</x:v>
      </x:c>
      <x:c r="B1627" t="str">
        <x:v>All India except Central University</x:v>
      </x:c>
      <x:c r="C1627" t="str">
        <x:v>200662</x:v>
      </x:c>
      <x:c r="D1627" t="str">
        <x:v>Government Medical College, Rajamahendravaram, Government Medical College,D.No.55-4-1,Central Jail Road ,Near CTRI, Rajamahendravaram.</x:v>
      </x:c>
      <x:c r="E1627" t="str">
        <x:v>All India</x:v>
      </x:c>
      <x:c r="F1627" t="str">
        <x:v>ST</x:v>
      </x:c>
      <x:c r="G1627" t="n">
        <x:v>1</x:v>
      </x:c>
      <x:c r="H1627" t="n">
        <x:v>1</x:v>
      </x:c>
      <x:c r="I1627" t="n">
        <x:f>G1627-H1627</x:f>
        <x:v>0</x:v>
      </x:c>
      <x:c r="J1627" s="20" t="n">
        <x:f>IFERROR(H1627/G1627,0)</x:f>
        <x:v>1</x:v>
      </x:c>
      <x:c r="K1627" t="n">
        <x:v>93337</x:v>
      </x:c>
      <x:c r="L1627" t="n">
        <x:v>93337</x:v>
      </x:c>
      <x:c r="M1627" t="n">
        <x:v>93337</x:v>
      </x:c>
      <x:c r="N1627" t="n">
        <x:v>93337</x:v>
      </x:c>
      <x:c r="O1627" t="n">
        <x:v>93337</x:v>
      </x:c>
    </x:row>
    <x:row r="1628">
      <x:c r="A1628" t="str">
        <x:v>Telangana</x:v>
      </x:c>
      <x:c r="B1628" t="str">
        <x:v>All India except Central University</x:v>
      </x:c>
      <x:c r="C1628" t="str">
        <x:v>200656</x:v>
      </x:c>
      <x:c r="D1628" t="str">
        <x:v>Government Medical College, Rajanna Sircilla, GOVERNMENT MEDICAL COLLEGE NEAR KASTURBA GIRLS SCHOOL PEDDUR SIRCILLA DISTRICT RAJANNA SIRCILLA</x:v>
      </x:c>
      <x:c r="E1628" t="str">
        <x:v>All India</x:v>
      </x:c>
      <x:c r="F1628" t="str">
        <x:v>EWS</x:v>
      </x:c>
      <x:c r="G1628" t="n">
        <x:v>1</x:v>
      </x:c>
      <x:c r="H1628" t="n">
        <x:v>1</x:v>
      </x:c>
      <x:c r="I1628" t="n">
        <x:f>G1628-H1628</x:f>
        <x:v>0</x:v>
      </x:c>
      <x:c r="J1628" s="20" t="n">
        <x:f>IFERROR(H1628/G1628,0)</x:f>
        <x:v>1</x:v>
      </x:c>
      <x:c r="K1628" t="n">
        <x:v>25422</x:v>
      </x:c>
      <x:c r="L1628" t="n">
        <x:v>25422</x:v>
      </x:c>
      <x:c r="M1628" t="n">
        <x:v>25422</x:v>
      </x:c>
      <x:c r="N1628" t="n">
        <x:v>25422</x:v>
      </x:c>
      <x:c r="O1628" t="n">
        <x:v>25422</x:v>
      </x:c>
    </x:row>
    <x:row r="1629">
      <x:c r="A1629" t="str">
        <x:v>Telangana</x:v>
      </x:c>
      <x:c r="B1629" t="str">
        <x:v>All India except Central University</x:v>
      </x:c>
      <x:c r="C1629" t="str">
        <x:v>200656</x:v>
      </x:c>
      <x:c r="D1629" t="str">
        <x:v>Government Medical College, Rajanna Sircilla, GOVERNMENT MEDICAL COLLEGE NEAR KASTURBA GIRLS SCHOOL PEDDUR SIRCILLA DISTRICT RAJANNA SIRCILLA</x:v>
      </x:c>
      <x:c r="E1629" t="str">
        <x:v>All India</x:v>
      </x:c>
      <x:c r="F1629" t="str">
        <x:v>OBC</x:v>
      </x:c>
      <x:c r="G1629" t="n">
        <x:v>5</x:v>
      </x:c>
      <x:c r="H1629" t="n">
        <x:v>5</x:v>
      </x:c>
      <x:c r="I1629" t="n">
        <x:f>G1629-H1629</x:f>
        <x:v>0</x:v>
      </x:c>
      <x:c r="J1629" s="20" t="n">
        <x:f>IFERROR(H1629/G1629,0)</x:f>
        <x:v>1</x:v>
      </x:c>
      <x:c r="K1629" t="n">
        <x:v>21689</x:v>
      </x:c>
      <x:c r="L1629" t="n">
        <x:v>21714</x:v>
      </x:c>
      <x:c r="M1629" t="n">
        <x:v>21744</x:v>
      </x:c>
      <x:c r="N1629" t="n">
        <x:v>21774</x:v>
      </x:c>
      <x:c r="O1629" t="n">
        <x:v>21951</x:v>
      </x:c>
    </x:row>
    <x:row r="1630">
      <x:c r="A1630" t="str">
        <x:v>Telangana</x:v>
      </x:c>
      <x:c r="B1630" t="str">
        <x:v>All India except Central University</x:v>
      </x:c>
      <x:c r="C1630" t="str">
        <x:v>200656</x:v>
      </x:c>
      <x:c r="D1630" t="str">
        <x:v>Government Medical College, Rajanna Sircilla, GOVERNMENT MEDICAL COLLEGE NEAR KASTURBA GIRLS SCHOOL PEDDUR SIRCILLA DISTRICT RAJANNA SIRCILLA</x:v>
      </x:c>
      <x:c r="E1630" t="str">
        <x:v>All India</x:v>
      </x:c>
      <x:c r="F1630" t="str">
        <x:v>Open</x:v>
      </x:c>
      <x:c r="G1630" t="n">
        <x:v>6</x:v>
      </x:c>
      <x:c r="H1630" t="n">
        <x:v>6</x:v>
      </x:c>
      <x:c r="I1630" t="n">
        <x:f>G1630-H1630</x:f>
        <x:v>0</x:v>
      </x:c>
      <x:c r="J1630" s="20" t="n">
        <x:f>IFERROR(H1630/G1630,0)</x:f>
        <x:v>1</x:v>
      </x:c>
      <x:c r="K1630" t="n">
        <x:v>19530</x:v>
      </x:c>
      <x:c r="L1630" t="n">
        <x:v>20065</x:v>
      </x:c>
      <x:c r="M1630" t="n">
        <x:v>20950.5</x:v>
      </x:c>
      <x:c r="N1630" t="n">
        <x:v>21016.25</x:v>
      </x:c>
      <x:c r="O1630" t="n">
        <x:v>21038</x:v>
      </x:c>
    </x:row>
    <x:row r="1631">
      <x:c r="A1631" t="str">
        <x:v>Telangana</x:v>
      </x:c>
      <x:c r="B1631" t="str">
        <x:v>All India except Central University</x:v>
      </x:c>
      <x:c r="C1631" t="str">
        <x:v>200656</x:v>
      </x:c>
      <x:c r="D1631" t="str">
        <x:v>Government Medical College, Rajanna Sircilla, GOVERNMENT MEDICAL COLLEGE NEAR KASTURBA GIRLS SCHOOL PEDDUR SIRCILLA DISTRICT RAJANNA SIRCILLA</x:v>
      </x:c>
      <x:c r="E1631" t="str">
        <x:v>All India</x:v>
      </x:c>
      <x:c r="F1631" t="str">
        <x:v>SC</x:v>
      </x:c>
      <x:c r="G1631" t="n">
        <x:v>2</x:v>
      </x:c>
      <x:c r="H1631" t="n">
        <x:v>2</x:v>
      </x:c>
      <x:c r="I1631" t="n">
        <x:f>G1631-H1631</x:f>
        <x:v>0</x:v>
      </x:c>
      <x:c r="J1631" s="20" t="n">
        <x:f>IFERROR(H1631/G1631,0)</x:f>
        <x:v>1</x:v>
      </x:c>
      <x:c r="K1631" t="n">
        <x:v>103218</x:v>
      </x:c>
      <x:c r="L1631" t="n">
        <x:v>103283.5</x:v>
      </x:c>
      <x:c r="M1631" t="n">
        <x:v>103349</x:v>
      </x:c>
      <x:c r="N1631" t="n">
        <x:v>103414.5</x:v>
      </x:c>
      <x:c r="O1631" t="n">
        <x:v>103480</x:v>
      </x:c>
    </x:row>
    <x:row r="1632">
      <x:c r="A1632" t="str">
        <x:v>Telangana</x:v>
      </x:c>
      <x:c r="B1632" t="str">
        <x:v>All India except Central University</x:v>
      </x:c>
      <x:c r="C1632" t="str">
        <x:v>200656</x:v>
      </x:c>
      <x:c r="D1632" t="str">
        <x:v>Government Medical College, Rajanna Sircilla, GOVERNMENT MEDICAL COLLEGE NEAR KASTURBA GIRLS SCHOOL PEDDUR SIRCILLA DISTRICT RAJANNA SIRCILLA</x:v>
      </x:c>
      <x:c r="E1632" t="str">
        <x:v>All India</x:v>
      </x:c>
      <x:c r="F1632" t="str">
        <x:v>ST</x:v>
      </x:c>
      <x:c r="G1632" t="n">
        <x:v>1</x:v>
      </x:c>
      <x:c r="H1632" t="n">
        <x:v>1</x:v>
      </x:c>
      <x:c r="I1632" t="n">
        <x:f>G1632-H1632</x:f>
        <x:v>0</x:v>
      </x:c>
      <x:c r="J1632" s="20" t="n">
        <x:f>IFERROR(H1632/G1632,0)</x:f>
        <x:v>1</x:v>
      </x:c>
      <x:c r="K1632" t="n">
        <x:v>124325</x:v>
      </x:c>
      <x:c r="L1632" t="n">
        <x:v>124325</x:v>
      </x:c>
      <x:c r="M1632" t="n">
        <x:v>124325</x:v>
      </x:c>
      <x:c r="N1632" t="n">
        <x:v>124325</x:v>
      </x:c>
      <x:c r="O1632" t="n">
        <x:v>124325</x:v>
      </x:c>
    </x:row>
    <x:row r="1633">
      <x:c r="A1633" t="str">
        <x:v>Jammu And Kashmir</x:v>
      </x:c>
      <x:c r="B1633" t="str">
        <x:v>All India except Central University</x:v>
      </x:c>
      <x:c r="C1633" t="str">
        <x:v>200640</x:v>
      </x:c>
      <x:c r="D1633" t="str">
        <x:v>Government Medical College, Rajouri, J&amp;K, Government Medical College, Kheora, Mehra, Rajouri, Jammu and Kashmir.</x:v>
      </x:c>
      <x:c r="E1633" t="str">
        <x:v>All India</x:v>
      </x:c>
      <x:c r="F1633" t="str">
        <x:v>EWS</x:v>
      </x:c>
      <x:c r="G1633" t="n">
        <x:v>2</x:v>
      </x:c>
      <x:c r="H1633" t="n">
        <x:v>2</x:v>
      </x:c>
      <x:c r="I1633" t="n">
        <x:f>G1633-H1633</x:f>
        <x:v>0</x:v>
      </x:c>
      <x:c r="J1633" s="20" t="n">
        <x:f>IFERROR(H1633/G1633,0)</x:f>
        <x:v>1</x:v>
      </x:c>
      <x:c r="K1633" t="n">
        <x:v>15728</x:v>
      </x:c>
      <x:c r="L1633" t="n">
        <x:v>16885.5</x:v>
      </x:c>
      <x:c r="M1633" t="n">
        <x:v>18043</x:v>
      </x:c>
      <x:c r="N1633" t="n">
        <x:v>19200.5</x:v>
      </x:c>
      <x:c r="O1633" t="n">
        <x:v>20358</x:v>
      </x:c>
    </x:row>
    <x:row r="1634">
      <x:c r="A1634" t="str">
        <x:v>Jammu And Kashmir</x:v>
      </x:c>
      <x:c r="B1634" t="str">
        <x:v>All India except Central University</x:v>
      </x:c>
      <x:c r="C1634" t="str">
        <x:v>200640</x:v>
      </x:c>
      <x:c r="D1634" t="str">
        <x:v>Government Medical College, Rajouri, J&amp;K, Government Medical College, Kheora, Mehra, Rajouri, Jammu and Kashmir.</x:v>
      </x:c>
      <x:c r="E1634" t="str">
        <x:v>All India</x:v>
      </x:c>
      <x:c r="F1634" t="str">
        <x:v>OBC</x:v>
      </x:c>
      <x:c r="G1634" t="n">
        <x:v>7</x:v>
      </x:c>
      <x:c r="H1634" t="n">
        <x:v>7</x:v>
      </x:c>
      <x:c r="I1634" t="n">
        <x:f>G1634-H1634</x:f>
        <x:v>0</x:v>
      </x:c>
      <x:c r="J1634" s="20" t="n">
        <x:f>IFERROR(H1634/G1634,0)</x:f>
        <x:v>1</x:v>
      </x:c>
      <x:c r="K1634" t="n">
        <x:v>15707</x:v>
      </x:c>
      <x:c r="L1634" t="n">
        <x:v>15864</x:v>
      </x:c>
      <x:c r="M1634" t="n">
        <x:v>16029</x:v>
      </x:c>
      <x:c r="N1634" t="n">
        <x:v>16257.5</x:v>
      </x:c>
      <x:c r="O1634" t="n">
        <x:v>16317</x:v>
      </x:c>
    </x:row>
    <x:row r="1635">
      <x:c r="A1635" t="str">
        <x:v>Jammu And Kashmir</x:v>
      </x:c>
      <x:c r="B1635" t="str">
        <x:v>All India except Central University</x:v>
      </x:c>
      <x:c r="C1635" t="str">
        <x:v>200640</x:v>
      </x:c>
      <x:c r="D1635" t="str">
        <x:v>Government Medical College, Rajouri, J&amp;K, Government Medical College, Kheora, Mehra, Rajouri, Jammu and Kashmir.</x:v>
      </x:c>
      <x:c r="E1635" t="str">
        <x:v>All India</x:v>
      </x:c>
      <x:c r="F1635" t="str">
        <x:v>Open</x:v>
      </x:c>
      <x:c r="G1635" t="n">
        <x:v>9</x:v>
      </x:c>
      <x:c r="H1635" t="n">
        <x:v>9</x:v>
      </x:c>
      <x:c r="I1635" t="n">
        <x:f>G1635-H1635</x:f>
        <x:v>0</x:v>
      </x:c>
      <x:c r="J1635" s="20" t="n">
        <x:f>IFERROR(H1635/G1635,0)</x:f>
        <x:v>1</x:v>
      </x:c>
      <x:c r="K1635" t="n">
        <x:v>11457</x:v>
      </x:c>
      <x:c r="L1635" t="n">
        <x:v>14189</x:v>
      </x:c>
      <x:c r="M1635" t="n">
        <x:v>14523</x:v>
      </x:c>
      <x:c r="N1635" t="n">
        <x:v>15153</x:v>
      </x:c>
      <x:c r="O1635" t="n">
        <x:v>15628</x:v>
      </x:c>
    </x:row>
    <x:row r="1636">
      <x:c r="A1636" t="str">
        <x:v>Jammu And Kashmir</x:v>
      </x:c>
      <x:c r="B1636" t="str">
        <x:v>All India except Central University</x:v>
      </x:c>
      <x:c r="C1636" t="str">
        <x:v>200640</x:v>
      </x:c>
      <x:c r="D1636" t="str">
        <x:v>Government Medical College, Rajouri, J&amp;K, Government Medical College, Kheora, Mehra, Rajouri, Jammu and Kashmir.</x:v>
      </x:c>
      <x:c r="E1636" t="str">
        <x:v>All India</x:v>
      </x:c>
      <x:c r="F1636" t="str">
        <x:v>SC</x:v>
      </x:c>
      <x:c r="G1636" t="n">
        <x:v>3</x:v>
      </x:c>
      <x:c r="H1636" t="n">
        <x:v>3</x:v>
      </x:c>
      <x:c r="I1636" t="n">
        <x:f>G1636-H1636</x:f>
        <x:v>0</x:v>
      </x:c>
      <x:c r="J1636" s="20" t="n">
        <x:f>IFERROR(H1636/G1636,0)</x:f>
        <x:v>1</x:v>
      </x:c>
      <x:c r="K1636" t="n">
        <x:v>65514</x:v>
      </x:c>
      <x:c r="L1636" t="n">
        <x:v>68107</x:v>
      </x:c>
      <x:c r="M1636" t="n">
        <x:v>70700</x:v>
      </x:c>
      <x:c r="N1636" t="n">
        <x:v>73635</x:v>
      </x:c>
      <x:c r="O1636" t="n">
        <x:v>76570</x:v>
      </x:c>
    </x:row>
    <x:row r="1637">
      <x:c r="A1637" t="str">
        <x:v>Jammu And Kashmir</x:v>
      </x:c>
      <x:c r="B1637" t="str">
        <x:v>All India except Central University</x:v>
      </x:c>
      <x:c r="C1637" t="str">
        <x:v>200640</x:v>
      </x:c>
      <x:c r="D1637" t="str">
        <x:v>Government Medical College, Rajouri, J&amp;K, Government Medical College, Kheora, Mehra, Rajouri, Jammu and Kashmir.</x:v>
      </x:c>
      <x:c r="E1637" t="str">
        <x:v>All India</x:v>
      </x:c>
      <x:c r="F1637" t="str">
        <x:v>ST</x:v>
      </x:c>
      <x:c r="G1637" t="n">
        <x:v>1</x:v>
      </x:c>
      <x:c r="H1637" t="n">
        <x:v>1</x:v>
      </x:c>
      <x:c r="I1637" t="n">
        <x:f>G1637-H1637</x:f>
        <x:v>0</x:v>
      </x:c>
      <x:c r="J1637" s="20" t="n">
        <x:f>IFERROR(H1637/G1637,0)</x:f>
        <x:v>1</x:v>
      </x:c>
      <x:c r="K1637" t="n">
        <x:v>79596</x:v>
      </x:c>
      <x:c r="L1637" t="n">
        <x:v>79596</x:v>
      </x:c>
      <x:c r="M1637" t="n">
        <x:v>79596</x:v>
      </x:c>
      <x:c r="N1637" t="n">
        <x:v>79596</x:v>
      </x:c>
      <x:c r="O1637" t="n">
        <x:v>79596</x:v>
      </x:c>
    </x:row>
    <x:row r="1638">
      <x:c r="A1638" t="str">
        <x:v>Telangana</x:v>
      </x:c>
      <x:c r="B1638" t="str">
        <x:v>All India except Central University</x:v>
      </x:c>
      <x:c r="C1638" t="str">
        <x:v>200616</x:v>
      </x:c>
      <x:c r="D1638" t="str">
        <x:v>Government Medical College, Ramagundam, SURVEY NUMBER 92 95 96 MALKAPUR VILLAGE RAMAGUNDAM</x:v>
      </x:c>
      <x:c r="E1638" t="str">
        <x:v>All India</x:v>
      </x:c>
      <x:c r="F1638" t="str">
        <x:v>EWS</x:v>
      </x:c>
      <x:c r="G1638" t="n">
        <x:v>3</x:v>
      </x:c>
      <x:c r="H1638" t="n">
        <x:v>3</x:v>
      </x:c>
      <x:c r="I1638" t="n">
        <x:f>G1638-H1638</x:f>
        <x:v>0</x:v>
      </x:c>
      <x:c r="J1638" s="20" t="n">
        <x:f>IFERROR(H1638/G1638,0)</x:f>
        <x:v>1</x:v>
      </x:c>
      <x:c r="K1638" t="n">
        <x:v>25778</x:v>
      </x:c>
      <x:c r="L1638" t="n">
        <x:v>25897</x:v>
      </x:c>
      <x:c r="M1638" t="n">
        <x:v>26016</x:v>
      </x:c>
      <x:c r="N1638" t="n">
        <x:v>26389.5</x:v>
      </x:c>
      <x:c r="O1638" t="n">
        <x:v>26763</x:v>
      </x:c>
    </x:row>
    <x:row r="1639">
      <x:c r="A1639" t="str">
        <x:v>Telangana</x:v>
      </x:c>
      <x:c r="B1639" t="str">
        <x:v>All India except Central University</x:v>
      </x:c>
      <x:c r="C1639" t="str">
        <x:v>200616</x:v>
      </x:c>
      <x:c r="D1639" t="str">
        <x:v>Government Medical College, Ramagundam, SURVEY NUMBER 92 95 96 MALKAPUR VILLAGE RAMAGUNDAM</x:v>
      </x:c>
      <x:c r="E1639" t="str">
        <x:v>All India</x:v>
      </x:c>
      <x:c r="F1639" t="str">
        <x:v>OBC</x:v>
      </x:c>
      <x:c r="G1639" t="n">
        <x:v>6</x:v>
      </x:c>
      <x:c r="H1639" t="n">
        <x:v>6</x:v>
      </x:c>
      <x:c r="I1639" t="n">
        <x:f>G1639-H1639</x:f>
        <x:v>0</x:v>
      </x:c>
      <x:c r="J1639" s="20" t="n">
        <x:f>IFERROR(H1639/G1639,0)</x:f>
        <x:v>1</x:v>
      </x:c>
      <x:c r="K1639" t="n">
        <x:v>21759</x:v>
      </x:c>
      <x:c r="L1639" t="n">
        <x:v>21870.5</x:v>
      </x:c>
      <x:c r="M1639" t="n">
        <x:v>21936.5</x:v>
      </x:c>
      <x:c r="N1639" t="n">
        <x:v>22184</x:v>
      </x:c>
      <x:c r="O1639" t="n">
        <x:v>22263</x:v>
      </x:c>
    </x:row>
    <x:row r="1640">
      <x:c r="A1640" t="str">
        <x:v>Telangana</x:v>
      </x:c>
      <x:c r="B1640" t="str">
        <x:v>All India except Central University</x:v>
      </x:c>
      <x:c r="C1640" t="str">
        <x:v>200616</x:v>
      </x:c>
      <x:c r="D1640" t="str">
        <x:v>Government Medical College, Ramagundam, SURVEY NUMBER 92 95 96 MALKAPUR VILLAGE RAMAGUNDAM</x:v>
      </x:c>
      <x:c r="E1640" t="str">
        <x:v>All India</x:v>
      </x:c>
      <x:c r="F1640" t="str">
        <x:v>Open</x:v>
      </x:c>
      <x:c r="G1640" t="n">
        <x:v>8</x:v>
      </x:c>
      <x:c r="H1640" t="n">
        <x:v>8</x:v>
      </x:c>
      <x:c r="I1640" t="n">
        <x:f>G1640-H1640</x:f>
        <x:v>0</x:v>
      </x:c>
      <x:c r="J1640" s="20" t="n">
        <x:f>IFERROR(H1640/G1640,0)</x:f>
        <x:v>1</x:v>
      </x:c>
      <x:c r="K1640" t="n">
        <x:v>17046</x:v>
      </x:c>
      <x:c r="L1640" t="n">
        <x:v>20106.5</x:v>
      </x:c>
      <x:c r="M1640" t="n">
        <x:v>20525</x:v>
      </x:c>
      <x:c r="N1640" t="n">
        <x:v>20974</x:v>
      </x:c>
      <x:c r="O1640" t="n">
        <x:v>21436</x:v>
      </x:c>
    </x:row>
    <x:row r="1641">
      <x:c r="A1641" t="str">
        <x:v>Telangana</x:v>
      </x:c>
      <x:c r="B1641" t="str">
        <x:v>All India except Central University</x:v>
      </x:c>
      <x:c r="C1641" t="str">
        <x:v>200616</x:v>
      </x:c>
      <x:c r="D1641" t="str">
        <x:v>Government Medical College, Ramagundam, SURVEY NUMBER 92 95 96 MALKAPUR VILLAGE RAMAGUNDAM</x:v>
      </x:c>
      <x:c r="E1641" t="str">
        <x:v>All India</x:v>
      </x:c>
      <x:c r="F1641" t="str">
        <x:v>Open PwD</x:v>
      </x:c>
      <x:c r="G1641" t="n">
        <x:v>1</x:v>
      </x:c>
      <x:c r="H1641" t="n">
        <x:v>1</x:v>
      </x:c>
      <x:c r="I1641" t="n">
        <x:f>G1641-H1641</x:f>
        <x:v>0</x:v>
      </x:c>
      <x:c r="J1641" s="20" t="n">
        <x:f>IFERROR(H1641/G1641,0)</x:f>
        <x:v>1</x:v>
      </x:c>
      <x:c r="K1641" t="n">
        <x:v>464083</x:v>
      </x:c>
      <x:c r="L1641" t="n">
        <x:v>464083</x:v>
      </x:c>
      <x:c r="M1641" t="n">
        <x:v>464083</x:v>
      </x:c>
      <x:c r="N1641" t="n">
        <x:v>464083</x:v>
      </x:c>
      <x:c r="O1641" t="n">
        <x:v>464083</x:v>
      </x:c>
    </x:row>
    <x:row r="1642">
      <x:c r="A1642" t="str">
        <x:v>Telangana</x:v>
      </x:c>
      <x:c r="B1642" t="str">
        <x:v>All India except Central University</x:v>
      </x:c>
      <x:c r="C1642" t="str">
        <x:v>200616</x:v>
      </x:c>
      <x:c r="D1642" t="str">
        <x:v>Government Medical College, Ramagundam, SURVEY NUMBER 92 95 96 MALKAPUR VILLAGE RAMAGUNDAM</x:v>
      </x:c>
      <x:c r="E1642" t="str">
        <x:v>All India</x:v>
      </x:c>
      <x:c r="F1642" t="str">
        <x:v>SC</x:v>
      </x:c>
      <x:c r="G1642" t="n">
        <x:v>3</x:v>
      </x:c>
      <x:c r="H1642" t="n">
        <x:v>3</x:v>
      </x:c>
      <x:c r="I1642" t="n">
        <x:f>G1642-H1642</x:f>
        <x:v>0</x:v>
      </x:c>
      <x:c r="J1642" s="20" t="n">
        <x:f>IFERROR(H1642/G1642,0)</x:f>
        <x:v>1</x:v>
      </x:c>
      <x:c r="K1642" t="n">
        <x:v>101198</x:v>
      </x:c>
      <x:c r="L1642" t="n">
        <x:v>101779</x:v>
      </x:c>
      <x:c r="M1642" t="n">
        <x:v>102360</x:v>
      </x:c>
      <x:c r="N1642" t="n">
        <x:v>102712</x:v>
      </x:c>
      <x:c r="O1642" t="n">
        <x:v>103064</x:v>
      </x:c>
    </x:row>
    <x:row r="1643">
      <x:c r="A1643" t="str">
        <x:v>Telangana</x:v>
      </x:c>
      <x:c r="B1643" t="str">
        <x:v>All India except Central University</x:v>
      </x:c>
      <x:c r="C1643" t="str">
        <x:v>200616</x:v>
      </x:c>
      <x:c r="D1643" t="str">
        <x:v>Government Medical College, Ramagundam, SURVEY NUMBER 92 95 96 MALKAPUR VILLAGE RAMAGUNDAM</x:v>
      </x:c>
      <x:c r="E1643" t="str">
        <x:v>All India</x:v>
      </x:c>
      <x:c r="F1643" t="str">
        <x:v>ST</x:v>
      </x:c>
      <x:c r="G1643" t="n">
        <x:v>1</x:v>
      </x:c>
      <x:c r="H1643" t="n">
        <x:v>1</x:v>
      </x:c>
      <x:c r="I1643" t="n">
        <x:f>G1643-H1643</x:f>
        <x:v>0</x:v>
      </x:c>
      <x:c r="J1643" s="20" t="n">
        <x:f>IFERROR(H1643/G1643,0)</x:f>
        <x:v>1</x:v>
      </x:c>
      <x:c r="K1643" t="n">
        <x:v>123735</x:v>
      </x:c>
      <x:c r="L1643" t="n">
        <x:v>123735</x:v>
      </x:c>
      <x:c r="M1643" t="n">
        <x:v>123735</x:v>
      </x:c>
      <x:c r="N1643" t="n">
        <x:v>123735</x:v>
      </x:c>
      <x:c r="O1643" t="n">
        <x:v>123735</x:v>
      </x:c>
    </x:row>
    <x:row r="1644">
      <x:c r="A1644" t="str">
        <x:v>Tamil Nadu</x:v>
      </x:c>
      <x:c r="B1644" t="str">
        <x:v>All India except Central University</x:v>
      </x:c>
      <x:c r="C1644" t="str">
        <x:v>200567</x:v>
      </x:c>
      <x:c r="D1644" t="str">
        <x:v>Government Medical College, Ramanathapuram, No 1, Pattinamkathan, Collectorate Backside, Ramanathapuram.</x:v>
      </x:c>
      <x:c r="E1644" t="str">
        <x:v>All India</x:v>
      </x:c>
      <x:c r="F1644" t="str">
        <x:v>EWS</x:v>
      </x:c>
      <x:c r="G1644" t="n">
        <x:v>1</x:v>
      </x:c>
      <x:c r="H1644" t="n">
        <x:v>1</x:v>
      </x:c>
      <x:c r="I1644" t="n">
        <x:f>G1644-H1644</x:f>
        <x:v>0</x:v>
      </x:c>
      <x:c r="J1644" s="20" t="n">
        <x:f>IFERROR(H1644/G1644,0)</x:f>
        <x:v>1</x:v>
      </x:c>
      <x:c r="K1644" t="n">
        <x:v>27118</x:v>
      </x:c>
      <x:c r="L1644" t="n">
        <x:v>27118</x:v>
      </x:c>
      <x:c r="M1644" t="n">
        <x:v>27118</x:v>
      </x:c>
      <x:c r="N1644" t="n">
        <x:v>27118</x:v>
      </x:c>
      <x:c r="O1644" t="n">
        <x:v>27118</x:v>
      </x:c>
    </x:row>
    <x:row r="1645">
      <x:c r="A1645" t="str">
        <x:v>Tamil Nadu</x:v>
      </x:c>
      <x:c r="B1645" t="str">
        <x:v>All India except Central University</x:v>
      </x:c>
      <x:c r="C1645" t="str">
        <x:v>200567</x:v>
      </x:c>
      <x:c r="D1645" t="str">
        <x:v>Government Medical College, Ramanathapuram, No 1, Pattinamkathan, Collectorate Backside, Ramanathapuram.</x:v>
      </x:c>
      <x:c r="E1645" t="str">
        <x:v>All India</x:v>
      </x:c>
      <x:c r="F1645" t="str">
        <x:v>OBC</x:v>
      </x:c>
      <x:c r="G1645" t="n">
        <x:v>4</x:v>
      </x:c>
      <x:c r="H1645" t="n">
        <x:v>4</x:v>
      </x:c>
      <x:c r="I1645" t="n">
        <x:f>G1645-H1645</x:f>
        <x:v>0</x:v>
      </x:c>
      <x:c r="J1645" s="20" t="n">
        <x:f>IFERROR(H1645/G1645,0)</x:f>
        <x:v>1</x:v>
      </x:c>
      <x:c r="K1645" t="n">
        <x:v>14313</x:v>
      </x:c>
      <x:c r="L1645" t="n">
        <x:v>14589</x:v>
      </x:c>
      <x:c r="M1645" t="n">
        <x:v>14700</x:v>
      </x:c>
      <x:c r="N1645" t="n">
        <x:v>14731.25</x:v>
      </x:c>
      <x:c r="O1645" t="n">
        <x:v>14768</x:v>
      </x:c>
    </x:row>
    <x:row r="1646">
      <x:c r="A1646" t="str">
        <x:v>Tamil Nadu</x:v>
      </x:c>
      <x:c r="B1646" t="str">
        <x:v>All India except Central University</x:v>
      </x:c>
      <x:c r="C1646" t="str">
        <x:v>200567</x:v>
      </x:c>
      <x:c r="D1646" t="str">
        <x:v>Government Medical College, Ramanathapuram, No 1, Pattinamkathan, Collectorate Backside, Ramanathapuram.</x:v>
      </x:c>
      <x:c r="E1646" t="str">
        <x:v>All India</x:v>
      </x:c>
      <x:c r="F1646" t="str">
        <x:v>Open</x:v>
      </x:c>
      <x:c r="G1646" t="n">
        <x:v>7</x:v>
      </x:c>
      <x:c r="H1646" t="n">
        <x:v>7</x:v>
      </x:c>
      <x:c r="I1646" t="n">
        <x:f>G1646-H1646</x:f>
        <x:v>0</x:v>
      </x:c>
      <x:c r="J1646" s="20" t="n">
        <x:f>IFERROR(H1646/G1646,0)</x:f>
        <x:v>1</x:v>
      </x:c>
      <x:c r="K1646" t="n">
        <x:v>12228</x:v>
      </x:c>
      <x:c r="L1646" t="n">
        <x:v>13589</x:v>
      </x:c>
      <x:c r="M1646" t="n">
        <x:v>13911</x:v>
      </x:c>
      <x:c r="N1646" t="n">
        <x:v>14092</x:v>
      </x:c>
      <x:c r="O1646" t="n">
        <x:v>14308</x:v>
      </x:c>
    </x:row>
    <x:row r="1647">
      <x:c r="A1647" t="str">
        <x:v>Tamil Nadu</x:v>
      </x:c>
      <x:c r="B1647" t="str">
        <x:v>All India except Central University</x:v>
      </x:c>
      <x:c r="C1647" t="str">
        <x:v>200567</x:v>
      </x:c>
      <x:c r="D1647" t="str">
        <x:v>Government Medical College, Ramanathapuram, No 1, Pattinamkathan, Collectorate Backside, Ramanathapuram.</x:v>
      </x:c>
      <x:c r="E1647" t="str">
        <x:v>All India</x:v>
      </x:c>
      <x:c r="F1647" t="str">
        <x:v>SC</x:v>
      </x:c>
      <x:c r="G1647" t="n">
        <x:v>2</x:v>
      </x:c>
      <x:c r="H1647" t="n">
        <x:v>2</x:v>
      </x:c>
      <x:c r="I1647" t="n">
        <x:f>G1647-H1647</x:f>
        <x:v>0</x:v>
      </x:c>
      <x:c r="J1647" s="20" t="n">
        <x:f>IFERROR(H1647/G1647,0)</x:f>
        <x:v>1</x:v>
      </x:c>
      <x:c r="K1647" t="n">
        <x:v>61496</x:v>
      </x:c>
      <x:c r="L1647" t="n">
        <x:v>62079.25</x:v>
      </x:c>
      <x:c r="M1647" t="n">
        <x:v>62662.5</x:v>
      </x:c>
      <x:c r="N1647" t="n">
        <x:v>63245.75</x:v>
      </x:c>
      <x:c r="O1647" t="n">
        <x:v>63829</x:v>
      </x:c>
    </x:row>
    <x:row r="1648">
      <x:c r="A1648" t="str">
        <x:v>Tamil Nadu</x:v>
      </x:c>
      <x:c r="B1648" t="str">
        <x:v>All India except Central University</x:v>
      </x:c>
      <x:c r="C1648" t="str">
        <x:v>200567</x:v>
      </x:c>
      <x:c r="D1648" t="str">
        <x:v>Government Medical College, Ramanathapuram, No 1, Pattinamkathan, Collectorate Backside, Ramanathapuram.</x:v>
      </x:c>
      <x:c r="E1648" t="str">
        <x:v>All India</x:v>
      </x:c>
      <x:c r="F1648" t="str">
        <x:v>ST</x:v>
      </x:c>
      <x:c r="G1648" t="n">
        <x:v>1</x:v>
      </x:c>
      <x:c r="H1648" t="n">
        <x:v>1</x:v>
      </x:c>
      <x:c r="I1648" t="n">
        <x:f>G1648-H1648</x:f>
        <x:v>0</x:v>
      </x:c>
      <x:c r="J1648" s="20" t="n">
        <x:f>IFERROR(H1648/G1648,0)</x:f>
        <x:v>1</x:v>
      </x:c>
      <x:c r="K1648" t="n">
        <x:v>118110</x:v>
      </x:c>
      <x:c r="L1648" t="n">
        <x:v>118110</x:v>
      </x:c>
      <x:c r="M1648" t="n">
        <x:v>118110</x:v>
      </x:c>
      <x:c r="N1648" t="n">
        <x:v>118110</x:v>
      </x:c>
      <x:c r="O1648" t="n">
        <x:v>118110</x:v>
      </x:c>
    </x:row>
    <x:row r="1649">
      <x:c r="A1649" t="str">
        <x:v>Uttar Pradesh</x:v>
      </x:c>
      <x:c r="B1649" t="str">
        <x:v>All India except Central University</x:v>
      </x:c>
      <x:c r="C1649" t="str">
        <x:v>200490</x:v>
      </x:c>
      <x:c r="D1649" t="str">
        <x:v>Government Medical College, Rampur, Basti, RAMPUR TAHSIL SADAR BASTI BASTI</x:v>
      </x:c>
      <x:c r="E1649" t="str">
        <x:v>All India</x:v>
      </x:c>
      <x:c r="F1649" t="str">
        <x:v>EWS</x:v>
      </x:c>
      <x:c r="G1649" t="n">
        <x:v>2</x:v>
      </x:c>
      <x:c r="H1649" t="n">
        <x:v>2</x:v>
      </x:c>
      <x:c r="I1649" t="n">
        <x:f>G1649-H1649</x:f>
        <x:v>0</x:v>
      </x:c>
      <x:c r="J1649" s="20" t="n">
        <x:f>IFERROR(H1649/G1649,0)</x:f>
        <x:v>1</x:v>
      </x:c>
      <x:c r="K1649" t="n">
        <x:v>15802</x:v>
      </x:c>
      <x:c r="L1649" t="n">
        <x:v>15834.5</x:v>
      </x:c>
      <x:c r="M1649" t="n">
        <x:v>15867</x:v>
      </x:c>
      <x:c r="N1649" t="n">
        <x:v>15899.5</x:v>
      </x:c>
      <x:c r="O1649" t="n">
        <x:v>15932</x:v>
      </x:c>
    </x:row>
    <x:row r="1650">
      <x:c r="A1650" t="str">
        <x:v>Uttar Pradesh</x:v>
      </x:c>
      <x:c r="B1650" t="str">
        <x:v>All India except Central University</x:v>
      </x:c>
      <x:c r="C1650" t="str">
        <x:v>200490</x:v>
      </x:c>
      <x:c r="D1650" t="str">
        <x:v>Government Medical College, Rampur, Basti, RAMPUR TAHSIL SADAR BASTI BASTI</x:v>
      </x:c>
      <x:c r="E1650" t="str">
        <x:v>All India</x:v>
      </x:c>
      <x:c r="F1650" t="str">
        <x:v>OBC</x:v>
      </x:c>
      <x:c r="G1650" t="n">
        <x:v>4</x:v>
      </x:c>
      <x:c r="H1650" t="n">
        <x:v>4</x:v>
      </x:c>
      <x:c r="I1650" t="n">
        <x:f>G1650-H1650</x:f>
        <x:v>0</x:v>
      </x:c>
      <x:c r="J1650" s="20" t="n">
        <x:f>IFERROR(H1650/G1650,0)</x:f>
        <x:v>1</x:v>
      </x:c>
      <x:c r="K1650" t="n">
        <x:v>13063</x:v>
      </x:c>
      <x:c r="L1650" t="n">
        <x:v>13298.5</x:v>
      </x:c>
      <x:c r="M1650" t="n">
        <x:v>13409.5</x:v>
      </x:c>
      <x:c r="N1650" t="n">
        <x:v>13475.75</x:v>
      </x:c>
      <x:c r="O1650" t="n">
        <x:v>13577</x:v>
      </x:c>
    </x:row>
    <x:row r="1651">
      <x:c r="A1651" t="str">
        <x:v>Uttar Pradesh</x:v>
      </x:c>
      <x:c r="B1651" t="str">
        <x:v>All India except Central University</x:v>
      </x:c>
      <x:c r="C1651" t="str">
        <x:v>200490</x:v>
      </x:c>
      <x:c r="D1651" t="str">
        <x:v>Government Medical College, Rampur, Basti, RAMPUR TAHSIL SADAR BASTI BASTI</x:v>
      </x:c>
      <x:c r="E1651" t="str">
        <x:v>All India</x:v>
      </x:c>
      <x:c r="F1651" t="str">
        <x:v>Open</x:v>
      </x:c>
      <x:c r="G1651" t="n">
        <x:v>6</x:v>
      </x:c>
      <x:c r="H1651" t="n">
        <x:v>6</x:v>
      </x:c>
      <x:c r="I1651" t="n">
        <x:f>G1651-H1651</x:f>
        <x:v>0</x:v>
      </x:c>
      <x:c r="J1651" s="20" t="n">
        <x:f>IFERROR(H1651/G1651,0)</x:f>
        <x:v>1</x:v>
      </x:c>
      <x:c r="K1651" t="n">
        <x:v>9368</x:v>
      </x:c>
      <x:c r="L1651" t="n">
        <x:v>11006.25</x:v>
      </x:c>
      <x:c r="M1651" t="n">
        <x:v>12197.5</x:v>
      </x:c>
      <x:c r="N1651" t="n">
        <x:v>12363.5</x:v>
      </x:c>
      <x:c r="O1651" t="n">
        <x:v>12713</x:v>
      </x:c>
    </x:row>
    <x:row r="1652">
      <x:c r="A1652" t="str">
        <x:v>Uttar Pradesh</x:v>
      </x:c>
      <x:c r="B1652" t="str">
        <x:v>All India except Central University</x:v>
      </x:c>
      <x:c r="C1652" t="str">
        <x:v>200490</x:v>
      </x:c>
      <x:c r="D1652" t="str">
        <x:v>Government Medical College, Rampur, Basti, RAMPUR TAHSIL SADAR BASTI BASTI</x:v>
      </x:c>
      <x:c r="E1652" t="str">
        <x:v>All India</x:v>
      </x:c>
      <x:c r="F1652" t="str">
        <x:v>SC</x:v>
      </x:c>
      <x:c r="G1652" t="n">
        <x:v>2</x:v>
      </x:c>
      <x:c r="H1652" t="n">
        <x:v>2</x:v>
      </x:c>
      <x:c r="I1652" t="n">
        <x:f>G1652-H1652</x:f>
        <x:v>0</x:v>
      </x:c>
      <x:c r="J1652" s="20" t="n">
        <x:f>IFERROR(H1652/G1652,0)</x:f>
        <x:v>1</x:v>
      </x:c>
      <x:c r="K1652" t="n">
        <x:v>66610</x:v>
      </x:c>
      <x:c r="L1652" t="n">
        <x:v>67422.5</x:v>
      </x:c>
      <x:c r="M1652" t="n">
        <x:v>68235</x:v>
      </x:c>
      <x:c r="N1652" t="n">
        <x:v>69047.5</x:v>
      </x:c>
      <x:c r="O1652" t="n">
        <x:v>69860</x:v>
      </x:c>
    </x:row>
    <x:row r="1653">
      <x:c r="A1653" t="str">
        <x:v>Uttar Pradesh</x:v>
      </x:c>
      <x:c r="B1653" t="str">
        <x:v>All India except Central University</x:v>
      </x:c>
      <x:c r="C1653" t="str">
        <x:v>200490</x:v>
      </x:c>
      <x:c r="D1653" t="str">
        <x:v>Government Medical College, Rampur, Basti, RAMPUR TAHSIL SADAR BASTI BASTI</x:v>
      </x:c>
      <x:c r="E1653" t="str">
        <x:v>All India</x:v>
      </x:c>
      <x:c r="F1653" t="str">
        <x:v>ST</x:v>
      </x:c>
      <x:c r="G1653" t="n">
        <x:v>1</x:v>
      </x:c>
      <x:c r="H1653" t="n">
        <x:v>1</x:v>
      </x:c>
      <x:c r="I1653" t="n">
        <x:f>G1653-H1653</x:f>
        <x:v>0</x:v>
      </x:c>
      <x:c r="J1653" s="20" t="n">
        <x:f>IFERROR(H1653/G1653,0)</x:f>
        <x:v>1</x:v>
      </x:c>
      <x:c r="K1653" t="n">
        <x:v>77305</x:v>
      </x:c>
      <x:c r="L1653" t="n">
        <x:v>77305</x:v>
      </x:c>
      <x:c r="M1653" t="n">
        <x:v>77305</x:v>
      </x:c>
      <x:c r="N1653" t="n">
        <x:v>77305</x:v>
      </x:c>
      <x:c r="O1653" t="n">
        <x:v>77305</x:v>
      </x:c>
    </x:row>
    <x:row r="1654">
      <x:c r="A1654" t="str">
        <x:v>Telangana</x:v>
      </x:c>
      <x:c r="B1654" t="str">
        <x:v>All India except Central University</x:v>
      </x:c>
      <x:c r="C1654" t="str">
        <x:v>200597</x:v>
      </x:c>
      <x:c r="D1654" t="str">
        <x:v>Government Medical College, Sangareddy, OPP. TOWN POLICE STATION, NETAJI NAGAR, SANGAREDDY DISTRICT, TELANGANA - 502001</x:v>
      </x:c>
      <x:c r="E1654" t="str">
        <x:v>All India</x:v>
      </x:c>
      <x:c r="F1654" t="str">
        <x:v>EWS</x:v>
      </x:c>
      <x:c r="G1654" t="n">
        <x:v>2</x:v>
      </x:c>
      <x:c r="H1654" t="n">
        <x:v>2</x:v>
      </x:c>
      <x:c r="I1654" t="n">
        <x:f>G1654-H1654</x:f>
        <x:v>0</x:v>
      </x:c>
      <x:c r="J1654" s="20" t="n">
        <x:f>IFERROR(H1654/G1654,0)</x:f>
        <x:v>1</x:v>
      </x:c>
      <x:c r="K1654" t="n">
        <x:v>23563</x:v>
      </x:c>
      <x:c r="L1654" t="n">
        <x:v>23634.75</x:v>
      </x:c>
      <x:c r="M1654" t="n">
        <x:v>23706.5</x:v>
      </x:c>
      <x:c r="N1654" t="n">
        <x:v>23778.25</x:v>
      </x:c>
      <x:c r="O1654" t="n">
        <x:v>23850</x:v>
      </x:c>
    </x:row>
    <x:row r="1655">
      <x:c r="A1655" t="str">
        <x:v>Telangana</x:v>
      </x:c>
      <x:c r="B1655" t="str">
        <x:v>All India except Central University</x:v>
      </x:c>
      <x:c r="C1655" t="str">
        <x:v>200597</x:v>
      </x:c>
      <x:c r="D1655" t="str">
        <x:v>Government Medical College, Sangareddy, OPP. TOWN POLICE STATION, NETAJI NAGAR, SANGAREDDY DISTRICT, TELANGANA - 502001</x:v>
      </x:c>
      <x:c r="E1655" t="str">
        <x:v>All India</x:v>
      </x:c>
      <x:c r="F1655" t="str">
        <x:v>OBC</x:v>
      </x:c>
      <x:c r="G1655" t="n">
        <x:v>5</x:v>
      </x:c>
      <x:c r="H1655" t="n">
        <x:v>5</x:v>
      </x:c>
      <x:c r="I1655" t="n">
        <x:f>G1655-H1655</x:f>
        <x:v>0</x:v>
      </x:c>
      <x:c r="J1655" s="20" t="n">
        <x:f>IFERROR(H1655/G1655,0)</x:f>
        <x:v>1</x:v>
      </x:c>
      <x:c r="K1655" t="n">
        <x:v>20681</x:v>
      </x:c>
      <x:c r="L1655" t="n">
        <x:v>20699</x:v>
      </x:c>
      <x:c r="M1655" t="n">
        <x:v>20715</x:v>
      </x:c>
      <x:c r="N1655" t="n">
        <x:v>20929</x:v>
      </x:c>
      <x:c r="O1655" t="n">
        <x:v>21005</x:v>
      </x:c>
    </x:row>
    <x:row r="1656">
      <x:c r="A1656" t="str">
        <x:v>Telangana</x:v>
      </x:c>
      <x:c r="B1656" t="str">
        <x:v>All India except Central University</x:v>
      </x:c>
      <x:c r="C1656" t="str">
        <x:v>200597</x:v>
      </x:c>
      <x:c r="D1656" t="str">
        <x:v>Government Medical College, Sangareddy, OPP. TOWN POLICE STATION, NETAJI NAGAR, SANGAREDDY DISTRICT, TELANGANA - 502001</x:v>
      </x:c>
      <x:c r="E1656" t="str">
        <x:v>All India</x:v>
      </x:c>
      <x:c r="F1656" t="str">
        <x:v>Open</x:v>
      </x:c>
      <x:c r="G1656" t="n">
        <x:v>9</x:v>
      </x:c>
      <x:c r="H1656" t="n">
        <x:v>9</x:v>
      </x:c>
      <x:c r="I1656" t="n">
        <x:f>G1656-H1656</x:f>
        <x:v>0</x:v>
      </x:c>
      <x:c r="J1656" s="20" t="n">
        <x:f>IFERROR(H1656/G1656,0)</x:f>
        <x:v>1</x:v>
      </x:c>
      <x:c r="K1656" t="n">
        <x:v>17618</x:v>
      </x:c>
      <x:c r="L1656" t="n">
        <x:v>18508</x:v>
      </x:c>
      <x:c r="M1656" t="n">
        <x:v>18783</x:v>
      </x:c>
      <x:c r="N1656" t="n">
        <x:v>20320</x:v>
      </x:c>
      <x:c r="O1656" t="n">
        <x:v>20656</x:v>
      </x:c>
    </x:row>
    <x:row r="1657">
      <x:c r="A1657" t="str">
        <x:v>Telangana</x:v>
      </x:c>
      <x:c r="B1657" t="str">
        <x:v>All India except Central University</x:v>
      </x:c>
      <x:c r="C1657" t="str">
        <x:v>200597</x:v>
      </x:c>
      <x:c r="D1657" t="str">
        <x:v>Government Medical College, Sangareddy, OPP. TOWN POLICE STATION, NETAJI NAGAR, SANGAREDDY DISTRICT, TELANGANA - 502001</x:v>
      </x:c>
      <x:c r="E1657" t="str">
        <x:v>All India</x:v>
      </x:c>
      <x:c r="F1657" t="str">
        <x:v>SC</x:v>
      </x:c>
      <x:c r="G1657" t="n">
        <x:v>4</x:v>
      </x:c>
      <x:c r="H1657" t="n">
        <x:v>4</x:v>
      </x:c>
      <x:c r="I1657" t="n">
        <x:f>G1657-H1657</x:f>
        <x:v>0</x:v>
      </x:c>
      <x:c r="J1657" s="20" t="n">
        <x:f>IFERROR(H1657/G1657,0)</x:f>
        <x:v>1</x:v>
      </x:c>
      <x:c r="K1657" t="n">
        <x:v>64767</x:v>
      </x:c>
      <x:c r="L1657" t="n">
        <x:v>75058.5</x:v>
      </x:c>
      <x:c r="M1657" t="n">
        <x:v>88103.5</x:v>
      </x:c>
      <x:c r="N1657" t="n">
        <x:v>97829.5</x:v>
      </x:c>
      <x:c r="O1657" t="n">
        <x:v>98164</x:v>
      </x:c>
    </x:row>
    <x:row r="1658">
      <x:c r="A1658" t="str">
        <x:v>Telangana</x:v>
      </x:c>
      <x:c r="B1658" t="str">
        <x:v>All India except Central University</x:v>
      </x:c>
      <x:c r="C1658" t="str">
        <x:v>200597</x:v>
      </x:c>
      <x:c r="D1658" t="str">
        <x:v>Government Medical College, Sangareddy, OPP. TOWN POLICE STATION, NETAJI NAGAR, SANGAREDDY DISTRICT, TELANGANA - 502001</x:v>
      </x:c>
      <x:c r="E1658" t="str">
        <x:v>All India</x:v>
      </x:c>
      <x:c r="F1658" t="str">
        <x:v>ST</x:v>
      </x:c>
      <x:c r="G1658" t="n">
        <x:v>2</x:v>
      </x:c>
      <x:c r="H1658" t="n">
        <x:v>2</x:v>
      </x:c>
      <x:c r="I1658" t="n">
        <x:f>G1658-H1658</x:f>
        <x:v>0</x:v>
      </x:c>
      <x:c r="J1658" s="20" t="n">
        <x:f>IFERROR(H1658/G1658,0)</x:f>
        <x:v>1</x:v>
      </x:c>
      <x:c r="K1658" t="n">
        <x:v>89139</x:v>
      </x:c>
      <x:c r="L1658" t="n">
        <x:v>91897.75</x:v>
      </x:c>
      <x:c r="M1658" t="n">
        <x:v>94656.5</x:v>
      </x:c>
      <x:c r="N1658" t="n">
        <x:v>97415.25</x:v>
      </x:c>
      <x:c r="O1658" t="n">
        <x:v>100174</x:v>
      </x:c>
    </x:row>
    <x:row r="1659">
      <x:c r="A1659" t="str">
        <x:v>Maharashtra</x:v>
      </x:c>
      <x:c r="B1659" t="str">
        <x:v>All India except Central University</x:v>
      </x:c>
      <x:c r="C1659" t="str">
        <x:v>200576</x:v>
      </x:c>
      <x:c r="D1659" t="str">
        <x:v>Government Medical College, Satara, GOVERNMENT MEDICAL COLLEGE AND GENERAL HOSPITAL SATARA DISTRICT CIVIL HOSPITAL CAMPUS SADAR BAZAR CA</x:v>
      </x:c>
      <x:c r="E1659" t="str">
        <x:v>All India</x:v>
      </x:c>
      <x:c r="F1659" t="str">
        <x:v>EWS</x:v>
      </x:c>
      <x:c r="G1659" t="n">
        <x:v>1</x:v>
      </x:c>
      <x:c r="H1659" t="n">
        <x:v>1</x:v>
      </x:c>
      <x:c r="I1659" t="n">
        <x:f>G1659-H1659</x:f>
        <x:v>0</x:v>
      </x:c>
      <x:c r="J1659" s="20" t="n">
        <x:f>IFERROR(H1659/G1659,0)</x:f>
        <x:v>1</x:v>
      </x:c>
      <x:c r="K1659" t="n">
        <x:v>17988</x:v>
      </x:c>
      <x:c r="L1659" t="n">
        <x:v>17988</x:v>
      </x:c>
      <x:c r="M1659" t="n">
        <x:v>17988</x:v>
      </x:c>
      <x:c r="N1659" t="n">
        <x:v>17988</x:v>
      </x:c>
      <x:c r="O1659" t="n">
        <x:v>17988</x:v>
      </x:c>
    </x:row>
    <x:row r="1660">
      <x:c r="A1660" t="str">
        <x:v>Maharashtra</x:v>
      </x:c>
      <x:c r="B1660" t="str">
        <x:v>All India except Central University</x:v>
      </x:c>
      <x:c r="C1660" t="str">
        <x:v>200576</x:v>
      </x:c>
      <x:c r="D1660" t="str">
        <x:v>Government Medical College, Satara, GOVERNMENT MEDICAL COLLEGE AND GENERAL HOSPITAL SATARA DISTRICT CIVIL HOSPITAL CAMPUS SADAR BAZAR CA</x:v>
      </x:c>
      <x:c r="E1660" t="str">
        <x:v>All India</x:v>
      </x:c>
      <x:c r="F1660" t="str">
        <x:v>EWS PwD</x:v>
      </x:c>
      <x:c r="G1660" t="n">
        <x:v>1</x:v>
      </x:c>
      <x:c r="H1660" t="n">
        <x:v>1</x:v>
      </x:c>
      <x:c r="I1660" t="n">
        <x:f>G1660-H1660</x:f>
        <x:v>0</x:v>
      </x:c>
      <x:c r="J1660" s="20" t="n">
        <x:f>IFERROR(H1660/G1660,0)</x:f>
        <x:v>1</x:v>
      </x:c>
      <x:c r="K1660" t="n">
        <x:v>528338</x:v>
      </x:c>
      <x:c r="L1660" t="n">
        <x:v>528338</x:v>
      </x:c>
      <x:c r="M1660" t="n">
        <x:v>528338</x:v>
      </x:c>
      <x:c r="N1660" t="n">
        <x:v>528338</x:v>
      </x:c>
      <x:c r="O1660" t="n">
        <x:v>528338</x:v>
      </x:c>
    </x:row>
    <x:row r="1661">
      <x:c r="A1661" t="str">
        <x:v>Maharashtra</x:v>
      </x:c>
      <x:c r="B1661" t="str">
        <x:v>All India except Central University</x:v>
      </x:c>
      <x:c r="C1661" t="str">
        <x:v>200576</x:v>
      </x:c>
      <x:c r="D1661" t="str">
        <x:v>Government Medical College, Satara, GOVERNMENT MEDICAL COLLEGE AND GENERAL HOSPITAL SATARA DISTRICT CIVIL HOSPITAL CAMPUS SADAR BAZAR CA</x:v>
      </x:c>
      <x:c r="E1661" t="str">
        <x:v>All India</x:v>
      </x:c>
      <x:c r="F1661" t="str">
        <x:v>OBC</x:v>
      </x:c>
      <x:c r="G1661" t="n">
        <x:v>4</x:v>
      </x:c>
      <x:c r="H1661" t="n">
        <x:v>4</x:v>
      </x:c>
      <x:c r="I1661" t="n">
        <x:f>G1661-H1661</x:f>
        <x:v>0</x:v>
      </x:c>
      <x:c r="J1661" s="20" t="n">
        <x:f>IFERROR(H1661/G1661,0)</x:f>
        <x:v>1</x:v>
      </x:c>
      <x:c r="K1661" t="n">
        <x:v>14374</x:v>
      </x:c>
      <x:c r="L1661" t="n">
        <x:v>14668.75</x:v>
      </x:c>
      <x:c r="M1661" t="n">
        <x:v>15175</x:v>
      </x:c>
      <x:c r="N1661" t="n">
        <x:v>15654.25</x:v>
      </x:c>
      <x:c r="O1661" t="n">
        <x:v>15868</x:v>
      </x:c>
    </x:row>
    <x:row r="1662">
      <x:c r="A1662" t="str">
        <x:v>Maharashtra</x:v>
      </x:c>
      <x:c r="B1662" t="str">
        <x:v>All India except Central University</x:v>
      </x:c>
      <x:c r="C1662" t="str">
        <x:v>200576</x:v>
      </x:c>
      <x:c r="D1662" t="str">
        <x:v>Government Medical College, Satara, GOVERNMENT MEDICAL COLLEGE AND GENERAL HOSPITAL SATARA DISTRICT CIVIL HOSPITAL CAMPUS SADAR BAZAR CA</x:v>
      </x:c>
      <x:c r="E1662" t="str">
        <x:v>All India</x:v>
      </x:c>
      <x:c r="F1662" t="str">
        <x:v>Open</x:v>
      </x:c>
      <x:c r="G1662" t="n">
        <x:v>5</x:v>
      </x:c>
      <x:c r="H1662" t="n">
        <x:v>5</x:v>
      </x:c>
      <x:c r="I1662" t="n">
        <x:f>G1662-H1662</x:f>
        <x:v>0</x:v>
      </x:c>
      <x:c r="J1662" s="20" t="n">
        <x:f>IFERROR(H1662/G1662,0)</x:f>
        <x:v>1</x:v>
      </x:c>
      <x:c r="K1662" t="n">
        <x:v>12300</x:v>
      </x:c>
      <x:c r="L1662" t="n">
        <x:v>12429</x:v>
      </x:c>
      <x:c r="M1662" t="n">
        <x:v>14005</x:v>
      </x:c>
      <x:c r="N1662" t="n">
        <x:v>14136</x:v>
      </x:c>
      <x:c r="O1662" t="n">
        <x:v>14366</x:v>
      </x:c>
    </x:row>
    <x:row r="1663">
      <x:c r="A1663" t="str">
        <x:v>Maharashtra</x:v>
      </x:c>
      <x:c r="B1663" t="str">
        <x:v>All India except Central University</x:v>
      </x:c>
      <x:c r="C1663" t="str">
        <x:v>200576</x:v>
      </x:c>
      <x:c r="D1663" t="str">
        <x:v>Government Medical College, Satara, GOVERNMENT MEDICAL COLLEGE AND GENERAL HOSPITAL SATARA DISTRICT CIVIL HOSPITAL CAMPUS SADAR BAZAR CA</x:v>
      </x:c>
      <x:c r="E1663" t="str">
        <x:v>All India</x:v>
      </x:c>
      <x:c r="F1663" t="str">
        <x:v>Open PwD</x:v>
      </x:c>
      <x:c r="G1663" t="n">
        <x:v>1</x:v>
      </x:c>
      <x:c r="H1663" t="n">
        <x:v>1</x:v>
      </x:c>
      <x:c r="I1663" t="n">
        <x:f>G1663-H1663</x:f>
        <x:v>0</x:v>
      </x:c>
      <x:c r="J1663" s="20" t="n">
        <x:f>IFERROR(H1663/G1663,0)</x:f>
        <x:v>1</x:v>
      </x:c>
      <x:c r="K1663" t="n">
        <x:v>420716</x:v>
      </x:c>
      <x:c r="L1663" t="n">
        <x:v>420716</x:v>
      </x:c>
      <x:c r="M1663" t="n">
        <x:v>420716</x:v>
      </x:c>
      <x:c r="N1663" t="n">
        <x:v>420716</x:v>
      </x:c>
      <x:c r="O1663" t="n">
        <x:v>420716</x:v>
      </x:c>
    </x:row>
    <x:row r="1664">
      <x:c r="A1664" t="str">
        <x:v>Maharashtra</x:v>
      </x:c>
      <x:c r="B1664" t="str">
        <x:v>All India except Central University</x:v>
      </x:c>
      <x:c r="C1664" t="str">
        <x:v>200576</x:v>
      </x:c>
      <x:c r="D1664" t="str">
        <x:v>Government Medical College, Satara, GOVERNMENT MEDICAL COLLEGE AND GENERAL HOSPITAL SATARA DISTRICT CIVIL HOSPITAL CAMPUS SADAR BAZAR CA</x:v>
      </x:c>
      <x:c r="E1664" t="str">
        <x:v>All India</x:v>
      </x:c>
      <x:c r="F1664" t="str">
        <x:v>SC</x:v>
      </x:c>
      <x:c r="G1664" t="n">
        <x:v>1</x:v>
      </x:c>
      <x:c r="H1664" t="n">
        <x:v>1</x:v>
      </x:c>
      <x:c r="I1664" t="n">
        <x:f>G1664-H1664</x:f>
        <x:v>0</x:v>
      </x:c>
      <x:c r="J1664" s="20" t="n">
        <x:f>IFERROR(H1664/G1664,0)</x:f>
        <x:v>1</x:v>
      </x:c>
      <x:c r="K1664" t="n">
        <x:v>67143</x:v>
      </x:c>
      <x:c r="L1664" t="n">
        <x:v>67143</x:v>
      </x:c>
      <x:c r="M1664" t="n">
        <x:v>67143</x:v>
      </x:c>
      <x:c r="N1664" t="n">
        <x:v>67143</x:v>
      </x:c>
      <x:c r="O1664" t="n">
        <x:v>67143</x:v>
      </x:c>
    </x:row>
    <x:row r="1665">
      <x:c r="A1665" t="str">
        <x:v>Maharashtra</x:v>
      </x:c>
      <x:c r="B1665" t="str">
        <x:v>All India except Central University</x:v>
      </x:c>
      <x:c r="C1665" t="str">
        <x:v>200576</x:v>
      </x:c>
      <x:c r="D1665" t="str">
        <x:v>Government Medical College, Satara, GOVERNMENT MEDICAL COLLEGE AND GENERAL HOSPITAL SATARA DISTRICT CIVIL HOSPITAL CAMPUS SADAR BAZAR CA</x:v>
      </x:c>
      <x:c r="E1665" t="str">
        <x:v>All India</x:v>
      </x:c>
      <x:c r="F1665" t="str">
        <x:v>SC PwD</x:v>
      </x:c>
      <x:c r="G1665" t="n">
        <x:v>1</x:v>
      </x:c>
      <x:c r="H1665" t="n">
        <x:v>1</x:v>
      </x:c>
      <x:c r="I1665" t="n">
        <x:f>G1665-H1665</x:f>
        <x:v>0</x:v>
      </x:c>
      <x:c r="J1665" s="20" t="n">
        <x:f>IFERROR(H1665/G1665,0)</x:f>
        <x:v>1</x:v>
      </x:c>
      <x:c r="K1665" t="n">
        <x:v>725399</x:v>
      </x:c>
      <x:c r="L1665" t="n">
        <x:v>725399</x:v>
      </x:c>
      <x:c r="M1665" t="n">
        <x:v>725399</x:v>
      </x:c>
      <x:c r="N1665" t="n">
        <x:v>725399</x:v>
      </x:c>
      <x:c r="O1665" t="n">
        <x:v>725399</x:v>
      </x:c>
    </x:row>
    <x:row r="1666">
      <x:c r="A1666" t="str">
        <x:v>Maharashtra</x:v>
      </x:c>
      <x:c r="B1666" t="str">
        <x:v>All India except Central University</x:v>
      </x:c>
      <x:c r="C1666" t="str">
        <x:v>200576</x:v>
      </x:c>
      <x:c r="D1666" t="str">
        <x:v>Government Medical College, Satara, GOVERNMENT MEDICAL COLLEGE AND GENERAL HOSPITAL SATARA DISTRICT CIVIL HOSPITAL CAMPUS SADAR BAZAR CA</x:v>
      </x:c>
      <x:c r="E1666" t="str">
        <x:v>All India</x:v>
      </x:c>
      <x:c r="F1666" t="str">
        <x:v>ST</x:v>
      </x:c>
      <x:c r="G1666" t="n">
        <x:v>1</x:v>
      </x:c>
      <x:c r="H1666" t="n">
        <x:v>1</x:v>
      </x:c>
      <x:c r="I1666" t="n">
        <x:f>G1666-H1666</x:f>
        <x:v>0</x:v>
      </x:c>
      <x:c r="J1666" s="20" t="n">
        <x:f>IFERROR(H1666/G1666,0)</x:f>
        <x:v>1</x:v>
      </x:c>
      <x:c r="K1666" t="n">
        <x:v>116386</x:v>
      </x:c>
      <x:c r="L1666" t="n">
        <x:v>116386</x:v>
      </x:c>
      <x:c r="M1666" t="n">
        <x:v>116386</x:v>
      </x:c>
      <x:c r="N1666" t="n">
        <x:v>116386</x:v>
      </x:c>
      <x:c r="O1666" t="n">
        <x:v>116386</x:v>
      </x:c>
    </x:row>
    <x:row r="1667">
      <x:c r="A1667" t="str">
        <x:v>Madhya Pradesh</x:v>
      </x:c>
      <x:c r="B1667" t="str">
        <x:v>All India except Central University</x:v>
      </x:c>
      <x:c r="C1667" t="str">
        <x:v>200657</x:v>
      </x:c>
      <x:c r="D1667" t="str">
        <x:v>Government Medical College, Satna, Near Kendriya Vidyalaya No. 2, Kripalpur Satna</x:v>
      </x:c>
      <x:c r="E1667" t="str">
        <x:v>All India</x:v>
      </x:c>
      <x:c r="F1667" t="str">
        <x:v>EWS</x:v>
      </x:c>
      <x:c r="G1667" t="n">
        <x:v>3</x:v>
      </x:c>
      <x:c r="H1667" t="n">
        <x:v>3</x:v>
      </x:c>
      <x:c r="I1667" t="n">
        <x:f>G1667-H1667</x:f>
        <x:v>0</x:v>
      </x:c>
      <x:c r="J1667" s="20" t="n">
        <x:f>IFERROR(H1667/G1667,0)</x:f>
        <x:v>1</x:v>
      </x:c>
      <x:c r="K1667" t="n">
        <x:v>15727</x:v>
      </x:c>
      <x:c r="L1667" t="n">
        <x:v>16402.5</x:v>
      </x:c>
      <x:c r="M1667" t="n">
        <x:v>17078</x:v>
      </x:c>
      <x:c r="N1667" t="n">
        <x:v>17415</x:v>
      </x:c>
      <x:c r="O1667" t="n">
        <x:v>17752</x:v>
      </x:c>
    </x:row>
    <x:row r="1668">
      <x:c r="A1668" t="str">
        <x:v>Madhya Pradesh</x:v>
      </x:c>
      <x:c r="B1668" t="str">
        <x:v>All India except Central University</x:v>
      </x:c>
      <x:c r="C1668" t="str">
        <x:v>200657</x:v>
      </x:c>
      <x:c r="D1668" t="str">
        <x:v>Government Medical College, Satna, Near Kendriya Vidyalaya No. 2, Kripalpur Satna</x:v>
      </x:c>
      <x:c r="E1668" t="str">
        <x:v>All India</x:v>
      </x:c>
      <x:c r="F1668" t="str">
        <x:v>OBC</x:v>
      </x:c>
      <x:c r="G1668" t="n">
        <x:v>6</x:v>
      </x:c>
      <x:c r="H1668" t="n">
        <x:v>6</x:v>
      </x:c>
      <x:c r="I1668" t="n">
        <x:f>G1668-H1668</x:f>
        <x:v>0</x:v>
      </x:c>
      <x:c r="J1668" s="20" t="n">
        <x:f>IFERROR(H1668/G1668,0)</x:f>
        <x:v>1</x:v>
      </x:c>
      <x:c r="K1668" t="n">
        <x:v>15770</x:v>
      </x:c>
      <x:c r="L1668" t="n">
        <x:v>16002.25</x:v>
      </x:c>
      <x:c r="M1668" t="n">
        <x:v>16163.5</x:v>
      </x:c>
      <x:c r="N1668" t="n">
        <x:v>16549.75</x:v>
      </x:c>
      <x:c r="O1668" t="n">
        <x:v>16711</x:v>
      </x:c>
    </x:row>
    <x:row r="1669">
      <x:c r="A1669" t="str">
        <x:v>Madhya Pradesh</x:v>
      </x:c>
      <x:c r="B1669" t="str">
        <x:v>All India except Central University</x:v>
      </x:c>
      <x:c r="C1669" t="str">
        <x:v>200657</x:v>
      </x:c>
      <x:c r="D1669" t="str">
        <x:v>Government Medical College, Satna, Near Kendriya Vidyalaya No. 2, Kripalpur Satna</x:v>
      </x:c>
      <x:c r="E1669" t="str">
        <x:v>All India</x:v>
      </x:c>
      <x:c r="F1669" t="str">
        <x:v>Open</x:v>
      </x:c>
      <x:c r="G1669" t="n">
        <x:v>8</x:v>
      </x:c>
      <x:c r="H1669" t="n">
        <x:v>8</x:v>
      </x:c>
      <x:c r="I1669" t="n">
        <x:f>G1669-H1669</x:f>
        <x:v>0</x:v>
      </x:c>
      <x:c r="J1669" s="20" t="n">
        <x:f>IFERROR(H1669/G1669,0)</x:f>
        <x:v>1</x:v>
      </x:c>
      <x:c r="K1669" t="n">
        <x:v>14180</x:v>
      </x:c>
      <x:c r="L1669" t="n">
        <x:v>14512.5</x:v>
      </x:c>
      <x:c r="M1669" t="n">
        <x:v>14962</x:v>
      </x:c>
      <x:c r="N1669" t="n">
        <x:v>15409.5</x:v>
      </x:c>
      <x:c r="O1669" t="n">
        <x:v>15536</x:v>
      </x:c>
    </x:row>
    <x:row r="1670">
      <x:c r="A1670" t="str">
        <x:v>Madhya Pradesh</x:v>
      </x:c>
      <x:c r="B1670" t="str">
        <x:v>All India except Central University</x:v>
      </x:c>
      <x:c r="C1670" t="str">
        <x:v>200657</x:v>
      </x:c>
      <x:c r="D1670" t="str">
        <x:v>Government Medical College, Satna, Near Kendriya Vidyalaya No. 2, Kripalpur Satna</x:v>
      </x:c>
      <x:c r="E1670" t="str">
        <x:v>All India</x:v>
      </x:c>
      <x:c r="F1670" t="str">
        <x:v>Open PwD</x:v>
      </x:c>
      <x:c r="G1670" t="n">
        <x:v>1</x:v>
      </x:c>
      <x:c r="H1670" t="n">
        <x:v>1</x:v>
      </x:c>
      <x:c r="I1670" t="n">
        <x:f>G1670-H1670</x:f>
        <x:v>0</x:v>
      </x:c>
      <x:c r="J1670" s="20" t="n">
        <x:f>IFERROR(H1670/G1670,0)</x:f>
        <x:v>1</x:v>
      </x:c>
      <x:c r="K1670" t="n">
        <x:v>525671</x:v>
      </x:c>
      <x:c r="L1670" t="n">
        <x:v>525671</x:v>
      </x:c>
      <x:c r="M1670" t="n">
        <x:v>525671</x:v>
      </x:c>
      <x:c r="N1670" t="n">
        <x:v>525671</x:v>
      </x:c>
      <x:c r="O1670" t="n">
        <x:v>525671</x:v>
      </x:c>
    </x:row>
    <x:row r="1671">
      <x:c r="A1671" t="str">
        <x:v>Madhya Pradesh</x:v>
      </x:c>
      <x:c r="B1671" t="str">
        <x:v>All India except Central University</x:v>
      </x:c>
      <x:c r="C1671" t="str">
        <x:v>200657</x:v>
      </x:c>
      <x:c r="D1671" t="str">
        <x:v>Government Medical College, Satna, Near Kendriya Vidyalaya No. 2, Kripalpur Satna</x:v>
      </x:c>
      <x:c r="E1671" t="str">
        <x:v>All India</x:v>
      </x:c>
      <x:c r="F1671" t="str">
        <x:v>SC</x:v>
      </x:c>
      <x:c r="G1671" t="n">
        <x:v>3</x:v>
      </x:c>
      <x:c r="H1671" t="n">
        <x:v>3</x:v>
      </x:c>
      <x:c r="I1671" t="n">
        <x:f>G1671-H1671</x:f>
        <x:v>0</x:v>
      </x:c>
      <x:c r="J1671" s="20" t="n">
        <x:f>IFERROR(H1671/G1671,0)</x:f>
        <x:v>1</x:v>
      </x:c>
      <x:c r="K1671" t="n">
        <x:v>78724</x:v>
      </x:c>
      <x:c r="L1671" t="n">
        <x:v>83031.5</x:v>
      </x:c>
      <x:c r="M1671" t="n">
        <x:v>87339</x:v>
      </x:c>
      <x:c r="N1671" t="n">
        <x:v>88073.5</x:v>
      </x:c>
      <x:c r="O1671" t="n">
        <x:v>88808</x:v>
      </x:c>
    </x:row>
    <x:row r="1672">
      <x:c r="A1672" t="str">
        <x:v>Madhya Pradesh</x:v>
      </x:c>
      <x:c r="B1672" t="str">
        <x:v>All India except Central University</x:v>
      </x:c>
      <x:c r="C1672" t="str">
        <x:v>200657</x:v>
      </x:c>
      <x:c r="D1672" t="str">
        <x:v>Government Medical College, Satna, Near Kendriya Vidyalaya No. 2, Kripalpur Satna</x:v>
      </x:c>
      <x:c r="E1672" t="str">
        <x:v>All India</x:v>
      </x:c>
      <x:c r="F1672" t="str">
        <x:v>ST</x:v>
      </x:c>
      <x:c r="G1672" t="n">
        <x:v>1</x:v>
      </x:c>
      <x:c r="H1672" t="n">
        <x:v>1</x:v>
      </x:c>
      <x:c r="I1672" t="n">
        <x:f>G1672-H1672</x:f>
        <x:v>0</x:v>
      </x:c>
      <x:c r="J1672" s="20" t="n">
        <x:f>IFERROR(H1672/G1672,0)</x:f>
        <x:v>1</x:v>
      </x:c>
      <x:c r="K1672" t="n">
        <x:v>102487</x:v>
      </x:c>
      <x:c r="L1672" t="n">
        <x:v>102487</x:v>
      </x:c>
      <x:c r="M1672" t="n">
        <x:v>102487</x:v>
      </x:c>
      <x:c r="N1672" t="n">
        <x:v>102487</x:v>
      </x:c>
      <x:c r="O1672" t="n">
        <x:v>102487</x:v>
      </x:c>
    </x:row>
    <x:row r="1673">
      <x:c r="A1673" t="str">
        <x:v>Rajasthan</x:v>
      </x:c>
      <x:c r="B1673" t="str">
        <x:v>All India except Central University</x:v>
      </x:c>
      <x:c r="C1673" t="str">
        <x:v>902865</x:v>
      </x:c>
      <x:c r="D1673" t="str">
        <x:v>Government Medical College, Sawai Madhopur, Government Medical College, Sawai Madhopur Village Thingla, Sawai Madhopur, Rajasthan</x:v>
      </x:c>
      <x:c r="E1673" t="str">
        <x:v>All India</x:v>
      </x:c>
      <x:c r="F1673" t="str">
        <x:v>EWS</x:v>
      </x:c>
      <x:c r="G1673" t="n">
        <x:v>1</x:v>
      </x:c>
      <x:c r="H1673" t="n">
        <x:v>1</x:v>
      </x:c>
      <x:c r="I1673" t="n">
        <x:f>G1673-H1673</x:f>
        <x:v>0</x:v>
      </x:c>
      <x:c r="J1673" s="20" t="n">
        <x:f>IFERROR(H1673/G1673,0)</x:f>
        <x:v>1</x:v>
      </x:c>
      <x:c r="K1673" t="n">
        <x:v>11723</x:v>
      </x:c>
      <x:c r="L1673" t="n">
        <x:v>11723</x:v>
      </x:c>
      <x:c r="M1673" t="n">
        <x:v>11723</x:v>
      </x:c>
      <x:c r="N1673" t="n">
        <x:v>11723</x:v>
      </x:c>
      <x:c r="O1673" t="n">
        <x:v>11723</x:v>
      </x:c>
    </x:row>
    <x:row r="1674">
      <x:c r="A1674" t="str">
        <x:v>Rajasthan</x:v>
      </x:c>
      <x:c r="B1674" t="str">
        <x:v>All India except Central University</x:v>
      </x:c>
      <x:c r="C1674" t="str">
        <x:v>902865</x:v>
      </x:c>
      <x:c r="D1674" t="str">
        <x:v>Government Medical College, Sawai Madhopur, Government Medical College, Sawai Madhopur Village Thingla, Sawai Madhopur, Rajasthan</x:v>
      </x:c>
      <x:c r="E1674" t="str">
        <x:v>All India</x:v>
      </x:c>
      <x:c r="F1674" t="str">
        <x:v>OBC</x:v>
      </x:c>
      <x:c r="G1674" t="n">
        <x:v>4</x:v>
      </x:c>
      <x:c r="H1674" t="n">
        <x:v>4</x:v>
      </x:c>
      <x:c r="I1674" t="n">
        <x:f>G1674-H1674</x:f>
        <x:v>0</x:v>
      </x:c>
      <x:c r="J1674" s="20" t="n">
        <x:f>IFERROR(H1674/G1674,0)</x:f>
        <x:v>1</x:v>
      </x:c>
      <x:c r="K1674" t="n">
        <x:v>12157</x:v>
      </x:c>
      <x:c r="L1674" t="n">
        <x:v>12351.25</x:v>
      </x:c>
      <x:c r="M1674" t="n">
        <x:v>12551.5</x:v>
      </x:c>
      <x:c r="N1674" t="n">
        <x:v>12696.25</x:v>
      </x:c>
      <x:c r="O1674" t="n">
        <x:v>12724</x:v>
      </x:c>
    </x:row>
    <x:row r="1675">
      <x:c r="A1675" t="str">
        <x:v>Rajasthan</x:v>
      </x:c>
      <x:c r="B1675" t="str">
        <x:v>All India except Central University</x:v>
      </x:c>
      <x:c r="C1675" t="str">
        <x:v>902865</x:v>
      </x:c>
      <x:c r="D1675" t="str">
        <x:v>Government Medical College, Sawai Madhopur, Government Medical College, Sawai Madhopur Village Thingla, Sawai Madhopur, Rajasthan</x:v>
      </x:c>
      <x:c r="E1675" t="str">
        <x:v>All India</x:v>
      </x:c>
      <x:c r="F1675" t="str">
        <x:v>Open</x:v>
      </x:c>
      <x:c r="G1675" t="n">
        <x:v>6</x:v>
      </x:c>
      <x:c r="H1675" t="n">
        <x:v>6</x:v>
      </x:c>
      <x:c r="I1675" t="n">
        <x:f>G1675-H1675</x:f>
        <x:v>0</x:v>
      </x:c>
      <x:c r="J1675" s="20" t="n">
        <x:f>IFERROR(H1675/G1675,0)</x:f>
        <x:v>1</x:v>
      </x:c>
      <x:c r="K1675" t="n">
        <x:v>7529</x:v>
      </x:c>
      <x:c r="L1675" t="n">
        <x:v>9141.5</x:v>
      </x:c>
      <x:c r="M1675" t="n">
        <x:v>9305.5</x:v>
      </x:c>
      <x:c r="N1675" t="n">
        <x:v>9487.5</x:v>
      </x:c>
      <x:c r="O1675" t="n">
        <x:v>9588</x:v>
      </x:c>
    </x:row>
    <x:row r="1676">
      <x:c r="A1676" t="str">
        <x:v>Rajasthan</x:v>
      </x:c>
      <x:c r="B1676" t="str">
        <x:v>All India except Central University</x:v>
      </x:c>
      <x:c r="C1676" t="str">
        <x:v>902865</x:v>
      </x:c>
      <x:c r="D1676" t="str">
        <x:v>Government Medical College, Sawai Madhopur, Government Medical College, Sawai Madhopur Village Thingla, Sawai Madhopur, Rajasthan</x:v>
      </x:c>
      <x:c r="E1676" t="str">
        <x:v>All India</x:v>
      </x:c>
      <x:c r="F1676" t="str">
        <x:v>SC</x:v>
      </x:c>
      <x:c r="G1676" t="n">
        <x:v>2</x:v>
      </x:c>
      <x:c r="H1676" t="n">
        <x:v>2</x:v>
      </x:c>
      <x:c r="I1676" t="n">
        <x:f>G1676-H1676</x:f>
        <x:v>0</x:v>
      </x:c>
      <x:c r="J1676" s="20" t="n">
        <x:f>IFERROR(H1676/G1676,0)</x:f>
        <x:v>1</x:v>
      </x:c>
      <x:c r="K1676" t="n">
        <x:v>56464</x:v>
      </x:c>
      <x:c r="L1676" t="n">
        <x:v>58815</x:v>
      </x:c>
      <x:c r="M1676" t="n">
        <x:v>61166</x:v>
      </x:c>
      <x:c r="N1676" t="n">
        <x:v>63517</x:v>
      </x:c>
      <x:c r="O1676" t="n">
        <x:v>65868</x:v>
      </x:c>
    </x:row>
    <x:row r="1677">
      <x:c r="A1677" t="str">
        <x:v>Rajasthan</x:v>
      </x:c>
      <x:c r="B1677" t="str">
        <x:v>All India except Central University</x:v>
      </x:c>
      <x:c r="C1677" t="str">
        <x:v>902865</x:v>
      </x:c>
      <x:c r="D1677" t="str">
        <x:v>Government Medical College, Sawai Madhopur, Government Medical College, Sawai Madhopur Village Thingla, Sawai Madhopur, Rajasthan</x:v>
      </x:c>
      <x:c r="E1677" t="str">
        <x:v>All India</x:v>
      </x:c>
      <x:c r="F1677" t="str">
        <x:v>SC PwD</x:v>
      </x:c>
      <x:c r="G1677" t="n">
        <x:v>1</x:v>
      </x:c>
      <x:c r="H1677" t="n">
        <x:v>1</x:v>
      </x:c>
      <x:c r="I1677" t="n">
        <x:f>G1677-H1677</x:f>
        <x:v>0</x:v>
      </x:c>
      <x:c r="J1677" s="20" t="n">
        <x:f>IFERROR(H1677/G1677,0)</x:f>
        <x:v>1</x:v>
      </x:c>
      <x:c r="K1677" t="n">
        <x:v>715954</x:v>
      </x:c>
      <x:c r="L1677" t="n">
        <x:v>715954</x:v>
      </x:c>
      <x:c r="M1677" t="n">
        <x:v>715954</x:v>
      </x:c>
      <x:c r="N1677" t="n">
        <x:v>715954</x:v>
      </x:c>
      <x:c r="O1677" t="n">
        <x:v>715954</x:v>
      </x:c>
    </x:row>
    <x:row r="1678">
      <x:c r="A1678" t="str">
        <x:v>Rajasthan</x:v>
      </x:c>
      <x:c r="B1678" t="str">
        <x:v>All India except Central University</x:v>
      </x:c>
      <x:c r="C1678" t="str">
        <x:v>902865</x:v>
      </x:c>
      <x:c r="D1678" t="str">
        <x:v>Government Medical College, Sawai Madhopur, Government Medical College, Sawai Madhopur Village Thingla, Sawai Madhopur, Rajasthan</x:v>
      </x:c>
      <x:c r="E1678" t="str">
        <x:v>All India</x:v>
      </x:c>
      <x:c r="F1678" t="str">
        <x:v>ST</x:v>
      </x:c>
      <x:c r="G1678" t="n">
        <x:v>1</x:v>
      </x:c>
      <x:c r="H1678" t="n">
        <x:v>1</x:v>
      </x:c>
      <x:c r="I1678" t="n">
        <x:f>G1678-H1678</x:f>
        <x:v>0</x:v>
      </x:c>
      <x:c r="J1678" s="20" t="n">
        <x:f>IFERROR(H1678/G1678,0)</x:f>
        <x:v>1</x:v>
      </x:c>
      <x:c r="K1678" t="n">
        <x:v>68275</x:v>
      </x:c>
      <x:c r="L1678" t="n">
        <x:v>68275</x:v>
      </x:c>
      <x:c r="M1678" t="n">
        <x:v>68275</x:v>
      </x:c>
      <x:c r="N1678" t="n">
        <x:v>68275</x:v>
      </x:c>
      <x:c r="O1678" t="n">
        <x:v>68275</x:v>
      </x:c>
    </x:row>
    <x:row r="1679">
      <x:c r="A1679" t="str">
        <x:v>Madhya Pradesh</x:v>
      </x:c>
      <x:c r="B1679" t="str">
        <x:v>All India except Central University</x:v>
      </x:c>
      <x:c r="C1679" t="str">
        <x:v>902825</x:v>
      </x:c>
      <x:c r="D1679" t="str">
        <x:v>Government Medical College, Seoni, Government Medical College, Kandipaar Village, Seoni</x:v>
      </x:c>
      <x:c r="E1679" t="str">
        <x:v>All India</x:v>
      </x:c>
      <x:c r="F1679" t="str">
        <x:v>EWS</x:v>
      </x:c>
      <x:c r="G1679" t="n">
        <x:v>1</x:v>
      </x:c>
      <x:c r="H1679" t="n">
        <x:v>1</x:v>
      </x:c>
      <x:c r="I1679" t="n">
        <x:f>G1679-H1679</x:f>
        <x:v>0</x:v>
      </x:c>
      <x:c r="J1679" s="20" t="n">
        <x:f>IFERROR(H1679/G1679,0)</x:f>
        <x:v>1</x:v>
      </x:c>
      <x:c r="K1679" t="n">
        <x:v>17376</x:v>
      </x:c>
      <x:c r="L1679" t="n">
        <x:v>17376</x:v>
      </x:c>
      <x:c r="M1679" t="n">
        <x:v>17376</x:v>
      </x:c>
      <x:c r="N1679" t="n">
        <x:v>17376</x:v>
      </x:c>
      <x:c r="O1679" t="n">
        <x:v>17376</x:v>
      </x:c>
    </x:row>
    <x:row r="1680">
      <x:c r="A1680" t="str">
        <x:v>Madhya Pradesh</x:v>
      </x:c>
      <x:c r="B1680" t="str">
        <x:v>All India except Central University</x:v>
      </x:c>
      <x:c r="C1680" t="str">
        <x:v>902825</x:v>
      </x:c>
      <x:c r="D1680" t="str">
        <x:v>Government Medical College, Seoni, Government Medical College, Kandipaar Village, Seoni</x:v>
      </x:c>
      <x:c r="E1680" t="str">
        <x:v>All India</x:v>
      </x:c>
      <x:c r="F1680" t="str">
        <x:v>OBC</x:v>
      </x:c>
      <x:c r="G1680" t="n">
        <x:v>4</x:v>
      </x:c>
      <x:c r="H1680" t="n">
        <x:v>4</x:v>
      </x:c>
      <x:c r="I1680" t="n">
        <x:f>G1680-H1680</x:f>
        <x:v>0</x:v>
      </x:c>
      <x:c r="J1680" s="20" t="n">
        <x:f>IFERROR(H1680/G1680,0)</x:f>
        <x:v>1</x:v>
      </x:c>
      <x:c r="K1680" t="n">
        <x:v>15949</x:v>
      </x:c>
      <x:c r="L1680" t="n">
        <x:v>16383.25</x:v>
      </x:c>
      <x:c r="M1680" t="n">
        <x:v>16573</x:v>
      </x:c>
      <x:c r="N1680" t="n">
        <x:v>16635.25</x:v>
      </x:c>
      <x:c r="O1680" t="n">
        <x:v>16687</x:v>
      </x:c>
    </x:row>
    <x:row r="1681">
      <x:c r="A1681" t="str">
        <x:v>Madhya Pradesh</x:v>
      </x:c>
      <x:c r="B1681" t="str">
        <x:v>All India except Central University</x:v>
      </x:c>
      <x:c r="C1681" t="str">
        <x:v>902825</x:v>
      </x:c>
      <x:c r="D1681" t="str">
        <x:v>Government Medical College, Seoni, Government Medical College, Kandipaar Village, Seoni</x:v>
      </x:c>
      <x:c r="E1681" t="str">
        <x:v>All India</x:v>
      </x:c>
      <x:c r="F1681" t="str">
        <x:v>Open</x:v>
      </x:c>
      <x:c r="G1681" t="n">
        <x:v>7</x:v>
      </x:c>
      <x:c r="H1681" t="n">
        <x:v>7</x:v>
      </x:c>
      <x:c r="I1681" t="n">
        <x:f>G1681-H1681</x:f>
        <x:v>0</x:v>
      </x:c>
      <x:c r="J1681" s="20" t="n">
        <x:f>IFERROR(H1681/G1681,0)</x:f>
        <x:v>1</x:v>
      </x:c>
      <x:c r="K1681" t="n">
        <x:v>11893</x:v>
      </x:c>
      <x:c r="L1681" t="n">
        <x:v>13952</x:v>
      </x:c>
      <x:c r="M1681" t="n">
        <x:v>15389</x:v>
      </x:c>
      <x:c r="N1681" t="n">
        <x:v>15774</x:v>
      </x:c>
      <x:c r="O1681" t="n">
        <x:v>15877</x:v>
      </x:c>
    </x:row>
    <x:row r="1682">
      <x:c r="A1682" t="str">
        <x:v>Madhya Pradesh</x:v>
      </x:c>
      <x:c r="B1682" t="str">
        <x:v>All India except Central University</x:v>
      </x:c>
      <x:c r="C1682" t="str">
        <x:v>902825</x:v>
      </x:c>
      <x:c r="D1682" t="str">
        <x:v>Government Medical College, Seoni, Government Medical College, Kandipaar Village, Seoni</x:v>
      </x:c>
      <x:c r="E1682" t="str">
        <x:v>All India</x:v>
      </x:c>
      <x:c r="F1682" t="str">
        <x:v>SC</x:v>
      </x:c>
      <x:c r="G1682" t="n">
        <x:v>2</x:v>
      </x:c>
      <x:c r="H1682" t="n">
        <x:v>2</x:v>
      </x:c>
      <x:c r="I1682" t="n">
        <x:f>G1682-H1682</x:f>
        <x:v>0</x:v>
      </x:c>
      <x:c r="J1682" s="20" t="n">
        <x:f>IFERROR(H1682/G1682,0)</x:f>
        <x:v>1</x:v>
      </x:c>
      <x:c r="K1682" t="n">
        <x:v>72464</x:v>
      </x:c>
      <x:c r="L1682" t="n">
        <x:v>73304.25</x:v>
      </x:c>
      <x:c r="M1682" t="n">
        <x:v>74144.5</x:v>
      </x:c>
      <x:c r="N1682" t="n">
        <x:v>74984.75</x:v>
      </x:c>
      <x:c r="O1682" t="n">
        <x:v>75825</x:v>
      </x:c>
    </x:row>
    <x:row r="1683">
      <x:c r="A1683" t="str">
        <x:v>Madhya Pradesh</x:v>
      </x:c>
      <x:c r="B1683" t="str">
        <x:v>All India except Central University</x:v>
      </x:c>
      <x:c r="C1683" t="str">
        <x:v>902825</x:v>
      </x:c>
      <x:c r="D1683" t="str">
        <x:v>Government Medical College, Seoni, Government Medical College, Kandipaar Village, Seoni</x:v>
      </x:c>
      <x:c r="E1683" t="str">
        <x:v>All India</x:v>
      </x:c>
      <x:c r="F1683" t="str">
        <x:v>ST</x:v>
      </x:c>
      <x:c r="G1683" t="n">
        <x:v>1</x:v>
      </x:c>
      <x:c r="H1683" t="n">
        <x:v>1</x:v>
      </x:c>
      <x:c r="I1683" t="n">
        <x:f>G1683-H1683</x:f>
        <x:v>0</x:v>
      </x:c>
      <x:c r="J1683" s="20" t="n">
        <x:f>IFERROR(H1683/G1683,0)</x:f>
        <x:v>1</x:v>
      </x:c>
      <x:c r="K1683" t="n">
        <x:v>104543</x:v>
      </x:c>
      <x:c r="L1683" t="n">
        <x:v>104543</x:v>
      </x:c>
      <x:c r="M1683" t="n">
        <x:v>104543</x:v>
      </x:c>
      <x:c r="N1683" t="n">
        <x:v>104543</x:v>
      </x:c>
      <x:c r="O1683" t="n">
        <x:v>104543</x:v>
      </x:c>
    </x:row>
    <x:row r="1684">
      <x:c r="A1684" t="str">
        <x:v>Madhya Pradesh</x:v>
      </x:c>
      <x:c r="B1684" t="str">
        <x:v>All India except Central University</x:v>
      </x:c>
      <x:c r="C1684" t="str">
        <x:v>200471</x:v>
      </x:c>
      <x:c r="D1684" t="str">
        <x:v>Government Medical College, Shahdol, MP, GRAM CHAMPA KUDRI ROAD NEAR NEW BUS STAND SHAHDOL MP</x:v>
      </x:c>
      <x:c r="E1684" t="str">
        <x:v>All India</x:v>
      </x:c>
      <x:c r="F1684" t="str">
        <x:v>EWS</x:v>
      </x:c>
      <x:c r="G1684" t="n">
        <x:v>2</x:v>
      </x:c>
      <x:c r="H1684" t="n">
        <x:v>2</x:v>
      </x:c>
      <x:c r="I1684" t="n">
        <x:f>G1684-H1684</x:f>
        <x:v>0</x:v>
      </x:c>
      <x:c r="J1684" s="20" t="n">
        <x:f>IFERROR(H1684/G1684,0)</x:f>
        <x:v>1</x:v>
      </x:c>
      <x:c r="K1684" t="n">
        <x:v>15584</x:v>
      </x:c>
      <x:c r="L1684" t="n">
        <x:v>15624.25</x:v>
      </x:c>
      <x:c r="M1684" t="n">
        <x:v>15664.5</x:v>
      </x:c>
      <x:c r="N1684" t="n">
        <x:v>15704.75</x:v>
      </x:c>
      <x:c r="O1684" t="n">
        <x:v>15745</x:v>
      </x:c>
    </x:row>
    <x:row r="1685">
      <x:c r="A1685" t="str">
        <x:v>Madhya Pradesh</x:v>
      </x:c>
      <x:c r="B1685" t="str">
        <x:v>All India except Central University</x:v>
      </x:c>
      <x:c r="C1685" t="str">
        <x:v>200471</x:v>
      </x:c>
      <x:c r="D1685" t="str">
        <x:v>Government Medical College, Shahdol, MP, GRAM CHAMPA KUDRI ROAD NEAR NEW BUS STAND SHAHDOL MP</x:v>
      </x:c>
      <x:c r="E1685" t="str">
        <x:v>All India</x:v>
      </x:c>
      <x:c r="F1685" t="str">
        <x:v>OBC</x:v>
      </x:c>
      <x:c r="G1685" t="n">
        <x:v>3</x:v>
      </x:c>
      <x:c r="H1685" t="n">
        <x:v>3</x:v>
      </x:c>
      <x:c r="I1685" t="n">
        <x:f>G1685-H1685</x:f>
        <x:v>0</x:v>
      </x:c>
      <x:c r="J1685" s="20" t="n">
        <x:f>IFERROR(H1685/G1685,0)</x:f>
        <x:v>1</x:v>
      </x:c>
      <x:c r="K1685" t="n">
        <x:v>15164</x:v>
      </x:c>
      <x:c r="L1685" t="n">
        <x:v>15288</x:v>
      </x:c>
      <x:c r="M1685" t="n">
        <x:v>15412</x:v>
      </x:c>
      <x:c r="N1685" t="n">
        <x:v>15549.5</x:v>
      </x:c>
      <x:c r="O1685" t="n">
        <x:v>15687</x:v>
      </x:c>
    </x:row>
    <x:row r="1686">
      <x:c r="A1686" t="str">
        <x:v>Madhya Pradesh</x:v>
      </x:c>
      <x:c r="B1686" t="str">
        <x:v>All India except Central University</x:v>
      </x:c>
      <x:c r="C1686" t="str">
        <x:v>200471</x:v>
      </x:c>
      <x:c r="D1686" t="str">
        <x:v>Government Medical College, Shahdol, MP, GRAM CHAMPA KUDRI ROAD NEAR NEW BUS STAND SHAHDOL MP</x:v>
      </x:c>
      <x:c r="E1686" t="str">
        <x:v>All India</x:v>
      </x:c>
      <x:c r="F1686" t="str">
        <x:v>OBC PwD</x:v>
      </x:c>
      <x:c r="G1686" t="n">
        <x:v>1</x:v>
      </x:c>
      <x:c r="H1686" t="n">
        <x:v>1</x:v>
      </x:c>
      <x:c r="I1686" t="n">
        <x:f>G1686-H1686</x:f>
        <x:v>0</x:v>
      </x:c>
      <x:c r="J1686" s="20" t="n">
        <x:f>IFERROR(H1686/G1686,0)</x:f>
        <x:v>1</x:v>
      </x:c>
      <x:c r="K1686" t="n">
        <x:v>553512</x:v>
      </x:c>
      <x:c r="L1686" t="n">
        <x:v>553512</x:v>
      </x:c>
      <x:c r="M1686" t="n">
        <x:v>553512</x:v>
      </x:c>
      <x:c r="N1686" t="n">
        <x:v>553512</x:v>
      </x:c>
      <x:c r="O1686" t="n">
        <x:v>553512</x:v>
      </x:c>
    </x:row>
    <x:row r="1687">
      <x:c r="A1687" t="str">
        <x:v>Madhya Pradesh</x:v>
      </x:c>
      <x:c r="B1687" t="str">
        <x:v>All India except Central University</x:v>
      </x:c>
      <x:c r="C1687" t="str">
        <x:v>200471</x:v>
      </x:c>
      <x:c r="D1687" t="str">
        <x:v>Government Medical College, Shahdol, MP, GRAM CHAMPA KUDRI ROAD NEAR NEW BUS STAND SHAHDOL MP</x:v>
      </x:c>
      <x:c r="E1687" t="str">
        <x:v>All India</x:v>
      </x:c>
      <x:c r="F1687" t="str">
        <x:v>Open</x:v>
      </x:c>
      <x:c r="G1687" t="n">
        <x:v>5</x:v>
      </x:c>
      <x:c r="H1687" t="n">
        <x:v>5</x:v>
      </x:c>
      <x:c r="I1687" t="n">
        <x:f>G1687-H1687</x:f>
        <x:v>0</x:v>
      </x:c>
      <x:c r="J1687" s="20" t="n">
        <x:f>IFERROR(H1687/G1687,0)</x:f>
        <x:v>1</x:v>
      </x:c>
      <x:c r="K1687" t="n">
        <x:v>13754</x:v>
      </x:c>
      <x:c r="L1687" t="n">
        <x:v>13866</x:v>
      </x:c>
      <x:c r="M1687" t="n">
        <x:v>13929</x:v>
      </x:c>
      <x:c r="N1687" t="n">
        <x:v>14428</x:v>
      </x:c>
      <x:c r="O1687" t="n">
        <x:v>14717</x:v>
      </x:c>
    </x:row>
    <x:row r="1688">
      <x:c r="A1688" t="str">
        <x:v>Madhya Pradesh</x:v>
      </x:c>
      <x:c r="B1688" t="str">
        <x:v>All India except Central University</x:v>
      </x:c>
      <x:c r="C1688" t="str">
        <x:v>200471</x:v>
      </x:c>
      <x:c r="D1688" t="str">
        <x:v>Government Medical College, Shahdol, MP, GRAM CHAMPA KUDRI ROAD NEAR NEW BUS STAND SHAHDOL MP</x:v>
      </x:c>
      <x:c r="E1688" t="str">
        <x:v>All India</x:v>
      </x:c>
      <x:c r="F1688" t="str">
        <x:v>SC</x:v>
      </x:c>
      <x:c r="G1688" t="n">
        <x:v>3</x:v>
      </x:c>
      <x:c r="H1688" t="n">
        <x:v>3</x:v>
      </x:c>
      <x:c r="I1688" t="n">
        <x:f>G1688-H1688</x:f>
        <x:v>0</x:v>
      </x:c>
      <x:c r="J1688" s="20" t="n">
        <x:f>IFERROR(H1688/G1688,0)</x:f>
        <x:v>1</x:v>
      </x:c>
      <x:c r="K1688" t="n">
        <x:v>80680</x:v>
      </x:c>
      <x:c r="L1688" t="n">
        <x:v>81554</x:v>
      </x:c>
      <x:c r="M1688" t="n">
        <x:v>82428</x:v>
      </x:c>
      <x:c r="N1688" t="n">
        <x:v>82452</x:v>
      </x:c>
      <x:c r="O1688" t="n">
        <x:v>82476</x:v>
      </x:c>
    </x:row>
    <x:row r="1689">
      <x:c r="A1689" t="str">
        <x:v>Madhya Pradesh</x:v>
      </x:c>
      <x:c r="B1689" t="str">
        <x:v>All India except Central University</x:v>
      </x:c>
      <x:c r="C1689" t="str">
        <x:v>200471</x:v>
      </x:c>
      <x:c r="D1689" t="str">
        <x:v>Government Medical College, Shahdol, MP, GRAM CHAMPA KUDRI ROAD NEAR NEW BUS STAND SHAHDOL MP</x:v>
      </x:c>
      <x:c r="E1689" t="str">
        <x:v>All India</x:v>
      </x:c>
      <x:c r="F1689" t="str">
        <x:v>ST</x:v>
      </x:c>
      <x:c r="G1689" t="n">
        <x:v>1</x:v>
      </x:c>
      <x:c r="H1689" t="n">
        <x:v>1</x:v>
      </x:c>
      <x:c r="I1689" t="n">
        <x:f>G1689-H1689</x:f>
        <x:v>0</x:v>
      </x:c>
      <x:c r="J1689" s="20" t="n">
        <x:f>IFERROR(H1689/G1689,0)</x:f>
        <x:v>1</x:v>
      </x:c>
      <x:c r="K1689" t="n">
        <x:v>99692</x:v>
      </x:c>
      <x:c r="L1689" t="n">
        <x:v>99692</x:v>
      </x:c>
      <x:c r="M1689" t="n">
        <x:v>99692</x:v>
      </x:c>
      <x:c r="N1689" t="n">
        <x:v>99692</x:v>
      </x:c>
      <x:c r="O1689" t="n">
        <x:v>99692</x:v>
      </x:c>
    </x:row>
    <x:row r="1690">
      <x:c r="A1690" t="str">
        <x:v>Uttar Pradesh</x:v>
      </x:c>
      <x:c r="B1690" t="str">
        <x:v>All India except Central University</x:v>
      </x:c>
      <x:c r="C1690" t="str">
        <x:v>200491</x:v>
      </x:c>
      <x:c r="D1690" t="str">
        <x:v>Government Medical College, Shahjahanpur, UP, AUTONOMOUS STATE MEDICAL COLLEGE ALLIED PANDIT RAM PRASAD BISMIL HOSPITAL SHAHJAHANPUR UTTAR PRADESH</x:v>
      </x:c>
      <x:c r="E1690" t="str">
        <x:v>All India</x:v>
      </x:c>
      <x:c r="F1690" t="str">
        <x:v>EWS</x:v>
      </x:c>
      <x:c r="G1690" t="n">
        <x:v>2</x:v>
      </x:c>
      <x:c r="H1690" t="n">
        <x:v>2</x:v>
      </x:c>
      <x:c r="I1690" t="n">
        <x:f>G1690-H1690</x:f>
        <x:v>0</x:v>
      </x:c>
      <x:c r="J1690" s="20" t="n">
        <x:f>IFERROR(H1690/G1690,0)</x:f>
        <x:v>1</x:v>
      </x:c>
      <x:c r="K1690" t="n">
        <x:v>13295</x:v>
      </x:c>
      <x:c r="L1690" t="n">
        <x:v>13715</x:v>
      </x:c>
      <x:c r="M1690" t="n">
        <x:v>14135</x:v>
      </x:c>
      <x:c r="N1690" t="n">
        <x:v>14555</x:v>
      </x:c>
      <x:c r="O1690" t="n">
        <x:v>14975</x:v>
      </x:c>
    </x:row>
    <x:row r="1691">
      <x:c r="A1691" t="str">
        <x:v>Uttar Pradesh</x:v>
      </x:c>
      <x:c r="B1691" t="str">
        <x:v>All India except Central University</x:v>
      </x:c>
      <x:c r="C1691" t="str">
        <x:v>200491</x:v>
      </x:c>
      <x:c r="D1691" t="str">
        <x:v>Government Medical College, Shahjahanpur, UP, AUTONOMOUS STATE MEDICAL COLLEGE ALLIED PANDIT RAM PRASAD BISMIL HOSPITAL SHAHJAHANPUR UTTAR PRADESH</x:v>
      </x:c>
      <x:c r="E1691" t="str">
        <x:v>All India</x:v>
      </x:c>
      <x:c r="F1691" t="str">
        <x:v>OBC</x:v>
      </x:c>
      <x:c r="G1691" t="n">
        <x:v>3</x:v>
      </x:c>
      <x:c r="H1691" t="n">
        <x:v>3</x:v>
      </x:c>
      <x:c r="I1691" t="n">
        <x:f>G1691-H1691</x:f>
        <x:v>0</x:v>
      </x:c>
      <x:c r="J1691" s="20" t="n">
        <x:f>IFERROR(H1691/G1691,0)</x:f>
        <x:v>1</x:v>
      </x:c>
      <x:c r="K1691" t="n">
        <x:v>12018</x:v>
      </x:c>
      <x:c r="L1691" t="n">
        <x:v>12393</x:v>
      </x:c>
      <x:c r="M1691" t="n">
        <x:v>12768</x:v>
      </x:c>
      <x:c r="N1691" t="n">
        <x:v>12978</x:v>
      </x:c>
      <x:c r="O1691" t="n">
        <x:v>13188</x:v>
      </x:c>
    </x:row>
    <x:row r="1692">
      <x:c r="A1692" t="str">
        <x:v>Uttar Pradesh</x:v>
      </x:c>
      <x:c r="B1692" t="str">
        <x:v>All India except Central University</x:v>
      </x:c>
      <x:c r="C1692" t="str">
        <x:v>200491</x:v>
      </x:c>
      <x:c r="D1692" t="str">
        <x:v>Government Medical College, Shahjahanpur, UP, AUTONOMOUS STATE MEDICAL COLLEGE ALLIED PANDIT RAM PRASAD BISMIL HOSPITAL SHAHJAHANPUR UTTAR PRADESH</x:v>
      </x:c>
      <x:c r="E1692" t="str">
        <x:v>All India</x:v>
      </x:c>
      <x:c r="F1692" t="str">
        <x:v>OBC PwD</x:v>
      </x:c>
      <x:c r="G1692" t="n">
        <x:v>1</x:v>
      </x:c>
      <x:c r="H1692" t="n">
        <x:v>1</x:v>
      </x:c>
      <x:c r="I1692" t="n">
        <x:f>G1692-H1692</x:f>
        <x:v>0</x:v>
      </x:c>
      <x:c r="J1692" s="20" t="n">
        <x:f>IFERROR(H1692/G1692,0)</x:f>
        <x:v>1</x:v>
      </x:c>
      <x:c r="K1692" t="n">
        <x:v>496536</x:v>
      </x:c>
      <x:c r="L1692" t="n">
        <x:v>496536</x:v>
      </x:c>
      <x:c r="M1692" t="n">
        <x:v>496536</x:v>
      </x:c>
      <x:c r="N1692" t="n">
        <x:v>496536</x:v>
      </x:c>
      <x:c r="O1692" t="n">
        <x:v>496536</x:v>
      </x:c>
    </x:row>
    <x:row r="1693">
      <x:c r="A1693" t="str">
        <x:v>Uttar Pradesh</x:v>
      </x:c>
      <x:c r="B1693" t="str">
        <x:v>All India except Central University</x:v>
      </x:c>
      <x:c r="C1693" t="str">
        <x:v>200491</x:v>
      </x:c>
      <x:c r="D1693" t="str">
        <x:v>Government Medical College, Shahjahanpur, UP, AUTONOMOUS STATE MEDICAL COLLEGE ALLIED PANDIT RAM PRASAD BISMIL HOSPITAL SHAHJAHANPUR UTTAR PRADESH</x:v>
      </x:c>
      <x:c r="E1693" t="str">
        <x:v>All India</x:v>
      </x:c>
      <x:c r="F1693" t="str">
        <x:v>Open</x:v>
      </x:c>
      <x:c r="G1693" t="n">
        <x:v>4</x:v>
      </x:c>
      <x:c r="H1693" t="n">
        <x:v>4</x:v>
      </x:c>
      <x:c r="I1693" t="n">
        <x:f>G1693-H1693</x:f>
        <x:v>0</x:v>
      </x:c>
      <x:c r="J1693" s="20" t="n">
        <x:f>IFERROR(H1693/G1693,0)</x:f>
        <x:v>1</x:v>
      </x:c>
      <x:c r="K1693" t="n">
        <x:v>9232</x:v>
      </x:c>
      <x:c r="L1693" t="n">
        <x:v>11085.25</x:v>
      </x:c>
      <x:c r="M1693" t="n">
        <x:v>11793.5</x:v>
      </x:c>
      <x:c r="N1693" t="n">
        <x:v>11895</x:v>
      </x:c>
      <x:c r="O1693" t="n">
        <x:v>11928</x:v>
      </x:c>
    </x:row>
    <x:row r="1694">
      <x:c r="A1694" t="str">
        <x:v>Uttar Pradesh</x:v>
      </x:c>
      <x:c r="B1694" t="str">
        <x:v>All India except Central University</x:v>
      </x:c>
      <x:c r="C1694" t="str">
        <x:v>200491</x:v>
      </x:c>
      <x:c r="D1694" t="str">
        <x:v>Government Medical College, Shahjahanpur, UP, AUTONOMOUS STATE MEDICAL COLLEGE ALLIED PANDIT RAM PRASAD BISMIL HOSPITAL SHAHJAHANPUR UTTAR PRADESH</x:v>
      </x:c>
      <x:c r="E1694" t="str">
        <x:v>All India</x:v>
      </x:c>
      <x:c r="F1694" t="str">
        <x:v>Open PwD</x:v>
      </x:c>
      <x:c r="G1694" t="n">
        <x:v>1</x:v>
      </x:c>
      <x:c r="H1694" t="n">
        <x:v>1</x:v>
      </x:c>
      <x:c r="I1694" t="n">
        <x:f>G1694-H1694</x:f>
        <x:v>0</x:v>
      </x:c>
      <x:c r="J1694" s="20" t="n">
        <x:f>IFERROR(H1694/G1694,0)</x:f>
        <x:v>1</x:v>
      </x:c>
      <x:c r="K1694" t="n">
        <x:v>477648</x:v>
      </x:c>
      <x:c r="L1694" t="n">
        <x:v>477648</x:v>
      </x:c>
      <x:c r="M1694" t="n">
        <x:v>477648</x:v>
      </x:c>
      <x:c r="N1694" t="n">
        <x:v>477648</x:v>
      </x:c>
      <x:c r="O1694" t="n">
        <x:v>477648</x:v>
      </x:c>
    </x:row>
    <x:row r="1695">
      <x:c r="A1695" t="str">
        <x:v>Uttar Pradesh</x:v>
      </x:c>
      <x:c r="B1695" t="str">
        <x:v>All India except Central University</x:v>
      </x:c>
      <x:c r="C1695" t="str">
        <x:v>200491</x:v>
      </x:c>
      <x:c r="D1695" t="str">
        <x:v>Government Medical College, Shahjahanpur, UP, AUTONOMOUS STATE MEDICAL COLLEGE ALLIED PANDIT RAM PRASAD BISMIL HOSPITAL SHAHJAHANPUR UTTAR PRADESH</x:v>
      </x:c>
      <x:c r="E1695" t="str">
        <x:v>All India</x:v>
      </x:c>
      <x:c r="F1695" t="str">
        <x:v>SC</x:v>
      </x:c>
      <x:c r="G1695" t="n">
        <x:v>2</x:v>
      </x:c>
      <x:c r="H1695" t="n">
        <x:v>2</x:v>
      </x:c>
      <x:c r="I1695" t="n">
        <x:f>G1695-H1695</x:f>
        <x:v>0</x:v>
      </x:c>
      <x:c r="J1695" s="20" t="n">
        <x:f>IFERROR(H1695/G1695,0)</x:f>
        <x:v>1</x:v>
      </x:c>
      <x:c r="K1695" t="n">
        <x:v>63048</x:v>
      </x:c>
      <x:c r="L1695" t="n">
        <x:v>65248.5</x:v>
      </x:c>
      <x:c r="M1695" t="n">
        <x:v>67449</x:v>
      </x:c>
      <x:c r="N1695" t="n">
        <x:v>69649.5</x:v>
      </x:c>
      <x:c r="O1695" t="n">
        <x:v>71850</x:v>
      </x:c>
    </x:row>
    <x:row r="1696">
      <x:c r="A1696" t="str">
        <x:v>Uttar Pradesh</x:v>
      </x:c>
      <x:c r="B1696" t="str">
        <x:v>All India except Central University</x:v>
      </x:c>
      <x:c r="C1696" t="str">
        <x:v>200491</x:v>
      </x:c>
      <x:c r="D1696" t="str">
        <x:v>Government Medical College, Shahjahanpur, UP, AUTONOMOUS STATE MEDICAL COLLEGE ALLIED PANDIT RAM PRASAD BISMIL HOSPITAL SHAHJAHANPUR UTTAR PRADESH</x:v>
      </x:c>
      <x:c r="E1696" t="str">
        <x:v>All India</x:v>
      </x:c>
      <x:c r="F1696" t="str">
        <x:v>ST</x:v>
      </x:c>
      <x:c r="G1696" t="n">
        <x:v>2</x:v>
      </x:c>
      <x:c r="H1696" t="n">
        <x:v>2</x:v>
      </x:c>
      <x:c r="I1696" t="n">
        <x:f>G1696-H1696</x:f>
        <x:v>0</x:v>
      </x:c>
      <x:c r="J1696" s="20" t="n">
        <x:f>IFERROR(H1696/G1696,0)</x:f>
        <x:v>1</x:v>
      </x:c>
      <x:c r="K1696" t="n">
        <x:v>98082</x:v>
      </x:c>
      <x:c r="L1696" t="n">
        <x:v>98133.25</x:v>
      </x:c>
      <x:c r="M1696" t="n">
        <x:v>98184.5</x:v>
      </x:c>
      <x:c r="N1696" t="n">
        <x:v>98235.75</x:v>
      </x:c>
      <x:c r="O1696" t="n">
        <x:v>98287</x:v>
      </x:c>
    </x:row>
    <x:row r="1697">
      <x:c r="A1697" t="str">
        <x:v>Madhya Pradesh</x:v>
      </x:c>
      <x:c r="B1697" t="str">
        <x:v>All India except Central University</x:v>
      </x:c>
      <x:c r="C1697" t="str">
        <x:v>200488</x:v>
      </x:c>
      <x:c r="D1697" t="str">
        <x:v>Government Medical College, Shivpuri, MP, Near Katha Mill, Gwalior Bypass Highway, Shivpuri</x:v>
      </x:c>
      <x:c r="E1697" t="str">
        <x:v>All India</x:v>
      </x:c>
      <x:c r="F1697" t="str">
        <x:v>EWS</x:v>
      </x:c>
      <x:c r="G1697" t="n">
        <x:v>1</x:v>
      </x:c>
      <x:c r="H1697" t="n">
        <x:v>1</x:v>
      </x:c>
      <x:c r="I1697" t="n">
        <x:f>G1697-H1697</x:f>
        <x:v>0</x:v>
      </x:c>
      <x:c r="J1697" s="20" t="n">
        <x:f>IFERROR(H1697/G1697,0)</x:f>
        <x:v>1</x:v>
      </x:c>
      <x:c r="K1697" t="n">
        <x:v>15332</x:v>
      </x:c>
      <x:c r="L1697" t="n">
        <x:v>15332</x:v>
      </x:c>
      <x:c r="M1697" t="n">
        <x:v>15332</x:v>
      </x:c>
      <x:c r="N1697" t="n">
        <x:v>15332</x:v>
      </x:c>
      <x:c r="O1697" t="n">
        <x:v>15332</x:v>
      </x:c>
    </x:row>
    <x:row r="1698">
      <x:c r="A1698" t="str">
        <x:v>Madhya Pradesh</x:v>
      </x:c>
      <x:c r="B1698" t="str">
        <x:v>All India except Central University</x:v>
      </x:c>
      <x:c r="C1698" t="str">
        <x:v>200488</x:v>
      </x:c>
      <x:c r="D1698" t="str">
        <x:v>Government Medical College, Shivpuri, MP, Near Katha Mill, Gwalior Bypass Highway, Shivpuri</x:v>
      </x:c>
      <x:c r="E1698" t="str">
        <x:v>All India</x:v>
      </x:c>
      <x:c r="F1698" t="str">
        <x:v>OBC</x:v>
      </x:c>
      <x:c r="G1698" t="n">
        <x:v>4</x:v>
      </x:c>
      <x:c r="H1698" t="n">
        <x:v>4</x:v>
      </x:c>
      <x:c r="I1698" t="n">
        <x:f>G1698-H1698</x:f>
        <x:v>0</x:v>
      </x:c>
      <x:c r="J1698" s="20" t="n">
        <x:f>IFERROR(H1698/G1698,0)</x:f>
        <x:v>1</x:v>
      </x:c>
      <x:c r="K1698" t="n">
        <x:v>12273</x:v>
      </x:c>
      <x:c r="L1698" t="n">
        <x:v>12542.25</x:v>
      </x:c>
      <x:c r="M1698" t="n">
        <x:v>12762.5</x:v>
      </x:c>
      <x:c r="N1698" t="n">
        <x:v>12898.75</x:v>
      </x:c>
      <x:c r="O1698" t="n">
        <x:v>12916</x:v>
      </x:c>
    </x:row>
    <x:row r="1699">
      <x:c r="A1699" t="str">
        <x:v>Madhya Pradesh</x:v>
      </x:c>
      <x:c r="B1699" t="str">
        <x:v>All India except Central University</x:v>
      </x:c>
      <x:c r="C1699" t="str">
        <x:v>200488</x:v>
      </x:c>
      <x:c r="D1699" t="str">
        <x:v>Government Medical College, Shivpuri, MP, Near Katha Mill, Gwalior Bypass Highway, Shivpuri</x:v>
      </x:c>
      <x:c r="E1699" t="str">
        <x:v>All India</x:v>
      </x:c>
      <x:c r="F1699" t="str">
        <x:v>Open</x:v>
      </x:c>
      <x:c r="G1699" t="n">
        <x:v>5</x:v>
      </x:c>
      <x:c r="H1699" t="n">
        <x:v>5</x:v>
      </x:c>
      <x:c r="I1699" t="n">
        <x:f>G1699-H1699</x:f>
        <x:v>0</x:v>
      </x:c>
      <x:c r="J1699" s="20" t="n">
        <x:f>IFERROR(H1699/G1699,0)</x:f>
        <x:v>1</x:v>
      </x:c>
      <x:c r="K1699" t="n">
        <x:v>10513</x:v>
      </x:c>
      <x:c r="L1699" t="n">
        <x:v>11317</x:v>
      </x:c>
      <x:c r="M1699" t="n">
        <x:v>11791</x:v>
      </x:c>
      <x:c r="N1699" t="n">
        <x:v>11827</x:v>
      </x:c>
      <x:c r="O1699" t="n">
        <x:v>12037</x:v>
      </x:c>
    </x:row>
    <x:row r="1700">
      <x:c r="A1700" t="str">
        <x:v>Madhya Pradesh</x:v>
      </x:c>
      <x:c r="B1700" t="str">
        <x:v>All India except Central University</x:v>
      </x:c>
      <x:c r="C1700" t="str">
        <x:v>200488</x:v>
      </x:c>
      <x:c r="D1700" t="str">
        <x:v>Government Medical College, Shivpuri, MP, Near Katha Mill, Gwalior Bypass Highway, Shivpuri</x:v>
      </x:c>
      <x:c r="E1700" t="str">
        <x:v>All India</x:v>
      </x:c>
      <x:c r="F1700" t="str">
        <x:v>Open PwD</x:v>
      </x:c>
      <x:c r="G1700" t="n">
        <x:v>1</x:v>
      </x:c>
      <x:c r="H1700" t="n">
        <x:v>1</x:v>
      </x:c>
      <x:c r="I1700" t="n">
        <x:f>G1700-H1700</x:f>
        <x:v>0</x:v>
      </x:c>
      <x:c r="J1700" s="20" t="n">
        <x:f>IFERROR(H1700/G1700,0)</x:f>
        <x:v>1</x:v>
      </x:c>
      <x:c r="K1700" t="n">
        <x:v>570109</x:v>
      </x:c>
      <x:c r="L1700" t="n">
        <x:v>570109</x:v>
      </x:c>
      <x:c r="M1700" t="n">
        <x:v>570109</x:v>
      </x:c>
      <x:c r="N1700" t="n">
        <x:v>570109</x:v>
      </x:c>
      <x:c r="O1700" t="n">
        <x:v>570109</x:v>
      </x:c>
    </x:row>
    <x:row r="1701">
      <x:c r="A1701" t="str">
        <x:v>Madhya Pradesh</x:v>
      </x:c>
      <x:c r="B1701" t="str">
        <x:v>All India except Central University</x:v>
      </x:c>
      <x:c r="C1701" t="str">
        <x:v>200488</x:v>
      </x:c>
      <x:c r="D1701" t="str">
        <x:v>Government Medical College, Shivpuri, MP, Near Katha Mill, Gwalior Bypass Highway, Shivpuri</x:v>
      </x:c>
      <x:c r="E1701" t="str">
        <x:v>All India</x:v>
      </x:c>
      <x:c r="F1701" t="str">
        <x:v>SC</x:v>
      </x:c>
      <x:c r="G1701" t="n">
        <x:v>2</x:v>
      </x:c>
      <x:c r="H1701" t="n">
        <x:v>2</x:v>
      </x:c>
      <x:c r="I1701" t="n">
        <x:f>G1701-H1701</x:f>
        <x:v>0</x:v>
      </x:c>
      <x:c r="J1701" s="20" t="n">
        <x:f>IFERROR(H1701/G1701,0)</x:f>
        <x:v>1</x:v>
      </x:c>
      <x:c r="K1701" t="n">
        <x:v>58649</x:v>
      </x:c>
      <x:c r="L1701" t="n">
        <x:v>59168.75</x:v>
      </x:c>
      <x:c r="M1701" t="n">
        <x:v>59688.5</x:v>
      </x:c>
      <x:c r="N1701" t="n">
        <x:v>60208.25</x:v>
      </x:c>
      <x:c r="O1701" t="n">
        <x:v>60728</x:v>
      </x:c>
    </x:row>
    <x:row r="1702">
      <x:c r="A1702" t="str">
        <x:v>Madhya Pradesh</x:v>
      </x:c>
      <x:c r="B1702" t="str">
        <x:v>All India except Central University</x:v>
      </x:c>
      <x:c r="C1702" t="str">
        <x:v>200488</x:v>
      </x:c>
      <x:c r="D1702" t="str">
        <x:v>Government Medical College, Shivpuri, MP, Near Katha Mill, Gwalior Bypass Highway, Shivpuri</x:v>
      </x:c>
      <x:c r="E1702" t="str">
        <x:v>All India</x:v>
      </x:c>
      <x:c r="F1702" t="str">
        <x:v>ST</x:v>
      </x:c>
      <x:c r="G1702" t="n">
        <x:v>2</x:v>
      </x:c>
      <x:c r="H1702" t="n">
        <x:v>2</x:v>
      </x:c>
      <x:c r="I1702" t="n">
        <x:f>G1702-H1702</x:f>
        <x:v>0</x:v>
      </x:c>
      <x:c r="J1702" s="20" t="n">
        <x:f>IFERROR(H1702/G1702,0)</x:f>
        <x:v>1</x:v>
      </x:c>
      <x:c r="K1702" t="n">
        <x:v>84100</x:v>
      </x:c>
      <x:c r="L1702" t="n">
        <x:v>87241</x:v>
      </x:c>
      <x:c r="M1702" t="n">
        <x:v>90382</x:v>
      </x:c>
      <x:c r="N1702" t="n">
        <x:v>93523</x:v>
      </x:c>
      <x:c r="O1702" t="n">
        <x:v>96664</x:v>
      </x:c>
    </x:row>
    <x:row r="1703">
      <x:c r="A1703" t="str">
        <x:v>Telangana</x:v>
      </x:c>
      <x:c r="B1703" t="str">
        <x:v>All India except Central University</x:v>
      </x:c>
      <x:c r="C1703" t="str">
        <x:v>200458</x:v>
      </x:c>
      <x:c r="D1703" t="str">
        <x:v>Government Medical College, Siddipet, Survey No 54, Ensanpalli Village, Siddipet Mandal, Siddipet</x:v>
      </x:c>
      <x:c r="E1703" t="str">
        <x:v>All India</x:v>
      </x:c>
      <x:c r="F1703" t="str">
        <x:v>EWS</x:v>
      </x:c>
      <x:c r="G1703" t="n">
        <x:v>3</x:v>
      </x:c>
      <x:c r="H1703" t="n">
        <x:v>3</x:v>
      </x:c>
      <x:c r="I1703" t="n">
        <x:f>G1703-H1703</x:f>
        <x:v>0</x:v>
      </x:c>
      <x:c r="J1703" s="20" t="n">
        <x:f>IFERROR(H1703/G1703,0)</x:f>
        <x:v>1</x:v>
      </x:c>
      <x:c r="K1703" t="n">
        <x:v>22222</x:v>
      </x:c>
      <x:c r="L1703" t="n">
        <x:v>22653</x:v>
      </x:c>
      <x:c r="M1703" t="n">
        <x:v>23084</x:v>
      </x:c>
      <x:c r="N1703" t="n">
        <x:v>23106</x:v>
      </x:c>
      <x:c r="O1703" t="n">
        <x:v>23128</x:v>
      </x:c>
    </x:row>
    <x:row r="1704">
      <x:c r="A1704" t="str">
        <x:v>Telangana</x:v>
      </x:c>
      <x:c r="B1704" t="str">
        <x:v>All India except Central University</x:v>
      </x:c>
      <x:c r="C1704" t="str">
        <x:v>200458</x:v>
      </x:c>
      <x:c r="D1704" t="str">
        <x:v>Government Medical College, Siddipet, Survey No 54, Ensanpalli Village, Siddipet Mandal, Siddipet</x:v>
      </x:c>
      <x:c r="E1704" t="str">
        <x:v>All India</x:v>
      </x:c>
      <x:c r="F1704" t="str">
        <x:v>OBC</x:v>
      </x:c>
      <x:c r="G1704" t="n">
        <x:v>7</x:v>
      </x:c>
      <x:c r="H1704" t="n">
        <x:v>7</x:v>
      </x:c>
      <x:c r="I1704" t="n">
        <x:f>G1704-H1704</x:f>
        <x:v>0</x:v>
      </x:c>
      <x:c r="J1704" s="20" t="n">
        <x:f>IFERROR(H1704/G1704,0)</x:f>
        <x:v>1</x:v>
      </x:c>
      <x:c r="K1704" t="n">
        <x:v>18764</x:v>
      </x:c>
      <x:c r="L1704" t="n">
        <x:v>19183.5</x:v>
      </x:c>
      <x:c r="M1704" t="n">
        <x:v>19424</x:v>
      </x:c>
      <x:c r="N1704" t="n">
        <x:v>20129</x:v>
      </x:c>
      <x:c r="O1704" t="n">
        <x:v>20199</x:v>
      </x:c>
    </x:row>
    <x:row r="1705">
      <x:c r="A1705" t="str">
        <x:v>Telangana</x:v>
      </x:c>
      <x:c r="B1705" t="str">
        <x:v>All India except Central University</x:v>
      </x:c>
      <x:c r="C1705" t="str">
        <x:v>200458</x:v>
      </x:c>
      <x:c r="D1705" t="str">
        <x:v>Government Medical College, Siddipet, Survey No 54, Ensanpalli Village, Siddipet Mandal, Siddipet</x:v>
      </x:c>
      <x:c r="E1705" t="str">
        <x:v>All India</x:v>
      </x:c>
      <x:c r="F1705" t="str">
        <x:v>OBC PwD</x:v>
      </x:c>
      <x:c r="G1705" t="n">
        <x:v>1</x:v>
      </x:c>
      <x:c r="H1705" t="n">
        <x:v>1</x:v>
      </x:c>
      <x:c r="I1705" t="n">
        <x:f>G1705-H1705</x:f>
        <x:v>0</x:v>
      </x:c>
      <x:c r="J1705" s="20" t="n">
        <x:f>IFERROR(H1705/G1705,0)</x:f>
        <x:v>1</x:v>
      </x:c>
      <x:c r="K1705" t="n">
        <x:v>773457</x:v>
      </x:c>
      <x:c r="L1705" t="n">
        <x:v>773457</x:v>
      </x:c>
      <x:c r="M1705" t="n">
        <x:v>773457</x:v>
      </x:c>
      <x:c r="N1705" t="n">
        <x:v>773457</x:v>
      </x:c>
      <x:c r="O1705" t="n">
        <x:v>773457</x:v>
      </x:c>
    </x:row>
    <x:row r="1706">
      <x:c r="A1706" t="str">
        <x:v>Telangana</x:v>
      </x:c>
      <x:c r="B1706" t="str">
        <x:v>All India except Central University</x:v>
      </x:c>
      <x:c r="C1706" t="str">
        <x:v>200458</x:v>
      </x:c>
      <x:c r="D1706" t="str">
        <x:v>Government Medical College, Siddipet, Survey No 54, Ensanpalli Village, Siddipet Mandal, Siddipet</x:v>
      </x:c>
      <x:c r="E1706" t="str">
        <x:v>All India</x:v>
      </x:c>
      <x:c r="F1706" t="str">
        <x:v>Open</x:v>
      </x:c>
      <x:c r="G1706" t="n">
        <x:v>8</x:v>
      </x:c>
      <x:c r="H1706" t="n">
        <x:v>8</x:v>
      </x:c>
      <x:c r="I1706" t="n">
        <x:f>G1706-H1706</x:f>
        <x:v>0</x:v>
      </x:c>
      <x:c r="J1706" s="20" t="n">
        <x:f>IFERROR(H1706/G1706,0)</x:f>
        <x:v>1</x:v>
      </x:c>
      <x:c r="K1706" t="n">
        <x:v>13678</x:v>
      </x:c>
      <x:c r="L1706" t="n">
        <x:v>16987.75</x:v>
      </x:c>
      <x:c r="M1706" t="n">
        <x:v>17617</x:v>
      </x:c>
      <x:c r="N1706" t="n">
        <x:v>18195.25</x:v>
      </x:c>
      <x:c r="O1706" t="n">
        <x:v>18420</x:v>
      </x:c>
    </x:row>
    <x:row r="1707">
      <x:c r="A1707" t="str">
        <x:v>Telangana</x:v>
      </x:c>
      <x:c r="B1707" t="str">
        <x:v>All India except Central University</x:v>
      </x:c>
      <x:c r="C1707" t="str">
        <x:v>200458</x:v>
      </x:c>
      <x:c r="D1707" t="str">
        <x:v>Government Medical College, Siddipet, Survey No 54, Ensanpalli Village, Siddipet Mandal, Siddipet</x:v>
      </x:c>
      <x:c r="E1707" t="str">
        <x:v>All India</x:v>
      </x:c>
      <x:c r="F1707" t="str">
        <x:v>Open PwD</x:v>
      </x:c>
      <x:c r="G1707" t="n">
        <x:v>1</x:v>
      </x:c>
      <x:c r="H1707" t="n">
        <x:v>1</x:v>
      </x:c>
      <x:c r="I1707" t="n">
        <x:f>G1707-H1707</x:f>
        <x:v>0</x:v>
      </x:c>
      <x:c r="J1707" s="20" t="n">
        <x:f>IFERROR(H1707/G1707,0)</x:f>
        <x:v>1</x:v>
      </x:c>
      <x:c r="K1707" t="n">
        <x:v>382188</x:v>
      </x:c>
      <x:c r="L1707" t="n">
        <x:v>382188</x:v>
      </x:c>
      <x:c r="M1707" t="n">
        <x:v>382188</x:v>
      </x:c>
      <x:c r="N1707" t="n">
        <x:v>382188</x:v>
      </x:c>
      <x:c r="O1707" t="n">
        <x:v>382188</x:v>
      </x:c>
    </x:row>
    <x:row r="1708">
      <x:c r="A1708" t="str">
        <x:v>Telangana</x:v>
      </x:c>
      <x:c r="B1708" t="str">
        <x:v>All India except Central University</x:v>
      </x:c>
      <x:c r="C1708" t="str">
        <x:v>200458</x:v>
      </x:c>
      <x:c r="D1708" t="str">
        <x:v>Government Medical College, Siddipet, Survey No 54, Ensanpalli Village, Siddipet Mandal, Siddipet</x:v>
      </x:c>
      <x:c r="E1708" t="str">
        <x:v>All India</x:v>
      </x:c>
      <x:c r="F1708" t="str">
        <x:v>SC</x:v>
      </x:c>
      <x:c r="G1708" t="n">
        <x:v>4</x:v>
      </x:c>
      <x:c r="H1708" t="n">
        <x:v>4</x:v>
      </x:c>
      <x:c r="I1708" t="n">
        <x:f>G1708-H1708</x:f>
        <x:v>0</x:v>
      </x:c>
      <x:c r="J1708" s="20" t="n">
        <x:f>IFERROR(H1708/G1708,0)</x:f>
        <x:v>1</x:v>
      </x:c>
      <x:c r="K1708" t="n">
        <x:v>56257</x:v>
      </x:c>
      <x:c r="L1708" t="n">
        <x:v>72736</x:v>
      </x:c>
      <x:c r="M1708" t="n">
        <x:v>82227.5</x:v>
      </x:c>
      <x:c r="N1708" t="n">
        <x:v>87247.5</x:v>
      </x:c>
      <x:c r="O1708" t="n">
        <x:v>90312</x:v>
      </x:c>
    </x:row>
    <x:row r="1709">
      <x:c r="A1709" t="str">
        <x:v>Telangana</x:v>
      </x:c>
      <x:c r="B1709" t="str">
        <x:v>All India except Central University</x:v>
      </x:c>
      <x:c r="C1709" t="str">
        <x:v>200458</x:v>
      </x:c>
      <x:c r="D1709" t="str">
        <x:v>Government Medical College, Siddipet, Survey No 54, Ensanpalli Village, Siddipet Mandal, Siddipet</x:v>
      </x:c>
      <x:c r="E1709" t="str">
        <x:v>All India</x:v>
      </x:c>
      <x:c r="F1709" t="str">
        <x:v>ST</x:v>
      </x:c>
      <x:c r="G1709" t="n">
        <x:v>2</x:v>
      </x:c>
      <x:c r="H1709" t="n">
        <x:v>2</x:v>
      </x:c>
      <x:c r="I1709" t="n">
        <x:f>G1709-H1709</x:f>
        <x:v>0</x:v>
      </x:c>
      <x:c r="J1709" s="20" t="n">
        <x:f>IFERROR(H1709/G1709,0)</x:f>
        <x:v>1</x:v>
      </x:c>
      <x:c r="K1709" t="n">
        <x:v>90456</x:v>
      </x:c>
      <x:c r="L1709" t="n">
        <x:v>91509</x:v>
      </x:c>
      <x:c r="M1709" t="n">
        <x:v>92562</x:v>
      </x:c>
      <x:c r="N1709" t="n">
        <x:v>93615</x:v>
      </x:c>
      <x:c r="O1709" t="n">
        <x:v>94668</x:v>
      </x:c>
    </x:row>
    <x:row r="1710">
      <x:c r="A1710" t="str">
        <x:v>Maharashtra</x:v>
      </x:c>
      <x:c r="B1710" t="str">
        <x:v>All India except Central University</x:v>
      </x:c>
      <x:c r="C1710" t="str">
        <x:v>200587</x:v>
      </x:c>
      <x:c r="D1710" t="str">
        <x:v>Government Medical College, Sindhudurg, Dean Government Medical College Sindhudurg</x:v>
      </x:c>
      <x:c r="E1710" t="str">
        <x:v>All India</x:v>
      </x:c>
      <x:c r="F1710" t="str">
        <x:v>EWS</x:v>
      </x:c>
      <x:c r="G1710" t="n">
        <x:v>1</x:v>
      </x:c>
      <x:c r="H1710" t="n">
        <x:v>1</x:v>
      </x:c>
      <x:c r="I1710" t="n">
        <x:f>G1710-H1710</x:f>
        <x:v>0</x:v>
      </x:c>
      <x:c r="J1710" s="20" t="n">
        <x:f>IFERROR(H1710/G1710,0)</x:f>
        <x:v>1</x:v>
      </x:c>
      <x:c r="K1710" t="n">
        <x:v>20500</x:v>
      </x:c>
      <x:c r="L1710" t="n">
        <x:v>20500</x:v>
      </x:c>
      <x:c r="M1710" t="n">
        <x:v>20500</x:v>
      </x:c>
      <x:c r="N1710" t="n">
        <x:v>20500</x:v>
      </x:c>
      <x:c r="O1710" t="n">
        <x:v>20500</x:v>
      </x:c>
    </x:row>
    <x:row r="1711">
      <x:c r="A1711" t="str">
        <x:v>Maharashtra</x:v>
      </x:c>
      <x:c r="B1711" t="str">
        <x:v>All India except Central University</x:v>
      </x:c>
      <x:c r="C1711" t="str">
        <x:v>200587</x:v>
      </x:c>
      <x:c r="D1711" t="str">
        <x:v>Government Medical College, Sindhudurg, Dean Government Medical College Sindhudurg</x:v>
      </x:c>
      <x:c r="E1711" t="str">
        <x:v>All India</x:v>
      </x:c>
      <x:c r="F1711" t="str">
        <x:v>OBC</x:v>
      </x:c>
      <x:c r="G1711" t="n">
        <x:v>4</x:v>
      </x:c>
      <x:c r="H1711" t="n">
        <x:v>4</x:v>
      </x:c>
      <x:c r="I1711" t="n">
        <x:f>G1711-H1711</x:f>
        <x:v>0</x:v>
      </x:c>
      <x:c r="J1711" s="20" t="n">
        <x:f>IFERROR(H1711/G1711,0)</x:f>
        <x:v>1</x:v>
      </x:c>
      <x:c r="K1711" t="n">
        <x:v>17526</x:v>
      </x:c>
      <x:c r="L1711" t="n">
        <x:v>17670</x:v>
      </x:c>
      <x:c r="M1711" t="n">
        <x:v>17737.5</x:v>
      </x:c>
      <x:c r="N1711" t="n">
        <x:v>17788.75</x:v>
      </x:c>
      <x:c r="O1711" t="n">
        <x:v>17884</x:v>
      </x:c>
    </x:row>
    <x:row r="1712">
      <x:c r="A1712" t="str">
        <x:v>Maharashtra</x:v>
      </x:c>
      <x:c r="B1712" t="str">
        <x:v>All India except Central University</x:v>
      </x:c>
      <x:c r="C1712" t="str">
        <x:v>200587</x:v>
      </x:c>
      <x:c r="D1712" t="str">
        <x:v>Government Medical College, Sindhudurg, Dean Government Medical College Sindhudurg</x:v>
      </x:c>
      <x:c r="E1712" t="str">
        <x:v>All India</x:v>
      </x:c>
      <x:c r="F1712" t="str">
        <x:v>Open</x:v>
      </x:c>
      <x:c r="G1712" t="n">
        <x:v>7</x:v>
      </x:c>
      <x:c r="H1712" t="n">
        <x:v>7</x:v>
      </x:c>
      <x:c r="I1712" t="n">
        <x:f>G1712-H1712</x:f>
        <x:v>0</x:v>
      </x:c>
      <x:c r="J1712" s="20" t="n">
        <x:f>IFERROR(H1712/G1712,0)</x:f>
        <x:v>1</x:v>
      </x:c>
      <x:c r="K1712" t="n">
        <x:v>16958</x:v>
      </x:c>
      <x:c r="L1712" t="n">
        <x:v>17249.5</x:v>
      </x:c>
      <x:c r="M1712" t="n">
        <x:v>17354</x:v>
      </x:c>
      <x:c r="N1712" t="n">
        <x:v>17420.5</x:v>
      </x:c>
      <x:c r="O1712" t="n">
        <x:v>17506</x:v>
      </x:c>
    </x:row>
    <x:row r="1713">
      <x:c r="A1713" t="str">
        <x:v>Maharashtra</x:v>
      </x:c>
      <x:c r="B1713" t="str">
        <x:v>All India except Central University</x:v>
      </x:c>
      <x:c r="C1713" t="str">
        <x:v>200587</x:v>
      </x:c>
      <x:c r="D1713" t="str">
        <x:v>Government Medical College, Sindhudurg, Dean Government Medical College Sindhudurg</x:v>
      </x:c>
      <x:c r="E1713" t="str">
        <x:v>All India</x:v>
      </x:c>
      <x:c r="F1713" t="str">
        <x:v>SC</x:v>
      </x:c>
      <x:c r="G1713" t="n">
        <x:v>2</x:v>
      </x:c>
      <x:c r="H1713" t="n">
        <x:v>2</x:v>
      </x:c>
      <x:c r="I1713" t="n">
        <x:f>G1713-H1713</x:f>
        <x:v>0</x:v>
      </x:c>
      <x:c r="J1713" s="20" t="n">
        <x:f>IFERROR(H1713/G1713,0)</x:f>
        <x:v>1</x:v>
      </x:c>
      <x:c r="K1713" t="n">
        <x:v>78579</x:v>
      </x:c>
      <x:c r="L1713" t="n">
        <x:v>80606.75</x:v>
      </x:c>
      <x:c r="M1713" t="n">
        <x:v>82634.5</x:v>
      </x:c>
      <x:c r="N1713" t="n">
        <x:v>84662.25</x:v>
      </x:c>
      <x:c r="O1713" t="n">
        <x:v>86690</x:v>
      </x:c>
    </x:row>
    <x:row r="1714">
      <x:c r="A1714" t="str">
        <x:v>Maharashtra</x:v>
      </x:c>
      <x:c r="B1714" t="str">
        <x:v>All India except Central University</x:v>
      </x:c>
      <x:c r="C1714" t="str">
        <x:v>200587</x:v>
      </x:c>
      <x:c r="D1714" t="str">
        <x:v>Government Medical College, Sindhudurg, Dean Government Medical College Sindhudurg</x:v>
      </x:c>
      <x:c r="E1714" t="str">
        <x:v>All India</x:v>
      </x:c>
      <x:c r="F1714" t="str">
        <x:v>ST</x:v>
      </x:c>
      <x:c r="G1714" t="n">
        <x:v>1</x:v>
      </x:c>
      <x:c r="H1714" t="n">
        <x:v>1</x:v>
      </x:c>
      <x:c r="I1714" t="n">
        <x:f>G1714-H1714</x:f>
        <x:v>0</x:v>
      </x:c>
      <x:c r="J1714" s="20" t="n">
        <x:f>IFERROR(H1714/G1714,0)</x:f>
        <x:v>1</x:v>
      </x:c>
      <x:c r="K1714" t="n">
        <x:v>117297</x:v>
      </x:c>
      <x:c r="L1714" t="n">
        <x:v>117297</x:v>
      </x:c>
      <x:c r="M1714" t="n">
        <x:v>117297</x:v>
      </x:c>
      <x:c r="N1714" t="n">
        <x:v>117297</x:v>
      </x:c>
      <x:c r="O1714" t="n">
        <x:v>117297</x:v>
      </x:c>
    </x:row>
    <x:row r="1715">
      <x:c r="A1715" t="str">
        <x:v>Rajasthan</x:v>
      </x:c>
      <x:c r="B1715" t="str">
        <x:v>All India except Central University</x:v>
      </x:c>
      <x:c r="C1715" t="str">
        <x:v>200614</x:v>
      </x:c>
      <x:c r="D1715" t="str">
        <x:v>Government Medical College, Sirohi, SIROHI SHIVGANJ HIGHWAY,NEAR AMBESHWAR ,VILLAGE- KOLAR, TEHSIL- SIVGANJ,DIST- SIROHI</x:v>
      </x:c>
      <x:c r="E1715" t="str">
        <x:v>All India</x:v>
      </x:c>
      <x:c r="F1715" t="str">
        <x:v>EWS</x:v>
      </x:c>
      <x:c r="G1715" t="n">
        <x:v>1</x:v>
      </x:c>
      <x:c r="H1715" t="n">
        <x:v>1</x:v>
      </x:c>
      <x:c r="I1715" t="n">
        <x:f>G1715-H1715</x:f>
        <x:v>0</x:v>
      </x:c>
      <x:c r="J1715" s="20" t="n">
        <x:f>IFERROR(H1715/G1715,0)</x:f>
        <x:v>1</x:v>
      </x:c>
      <x:c r="K1715" t="n">
        <x:v>10714</x:v>
      </x:c>
      <x:c r="L1715" t="n">
        <x:v>10714</x:v>
      </x:c>
      <x:c r="M1715" t="n">
        <x:v>10714</x:v>
      </x:c>
      <x:c r="N1715" t="n">
        <x:v>10714</x:v>
      </x:c>
      <x:c r="O1715" t="n">
        <x:v>10714</x:v>
      </x:c>
    </x:row>
    <x:row r="1716">
      <x:c r="A1716" t="str">
        <x:v>Rajasthan</x:v>
      </x:c>
      <x:c r="B1716" t="str">
        <x:v>All India except Central University</x:v>
      </x:c>
      <x:c r="C1716" t="str">
        <x:v>200614</x:v>
      </x:c>
      <x:c r="D1716" t="str">
        <x:v>Government Medical College, Sirohi, SIROHI SHIVGANJ HIGHWAY,NEAR AMBESHWAR ,VILLAGE- KOLAR, TEHSIL- SIVGANJ,DIST- SIROHI</x:v>
      </x:c>
      <x:c r="E1716" t="str">
        <x:v>All India</x:v>
      </x:c>
      <x:c r="F1716" t="str">
        <x:v>OBC</x:v>
      </x:c>
      <x:c r="G1716" t="n">
        <x:v>4</x:v>
      </x:c>
      <x:c r="H1716" t="n">
        <x:v>4</x:v>
      </x:c>
      <x:c r="I1716" t="n">
        <x:f>G1716-H1716</x:f>
        <x:v>0</x:v>
      </x:c>
      <x:c r="J1716" s="20" t="n">
        <x:f>IFERROR(H1716/G1716,0)</x:f>
        <x:v>1</x:v>
      </x:c>
      <x:c r="K1716" t="n">
        <x:v>11794</x:v>
      </x:c>
      <x:c r="L1716" t="n">
        <x:v>11797</x:v>
      </x:c>
      <x:c r="M1716" t="n">
        <x:v>11808</x:v>
      </x:c>
      <x:c r="N1716" t="n">
        <x:v>11852.5</x:v>
      </x:c>
      <x:c r="O1716" t="n">
        <x:v>11956</x:v>
      </x:c>
    </x:row>
    <x:row r="1717">
      <x:c r="A1717" t="str">
        <x:v>Rajasthan</x:v>
      </x:c>
      <x:c r="B1717" t="str">
        <x:v>All India except Central University</x:v>
      </x:c>
      <x:c r="C1717" t="str">
        <x:v>200614</x:v>
      </x:c>
      <x:c r="D1717" t="str">
        <x:v>Government Medical College, Sirohi, SIROHI SHIVGANJ HIGHWAY,NEAR AMBESHWAR ,VILLAGE- KOLAR, TEHSIL- SIVGANJ,DIST- SIROHI</x:v>
      </x:c>
      <x:c r="E1717" t="str">
        <x:v>All India</x:v>
      </x:c>
      <x:c r="F1717" t="str">
        <x:v>Open</x:v>
      </x:c>
      <x:c r="G1717" t="n">
        <x:v>6</x:v>
      </x:c>
      <x:c r="H1717" t="n">
        <x:v>6</x:v>
      </x:c>
      <x:c r="I1717" t="n">
        <x:f>G1717-H1717</x:f>
        <x:v>0</x:v>
      </x:c>
      <x:c r="J1717" s="20" t="n">
        <x:f>IFERROR(H1717/G1717,0)</x:f>
        <x:v>1</x:v>
      </x:c>
      <x:c r="K1717" t="n">
        <x:v>7879</x:v>
      </x:c>
      <x:c r="L1717" t="n">
        <x:v>8251</x:v>
      </x:c>
      <x:c r="M1717" t="n">
        <x:v>9615</x:v>
      </x:c>
      <x:c r="N1717" t="n">
        <x:v>10289</x:v>
      </x:c>
      <x:c r="O1717" t="n">
        <x:v>10354</x:v>
      </x:c>
    </x:row>
    <x:row r="1718">
      <x:c r="A1718" t="str">
        <x:v>Rajasthan</x:v>
      </x:c>
      <x:c r="B1718" t="str">
        <x:v>All India except Central University</x:v>
      </x:c>
      <x:c r="C1718" t="str">
        <x:v>200614</x:v>
      </x:c>
      <x:c r="D1718" t="str">
        <x:v>Government Medical College, Sirohi, SIROHI SHIVGANJ HIGHWAY,NEAR AMBESHWAR ,VILLAGE- KOLAR, TEHSIL- SIVGANJ,DIST- SIROHI</x:v>
      </x:c>
      <x:c r="E1718" t="str">
        <x:v>All India</x:v>
      </x:c>
      <x:c r="F1718" t="str">
        <x:v>SC</x:v>
      </x:c>
      <x:c r="G1718" t="n">
        <x:v>2</x:v>
      </x:c>
      <x:c r="H1718" t="n">
        <x:v>2</x:v>
      </x:c>
      <x:c r="I1718" t="n">
        <x:f>G1718-H1718</x:f>
        <x:v>0</x:v>
      </x:c>
      <x:c r="J1718" s="20" t="n">
        <x:f>IFERROR(H1718/G1718,0)</x:f>
        <x:v>1</x:v>
      </x:c>
      <x:c r="K1718" t="n">
        <x:v>54556</x:v>
      </x:c>
      <x:c r="L1718" t="n">
        <x:v>56247.5</x:v>
      </x:c>
      <x:c r="M1718" t="n">
        <x:v>57939</x:v>
      </x:c>
      <x:c r="N1718" t="n">
        <x:v>59630.5</x:v>
      </x:c>
      <x:c r="O1718" t="n">
        <x:v>61322</x:v>
      </x:c>
    </x:row>
    <x:row r="1719">
      <x:c r="A1719" t="str">
        <x:v>Rajasthan</x:v>
      </x:c>
      <x:c r="B1719" t="str">
        <x:v>All India except Central University</x:v>
      </x:c>
      <x:c r="C1719" t="str">
        <x:v>200614</x:v>
      </x:c>
      <x:c r="D1719" t="str">
        <x:v>Government Medical College, Sirohi, SIROHI SHIVGANJ HIGHWAY,NEAR AMBESHWAR ,VILLAGE- KOLAR, TEHSIL- SIVGANJ,DIST- SIROHI</x:v>
      </x:c>
      <x:c r="E1719" t="str">
        <x:v>All India</x:v>
      </x:c>
      <x:c r="F1719" t="str">
        <x:v>ST</x:v>
      </x:c>
      <x:c r="G1719" t="n">
        <x:v>2</x:v>
      </x:c>
      <x:c r="H1719" t="n">
        <x:v>2</x:v>
      </x:c>
      <x:c r="I1719" t="n">
        <x:f>G1719-H1719</x:f>
        <x:v>0</x:v>
      </x:c>
      <x:c r="J1719" s="20" t="n">
        <x:f>IFERROR(H1719/G1719,0)</x:f>
        <x:v>1</x:v>
      </x:c>
      <x:c r="K1719" t="n">
        <x:v>71847</x:v>
      </x:c>
      <x:c r="L1719" t="n">
        <x:v>73358</x:v>
      </x:c>
      <x:c r="M1719" t="n">
        <x:v>74869</x:v>
      </x:c>
      <x:c r="N1719" t="n">
        <x:v>76380</x:v>
      </x:c>
      <x:c r="O1719" t="n">
        <x:v>77891</x:v>
      </x:c>
    </x:row>
    <x:row r="1720">
      <x:c r="A1720" t="str">
        <x:v>Rajasthan</x:v>
      </x:c>
      <x:c r="B1720" t="str">
        <x:v>All India except Central University</x:v>
      </x:c>
      <x:c r="C1720" t="str">
        <x:v>200611</x:v>
      </x:c>
      <x:c r="D1720" t="str">
        <x:v>Government Medical College, Sri Ganganagar, Government Medical college sriganganagar rajasthan</x:v>
      </x:c>
      <x:c r="E1720" t="str">
        <x:v>All India</x:v>
      </x:c>
      <x:c r="F1720" t="str">
        <x:v>EWS</x:v>
      </x:c>
      <x:c r="G1720" t="n">
        <x:v>2</x:v>
      </x:c>
      <x:c r="H1720" t="n">
        <x:v>2</x:v>
      </x:c>
      <x:c r="I1720" t="n">
        <x:f>G1720-H1720</x:f>
        <x:v>0</x:v>
      </x:c>
      <x:c r="J1720" s="20" t="n">
        <x:f>IFERROR(H1720/G1720,0)</x:f>
        <x:v>1</x:v>
      </x:c>
      <x:c r="K1720" t="n">
        <x:v>12380</x:v>
      </x:c>
      <x:c r="L1720" t="n">
        <x:v>12399.5</x:v>
      </x:c>
      <x:c r="M1720" t="n">
        <x:v>12419</x:v>
      </x:c>
      <x:c r="N1720" t="n">
        <x:v>12438.5</x:v>
      </x:c>
      <x:c r="O1720" t="n">
        <x:v>12458</x:v>
      </x:c>
    </x:row>
    <x:row r="1721">
      <x:c r="A1721" t="str">
        <x:v>Rajasthan</x:v>
      </x:c>
      <x:c r="B1721" t="str">
        <x:v>All India except Central University</x:v>
      </x:c>
      <x:c r="C1721" t="str">
        <x:v>200611</x:v>
      </x:c>
      <x:c r="D1721" t="str">
        <x:v>Government Medical College, Sri Ganganagar, Government Medical college sriganganagar rajasthan</x:v>
      </x:c>
      <x:c r="E1721" t="str">
        <x:v>All India</x:v>
      </x:c>
      <x:c r="F1721" t="str">
        <x:v>OBC</x:v>
      </x:c>
      <x:c r="G1721" t="n">
        <x:v>4</x:v>
      </x:c>
      <x:c r="H1721" t="n">
        <x:v>4</x:v>
      </x:c>
      <x:c r="I1721" t="n">
        <x:f>G1721-H1721</x:f>
        <x:v>0</x:v>
      </x:c>
      <x:c r="J1721" s="20" t="n">
        <x:f>IFERROR(H1721/G1721,0)</x:f>
        <x:v>1</x:v>
      </x:c>
      <x:c r="K1721" t="n">
        <x:v>9245</x:v>
      </x:c>
      <x:c r="L1721" t="n">
        <x:v>9554</x:v>
      </x:c>
      <x:c r="M1721" t="n">
        <x:v>9705.5</x:v>
      </x:c>
      <x:c r="N1721" t="n">
        <x:v>9769.5</x:v>
      </x:c>
      <x:c r="O1721" t="n">
        <x:v>9816</x:v>
      </x:c>
    </x:row>
    <x:row r="1722">
      <x:c r="A1722" t="str">
        <x:v>Rajasthan</x:v>
      </x:c>
      <x:c r="B1722" t="str">
        <x:v>All India except Central University</x:v>
      </x:c>
      <x:c r="C1722" t="str">
        <x:v>200611</x:v>
      </x:c>
      <x:c r="D1722" t="str">
        <x:v>Government Medical College, Sri Ganganagar, Government Medical college sriganganagar rajasthan</x:v>
      </x:c>
      <x:c r="E1722" t="str">
        <x:v>All India</x:v>
      </x:c>
      <x:c r="F1722" t="str">
        <x:v>Open</x:v>
      </x:c>
      <x:c r="G1722" t="n">
        <x:v>5</x:v>
      </x:c>
      <x:c r="H1722" t="n">
        <x:v>5</x:v>
      </x:c>
      <x:c r="I1722" t="n">
        <x:f>G1722-H1722</x:f>
        <x:v>0</x:v>
      </x:c>
      <x:c r="J1722" s="20" t="n">
        <x:f>IFERROR(H1722/G1722,0)</x:f>
        <x:v>1</x:v>
      </x:c>
      <x:c r="K1722" t="n">
        <x:v>8256</x:v>
      </x:c>
      <x:c r="L1722" t="n">
        <x:v>8655</x:v>
      </x:c>
      <x:c r="M1722" t="n">
        <x:v>8867</x:v>
      </x:c>
      <x:c r="N1722" t="n">
        <x:v>8971</x:v>
      </x:c>
      <x:c r="O1722" t="n">
        <x:v>9121</x:v>
      </x:c>
    </x:row>
    <x:row r="1723">
      <x:c r="A1723" t="str">
        <x:v>Rajasthan</x:v>
      </x:c>
      <x:c r="B1723" t="str">
        <x:v>All India except Central University</x:v>
      </x:c>
      <x:c r="C1723" t="str">
        <x:v>200611</x:v>
      </x:c>
      <x:c r="D1723" t="str">
        <x:v>Government Medical College, Sri Ganganagar, Government Medical college sriganganagar rajasthan</x:v>
      </x:c>
      <x:c r="E1723" t="str">
        <x:v>All India</x:v>
      </x:c>
      <x:c r="F1723" t="str">
        <x:v>Open PwD</x:v>
      </x:c>
      <x:c r="G1723" t="n">
        <x:v>1</x:v>
      </x:c>
      <x:c r="H1723" t="n">
        <x:v>1</x:v>
      </x:c>
      <x:c r="I1723" t="n">
        <x:f>G1723-H1723</x:f>
        <x:v>0</x:v>
      </x:c>
      <x:c r="J1723" s="20" t="n">
        <x:f>IFERROR(H1723/G1723,0)</x:f>
        <x:v>1</x:v>
      </x:c>
      <x:c r="K1723" t="n">
        <x:v>375109</x:v>
      </x:c>
      <x:c r="L1723" t="n">
        <x:v>375109</x:v>
      </x:c>
      <x:c r="M1723" t="n">
        <x:v>375109</x:v>
      </x:c>
      <x:c r="N1723" t="n">
        <x:v>375109</x:v>
      </x:c>
      <x:c r="O1723" t="n">
        <x:v>375109</x:v>
      </x:c>
    </x:row>
    <x:row r="1724">
      <x:c r="A1724" t="str">
        <x:v>Rajasthan</x:v>
      </x:c>
      <x:c r="B1724" t="str">
        <x:v>All India except Central University</x:v>
      </x:c>
      <x:c r="C1724" t="str">
        <x:v>200611</x:v>
      </x:c>
      <x:c r="D1724" t="str">
        <x:v>Government Medical College, Sri Ganganagar, Government Medical college sriganganagar rajasthan</x:v>
      </x:c>
      <x:c r="E1724" t="str">
        <x:v>All India</x:v>
      </x:c>
      <x:c r="F1724" t="str">
        <x:v>SC</x:v>
      </x:c>
      <x:c r="G1724" t="n">
        <x:v>2</x:v>
      </x:c>
      <x:c r="H1724" t="n">
        <x:v>2</x:v>
      </x:c>
      <x:c r="I1724" t="n">
        <x:f>G1724-H1724</x:f>
        <x:v>0</x:v>
      </x:c>
      <x:c r="J1724" s="20" t="n">
        <x:f>IFERROR(H1724/G1724,0)</x:f>
        <x:v>1</x:v>
      </x:c>
      <x:c r="K1724" t="n">
        <x:v>56430</x:v>
      </x:c>
      <x:c r="L1724" t="n">
        <x:v>57916</x:v>
      </x:c>
      <x:c r="M1724" t="n">
        <x:v>59402</x:v>
      </x:c>
      <x:c r="N1724" t="n">
        <x:v>60888</x:v>
      </x:c>
      <x:c r="O1724" t="n">
        <x:v>62374</x:v>
      </x:c>
    </x:row>
    <x:row r="1725">
      <x:c r="A1725" t="str">
        <x:v>Rajasthan</x:v>
      </x:c>
      <x:c r="B1725" t="str">
        <x:v>All India except Central University</x:v>
      </x:c>
      <x:c r="C1725" t="str">
        <x:v>200611</x:v>
      </x:c>
      <x:c r="D1725" t="str">
        <x:v>Government Medical College, Sri Ganganagar, Government Medical college sriganganagar rajasthan</x:v>
      </x:c>
      <x:c r="E1725" t="str">
        <x:v>All India</x:v>
      </x:c>
      <x:c r="F1725" t="str">
        <x:v>ST</x:v>
      </x:c>
      <x:c r="G1725" t="n">
        <x:v>1</x:v>
      </x:c>
      <x:c r="H1725" t="n">
        <x:v>1</x:v>
      </x:c>
      <x:c r="I1725" t="n">
        <x:f>G1725-H1725</x:f>
        <x:v>0</x:v>
      </x:c>
      <x:c r="J1725" s="20" t="n">
        <x:f>IFERROR(H1725/G1725,0)</x:f>
        <x:v>1</x:v>
      </x:c>
      <x:c r="K1725" t="n">
        <x:v>79273</x:v>
      </x:c>
      <x:c r="L1725" t="n">
        <x:v>79273</x:v>
      </x:c>
      <x:c r="M1725" t="n">
        <x:v>79273</x:v>
      </x:c>
      <x:c r="N1725" t="n">
        <x:v>79273</x:v>
      </x:c>
      <x:c r="O1725" t="n">
        <x:v>79273</x:v>
      </x:c>
    </x:row>
    <x:row r="1726">
      <x:c r="A1726" t="str">
        <x:v>Jammu And Kashmir</x:v>
      </x:c>
      <x:c r="B1726" t="str">
        <x:v>All India except Central University</x:v>
      </x:c>
      <x:c r="C1726" t="str">
        <x:v>200629</x:v>
      </x:c>
      <x:c r="D1726" t="str">
        <x:v>Government Medical College, Srinagar, Administrative Block Government Medical College Karan Nagar Srinagar</x:v>
      </x:c>
      <x:c r="E1726" t="str">
        <x:v>All India</x:v>
      </x:c>
      <x:c r="F1726" t="str">
        <x:v>EWS</x:v>
      </x:c>
      <x:c r="G1726" t="n">
        <x:v>4</x:v>
      </x:c>
      <x:c r="H1726" t="n">
        <x:v>4</x:v>
      </x:c>
      <x:c r="I1726" t="n">
        <x:f>G1726-H1726</x:f>
        <x:v>0</x:v>
      </x:c>
      <x:c r="J1726" s="20" t="n">
        <x:f>IFERROR(H1726/G1726,0)</x:f>
        <x:v>1</x:v>
      </x:c>
      <x:c r="K1726" t="n">
        <x:v>6085</x:v>
      </x:c>
      <x:c r="L1726" t="n">
        <x:v>8085.25</x:v>
      </x:c>
      <x:c r="M1726" t="n">
        <x:v>9283.5</x:v>
      </x:c>
      <x:c r="N1726" t="n">
        <x:v>10017.75</x:v>
      </x:c>
      <x:c r="O1726" t="n">
        <x:v>10626</x:v>
      </x:c>
    </x:row>
    <x:row r="1727">
      <x:c r="A1727" t="str">
        <x:v>Jammu And Kashmir</x:v>
      </x:c>
      <x:c r="B1727" t="str">
        <x:v>All India except Central University</x:v>
      </x:c>
      <x:c r="C1727" t="str">
        <x:v>200629</x:v>
      </x:c>
      <x:c r="D1727" t="str">
        <x:v>Government Medical College, Srinagar, Administrative Block Government Medical College Karan Nagar Srinagar</x:v>
      </x:c>
      <x:c r="E1727" t="str">
        <x:v>All India</x:v>
      </x:c>
      <x:c r="F1727" t="str">
        <x:v>OBC</x:v>
      </x:c>
      <x:c r="G1727" t="n">
        <x:v>9</x:v>
      </x:c>
      <x:c r="H1727" t="n">
        <x:v>9</x:v>
      </x:c>
      <x:c r="I1727" t="n">
        <x:f>G1727-H1727</x:f>
        <x:v>0</x:v>
      </x:c>
      <x:c r="J1727" s="20" t="n">
        <x:f>IFERROR(H1727/G1727,0)</x:f>
        <x:v>1</x:v>
      </x:c>
      <x:c r="K1727" t="n">
        <x:v>5406</x:v>
      </x:c>
      <x:c r="L1727" t="n">
        <x:v>6605</x:v>
      </x:c>
      <x:c r="M1727" t="n">
        <x:v>6850</x:v>
      </x:c>
      <x:c r="N1727" t="n">
        <x:v>7593</x:v>
      </x:c>
      <x:c r="O1727" t="n">
        <x:v>8156</x:v>
      </x:c>
    </x:row>
    <x:row r="1728">
      <x:c r="A1728" t="str">
        <x:v>Jammu And Kashmir</x:v>
      </x:c>
      <x:c r="B1728" t="str">
        <x:v>All India except Central University</x:v>
      </x:c>
      <x:c r="C1728" t="str">
        <x:v>200629</x:v>
      </x:c>
      <x:c r="D1728" t="str">
        <x:v>Government Medical College, Srinagar, Administrative Block Government Medical College Karan Nagar Srinagar</x:v>
      </x:c>
      <x:c r="E1728" t="str">
        <x:v>All India</x:v>
      </x:c>
      <x:c r="F1728" t="str">
        <x:v>OBC PwD</x:v>
      </x:c>
      <x:c r="G1728" t="n">
        <x:v>1</x:v>
      </x:c>
      <x:c r="H1728" t="n">
        <x:v>1</x:v>
      </x:c>
      <x:c r="I1728" t="n">
        <x:f>G1728-H1728</x:f>
        <x:v>0</x:v>
      </x:c>
      <x:c r="J1728" s="20" t="n">
        <x:f>IFERROR(H1728/G1728,0)</x:f>
        <x:v>1</x:v>
      </x:c>
      <x:c r="K1728" t="n">
        <x:v>465591</x:v>
      </x:c>
      <x:c r="L1728" t="n">
        <x:v>465591</x:v>
      </x:c>
      <x:c r="M1728" t="n">
        <x:v>465591</x:v>
      </x:c>
      <x:c r="N1728" t="n">
        <x:v>465591</x:v>
      </x:c>
      <x:c r="O1728" t="n">
        <x:v>465591</x:v>
      </x:c>
    </x:row>
    <x:row r="1729">
      <x:c r="A1729" t="str">
        <x:v>Jammu And Kashmir</x:v>
      </x:c>
      <x:c r="B1729" t="str">
        <x:v>All India except Central University</x:v>
      </x:c>
      <x:c r="C1729" t="str">
        <x:v>200629</x:v>
      </x:c>
      <x:c r="D1729" t="str">
        <x:v>Government Medical College, Srinagar, Administrative Block Government Medical College Karan Nagar Srinagar</x:v>
      </x:c>
      <x:c r="E1729" t="str">
        <x:v>All India</x:v>
      </x:c>
      <x:c r="F1729" t="str">
        <x:v>Open</x:v>
      </x:c>
      <x:c r="G1729" t="n">
        <x:v>13</x:v>
      </x:c>
      <x:c r="H1729" t="n">
        <x:v>13</x:v>
      </x:c>
      <x:c r="I1729" t="n">
        <x:f>G1729-H1729</x:f>
        <x:v>0</x:v>
      </x:c>
      <x:c r="J1729" s="20" t="n">
        <x:f>IFERROR(H1729/G1729,0)</x:f>
        <x:v>1</x:v>
      </x:c>
      <x:c r="K1729" t="n">
        <x:v>437</x:v>
      </x:c>
      <x:c r="L1729" t="n">
        <x:v>866</x:v>
      </x:c>
      <x:c r="M1729" t="n">
        <x:v>1509</x:v>
      </x:c>
      <x:c r="N1729" t="n">
        <x:v>1607</x:v>
      </x:c>
      <x:c r="O1729" t="n">
        <x:v>2800</x:v>
      </x:c>
    </x:row>
    <x:row r="1730">
      <x:c r="A1730" t="str">
        <x:v>Jammu And Kashmir</x:v>
      </x:c>
      <x:c r="B1730" t="str">
        <x:v>All India except Central University</x:v>
      </x:c>
      <x:c r="C1730" t="str">
        <x:v>200629</x:v>
      </x:c>
      <x:c r="D1730" t="str">
        <x:v>Government Medical College, Srinagar, Administrative Block Government Medical College Karan Nagar Srinagar</x:v>
      </x:c>
      <x:c r="E1730" t="str">
        <x:v>All India</x:v>
      </x:c>
      <x:c r="F1730" t="str">
        <x:v>Open PwD</x:v>
      </x:c>
      <x:c r="G1730" t="n">
        <x:v>1</x:v>
      </x:c>
      <x:c r="H1730" t="n">
        <x:v>1</x:v>
      </x:c>
      <x:c r="I1730" t="n">
        <x:f>G1730-H1730</x:f>
        <x:v>0</x:v>
      </x:c>
      <x:c r="J1730" s="20" t="n">
        <x:f>IFERROR(H1730/G1730,0)</x:f>
        <x:v>1</x:v>
      </x:c>
      <x:c r="K1730" t="n">
        <x:v>343588</x:v>
      </x:c>
      <x:c r="L1730" t="n">
        <x:v>343588</x:v>
      </x:c>
      <x:c r="M1730" t="n">
        <x:v>343588</x:v>
      </x:c>
      <x:c r="N1730" t="n">
        <x:v>343588</x:v>
      </x:c>
      <x:c r="O1730" t="n">
        <x:v>343588</x:v>
      </x:c>
    </x:row>
    <x:row r="1731">
      <x:c r="A1731" t="str">
        <x:v>Jammu And Kashmir</x:v>
      </x:c>
      <x:c r="B1731" t="str">
        <x:v>All India except Central University</x:v>
      </x:c>
      <x:c r="C1731" t="str">
        <x:v>200629</x:v>
      </x:c>
      <x:c r="D1731" t="str">
        <x:v>Government Medical College, Srinagar, Administrative Block Government Medical College Karan Nagar Srinagar</x:v>
      </x:c>
      <x:c r="E1731" t="str">
        <x:v>All India</x:v>
      </x:c>
      <x:c r="F1731" t="str">
        <x:v>SC</x:v>
      </x:c>
      <x:c r="G1731" t="n">
        <x:v>5</x:v>
      </x:c>
      <x:c r="H1731" t="n">
        <x:v>5</x:v>
      </x:c>
      <x:c r="I1731" t="n">
        <x:f>G1731-H1731</x:f>
        <x:v>0</x:v>
      </x:c>
      <x:c r="J1731" s="20" t="n">
        <x:f>IFERROR(H1731/G1731,0)</x:f>
        <x:v>1</x:v>
      </x:c>
      <x:c r="K1731" t="n">
        <x:v>44082</x:v>
      </x:c>
      <x:c r="L1731" t="n">
        <x:v>46393</x:v>
      </x:c>
      <x:c r="M1731" t="n">
        <x:v>51817</x:v>
      </x:c>
      <x:c r="N1731" t="n">
        <x:v>53588</x:v>
      </x:c>
      <x:c r="O1731" t="n">
        <x:v>55737</x:v>
      </x:c>
    </x:row>
    <x:row r="1732">
      <x:c r="A1732" t="str">
        <x:v>Jammu And Kashmir</x:v>
      </x:c>
      <x:c r="B1732" t="str">
        <x:v>All India except Central University</x:v>
      </x:c>
      <x:c r="C1732" t="str">
        <x:v>200629</x:v>
      </x:c>
      <x:c r="D1732" t="str">
        <x:v>Government Medical College, Srinagar, Administrative Block Government Medical College Karan Nagar Srinagar</x:v>
      </x:c>
      <x:c r="E1732" t="str">
        <x:v>All India</x:v>
      </x:c>
      <x:c r="F1732" t="str">
        <x:v>SC PwD</x:v>
      </x:c>
      <x:c r="G1732" t="n">
        <x:v>1</x:v>
      </x:c>
      <x:c r="H1732" t="n">
        <x:v>1</x:v>
      </x:c>
      <x:c r="I1732" t="n">
        <x:f>G1732-H1732</x:f>
        <x:v>0</x:v>
      </x:c>
      <x:c r="J1732" s="20" t="n">
        <x:f>IFERROR(H1732/G1732,0)</x:f>
        <x:v>1</x:v>
      </x:c>
      <x:c r="K1732" t="n">
        <x:v>811027</x:v>
      </x:c>
      <x:c r="L1732" t="n">
        <x:v>811027</x:v>
      </x:c>
      <x:c r="M1732" t="n">
        <x:v>811027</x:v>
      </x:c>
      <x:c r="N1732" t="n">
        <x:v>811027</x:v>
      </x:c>
      <x:c r="O1732" t="n">
        <x:v>811027</x:v>
      </x:c>
    </x:row>
    <x:row r="1733">
      <x:c r="A1733" t="str">
        <x:v>Jammu And Kashmir</x:v>
      </x:c>
      <x:c r="B1733" t="str">
        <x:v>All India except Central University</x:v>
      </x:c>
      <x:c r="C1733" t="str">
        <x:v>200629</x:v>
      </x:c>
      <x:c r="D1733" t="str">
        <x:v>Government Medical College, Srinagar, Administrative Block Government Medical College Karan Nagar Srinagar</x:v>
      </x:c>
      <x:c r="E1733" t="str">
        <x:v>All India</x:v>
      </x:c>
      <x:c r="F1733" t="str">
        <x:v>ST</x:v>
      </x:c>
      <x:c r="G1733" t="n">
        <x:v>3</x:v>
      </x:c>
      <x:c r="H1733" t="n">
        <x:v>3</x:v>
      </x:c>
      <x:c r="I1733" t="n">
        <x:f>G1733-H1733</x:f>
        <x:v>0</x:v>
      </x:c>
      <x:c r="J1733" s="20" t="n">
        <x:f>IFERROR(H1733/G1733,0)</x:f>
        <x:v>1</x:v>
      </x:c>
      <x:c r="K1733" t="n">
        <x:v>12752</x:v>
      </x:c>
      <x:c r="L1733" t="n">
        <x:v>19804.5</x:v>
      </x:c>
      <x:c r="M1733" t="n">
        <x:v>26857</x:v>
      </x:c>
      <x:c r="N1733" t="n">
        <x:v>32635</x:v>
      </x:c>
      <x:c r="O1733" t="n">
        <x:v>38413</x:v>
      </x:c>
    </x:row>
    <x:row r="1734">
      <x:c r="A1734" t="str">
        <x:v>Odisha</x:v>
      </x:c>
      <x:c r="B1734" t="str">
        <x:v>All India except Central University</x:v>
      </x:c>
      <x:c r="C1734" t="str">
        <x:v>200591</x:v>
      </x:c>
      <x:c r="D1734" t="str">
        <x:v>Government Medical College, Sundargarh, At-Chitabhanga,Po- Sankara,Dist-Sundargarh,Odisha,Pin-770001</x:v>
      </x:c>
      <x:c r="E1734" t="str">
        <x:v>All India</x:v>
      </x:c>
      <x:c r="F1734" t="str">
        <x:v>EWS</x:v>
      </x:c>
      <x:c r="G1734" t="n">
        <x:v>1</x:v>
      </x:c>
      <x:c r="H1734" t="n">
        <x:v>1</x:v>
      </x:c>
      <x:c r="I1734" t="n">
        <x:f>G1734-H1734</x:f>
        <x:v>0</x:v>
      </x:c>
      <x:c r="J1734" s="20" t="n">
        <x:f>IFERROR(H1734/G1734,0)</x:f>
        <x:v>1</x:v>
      </x:c>
      <x:c r="K1734" t="n">
        <x:v>20439</x:v>
      </x:c>
      <x:c r="L1734" t="n">
        <x:v>20439</x:v>
      </x:c>
      <x:c r="M1734" t="n">
        <x:v>20439</x:v>
      </x:c>
      <x:c r="N1734" t="n">
        <x:v>20439</x:v>
      </x:c>
      <x:c r="O1734" t="n">
        <x:v>20439</x:v>
      </x:c>
    </x:row>
    <x:row r="1735">
      <x:c r="A1735" t="str">
        <x:v>Odisha</x:v>
      </x:c>
      <x:c r="B1735" t="str">
        <x:v>All India except Central University</x:v>
      </x:c>
      <x:c r="C1735" t="str">
        <x:v>200591</x:v>
      </x:c>
      <x:c r="D1735" t="str">
        <x:v>Government Medical College, Sundargarh, At-Chitabhanga,Po- Sankara,Dist-Sundargarh,Odisha,Pin-770001</x:v>
      </x:c>
      <x:c r="E1735" t="str">
        <x:v>All India</x:v>
      </x:c>
      <x:c r="F1735" t="str">
        <x:v>OBC</x:v>
      </x:c>
      <x:c r="G1735" t="n">
        <x:v>3</x:v>
      </x:c>
      <x:c r="H1735" t="n">
        <x:v>3</x:v>
      </x:c>
      <x:c r="I1735" t="n">
        <x:f>G1735-H1735</x:f>
        <x:v>0</x:v>
      </x:c>
      <x:c r="J1735" s="20" t="n">
        <x:f>IFERROR(H1735/G1735,0)</x:f>
        <x:v>1</x:v>
      </x:c>
      <x:c r="K1735" t="n">
        <x:v>14423</x:v>
      </x:c>
      <x:c r="L1735" t="n">
        <x:v>14511</x:v>
      </x:c>
      <x:c r="M1735" t="n">
        <x:v>14599</x:v>
      </x:c>
      <x:c r="N1735" t="n">
        <x:v>14772.5</x:v>
      </x:c>
      <x:c r="O1735" t="n">
        <x:v>14946</x:v>
      </x:c>
    </x:row>
    <x:row r="1736">
      <x:c r="A1736" t="str">
        <x:v>Odisha</x:v>
      </x:c>
      <x:c r="B1736" t="str">
        <x:v>All India except Central University</x:v>
      </x:c>
      <x:c r="C1736" t="str">
        <x:v>200591</x:v>
      </x:c>
      <x:c r="D1736" t="str">
        <x:v>Government Medical College, Sundargarh, At-Chitabhanga,Po- Sankara,Dist-Sundargarh,Odisha,Pin-770001</x:v>
      </x:c>
      <x:c r="E1736" t="str">
        <x:v>All India</x:v>
      </x:c>
      <x:c r="F1736" t="str">
        <x:v>OBC PwD</x:v>
      </x:c>
      <x:c r="G1736" t="n">
        <x:v>1</x:v>
      </x:c>
      <x:c r="H1736" t="n">
        <x:v>1</x:v>
      </x:c>
      <x:c r="I1736" t="n">
        <x:f>G1736-H1736</x:f>
        <x:v>0</x:v>
      </x:c>
      <x:c r="J1736" s="20" t="n">
        <x:f>IFERROR(H1736/G1736,0)</x:f>
        <x:v>1</x:v>
      </x:c>
      <x:c r="K1736" t="n">
        <x:v>451462</x:v>
      </x:c>
      <x:c r="L1736" t="n">
        <x:v>451462</x:v>
      </x:c>
      <x:c r="M1736" t="n">
        <x:v>451462</x:v>
      </x:c>
      <x:c r="N1736" t="n">
        <x:v>451462</x:v>
      </x:c>
      <x:c r="O1736" t="n">
        <x:v>451462</x:v>
      </x:c>
    </x:row>
    <x:row r="1737">
      <x:c r="A1737" t="str">
        <x:v>Odisha</x:v>
      </x:c>
      <x:c r="B1737" t="str">
        <x:v>All India except Central University</x:v>
      </x:c>
      <x:c r="C1737" t="str">
        <x:v>200591</x:v>
      </x:c>
      <x:c r="D1737" t="str">
        <x:v>Government Medical College, Sundargarh, At-Chitabhanga,Po- Sankara,Dist-Sundargarh,Odisha,Pin-770001</x:v>
      </x:c>
      <x:c r="E1737" t="str">
        <x:v>All India</x:v>
      </x:c>
      <x:c r="F1737" t="str">
        <x:v>Open</x:v>
      </x:c>
      <x:c r="G1737" t="n">
        <x:v>6</x:v>
      </x:c>
      <x:c r="H1737" t="n">
        <x:v>6</x:v>
      </x:c>
      <x:c r="I1737" t="n">
        <x:f>G1737-H1737</x:f>
        <x:v>0</x:v>
      </x:c>
      <x:c r="J1737" s="20" t="n">
        <x:f>IFERROR(H1737/G1737,0)</x:f>
        <x:v>1</x:v>
      </x:c>
      <x:c r="K1737" t="n">
        <x:v>11866</x:v>
      </x:c>
      <x:c r="L1737" t="n">
        <x:v>13419.5</x:v>
      </x:c>
      <x:c r="M1737" t="n">
        <x:v>13485.5</x:v>
      </x:c>
      <x:c r="N1737" t="n">
        <x:v>13507.25</x:v>
      </x:c>
      <x:c r="O1737" t="n">
        <x:v>13881</x:v>
      </x:c>
    </x:row>
    <x:row r="1738">
      <x:c r="A1738" t="str">
        <x:v>Odisha</x:v>
      </x:c>
      <x:c r="B1738" t="str">
        <x:v>All India except Central University</x:v>
      </x:c>
      <x:c r="C1738" t="str">
        <x:v>200591</x:v>
      </x:c>
      <x:c r="D1738" t="str">
        <x:v>Government Medical College, Sundargarh, At-Chitabhanga,Po- Sankara,Dist-Sundargarh,Odisha,Pin-770001</x:v>
      </x:c>
      <x:c r="E1738" t="str">
        <x:v>All India</x:v>
      </x:c>
      <x:c r="F1738" t="str">
        <x:v>SC</x:v>
      </x:c>
      <x:c r="G1738" t="n">
        <x:v>3</x:v>
      </x:c>
      <x:c r="H1738" t="n">
        <x:v>3</x:v>
      </x:c>
      <x:c r="I1738" t="n">
        <x:f>G1738-H1738</x:f>
        <x:v>0</x:v>
      </x:c>
      <x:c r="J1738" s="20" t="n">
        <x:f>IFERROR(H1738/G1738,0)</x:f>
        <x:v>1</x:v>
      </x:c>
      <x:c r="K1738" t="n">
        <x:v>83415</x:v>
      </x:c>
      <x:c r="L1738" t="n">
        <x:v>86006.5</x:v>
      </x:c>
      <x:c r="M1738" t="n">
        <x:v>88598</x:v>
      </x:c>
      <x:c r="N1738" t="n">
        <x:v>89431</x:v>
      </x:c>
      <x:c r="O1738" t="n">
        <x:v>90264</x:v>
      </x:c>
    </x:row>
    <x:row r="1739">
      <x:c r="A1739" t="str">
        <x:v>Odisha</x:v>
      </x:c>
      <x:c r="B1739" t="str">
        <x:v>All India except Central University</x:v>
      </x:c>
      <x:c r="C1739" t="str">
        <x:v>200591</x:v>
      </x:c>
      <x:c r="D1739" t="str">
        <x:v>Government Medical College, Sundargarh, At-Chitabhanga,Po- Sankara,Dist-Sundargarh,Odisha,Pin-770001</x:v>
      </x:c>
      <x:c r="E1739" t="str">
        <x:v>All India</x:v>
      </x:c>
      <x:c r="F1739" t="str">
        <x:v>ST</x:v>
      </x:c>
      <x:c r="G1739" t="n">
        <x:v>1</x:v>
      </x:c>
      <x:c r="H1739" t="n">
        <x:v>1</x:v>
      </x:c>
      <x:c r="I1739" t="n">
        <x:f>G1739-H1739</x:f>
        <x:v>0</x:v>
      </x:c>
      <x:c r="J1739" s="20" t="n">
        <x:f>IFERROR(H1739/G1739,0)</x:f>
        <x:v>1</x:v>
      </x:c>
      <x:c r="K1739" t="n">
        <x:v>125743</x:v>
      </x:c>
      <x:c r="L1739" t="n">
        <x:v>125743</x:v>
      </x:c>
      <x:c r="M1739" t="n">
        <x:v>125743</x:v>
      </x:c>
      <x:c r="N1739" t="n">
        <x:v>125743</x:v>
      </x:c>
      <x:c r="O1739" t="n">
        <x:v>125743</x:v>
      </x:c>
    </x:row>
    <x:row r="1740">
      <x:c r="A1740" t="str">
        <x:v>Gujarat</x:v>
      </x:c>
      <x:c r="B1740" t="str">
        <x:v>All India except Central University</x:v>
      </x:c>
      <x:c r="C1740" t="str">
        <x:v>200138</x:v>
      </x:c>
      <x:c r="D1740" t="str">
        <x:v>Government Medical College, Surat, Out Side Majura Gate, New Civil Hospital Campus, Opp. Income Tax office, Surat - 395001</x:v>
      </x:c>
      <x:c r="E1740" t="str">
        <x:v>All India</x:v>
      </x:c>
      <x:c r="F1740" t="str">
        <x:v>EWS</x:v>
      </x:c>
      <x:c r="G1740" t="n">
        <x:v>3</x:v>
      </x:c>
      <x:c r="H1740" t="n">
        <x:v>3</x:v>
      </x:c>
      <x:c r="I1740" t="n">
        <x:f>G1740-H1740</x:f>
        <x:v>0</x:v>
      </x:c>
      <x:c r="J1740" s="20" t="n">
        <x:f>IFERROR(H1740/G1740,0)</x:f>
        <x:v>1</x:v>
      </x:c>
      <x:c r="K1740" t="n">
        <x:v>5931</x:v>
      </x:c>
      <x:c r="L1740" t="n">
        <x:v>5938</x:v>
      </x:c>
      <x:c r="M1740" t="n">
        <x:v>5945</x:v>
      </x:c>
      <x:c r="N1740" t="n">
        <x:v>6045.5</x:v>
      </x:c>
      <x:c r="O1740" t="n">
        <x:v>6146</x:v>
      </x:c>
    </x:row>
    <x:row r="1741">
      <x:c r="A1741" t="str">
        <x:v>Gujarat</x:v>
      </x:c>
      <x:c r="B1741" t="str">
        <x:v>All India except Central University</x:v>
      </x:c>
      <x:c r="C1741" t="str">
        <x:v>200138</x:v>
      </x:c>
      <x:c r="D1741" t="str">
        <x:v>Government Medical College, Surat, Out Side Majura Gate, New Civil Hospital Campus, Opp. Income Tax office, Surat - 395001</x:v>
      </x:c>
      <x:c r="E1741" t="str">
        <x:v>All India</x:v>
      </x:c>
      <x:c r="F1741" t="str">
        <x:v>OBC</x:v>
      </x:c>
      <x:c r="G1741" t="n">
        <x:v>10</x:v>
      </x:c>
      <x:c r="H1741" t="n">
        <x:v>10</x:v>
      </x:c>
      <x:c r="I1741" t="n">
        <x:f>G1741-H1741</x:f>
        <x:v>0</x:v>
      </x:c>
      <x:c r="J1741" s="20" t="n">
        <x:f>IFERROR(H1741/G1741,0)</x:f>
        <x:v>1</x:v>
      </x:c>
      <x:c r="K1741" t="n">
        <x:v>4905</x:v>
      </x:c>
      <x:c r="L1741" t="n">
        <x:v>5090.5</x:v>
      </x:c>
      <x:c r="M1741" t="n">
        <x:v>5234</x:v>
      </x:c>
      <x:c r="N1741" t="n">
        <x:v>5347.75</x:v>
      </x:c>
      <x:c r="O1741" t="n">
        <x:v>5437</x:v>
      </x:c>
    </x:row>
    <x:row r="1742">
      <x:c r="A1742" t="str">
        <x:v>Gujarat</x:v>
      </x:c>
      <x:c r="B1742" t="str">
        <x:v>All India except Central University</x:v>
      </x:c>
      <x:c r="C1742" t="str">
        <x:v>200138</x:v>
      </x:c>
      <x:c r="D1742" t="str">
        <x:v>Government Medical College, Surat, Out Side Majura Gate, New Civil Hospital Campus, Opp. Income Tax office, Surat - 395001</x:v>
      </x:c>
      <x:c r="E1742" t="str">
        <x:v>All India</x:v>
      </x:c>
      <x:c r="F1742" t="str">
        <x:v>Open</x:v>
      </x:c>
      <x:c r="G1742" t="n">
        <x:v>15</x:v>
      </x:c>
      <x:c r="H1742" t="n">
        <x:v>15</x:v>
      </x:c>
      <x:c r="I1742" t="n">
        <x:f>G1742-H1742</x:f>
        <x:v>0</x:v>
      </x:c>
      <x:c r="J1742" s="20" t="n">
        <x:f>IFERROR(H1742/G1742,0)</x:f>
        <x:v>1</x:v>
      </x:c>
      <x:c r="K1742" t="n">
        <x:v>57</x:v>
      </x:c>
      <x:c r="L1742" t="n">
        <x:v>868.5</x:v>
      </x:c>
      <x:c r="M1742" t="n">
        <x:v>1822</x:v>
      </x:c>
      <x:c r="N1742" t="n">
        <x:v>3487</x:v>
      </x:c>
      <x:c r="O1742" t="n">
        <x:v>4022</x:v>
      </x:c>
    </x:row>
    <x:row r="1743">
      <x:c r="A1743" t="str">
        <x:v>Gujarat</x:v>
      </x:c>
      <x:c r="B1743" t="str">
        <x:v>All India except Central University</x:v>
      </x:c>
      <x:c r="C1743" t="str">
        <x:v>200138</x:v>
      </x:c>
      <x:c r="D1743" t="str">
        <x:v>Government Medical College, Surat, Out Side Majura Gate, New Civil Hospital Campus, Opp. Income Tax office, Surat - 395001</x:v>
      </x:c>
      <x:c r="E1743" t="str">
        <x:v>All India</x:v>
      </x:c>
      <x:c r="F1743" t="str">
        <x:v>Open PwD</x:v>
      </x:c>
      <x:c r="G1743" t="n">
        <x:v>1</x:v>
      </x:c>
      <x:c r="H1743" t="n">
        <x:v>1</x:v>
      </x:c>
      <x:c r="I1743" t="n">
        <x:f>G1743-H1743</x:f>
        <x:v>0</x:v>
      </x:c>
      <x:c r="J1743" s="20" t="n">
        <x:f>IFERROR(H1743/G1743,0)</x:f>
        <x:v>1</x:v>
      </x:c>
      <x:c r="K1743" t="n">
        <x:v>263229</x:v>
      </x:c>
      <x:c r="L1743" t="n">
        <x:v>263229</x:v>
      </x:c>
      <x:c r="M1743" t="n">
        <x:v>263229</x:v>
      </x:c>
      <x:c r="N1743" t="n">
        <x:v>263229</x:v>
      </x:c>
      <x:c r="O1743" t="n">
        <x:v>263229</x:v>
      </x:c>
    </x:row>
    <x:row r="1744">
      <x:c r="A1744" t="str">
        <x:v>Gujarat</x:v>
      </x:c>
      <x:c r="B1744" t="str">
        <x:v>All India except Central University</x:v>
      </x:c>
      <x:c r="C1744" t="str">
        <x:v>200138</x:v>
      </x:c>
      <x:c r="D1744" t="str">
        <x:v>Government Medical College, Surat, Out Side Majura Gate, New Civil Hospital Campus, Opp. Income Tax office, Surat - 395001</x:v>
      </x:c>
      <x:c r="E1744" t="str">
        <x:v>All India</x:v>
      </x:c>
      <x:c r="F1744" t="str">
        <x:v>SC</x:v>
      </x:c>
      <x:c r="G1744" t="n">
        <x:v>5</x:v>
      </x:c>
      <x:c r="H1744" t="n">
        <x:v>5</x:v>
      </x:c>
      <x:c r="I1744" t="n">
        <x:f>G1744-H1744</x:f>
        <x:v>0</x:v>
      </x:c>
      <x:c r="J1744" s="20" t="n">
        <x:f>IFERROR(H1744/G1744,0)</x:f>
        <x:v>1</x:v>
      </x:c>
      <x:c r="K1744" t="n">
        <x:v>28976</x:v>
      </x:c>
      <x:c r="L1744" t="n">
        <x:v>31700</x:v>
      </x:c>
      <x:c r="M1744" t="n">
        <x:v>32767</x:v>
      </x:c>
      <x:c r="N1744" t="n">
        <x:v>33564</x:v>
      </x:c>
      <x:c r="O1744" t="n">
        <x:v>38310</x:v>
      </x:c>
    </x:row>
    <x:row r="1745">
      <x:c r="A1745" t="str">
        <x:v>Gujarat</x:v>
      </x:c>
      <x:c r="B1745" t="str">
        <x:v>All India except Central University</x:v>
      </x:c>
      <x:c r="C1745" t="str">
        <x:v>200138</x:v>
      </x:c>
      <x:c r="D1745" t="str">
        <x:v>Government Medical College, Surat, Out Side Majura Gate, New Civil Hospital Campus, Opp. Income Tax office, Surat - 395001</x:v>
      </x:c>
      <x:c r="E1745" t="str">
        <x:v>All India</x:v>
      </x:c>
      <x:c r="F1745" t="str">
        <x:v>SC PwD</x:v>
      </x:c>
      <x:c r="G1745" t="n">
        <x:v>1</x:v>
      </x:c>
      <x:c r="H1745" t="n">
        <x:v>1</x:v>
      </x:c>
      <x:c r="I1745" t="n">
        <x:f>G1745-H1745</x:f>
        <x:v>0</x:v>
      </x:c>
      <x:c r="J1745" s="20" t="n">
        <x:f>IFERROR(H1745/G1745,0)</x:f>
        <x:v>1</x:v>
      </x:c>
      <x:c r="K1745" t="n">
        <x:v>727985</x:v>
      </x:c>
      <x:c r="L1745" t="n">
        <x:v>727985</x:v>
      </x:c>
      <x:c r="M1745" t="n">
        <x:v>727985</x:v>
      </x:c>
      <x:c r="N1745" t="n">
        <x:v>727985</x:v>
      </x:c>
      <x:c r="O1745" t="n">
        <x:v>727985</x:v>
      </x:c>
    </x:row>
    <x:row r="1746">
      <x:c r="A1746" t="str">
        <x:v>Gujarat</x:v>
      </x:c>
      <x:c r="B1746" t="str">
        <x:v>All India except Central University</x:v>
      </x:c>
      <x:c r="C1746" t="str">
        <x:v>200138</x:v>
      </x:c>
      <x:c r="D1746" t="str">
        <x:v>Government Medical College, Surat, Out Side Majura Gate, New Civil Hospital Campus, Opp. Income Tax office, Surat - 395001</x:v>
      </x:c>
      <x:c r="E1746" t="str">
        <x:v>All India</x:v>
      </x:c>
      <x:c r="F1746" t="str">
        <x:v>ST</x:v>
      </x:c>
      <x:c r="G1746" t="n">
        <x:v>3</x:v>
      </x:c>
      <x:c r="H1746" t="n">
        <x:v>3</x:v>
      </x:c>
      <x:c r="I1746" t="n">
        <x:f>G1746-H1746</x:f>
        <x:v>0</x:v>
      </x:c>
      <x:c r="J1746" s="20" t="n">
        <x:f>IFERROR(H1746/G1746,0)</x:f>
        <x:v>1</x:v>
      </x:c>
      <x:c r="K1746" t="n">
        <x:v>60224</x:v>
      </x:c>
      <x:c r="L1746" t="n">
        <x:v>60246</x:v>
      </x:c>
      <x:c r="M1746" t="n">
        <x:v>60268</x:v>
      </x:c>
      <x:c r="N1746" t="n">
        <x:v>60780</x:v>
      </x:c>
      <x:c r="O1746" t="n">
        <x:v>61292</x:v>
      </x:c>
    </x:row>
    <x:row r="1747">
      <x:c r="A1747" t="str">
        <x:v>Telangana</x:v>
      </x:c>
      <x:c r="B1747" t="str">
        <x:v>All India except Central University</x:v>
      </x:c>
      <x:c r="C1747" t="str">
        <x:v>200481</x:v>
      </x:c>
      <x:c r="D1747" t="str">
        <x:v>Government Medical College, Suryapet, AMARAVADI NAGAR, TALLAGADDA, SURYAPET-508213 Suraypet Dist</x:v>
      </x:c>
      <x:c r="E1747" t="str">
        <x:v>All India</x:v>
      </x:c>
      <x:c r="F1747" t="str">
        <x:v>EWS</x:v>
      </x:c>
      <x:c r="G1747" t="n">
        <x:v>2</x:v>
      </x:c>
      <x:c r="H1747" t="n">
        <x:v>2</x:v>
      </x:c>
      <x:c r="I1747" t="n">
        <x:f>G1747-H1747</x:f>
        <x:v>0</x:v>
      </x:c>
      <x:c r="J1747" s="20" t="n">
        <x:f>IFERROR(H1747/G1747,0)</x:f>
        <x:v>1</x:v>
      </x:c>
      <x:c r="K1747" t="n">
        <x:v>21172</x:v>
      </x:c>
      <x:c r="L1747" t="n">
        <x:v>21818</x:v>
      </x:c>
      <x:c r="M1747" t="n">
        <x:v>22464</x:v>
      </x:c>
      <x:c r="N1747" t="n">
        <x:v>23110</x:v>
      </x:c>
      <x:c r="O1747" t="n">
        <x:v>23756</x:v>
      </x:c>
    </x:row>
    <x:row r="1748">
      <x:c r="A1748" t="str">
        <x:v>Telangana</x:v>
      </x:c>
      <x:c r="B1748" t="str">
        <x:v>All India except Central University</x:v>
      </x:c>
      <x:c r="C1748" t="str">
        <x:v>200481</x:v>
      </x:c>
      <x:c r="D1748" t="str">
        <x:v>Government Medical College, Suryapet, AMARAVADI NAGAR, TALLAGADDA, SURYAPET-508213 Suraypet Dist</x:v>
      </x:c>
      <x:c r="E1748" t="str">
        <x:v>All India</x:v>
      </x:c>
      <x:c r="F1748" t="str">
        <x:v>OBC</x:v>
      </x:c>
      <x:c r="G1748" t="n">
        <x:v>5</x:v>
      </x:c>
      <x:c r="H1748" t="n">
        <x:v>5</x:v>
      </x:c>
      <x:c r="I1748" t="n">
        <x:f>G1748-H1748</x:f>
        <x:v>0</x:v>
      </x:c>
      <x:c r="J1748" s="20" t="n">
        <x:f>IFERROR(H1748/G1748,0)</x:f>
        <x:v>1</x:v>
      </x:c>
      <x:c r="K1748" t="n">
        <x:v>19487</x:v>
      </x:c>
      <x:c r="L1748" t="n">
        <x:v>19815</x:v>
      </x:c>
      <x:c r="M1748" t="n">
        <x:v>19975</x:v>
      </x:c>
      <x:c r="N1748" t="n">
        <x:v>20043</x:v>
      </x:c>
      <x:c r="O1748" t="n">
        <x:v>20183</x:v>
      </x:c>
    </x:row>
    <x:row r="1749">
      <x:c r="A1749" t="str">
        <x:v>Telangana</x:v>
      </x:c>
      <x:c r="B1749" t="str">
        <x:v>All India except Central University</x:v>
      </x:c>
      <x:c r="C1749" t="str">
        <x:v>200481</x:v>
      </x:c>
      <x:c r="D1749" t="str">
        <x:v>Government Medical College, Suryapet, AMARAVADI NAGAR, TALLAGADDA, SURYAPET-508213 Suraypet Dist</x:v>
      </x:c>
      <x:c r="E1749" t="str">
        <x:v>All India</x:v>
      </x:c>
      <x:c r="F1749" t="str">
        <x:v>Open</x:v>
      </x:c>
      <x:c r="G1749" t="n">
        <x:v>10</x:v>
      </x:c>
      <x:c r="H1749" t="n">
        <x:v>10</x:v>
      </x:c>
      <x:c r="I1749" t="n">
        <x:f>G1749-H1749</x:f>
        <x:v>0</x:v>
      </x:c>
      <x:c r="J1749" s="20" t="n">
        <x:f>IFERROR(H1749/G1749,0)</x:f>
        <x:v>1</x:v>
      </x:c>
      <x:c r="K1749" t="n">
        <x:v>13849</x:v>
      </x:c>
      <x:c r="L1749" t="n">
        <x:v>18470.25</x:v>
      </x:c>
      <x:c r="M1749" t="n">
        <x:v>18583</x:v>
      </x:c>
      <x:c r="N1749" t="n">
        <x:v>18649.5</x:v>
      </x:c>
      <x:c r="O1749" t="n">
        <x:v>19386</x:v>
      </x:c>
    </x:row>
    <x:row r="1750">
      <x:c r="A1750" t="str">
        <x:v>Telangana</x:v>
      </x:c>
      <x:c r="B1750" t="str">
        <x:v>All India except Central University</x:v>
      </x:c>
      <x:c r="C1750" t="str">
        <x:v>200481</x:v>
      </x:c>
      <x:c r="D1750" t="str">
        <x:v>Government Medical College, Suryapet, AMARAVADI NAGAR, TALLAGADDA, SURYAPET-508213 Suraypet Dist</x:v>
      </x:c>
      <x:c r="E1750" t="str">
        <x:v>All India</x:v>
      </x:c>
      <x:c r="F1750" t="str">
        <x:v>SC</x:v>
      </x:c>
      <x:c r="G1750" t="n">
        <x:v>3</x:v>
      </x:c>
      <x:c r="H1750" t="n">
        <x:v>3</x:v>
      </x:c>
      <x:c r="I1750" t="n">
        <x:f>G1750-H1750</x:f>
        <x:v>0</x:v>
      </x:c>
      <x:c r="J1750" s="20" t="n">
        <x:f>IFERROR(H1750/G1750,0)</x:f>
        <x:v>1</x:v>
      </x:c>
      <x:c r="K1750" t="n">
        <x:v>92278</x:v>
      </x:c>
      <x:c r="L1750" t="n">
        <x:v>93611.5</x:v>
      </x:c>
      <x:c r="M1750" t="n">
        <x:v>94945</x:v>
      </x:c>
      <x:c r="N1750" t="n">
        <x:v>95743.5</x:v>
      </x:c>
      <x:c r="O1750" t="n">
        <x:v>96542</x:v>
      </x:c>
    </x:row>
    <x:row r="1751">
      <x:c r="A1751" t="str">
        <x:v>Telangana</x:v>
      </x:c>
      <x:c r="B1751" t="str">
        <x:v>All India except Central University</x:v>
      </x:c>
      <x:c r="C1751" t="str">
        <x:v>200481</x:v>
      </x:c>
      <x:c r="D1751" t="str">
        <x:v>Government Medical College, Suryapet, AMARAVADI NAGAR, TALLAGADDA, SURYAPET-508213 Suraypet Dist</x:v>
      </x:c>
      <x:c r="E1751" t="str">
        <x:v>All India</x:v>
      </x:c>
      <x:c r="F1751" t="str">
        <x:v>ST</x:v>
      </x:c>
      <x:c r="G1751" t="n">
        <x:v>2</x:v>
      </x:c>
      <x:c r="H1751" t="n">
        <x:v>2</x:v>
      </x:c>
      <x:c r="I1751" t="n">
        <x:f>G1751-H1751</x:f>
        <x:v>0</x:v>
      </x:c>
      <x:c r="J1751" s="20" t="n">
        <x:f>IFERROR(H1751/G1751,0)</x:f>
        <x:v>1</x:v>
      </x:c>
      <x:c r="K1751" t="n">
        <x:v>94774</x:v>
      </x:c>
      <x:c r="L1751" t="n">
        <x:v>98233</x:v>
      </x:c>
      <x:c r="M1751" t="n">
        <x:v>101692</x:v>
      </x:c>
      <x:c r="N1751" t="n">
        <x:v>105151</x:v>
      </x:c>
      <x:c r="O1751" t="n">
        <x:v>108610</x:v>
      </x:c>
    </x:row>
    <x:row r="1752">
      <x:c r="A1752" t="str">
        <x:v>Tamil Nadu</x:v>
      </x:c>
      <x:c r="B1752" t="str">
        <x:v>All India except Central University</x:v>
      </x:c>
      <x:c r="C1752" t="str">
        <x:v>200560</x:v>
      </x:c>
      <x:c r="D1752" t="str">
        <x:v>Government Medical College, The Nilgiris, No. 1, INDU NAGAR, MYSORE ROAD, UDHAGAMANDALAM, NILGIRIS DISTRICT</x:v>
      </x:c>
      <x:c r="E1752" t="str">
        <x:v>All India</x:v>
      </x:c>
      <x:c r="F1752" t="str">
        <x:v>EWS</x:v>
      </x:c>
      <x:c r="G1752" t="n">
        <x:v>2</x:v>
      </x:c>
      <x:c r="H1752" t="n">
        <x:v>2</x:v>
      </x:c>
      <x:c r="I1752" t="n">
        <x:f>G1752-H1752</x:f>
        <x:v>0</x:v>
      </x:c>
      <x:c r="J1752" s="20" t="n">
        <x:f>IFERROR(H1752/G1752,0)</x:f>
        <x:v>1</x:v>
      </x:c>
      <x:c r="K1752" t="n">
        <x:v>19263</x:v>
      </x:c>
      <x:c r="L1752" t="n">
        <x:v>20390.75</x:v>
      </x:c>
      <x:c r="M1752" t="n">
        <x:v>21518.5</x:v>
      </x:c>
      <x:c r="N1752" t="n">
        <x:v>22646.25</x:v>
      </x:c>
      <x:c r="O1752" t="n">
        <x:v>23774</x:v>
      </x:c>
    </x:row>
    <x:row r="1753">
      <x:c r="A1753" t="str">
        <x:v>Tamil Nadu</x:v>
      </x:c>
      <x:c r="B1753" t="str">
        <x:v>All India except Central University</x:v>
      </x:c>
      <x:c r="C1753" t="str">
        <x:v>200560</x:v>
      </x:c>
      <x:c r="D1753" t="str">
        <x:v>Government Medical College, The Nilgiris, No. 1, INDU NAGAR, MYSORE ROAD, UDHAGAMANDALAM, NILGIRIS DISTRICT</x:v>
      </x:c>
      <x:c r="E1753" t="str">
        <x:v>All India</x:v>
      </x:c>
      <x:c r="F1753" t="str">
        <x:v>OBC</x:v>
      </x:c>
      <x:c r="G1753" t="n">
        <x:v>5</x:v>
      </x:c>
      <x:c r="H1753" t="n">
        <x:v>5</x:v>
      </x:c>
      <x:c r="I1753" t="n">
        <x:f>G1753-H1753</x:f>
        <x:v>0</x:v>
      </x:c>
      <x:c r="J1753" s="20" t="n">
        <x:f>IFERROR(H1753/G1753,0)</x:f>
        <x:v>1</x:v>
      </x:c>
      <x:c r="K1753" t="n">
        <x:v>11140</x:v>
      </x:c>
      <x:c r="L1753" t="n">
        <x:v>11392</x:v>
      </x:c>
      <x:c r="M1753" t="n">
        <x:v>11570</x:v>
      </x:c>
      <x:c r="N1753" t="n">
        <x:v>11828</x:v>
      </x:c>
      <x:c r="O1753" t="n">
        <x:v>11855</x:v>
      </x:c>
    </x:row>
    <x:row r="1754">
      <x:c r="A1754" t="str">
        <x:v>Tamil Nadu</x:v>
      </x:c>
      <x:c r="B1754" t="str">
        <x:v>All India except Central University</x:v>
      </x:c>
      <x:c r="C1754" t="str">
        <x:v>200560</x:v>
      </x:c>
      <x:c r="D1754" t="str">
        <x:v>Government Medical College, The Nilgiris, No. 1, INDU NAGAR, MYSORE ROAD, UDHAGAMANDALAM, NILGIRIS DISTRICT</x:v>
      </x:c>
      <x:c r="E1754" t="str">
        <x:v>All India</x:v>
      </x:c>
      <x:c r="F1754" t="str">
        <x:v>OBC PwD</x:v>
      </x:c>
      <x:c r="G1754" t="n">
        <x:v>1</x:v>
      </x:c>
      <x:c r="H1754" t="n">
        <x:v>1</x:v>
      </x:c>
      <x:c r="I1754" t="n">
        <x:f>G1754-H1754</x:f>
        <x:v>0</x:v>
      </x:c>
      <x:c r="J1754" s="20" t="n">
        <x:f>IFERROR(H1754/G1754,0)</x:f>
        <x:v>1</x:v>
      </x:c>
      <x:c r="K1754" t="n">
        <x:v>731480</x:v>
      </x:c>
      <x:c r="L1754" t="n">
        <x:v>731480</x:v>
      </x:c>
      <x:c r="M1754" t="n">
        <x:v>731480</x:v>
      </x:c>
      <x:c r="N1754" t="n">
        <x:v>731480</x:v>
      </x:c>
      <x:c r="O1754" t="n">
        <x:v>731480</x:v>
      </x:c>
    </x:row>
    <x:row r="1755">
      <x:c r="A1755" t="str">
        <x:v>Tamil Nadu</x:v>
      </x:c>
      <x:c r="B1755" t="str">
        <x:v>All India except Central University</x:v>
      </x:c>
      <x:c r="C1755" t="str">
        <x:v>200560</x:v>
      </x:c>
      <x:c r="D1755" t="str">
        <x:v>Government Medical College, The Nilgiris, No. 1, INDU NAGAR, MYSORE ROAD, UDHAGAMANDALAM, NILGIRIS DISTRICT</x:v>
      </x:c>
      <x:c r="E1755" t="str">
        <x:v>All India</x:v>
      </x:c>
      <x:c r="F1755" t="str">
        <x:v>Open</x:v>
      </x:c>
      <x:c r="G1755" t="n">
        <x:v>7</x:v>
      </x:c>
      <x:c r="H1755" t="n">
        <x:v>7</x:v>
      </x:c>
      <x:c r="I1755" t="n">
        <x:f>G1755-H1755</x:f>
        <x:v>0</x:v>
      </x:c>
      <x:c r="J1755" s="20" t="n">
        <x:f>IFERROR(H1755/G1755,0)</x:f>
        <x:v>1</x:v>
      </x:c>
      <x:c r="K1755" t="n">
        <x:v>8828</x:v>
      </x:c>
      <x:c r="L1755" t="n">
        <x:v>10178</x:v>
      </x:c>
      <x:c r="M1755" t="n">
        <x:v>10591</x:v>
      </x:c>
      <x:c r="N1755" t="n">
        <x:v>10734</x:v>
      </x:c>
      <x:c r="O1755" t="n">
        <x:v>10957</x:v>
      </x:c>
    </x:row>
    <x:row r="1756">
      <x:c r="A1756" t="str">
        <x:v>Tamil Nadu</x:v>
      </x:c>
      <x:c r="B1756" t="str">
        <x:v>All India except Central University</x:v>
      </x:c>
      <x:c r="C1756" t="str">
        <x:v>200560</x:v>
      </x:c>
      <x:c r="D1756" t="str">
        <x:v>Government Medical College, The Nilgiris, No. 1, INDU NAGAR, MYSORE ROAD, UDHAGAMANDALAM, NILGIRIS DISTRICT</x:v>
      </x:c>
      <x:c r="E1756" t="str">
        <x:v>All India</x:v>
      </x:c>
      <x:c r="F1756" t="str">
        <x:v>Open PwD</x:v>
      </x:c>
      <x:c r="G1756" t="n">
        <x:v>1</x:v>
      </x:c>
      <x:c r="H1756" t="n">
        <x:v>1</x:v>
      </x:c>
      <x:c r="I1756" t="n">
        <x:f>G1756-H1756</x:f>
        <x:v>0</x:v>
      </x:c>
      <x:c r="J1756" s="20" t="n">
        <x:f>IFERROR(H1756/G1756,0)</x:f>
        <x:v>1</x:v>
      </x:c>
      <x:c r="K1756" t="n">
        <x:v>621892</x:v>
      </x:c>
      <x:c r="L1756" t="n">
        <x:v>621892</x:v>
      </x:c>
      <x:c r="M1756" t="n">
        <x:v>621892</x:v>
      </x:c>
      <x:c r="N1756" t="n">
        <x:v>621892</x:v>
      </x:c>
      <x:c r="O1756" t="n">
        <x:v>621892</x:v>
      </x:c>
    </x:row>
    <x:row r="1757">
      <x:c r="A1757" t="str">
        <x:v>Tamil Nadu</x:v>
      </x:c>
      <x:c r="B1757" t="str">
        <x:v>All India except Central University</x:v>
      </x:c>
      <x:c r="C1757" t="str">
        <x:v>200560</x:v>
      </x:c>
      <x:c r="D1757" t="str">
        <x:v>Government Medical College, The Nilgiris, No. 1, INDU NAGAR, MYSORE ROAD, UDHAGAMANDALAM, NILGIRIS DISTRICT</x:v>
      </x:c>
      <x:c r="E1757" t="str">
        <x:v>All India</x:v>
      </x:c>
      <x:c r="F1757" t="str">
        <x:v>SC</x:v>
      </x:c>
      <x:c r="G1757" t="n">
        <x:v>4</x:v>
      </x:c>
      <x:c r="H1757" t="n">
        <x:v>4</x:v>
      </x:c>
      <x:c r="I1757" t="n">
        <x:f>G1757-H1757</x:f>
        <x:v>0</x:v>
      </x:c>
      <x:c r="J1757" s="20" t="n">
        <x:f>IFERROR(H1757/G1757,0)</x:f>
        <x:v>1</x:v>
      </x:c>
      <x:c r="K1757" t="n">
        <x:v>70292</x:v>
      </x:c>
      <x:c r="L1757" t="n">
        <x:v>72606.5</x:v>
      </x:c>
      <x:c r="M1757" t="n">
        <x:v>74002</x:v>
      </x:c>
      <x:c r="N1757" t="n">
        <x:v>74654</x:v>
      </x:c>
      <x:c r="O1757" t="n">
        <x:v>74738</x:v>
      </x:c>
    </x:row>
    <x:row r="1758">
      <x:c r="A1758" t="str">
        <x:v>Tamil Nadu</x:v>
      </x:c>
      <x:c r="B1758" t="str">
        <x:v>All India except Central University</x:v>
      </x:c>
      <x:c r="C1758" t="str">
        <x:v>200560</x:v>
      </x:c>
      <x:c r="D1758" t="str">
        <x:v>Government Medical College, The Nilgiris, No. 1, INDU NAGAR, MYSORE ROAD, UDHAGAMANDALAM, NILGIRIS DISTRICT</x:v>
      </x:c>
      <x:c r="E1758" t="str">
        <x:v>All India</x:v>
      </x:c>
      <x:c r="F1758" t="str">
        <x:v>ST</x:v>
      </x:c>
      <x:c r="G1758" t="n">
        <x:v>2</x:v>
      </x:c>
      <x:c r="H1758" t="n">
        <x:v>2</x:v>
      </x:c>
      <x:c r="I1758" t="n">
        <x:f>G1758-H1758</x:f>
        <x:v>0</x:v>
      </x:c>
      <x:c r="J1758" s="20" t="n">
        <x:f>IFERROR(H1758/G1758,0)</x:f>
        <x:v>1</x:v>
      </x:c>
      <x:c r="K1758" t="n">
        <x:v>127287</x:v>
      </x:c>
      <x:c r="L1758" t="n">
        <x:v>127332.5</x:v>
      </x:c>
      <x:c r="M1758" t="n">
        <x:v>127378</x:v>
      </x:c>
      <x:c r="N1758" t="n">
        <x:v>127423.5</x:v>
      </x:c>
      <x:c r="O1758" t="n">
        <x:v>127469</x:v>
      </x:c>
    </x:row>
    <x:row r="1759">
      <x:c r="A1759" t="str">
        <x:v>Tamil Nadu</x:v>
      </x:c>
      <x:c r="B1759" t="str">
        <x:v>All India except Central University</x:v>
      </x:c>
      <x:c r="C1759" t="str">
        <x:v>200559</x:v>
      </x:c>
      <x:c r="D1759" t="str">
        <x:v>Government Medical College, Thiruvallur, BLOCK 1 MASTER PLAN COMPLEX, THIRUVALLUR COLLECTORATE, PERUMBAKKAM VILLAGE, THIRUVALLUR, TAMIL NADU</x:v>
      </x:c>
      <x:c r="E1759" t="str">
        <x:v>All India</x:v>
      </x:c>
      <x:c r="F1759" t="str">
        <x:v>EWS</x:v>
      </x:c>
      <x:c r="G1759" t="n">
        <x:v>2</x:v>
      </x:c>
      <x:c r="H1759" t="n">
        <x:v>2</x:v>
      </x:c>
      <x:c r="I1759" t="n">
        <x:f>G1759-H1759</x:f>
        <x:v>0</x:v>
      </x:c>
      <x:c r="J1759" s="20" t="n">
        <x:f>IFERROR(H1759/G1759,0)</x:f>
        <x:v>1</x:v>
      </x:c>
      <x:c r="K1759" t="n">
        <x:v>23653</x:v>
      </x:c>
      <x:c r="L1759" t="n">
        <x:v>23791.25</x:v>
      </x:c>
      <x:c r="M1759" t="n">
        <x:v>23929.5</x:v>
      </x:c>
      <x:c r="N1759" t="n">
        <x:v>24067.75</x:v>
      </x:c>
      <x:c r="O1759" t="n">
        <x:v>24206</x:v>
      </x:c>
    </x:row>
    <x:row r="1760">
      <x:c r="A1760" t="str">
        <x:v>Tamil Nadu</x:v>
      </x:c>
      <x:c r="B1760" t="str">
        <x:v>All India except Central University</x:v>
      </x:c>
      <x:c r="C1760" t="str">
        <x:v>200559</x:v>
      </x:c>
      <x:c r="D1760" t="str">
        <x:v>Government Medical College, Thiruvallur, BLOCK 1 MASTER PLAN COMPLEX, THIRUVALLUR COLLECTORATE, PERUMBAKKAM VILLAGE, THIRUVALLUR, TAMIL NADU</x:v>
      </x:c>
      <x:c r="E1760" t="str">
        <x:v>All India</x:v>
      </x:c>
      <x:c r="F1760" t="str">
        <x:v>EWS PwD</x:v>
      </x:c>
      <x:c r="G1760" t="n">
        <x:v>1</x:v>
      </x:c>
      <x:c r="H1760" t="n">
        <x:v>1</x:v>
      </x:c>
      <x:c r="I1760" t="n">
        <x:f>G1760-H1760</x:f>
        <x:v>0</x:v>
      </x:c>
      <x:c r="J1760" s="20" t="n">
        <x:f>IFERROR(H1760/G1760,0)</x:f>
        <x:v>1</x:v>
      </x:c>
      <x:c r="K1760" t="n">
        <x:v>707990</x:v>
      </x:c>
      <x:c r="L1760" t="n">
        <x:v>707990</x:v>
      </x:c>
      <x:c r="M1760" t="n">
        <x:v>707990</x:v>
      </x:c>
      <x:c r="N1760" t="n">
        <x:v>707990</x:v>
      </x:c>
      <x:c r="O1760" t="n">
        <x:v>707990</x:v>
      </x:c>
    </x:row>
    <x:row r="1761">
      <x:c r="A1761" t="str">
        <x:v>Tamil Nadu</x:v>
      </x:c>
      <x:c r="B1761" t="str">
        <x:v>All India except Central University</x:v>
      </x:c>
      <x:c r="C1761" t="str">
        <x:v>200559</x:v>
      </x:c>
      <x:c r="D1761" t="str">
        <x:v>Government Medical College, Thiruvallur, BLOCK 1 MASTER PLAN COMPLEX, THIRUVALLUR COLLECTORATE, PERUMBAKKAM VILLAGE, THIRUVALLUR, TAMIL NADU</x:v>
      </x:c>
      <x:c r="E1761" t="str">
        <x:v>All India</x:v>
      </x:c>
      <x:c r="F1761" t="str">
        <x:v>OBC</x:v>
      </x:c>
      <x:c r="G1761" t="n">
        <x:v>6</x:v>
      </x:c>
      <x:c r="H1761" t="n">
        <x:v>6</x:v>
      </x:c>
      <x:c r="I1761" t="n">
        <x:f>G1761-H1761</x:f>
        <x:v>0</x:v>
      </x:c>
      <x:c r="J1761" s="20" t="n">
        <x:f>IFERROR(H1761/G1761,0)</x:f>
        <x:v>1</x:v>
      </x:c>
      <x:c r="K1761" t="n">
        <x:v>8349</x:v>
      </x:c>
      <x:c r="L1761" t="n">
        <x:v>9008.75</x:v>
      </x:c>
      <x:c r="M1761" t="n">
        <x:v>9409</x:v>
      </x:c>
      <x:c r="N1761" t="n">
        <x:v>9845.25</x:v>
      </x:c>
      <x:c r="O1761" t="n">
        <x:v>10378</x:v>
      </x:c>
    </x:row>
    <x:row r="1762">
      <x:c r="A1762" t="str">
        <x:v>Tamil Nadu</x:v>
      </x:c>
      <x:c r="B1762" t="str">
        <x:v>All India except Central University</x:v>
      </x:c>
      <x:c r="C1762" t="str">
        <x:v>200559</x:v>
      </x:c>
      <x:c r="D1762" t="str">
        <x:v>Government Medical College, Thiruvallur, BLOCK 1 MASTER PLAN COMPLEX, THIRUVALLUR COLLECTORATE, PERUMBAKKAM VILLAGE, THIRUVALLUR, TAMIL NADU</x:v>
      </x:c>
      <x:c r="E1762" t="str">
        <x:v>All India</x:v>
      </x:c>
      <x:c r="F1762" t="str">
        <x:v>Open</x:v>
      </x:c>
      <x:c r="G1762" t="n">
        <x:v>8</x:v>
      </x:c>
      <x:c r="H1762" t="n">
        <x:v>8</x:v>
      </x:c>
      <x:c r="I1762" t="n">
        <x:f>G1762-H1762</x:f>
        <x:v>0</x:v>
      </x:c>
      <x:c r="J1762" s="20" t="n">
        <x:f>IFERROR(H1762/G1762,0)</x:f>
        <x:v>1</x:v>
      </x:c>
      <x:c r="K1762" t="n">
        <x:v>4392</x:v>
      </x:c>
      <x:c r="L1762" t="n">
        <x:v>5246</x:v>
      </x:c>
      <x:c r="M1762" t="n">
        <x:v>6867.5</x:v>
      </x:c>
      <x:c r="N1762" t="n">
        <x:v>8019</x:v>
      </x:c>
      <x:c r="O1762" t="n">
        <x:v>8120</x:v>
      </x:c>
    </x:row>
    <x:row r="1763">
      <x:c r="A1763" t="str">
        <x:v>Tamil Nadu</x:v>
      </x:c>
      <x:c r="B1763" t="str">
        <x:v>All India except Central University</x:v>
      </x:c>
      <x:c r="C1763" t="str">
        <x:v>200559</x:v>
      </x:c>
      <x:c r="D1763" t="str">
        <x:v>Government Medical College, Thiruvallur, BLOCK 1 MASTER PLAN COMPLEX, THIRUVALLUR COLLECTORATE, PERUMBAKKAM VILLAGE, THIRUVALLUR, TAMIL NADU</x:v>
      </x:c>
      <x:c r="E1763" t="str">
        <x:v>All India</x:v>
      </x:c>
      <x:c r="F1763" t="str">
        <x:v>SC</x:v>
      </x:c>
      <x:c r="G1763" t="n">
        <x:v>2</x:v>
      </x:c>
      <x:c r="H1763" t="n">
        <x:v>2</x:v>
      </x:c>
      <x:c r="I1763" t="n">
        <x:f>G1763-H1763</x:f>
        <x:v>0</x:v>
      </x:c>
      <x:c r="J1763" s="20" t="n">
        <x:f>IFERROR(H1763/G1763,0)</x:f>
        <x:v>1</x:v>
      </x:c>
      <x:c r="K1763" t="n">
        <x:v>29977</x:v>
      </x:c>
      <x:c r="L1763" t="n">
        <x:v>30439</x:v>
      </x:c>
      <x:c r="M1763" t="n">
        <x:v>30901</x:v>
      </x:c>
      <x:c r="N1763" t="n">
        <x:v>31363</x:v>
      </x:c>
      <x:c r="O1763" t="n">
        <x:v>31825</x:v>
      </x:c>
    </x:row>
    <x:row r="1764">
      <x:c r="A1764" t="str">
        <x:v>Tamil Nadu</x:v>
      </x:c>
      <x:c r="B1764" t="str">
        <x:v>All India except Central University</x:v>
      </x:c>
      <x:c r="C1764" t="str">
        <x:v>200559</x:v>
      </x:c>
      <x:c r="D1764" t="str">
        <x:v>Government Medical College, Thiruvallur, BLOCK 1 MASTER PLAN COMPLEX, THIRUVALLUR COLLECTORATE, PERUMBAKKAM VILLAGE, THIRUVALLUR, TAMIL NADU</x:v>
      </x:c>
      <x:c r="E1764" t="str">
        <x:v>All India</x:v>
      </x:c>
      <x:c r="F1764" t="str">
        <x:v>SC PwD</x:v>
      </x:c>
      <x:c r="G1764" t="n">
        <x:v>1</x:v>
      </x:c>
      <x:c r="H1764" t="n">
        <x:v>1</x:v>
      </x:c>
      <x:c r="I1764" t="n">
        <x:f>G1764-H1764</x:f>
        <x:v>0</x:v>
      </x:c>
      <x:c r="J1764" s="20" t="n">
        <x:f>IFERROR(H1764/G1764,0)</x:f>
        <x:v>1</x:v>
      </x:c>
      <x:c r="K1764" t="n">
        <x:v>1188058</x:v>
      </x:c>
      <x:c r="L1764" t="n">
        <x:v>1188058</x:v>
      </x:c>
      <x:c r="M1764" t="n">
        <x:v>1188058</x:v>
      </x:c>
      <x:c r="N1764" t="n">
        <x:v>1188058</x:v>
      </x:c>
      <x:c r="O1764" t="n">
        <x:v>1188058</x:v>
      </x:c>
    </x:row>
    <x:row r="1765">
      <x:c r="A1765" t="str">
        <x:v>Tamil Nadu</x:v>
      </x:c>
      <x:c r="B1765" t="str">
        <x:v>All India except Central University</x:v>
      </x:c>
      <x:c r="C1765" t="str">
        <x:v>200559</x:v>
      </x:c>
      <x:c r="D1765" t="str">
        <x:v>Government Medical College, Thiruvallur, BLOCK 1 MASTER PLAN COMPLEX, THIRUVALLUR COLLECTORATE, PERUMBAKKAM VILLAGE, THIRUVALLUR, TAMIL NADU</x:v>
      </x:c>
      <x:c r="E1765" t="str">
        <x:v>All India</x:v>
      </x:c>
      <x:c r="F1765" t="str">
        <x:v>ST</x:v>
      </x:c>
      <x:c r="G1765" t="n">
        <x:v>1</x:v>
      </x:c>
      <x:c r="H1765" t="n">
        <x:v>1</x:v>
      </x:c>
      <x:c r="I1765" t="n">
        <x:f>G1765-H1765</x:f>
        <x:v>0</x:v>
      </x:c>
      <x:c r="J1765" s="20" t="n">
        <x:f>IFERROR(H1765/G1765,0)</x:f>
        <x:v>1</x:v>
      </x:c>
      <x:c r="K1765" t="n">
        <x:v>90559</x:v>
      </x:c>
      <x:c r="L1765" t="n">
        <x:v>90559</x:v>
      </x:c>
      <x:c r="M1765" t="n">
        <x:v>90559</x:v>
      </x:c>
      <x:c r="N1765" t="n">
        <x:v>90559</x:v>
      </x:c>
      <x:c r="O1765" t="n">
        <x:v>90559</x:v>
      </x:c>
    </x:row>
    <x:row r="1766">
      <x:c r="A1766" t="str">
        <x:v>Tamil Nadu</x:v>
      </x:c>
      <x:c r="B1766" t="str">
        <x:v>All India except Central University</x:v>
      </x:c>
      <x:c r="C1766" t="str">
        <x:v>200559</x:v>
      </x:c>
      <x:c r="D1766" t="str">
        <x:v>Government Medical College, Thiruvallur, BLOCK 1 MASTER PLAN COMPLEX, THIRUVALLUR COLLECTORATE, PERUMBAKKAM VILLAGE, THIRUVALLUR, TAMIL NADU</x:v>
      </x:c>
      <x:c r="E1766" t="str">
        <x:v>All India</x:v>
      </x:c>
      <x:c r="F1766" t="str">
        <x:v>ST PwD</x:v>
      </x:c>
      <x:c r="G1766" t="n">
        <x:v>1</x:v>
      </x:c>
      <x:c r="H1766" t="n">
        <x:v>0</x:v>
      </x:c>
      <x:c r="I1766" t="n">
        <x:f>G1766-H1766</x:f>
        <x:v>1</x:v>
      </x:c>
      <x:c r="J1766" s="20" t="n">
        <x:f>IFERROR(H1766/G1766,0)</x:f>
        <x:v>0</x:v>
      </x:c>
      <x:c r="K1766"/>
      <x:c r="L1766"/>
      <x:c r="M1766"/>
      <x:c r="N1766"/>
      <x:c r="O1766"/>
    </x:row>
    <x:row r="1767">
      <x:c r="A1767" t="str">
        <x:v>Kerala</x:v>
      </x:c>
      <x:c r="B1767" t="str">
        <x:v>All India except Central University</x:v>
      </x:c>
      <x:c r="C1767" t="str">
        <x:v>200195</x:v>
      </x:c>
      <x:c r="D1767" t="str">
        <x:v>Government Medical College, Thrissur, Govt.Medical College,Thrissur,Medical College P.O, Pin -680596, Thrissur District.</x:v>
      </x:c>
      <x:c r="E1767" t="str">
        <x:v>All India</x:v>
      </x:c>
      <x:c r="F1767" t="str">
        <x:v>EWS</x:v>
      </x:c>
      <x:c r="G1767" t="n">
        <x:v>2</x:v>
      </x:c>
      <x:c r="H1767" t="n">
        <x:v>2</x:v>
      </x:c>
      <x:c r="I1767" t="n">
        <x:f>G1767-H1767</x:f>
        <x:v>0</x:v>
      </x:c>
      <x:c r="J1767" s="20" t="n">
        <x:f>IFERROR(H1767/G1767,0)</x:f>
        <x:v>1</x:v>
      </x:c>
      <x:c r="K1767" t="n">
        <x:v>10415</x:v>
      </x:c>
      <x:c r="L1767" t="n">
        <x:v>10899</x:v>
      </x:c>
      <x:c r="M1767" t="n">
        <x:v>11383</x:v>
      </x:c>
      <x:c r="N1767" t="n">
        <x:v>11867</x:v>
      </x:c>
      <x:c r="O1767" t="n">
        <x:v>12351</x:v>
      </x:c>
    </x:row>
    <x:row r="1768">
      <x:c r="A1768" t="str">
        <x:v>Kerala</x:v>
      </x:c>
      <x:c r="B1768" t="str">
        <x:v>All India except Central University</x:v>
      </x:c>
      <x:c r="C1768" t="str">
        <x:v>200195</x:v>
      </x:c>
      <x:c r="D1768" t="str">
        <x:v>Government Medical College, Thrissur, Govt.Medical College,Thrissur,Medical College P.O, Pin -680596, Thrissur District.</x:v>
      </x:c>
      <x:c r="E1768" t="str">
        <x:v>All India</x:v>
      </x:c>
      <x:c r="F1768" t="str">
        <x:v>OBC</x:v>
      </x:c>
      <x:c r="G1768" t="n">
        <x:v>7</x:v>
      </x:c>
      <x:c r="H1768" t="n">
        <x:v>7</x:v>
      </x:c>
      <x:c r="I1768" t="n">
        <x:f>G1768-H1768</x:f>
        <x:v>0</x:v>
      </x:c>
      <x:c r="J1768" s="20" t="n">
        <x:f>IFERROR(H1768/G1768,0)</x:f>
        <x:v>1</x:v>
      </x:c>
      <x:c r="K1768" t="n">
        <x:v>3148</x:v>
      </x:c>
      <x:c r="L1768" t="n">
        <x:v>3366</x:v>
      </x:c>
      <x:c r="M1768" t="n">
        <x:v>3628</x:v>
      </x:c>
      <x:c r="N1768" t="n">
        <x:v>3678.5</x:v>
      </x:c>
      <x:c r="O1768" t="n">
        <x:v>3714</x:v>
      </x:c>
    </x:row>
    <x:row r="1769">
      <x:c r="A1769" t="str">
        <x:v>Kerala</x:v>
      </x:c>
      <x:c r="B1769" t="str">
        <x:v>All India except Central University</x:v>
      </x:c>
      <x:c r="C1769" t="str">
        <x:v>200195</x:v>
      </x:c>
      <x:c r="D1769" t="str">
        <x:v>Government Medical College, Thrissur, Govt.Medical College,Thrissur,Medical College P.O, Pin -680596, Thrissur District.</x:v>
      </x:c>
      <x:c r="E1769" t="str">
        <x:v>All India</x:v>
      </x:c>
      <x:c r="F1769" t="str">
        <x:v>Open</x:v>
      </x:c>
      <x:c r="G1769" t="n">
        <x:v>10</x:v>
      </x:c>
      <x:c r="H1769" t="n">
        <x:v>10</x:v>
      </x:c>
      <x:c r="I1769" t="n">
        <x:f>G1769-H1769</x:f>
        <x:v>0</x:v>
      </x:c>
      <x:c r="J1769" s="20" t="n">
        <x:f>IFERROR(H1769/G1769,0)</x:f>
        <x:v>1</x:v>
      </x:c>
      <x:c r="K1769" t="n">
        <x:v>880</x:v>
      </x:c>
      <x:c r="L1769" t="n">
        <x:v>1708.75</x:v>
      </x:c>
      <x:c r="M1769" t="n">
        <x:v>2123.5</x:v>
      </x:c>
      <x:c r="N1769" t="n">
        <x:v>2943</x:v>
      </x:c>
      <x:c r="O1769" t="n">
        <x:v>3091</x:v>
      </x:c>
    </x:row>
    <x:row r="1770">
      <x:c r="A1770" t="str">
        <x:v>Kerala</x:v>
      </x:c>
      <x:c r="B1770" t="str">
        <x:v>All India except Central University</x:v>
      </x:c>
      <x:c r="C1770" t="str">
        <x:v>200195</x:v>
      </x:c>
      <x:c r="D1770" t="str">
        <x:v>Government Medical College, Thrissur, Govt.Medical College,Thrissur,Medical College P.O, Pin -680596, Thrissur District.</x:v>
      </x:c>
      <x:c r="E1770" t="str">
        <x:v>All India</x:v>
      </x:c>
      <x:c r="F1770" t="str">
        <x:v>Open PwD</x:v>
      </x:c>
      <x:c r="G1770" t="n">
        <x:v>1</x:v>
      </x:c>
      <x:c r="H1770" t="n">
        <x:v>1</x:v>
      </x:c>
      <x:c r="I1770" t="n">
        <x:f>G1770-H1770</x:f>
        <x:v>0</x:v>
      </x:c>
      <x:c r="J1770" s="20" t="n">
        <x:f>IFERROR(H1770/G1770,0)</x:f>
        <x:v>1</x:v>
      </x:c>
      <x:c r="K1770" t="n">
        <x:v>361959</x:v>
      </x:c>
      <x:c r="L1770" t="n">
        <x:v>361959</x:v>
      </x:c>
      <x:c r="M1770" t="n">
        <x:v>361959</x:v>
      </x:c>
      <x:c r="N1770" t="n">
        <x:v>361959</x:v>
      </x:c>
      <x:c r="O1770" t="n">
        <x:v>361959</x:v>
      </x:c>
    </x:row>
    <x:row r="1771">
      <x:c r="A1771" t="str">
        <x:v>Kerala</x:v>
      </x:c>
      <x:c r="B1771" t="str">
        <x:v>All India except Central University</x:v>
      </x:c>
      <x:c r="C1771" t="str">
        <x:v>200195</x:v>
      </x:c>
      <x:c r="D1771" t="str">
        <x:v>Government Medical College, Thrissur, Govt.Medical College,Thrissur,Medical College P.O, Pin -680596, Thrissur District.</x:v>
      </x:c>
      <x:c r="E1771" t="str">
        <x:v>All India</x:v>
      </x:c>
      <x:c r="F1771" t="str">
        <x:v>SC</x:v>
      </x:c>
      <x:c r="G1771" t="n">
        <x:v>4</x:v>
      </x:c>
      <x:c r="H1771" t="n">
        <x:v>4</x:v>
      </x:c>
      <x:c r="I1771" t="n">
        <x:f>G1771-H1771</x:f>
        <x:v>0</x:v>
      </x:c>
      <x:c r="J1771" s="20" t="n">
        <x:f>IFERROR(H1771/G1771,0)</x:f>
        <x:v>1</x:v>
      </x:c>
      <x:c r="K1771" t="n">
        <x:v>39183</x:v>
      </x:c>
      <x:c r="L1771" t="n">
        <x:v>41811</x:v>
      </x:c>
      <x:c r="M1771" t="n">
        <x:v>43930</x:v>
      </x:c>
      <x:c r="N1771" t="n">
        <x:v>46111.75</x:v>
      </x:c>
      <x:c r="O1771" t="n">
        <x:v>48928</x:v>
      </x:c>
    </x:row>
    <x:row r="1772">
      <x:c r="A1772" t="str">
        <x:v>Kerala</x:v>
      </x:c>
      <x:c r="B1772" t="str">
        <x:v>All India except Central University</x:v>
      </x:c>
      <x:c r="C1772" t="str">
        <x:v>200195</x:v>
      </x:c>
      <x:c r="D1772" t="str">
        <x:v>Government Medical College, Thrissur, Govt.Medical College,Thrissur,Medical College P.O, Pin -680596, Thrissur District.</x:v>
      </x:c>
      <x:c r="E1772" t="str">
        <x:v>All India</x:v>
      </x:c>
      <x:c r="F1772" t="str">
        <x:v>ST</x:v>
      </x:c>
      <x:c r="G1772" t="n">
        <x:v>2</x:v>
      </x:c>
      <x:c r="H1772" t="n">
        <x:v>2</x:v>
      </x:c>
      <x:c r="I1772" t="n">
        <x:f>G1772-H1772</x:f>
        <x:v>0</x:v>
      </x:c>
      <x:c r="J1772" s="20" t="n">
        <x:f>IFERROR(H1772/G1772,0)</x:f>
        <x:v>1</x:v>
      </x:c>
      <x:c r="K1772" t="n">
        <x:v>40822</x:v>
      </x:c>
      <x:c r="L1772" t="n">
        <x:v>50091.75</x:v>
      </x:c>
      <x:c r="M1772" t="n">
        <x:v>59361.5</x:v>
      </x:c>
      <x:c r="N1772" t="n">
        <x:v>68631.25</x:v>
      </x:c>
      <x:c r="O1772" t="n">
        <x:v>77901</x:v>
      </x:c>
    </x:row>
    <x:row r="1773">
      <x:c r="A1773" t="str">
        <x:v>Tamil Nadu</x:v>
      </x:c>
      <x:c r="B1773" t="str">
        <x:v>All India except Central University</x:v>
      </x:c>
      <x:c r="C1773" t="str">
        <x:v>200561</x:v>
      </x:c>
      <x:c r="D1773" t="str">
        <x:v>Government Medical College, Tiruppur, 18, DHARAPURAM ROAD, TIRUPPUR, TAMILNADU 641608</x:v>
      </x:c>
      <x:c r="E1773" t="str">
        <x:v>All India</x:v>
      </x:c>
      <x:c r="F1773" t="str">
        <x:v>EWS</x:v>
      </x:c>
      <x:c r="G1773" t="n">
        <x:v>2</x:v>
      </x:c>
      <x:c r="H1773" t="n">
        <x:v>2</x:v>
      </x:c>
      <x:c r="I1773" t="n">
        <x:f>G1773-H1773</x:f>
        <x:v>0</x:v>
      </x:c>
      <x:c r="J1773" s="20" t="n">
        <x:f>IFERROR(H1773/G1773,0)</x:f>
        <x:v>1</x:v>
      </x:c>
      <x:c r="K1773" t="n">
        <x:v>21382</x:v>
      </x:c>
      <x:c r="L1773" t="n">
        <x:v>21968.75</x:v>
      </x:c>
      <x:c r="M1773" t="n">
        <x:v>22555.5</x:v>
      </x:c>
      <x:c r="N1773" t="n">
        <x:v>23142.25</x:v>
      </x:c>
      <x:c r="O1773" t="n">
        <x:v>23729</x:v>
      </x:c>
    </x:row>
    <x:row r="1774">
      <x:c r="A1774" t="str">
        <x:v>Tamil Nadu</x:v>
      </x:c>
      <x:c r="B1774" t="str">
        <x:v>All India except Central University</x:v>
      </x:c>
      <x:c r="C1774" t="str">
        <x:v>200561</x:v>
      </x:c>
      <x:c r="D1774" t="str">
        <x:v>Government Medical College, Tiruppur, 18, DHARAPURAM ROAD, TIRUPPUR, TAMILNADU 641608</x:v>
      </x:c>
      <x:c r="E1774" t="str">
        <x:v>All India</x:v>
      </x:c>
      <x:c r="F1774" t="str">
        <x:v>OBC</x:v>
      </x:c>
      <x:c r="G1774" t="n">
        <x:v>6</x:v>
      </x:c>
      <x:c r="H1774" t="n">
        <x:v>6</x:v>
      </x:c>
      <x:c r="I1774" t="n">
        <x:f>G1774-H1774</x:f>
        <x:v>0</x:v>
      </x:c>
      <x:c r="J1774" s="20" t="n">
        <x:f>IFERROR(H1774/G1774,0)</x:f>
        <x:v>1</x:v>
      </x:c>
      <x:c r="K1774" t="n">
        <x:v>10097</x:v>
      </x:c>
      <x:c r="L1774" t="n">
        <x:v>10288.25</x:v>
      </x:c>
      <x:c r="M1774" t="n">
        <x:v>10491.5</x:v>
      </x:c>
      <x:c r="N1774" t="n">
        <x:v>10778.75</x:v>
      </x:c>
      <x:c r="O1774" t="n">
        <x:v>11119</x:v>
      </x:c>
    </x:row>
    <x:row r="1775">
      <x:c r="A1775" t="str">
        <x:v>Tamil Nadu</x:v>
      </x:c>
      <x:c r="B1775" t="str">
        <x:v>All India except Central University</x:v>
      </x:c>
      <x:c r="C1775" t="str">
        <x:v>200561</x:v>
      </x:c>
      <x:c r="D1775" t="str">
        <x:v>Government Medical College, Tiruppur, 18, DHARAPURAM ROAD, TIRUPPUR, TAMILNADU 641608</x:v>
      </x:c>
      <x:c r="E1775" t="str">
        <x:v>All India</x:v>
      </x:c>
      <x:c r="F1775" t="str">
        <x:v>Open</x:v>
      </x:c>
      <x:c r="G1775" t="n">
        <x:v>9</x:v>
      </x:c>
      <x:c r="H1775" t="n">
        <x:v>9</x:v>
      </x:c>
      <x:c r="I1775" t="n">
        <x:f>G1775-H1775</x:f>
        <x:v>0</x:v>
      </x:c>
      <x:c r="J1775" s="20" t="n">
        <x:f>IFERROR(H1775/G1775,0)</x:f>
        <x:v>1</x:v>
      </x:c>
      <x:c r="K1775" t="n">
        <x:v>6564</x:v>
      </x:c>
      <x:c r="L1775" t="n">
        <x:v>8181</x:v>
      </x:c>
      <x:c r="M1775" t="n">
        <x:v>9117</x:v>
      </x:c>
      <x:c r="N1775" t="n">
        <x:v>9214</x:v>
      </x:c>
      <x:c r="O1775" t="n">
        <x:v>9793</x:v>
      </x:c>
    </x:row>
    <x:row r="1776">
      <x:c r="A1776" t="str">
        <x:v>Tamil Nadu</x:v>
      </x:c>
      <x:c r="B1776" t="str">
        <x:v>All India except Central University</x:v>
      </x:c>
      <x:c r="C1776" t="str">
        <x:v>200561</x:v>
      </x:c>
      <x:c r="D1776" t="str">
        <x:v>Government Medical College, Tiruppur, 18, DHARAPURAM ROAD, TIRUPPUR, TAMILNADU 641608</x:v>
      </x:c>
      <x:c r="E1776" t="str">
        <x:v>All India</x:v>
      </x:c>
      <x:c r="F1776" t="str">
        <x:v>Open PwD</x:v>
      </x:c>
      <x:c r="G1776" t="n">
        <x:v>1</x:v>
      </x:c>
      <x:c r="H1776" t="n">
        <x:v>1</x:v>
      </x:c>
      <x:c r="I1776" t="n">
        <x:f>G1776-H1776</x:f>
        <x:v>0</x:v>
      </x:c>
      <x:c r="J1776" s="20" t="n">
        <x:f>IFERROR(H1776/G1776,0)</x:f>
        <x:v>1</x:v>
      </x:c>
      <x:c r="K1776" t="n">
        <x:v>514183</x:v>
      </x:c>
      <x:c r="L1776" t="n">
        <x:v>514183</x:v>
      </x:c>
      <x:c r="M1776" t="n">
        <x:v>514183</x:v>
      </x:c>
      <x:c r="N1776" t="n">
        <x:v>514183</x:v>
      </x:c>
      <x:c r="O1776" t="n">
        <x:v>514183</x:v>
      </x:c>
    </x:row>
    <x:row r="1777">
      <x:c r="A1777" t="str">
        <x:v>Tamil Nadu</x:v>
      </x:c>
      <x:c r="B1777" t="str">
        <x:v>All India except Central University</x:v>
      </x:c>
      <x:c r="C1777" t="str">
        <x:v>200561</x:v>
      </x:c>
      <x:c r="D1777" t="str">
        <x:v>Government Medical College, Tiruppur, 18, DHARAPURAM ROAD, TIRUPPUR, TAMILNADU 641608</x:v>
      </x:c>
      <x:c r="E1777" t="str">
        <x:v>All India</x:v>
      </x:c>
      <x:c r="F1777" t="str">
        <x:v>SC</x:v>
      </x:c>
      <x:c r="G1777" t="n">
        <x:v>3</x:v>
      </x:c>
      <x:c r="H1777" t="n">
        <x:v>3</x:v>
      </x:c>
      <x:c r="I1777" t="n">
        <x:f>G1777-H1777</x:f>
        <x:v>0</x:v>
      </x:c>
      <x:c r="J1777" s="20" t="n">
        <x:f>IFERROR(H1777/G1777,0)</x:f>
        <x:v>1</x:v>
      </x:c>
      <x:c r="K1777" t="n">
        <x:v>48106</x:v>
      </x:c>
      <x:c r="L1777" t="n">
        <x:v>48620.5</x:v>
      </x:c>
      <x:c r="M1777" t="n">
        <x:v>49135</x:v>
      </x:c>
      <x:c r="N1777" t="n">
        <x:v>50254</x:v>
      </x:c>
      <x:c r="O1777" t="n">
        <x:v>51373</x:v>
      </x:c>
    </x:row>
    <x:row r="1778">
      <x:c r="A1778" t="str">
        <x:v>Tamil Nadu</x:v>
      </x:c>
      <x:c r="B1778" t="str">
        <x:v>All India except Central University</x:v>
      </x:c>
      <x:c r="C1778" t="str">
        <x:v>200561</x:v>
      </x:c>
      <x:c r="D1778" t="str">
        <x:v>Government Medical College, Tiruppur, 18, DHARAPURAM ROAD, TIRUPPUR, TAMILNADU 641608</x:v>
      </x:c>
      <x:c r="E1778" t="str">
        <x:v>All India</x:v>
      </x:c>
      <x:c r="F1778" t="str">
        <x:v>ST</x:v>
      </x:c>
      <x:c r="G1778" t="n">
        <x:v>1</x:v>
      </x:c>
      <x:c r="H1778" t="n">
        <x:v>1</x:v>
      </x:c>
      <x:c r="I1778" t="n">
        <x:f>G1778-H1778</x:f>
        <x:v>0</x:v>
      </x:c>
      <x:c r="J1778" s="20" t="n">
        <x:f>IFERROR(H1778/G1778,0)</x:f>
        <x:v>1</x:v>
      </x:c>
      <x:c r="K1778" t="n">
        <x:v>114585</x:v>
      </x:c>
      <x:c r="L1778" t="n">
        <x:v>114585</x:v>
      </x:c>
      <x:c r="M1778" t="n">
        <x:v>114585</x:v>
      </x:c>
      <x:c r="N1778" t="n">
        <x:v>114585</x:v>
      </x:c>
      <x:c r="O1778" t="n">
        <x:v>114585</x:v>
      </x:c>
    </x:row>
    <x:row r="1779">
      <x:c r="A1779" t="str">
        <x:v>Madhya Pradesh</x:v>
      </x:c>
      <x:c r="B1779" t="str">
        <x:v>All India except Central University</x:v>
      </x:c>
      <x:c r="C1779" t="str">
        <x:v>200483</x:v>
      </x:c>
      <x:c r="D1779" t="str">
        <x:v>Government Medical College, Vidisha, MP, NH 86 INFRONT OF KHEL PARISAR SANCHI ROAD VIDISHA</x:v>
      </x:c>
      <x:c r="E1779" t="str">
        <x:v>All India</x:v>
      </x:c>
      <x:c r="F1779" t="str">
        <x:v>EWS</x:v>
      </x:c>
      <x:c r="G1779" t="n">
        <x:v>3</x:v>
      </x:c>
      <x:c r="H1779" t="n">
        <x:v>3</x:v>
      </x:c>
      <x:c r="I1779" t="n">
        <x:f>G1779-H1779</x:f>
        <x:v>0</x:v>
      </x:c>
      <x:c r="J1779" s="20" t="n">
        <x:f>IFERROR(H1779/G1779,0)</x:f>
        <x:v>1</x:v>
      </x:c>
      <x:c r="K1779" t="n">
        <x:v>12884</x:v>
      </x:c>
      <x:c r="L1779" t="n">
        <x:v>13006.5</x:v>
      </x:c>
      <x:c r="M1779" t="n">
        <x:v>13129</x:v>
      </x:c>
      <x:c r="N1779" t="n">
        <x:v>13211.5</x:v>
      </x:c>
      <x:c r="O1779" t="n">
        <x:v>13294</x:v>
      </x:c>
    </x:row>
    <x:row r="1780">
      <x:c r="A1780" t="str">
        <x:v>Madhya Pradesh</x:v>
      </x:c>
      <x:c r="B1780" t="str">
        <x:v>All India except Central University</x:v>
      </x:c>
      <x:c r="C1780" t="str">
        <x:v>200483</x:v>
      </x:c>
      <x:c r="D1780" t="str">
        <x:v>Government Medical College, Vidisha, MP, NH 86 INFRONT OF KHEL PARISAR SANCHI ROAD VIDISHA</x:v>
      </x:c>
      <x:c r="E1780" t="str">
        <x:v>All India</x:v>
      </x:c>
      <x:c r="F1780" t="str">
        <x:v>OBC</x:v>
      </x:c>
      <x:c r="G1780" t="n">
        <x:v>7</x:v>
      </x:c>
      <x:c r="H1780" t="n">
        <x:v>7</x:v>
      </x:c>
      <x:c r="I1780" t="n">
        <x:f>G1780-H1780</x:f>
        <x:v>0</x:v>
      </x:c>
      <x:c r="J1780" s="20" t="n">
        <x:f>IFERROR(H1780/G1780,0)</x:f>
        <x:v>1</x:v>
      </x:c>
      <x:c r="K1780" t="n">
        <x:v>10782</x:v>
      </x:c>
      <x:c r="L1780" t="n">
        <x:v>11430.5</x:v>
      </x:c>
      <x:c r="M1780" t="n">
        <x:v>11640</x:v>
      </x:c>
      <x:c r="N1780" t="n">
        <x:v>11751.5</x:v>
      </x:c>
      <x:c r="O1780" t="n">
        <x:v>12023</x:v>
      </x:c>
    </x:row>
    <x:row r="1781">
      <x:c r="A1781" t="str">
        <x:v>Madhya Pradesh</x:v>
      </x:c>
      <x:c r="B1781" t="str">
        <x:v>All India except Central University</x:v>
      </x:c>
      <x:c r="C1781" t="str">
        <x:v>200483</x:v>
      </x:c>
      <x:c r="D1781" t="str">
        <x:v>Government Medical College, Vidisha, MP, NH 86 INFRONT OF KHEL PARISAR SANCHI ROAD VIDISHA</x:v>
      </x:c>
      <x:c r="E1781" t="str">
        <x:v>All India</x:v>
      </x:c>
      <x:c r="F1781" t="str">
        <x:v>Open</x:v>
      </x:c>
      <x:c r="G1781" t="n">
        <x:v>11</x:v>
      </x:c>
      <x:c r="H1781" t="n">
        <x:v>11</x:v>
      </x:c>
      <x:c r="I1781" t="n">
        <x:f>G1781-H1781</x:f>
        <x:v>0</x:v>
      </x:c>
      <x:c r="J1781" s="20" t="n">
        <x:f>IFERROR(H1781/G1781,0)</x:f>
        <x:v>1</x:v>
      </x:c>
      <x:c r="K1781" t="n">
        <x:v>8377</x:v>
      </x:c>
      <x:c r="L1781" t="n">
        <x:v>8875.5</x:v>
      </x:c>
      <x:c r="M1781" t="n">
        <x:v>9460</x:v>
      </x:c>
      <x:c r="N1781" t="n">
        <x:v>9787</x:v>
      </x:c>
      <x:c r="O1781" t="n">
        <x:v>10175</x:v>
      </x:c>
    </x:row>
    <x:row r="1782">
      <x:c r="A1782" t="str">
        <x:v>Madhya Pradesh</x:v>
      </x:c>
      <x:c r="B1782" t="str">
        <x:v>All India except Central University</x:v>
      </x:c>
      <x:c r="C1782" t="str">
        <x:v>200483</x:v>
      </x:c>
      <x:c r="D1782" t="str">
        <x:v>Government Medical College, Vidisha, MP, NH 86 INFRONT OF KHEL PARISAR SANCHI ROAD VIDISHA</x:v>
      </x:c>
      <x:c r="E1782" t="str">
        <x:v>All India</x:v>
      </x:c>
      <x:c r="F1782" t="str">
        <x:v>SC</x:v>
      </x:c>
      <x:c r="G1782" t="n">
        <x:v>3</x:v>
      </x:c>
      <x:c r="H1782" t="n">
        <x:v>3</x:v>
      </x:c>
      <x:c r="I1782" t="n">
        <x:f>G1782-H1782</x:f>
        <x:v>0</x:v>
      </x:c>
      <x:c r="J1782" s="20" t="n">
        <x:f>IFERROR(H1782/G1782,0)</x:f>
        <x:v>1</x:v>
      </x:c>
      <x:c r="K1782" t="n">
        <x:v>61670</x:v>
      </x:c>
      <x:c r="L1782" t="n">
        <x:v>61751.5</x:v>
      </x:c>
      <x:c r="M1782" t="n">
        <x:v>61833</x:v>
      </x:c>
      <x:c r="N1782" t="n">
        <x:v>65063.5</x:v>
      </x:c>
      <x:c r="O1782" t="n">
        <x:v>68294</x:v>
      </x:c>
    </x:row>
    <x:row r="1783">
      <x:c r="A1783" t="str">
        <x:v>Madhya Pradesh</x:v>
      </x:c>
      <x:c r="B1783" t="str">
        <x:v>All India except Central University</x:v>
      </x:c>
      <x:c r="C1783" t="str">
        <x:v>200483</x:v>
      </x:c>
      <x:c r="D1783" t="str">
        <x:v>Government Medical College, Vidisha, MP, NH 86 INFRONT OF KHEL PARISAR SANCHI ROAD VIDISHA</x:v>
      </x:c>
      <x:c r="E1783" t="str">
        <x:v>All India</x:v>
      </x:c>
      <x:c r="F1783" t="str">
        <x:v>SC PwD</x:v>
      </x:c>
      <x:c r="G1783" t="n">
        <x:v>1</x:v>
      </x:c>
      <x:c r="H1783" t="n">
        <x:v>1</x:v>
      </x:c>
      <x:c r="I1783" t="n">
        <x:f>G1783-H1783</x:f>
        <x:v>0</x:v>
      </x:c>
      <x:c r="J1783" s="20" t="n">
        <x:f>IFERROR(H1783/G1783,0)</x:f>
        <x:v>1</x:v>
      </x:c>
      <x:c r="K1783" t="n">
        <x:v>1158787</x:v>
      </x:c>
      <x:c r="L1783" t="n">
        <x:v>1158787</x:v>
      </x:c>
      <x:c r="M1783" t="n">
        <x:v>1158787</x:v>
      </x:c>
      <x:c r="N1783" t="n">
        <x:v>1158787</x:v>
      </x:c>
      <x:c r="O1783" t="n">
        <x:v>1158787</x:v>
      </x:c>
    </x:row>
    <x:row r="1784">
      <x:c r="A1784" t="str">
        <x:v>Madhya Pradesh</x:v>
      </x:c>
      <x:c r="B1784" t="str">
        <x:v>All India except Central University</x:v>
      </x:c>
      <x:c r="C1784" t="str">
        <x:v>200483</x:v>
      </x:c>
      <x:c r="D1784" t="str">
        <x:v>Government Medical College, Vidisha, MP, NH 86 INFRONT OF KHEL PARISAR SANCHI ROAD VIDISHA</x:v>
      </x:c>
      <x:c r="E1784" t="str">
        <x:v>All India</x:v>
      </x:c>
      <x:c r="F1784" t="str">
        <x:v>ST</x:v>
      </x:c>
      <x:c r="G1784" t="n">
        <x:v>1</x:v>
      </x:c>
      <x:c r="H1784" t="n">
        <x:v>1</x:v>
      </x:c>
      <x:c r="I1784" t="n">
        <x:f>G1784-H1784</x:f>
        <x:v>0</x:v>
      </x:c>
      <x:c r="J1784" s="20" t="n">
        <x:f>IFERROR(H1784/G1784,0)</x:f>
        <x:v>1</x:v>
      </x:c>
      <x:c r="K1784" t="n">
        <x:v>74674</x:v>
      </x:c>
      <x:c r="L1784" t="n">
        <x:v>74674</x:v>
      </x:c>
      <x:c r="M1784" t="n">
        <x:v>74674</x:v>
      </x:c>
      <x:c r="N1784" t="n">
        <x:v>74674</x:v>
      </x:c>
      <x:c r="O1784" t="n">
        <x:v>74674</x:v>
      </x:c>
    </x:row>
    <x:row r="1785">
      <x:c r="A1785" t="str">
        <x:v>Madhya Pradesh</x:v>
      </x:c>
      <x:c r="B1785" t="str">
        <x:v>All India except Central University</x:v>
      </x:c>
      <x:c r="C1785" t="str">
        <x:v>200483</x:v>
      </x:c>
      <x:c r="D1785" t="str">
        <x:v>Government Medical College, Vidisha, MP, NH 86 INFRONT OF KHEL PARISAR SANCHI ROAD VIDISHA</x:v>
      </x:c>
      <x:c r="E1785" t="str">
        <x:v>All India</x:v>
      </x:c>
      <x:c r="F1785" t="str">
        <x:v>ST PwD</x:v>
      </x:c>
      <x:c r="G1785" t="n">
        <x:v>1</x:v>
      </x:c>
      <x:c r="H1785" t="n">
        <x:v>1</x:v>
      </x:c>
      <x:c r="I1785" t="n">
        <x:f>G1785-H1785</x:f>
        <x:v>0</x:v>
      </x:c>
      <x:c r="J1785" s="20" t="n">
        <x:f>IFERROR(H1785/G1785,0)</x:f>
        <x:v>1</x:v>
      </x:c>
      <x:c r="K1785" t="n">
        <x:v>907205</x:v>
      </x:c>
      <x:c r="L1785" t="n">
        <x:v>907205</x:v>
      </x:c>
      <x:c r="M1785" t="n">
        <x:v>907205</x:v>
      </x:c>
      <x:c r="N1785" t="n">
        <x:v>907205</x:v>
      </x:c>
      <x:c r="O1785" t="n">
        <x:v>907205</x:v>
      </x:c>
    </x:row>
    <x:row r="1786">
      <x:c r="A1786" t="str">
        <x:v>Tamil Nadu</x:v>
      </x:c>
      <x:c r="B1786" t="str">
        <x:v>All India except Central University</x:v>
      </x:c>
      <x:c r="C1786" t="str">
        <x:v>200555</x:v>
      </x:c>
      <x:c r="D1786" t="str">
        <x:v>Government Medical College, Virudhunagar, 1 COLLECTORATE MASTER PLAN COMPLEX KOORAIKUNDU VILLAGE VIRUDHUNAGAR</x:v>
      </x:c>
      <x:c r="E1786" t="str">
        <x:v>All India</x:v>
      </x:c>
      <x:c r="F1786" t="str">
        <x:v>EWS</x:v>
      </x:c>
      <x:c r="G1786" t="n">
        <x:v>2</x:v>
      </x:c>
      <x:c r="H1786" t="n">
        <x:v>2</x:v>
      </x:c>
      <x:c r="I1786" t="n">
        <x:f>G1786-H1786</x:f>
        <x:v>0</x:v>
      </x:c>
      <x:c r="J1786" s="20" t="n">
        <x:f>IFERROR(H1786/G1786,0)</x:f>
        <x:v>1</x:v>
      </x:c>
      <x:c r="K1786" t="n">
        <x:v>25848</x:v>
      </x:c>
      <x:c r="L1786" t="n">
        <x:v>26126.5</x:v>
      </x:c>
      <x:c r="M1786" t="n">
        <x:v>26405</x:v>
      </x:c>
      <x:c r="N1786" t="n">
        <x:v>26683.5</x:v>
      </x:c>
      <x:c r="O1786" t="n">
        <x:v>26962</x:v>
      </x:c>
    </x:row>
    <x:row r="1787">
      <x:c r="A1787" t="str">
        <x:v>Tamil Nadu</x:v>
      </x:c>
      <x:c r="B1787" t="str">
        <x:v>All India except Central University</x:v>
      </x:c>
      <x:c r="C1787" t="str">
        <x:v>200555</x:v>
      </x:c>
      <x:c r="D1787" t="str">
        <x:v>Government Medical College, Virudhunagar, 1 COLLECTORATE MASTER PLAN COMPLEX KOORAIKUNDU VILLAGE VIRUDHUNAGAR</x:v>
      </x:c>
      <x:c r="E1787" t="str">
        <x:v>All India</x:v>
      </x:c>
      <x:c r="F1787" t="str">
        <x:v>OBC</x:v>
      </x:c>
      <x:c r="G1787" t="n">
        <x:v>6</x:v>
      </x:c>
      <x:c r="H1787" t="n">
        <x:v>6</x:v>
      </x:c>
      <x:c r="I1787" t="n">
        <x:f>G1787-H1787</x:f>
        <x:v>0</x:v>
      </x:c>
      <x:c r="J1787" s="20" t="n">
        <x:f>IFERROR(H1787/G1787,0)</x:f>
        <x:v>1</x:v>
      </x:c>
      <x:c r="K1787" t="n">
        <x:v>13415</x:v>
      </x:c>
      <x:c r="L1787" t="n">
        <x:v>13480.5</x:v>
      </x:c>
      <x:c r="M1787" t="n">
        <x:v>13576.5</x:v>
      </x:c>
      <x:c r="N1787" t="n">
        <x:v>13665.75</x:v>
      </x:c>
      <x:c r="O1787" t="n">
        <x:v>13705</x:v>
      </x:c>
    </x:row>
    <x:row r="1788">
      <x:c r="A1788" t="str">
        <x:v>Tamil Nadu</x:v>
      </x:c>
      <x:c r="B1788" t="str">
        <x:v>All India except Central University</x:v>
      </x:c>
      <x:c r="C1788" t="str">
        <x:v>200555</x:v>
      </x:c>
      <x:c r="D1788" t="str">
        <x:v>Government Medical College, Virudhunagar, 1 COLLECTORATE MASTER PLAN COMPLEX KOORAIKUNDU VILLAGE VIRUDHUNAGAR</x:v>
      </x:c>
      <x:c r="E1788" t="str">
        <x:v>All India</x:v>
      </x:c>
      <x:c r="F1788" t="str">
        <x:v>Open</x:v>
      </x:c>
      <x:c r="G1788" t="n">
        <x:v>9</x:v>
      </x:c>
      <x:c r="H1788" t="n">
        <x:v>9</x:v>
      </x:c>
      <x:c r="I1788" t="n">
        <x:f>G1788-H1788</x:f>
        <x:v>0</x:v>
      </x:c>
      <x:c r="J1788" s="20" t="n">
        <x:f>IFERROR(H1788/G1788,0)</x:f>
        <x:v>1</x:v>
      </x:c>
      <x:c r="K1788" t="n">
        <x:v>10883</x:v>
      </x:c>
      <x:c r="L1788" t="n">
        <x:v>11697</x:v>
      </x:c>
      <x:c r="M1788" t="n">
        <x:v>12811</x:v>
      </x:c>
      <x:c r="N1788" t="n">
        <x:v>13028</x:v>
      </x:c>
      <x:c r="O1788" t="n">
        <x:v>13110</x:v>
      </x:c>
    </x:row>
    <x:row r="1789">
      <x:c r="A1789" t="str">
        <x:v>Tamil Nadu</x:v>
      </x:c>
      <x:c r="B1789" t="str">
        <x:v>All India except Central University</x:v>
      </x:c>
      <x:c r="C1789" t="str">
        <x:v>200555</x:v>
      </x:c>
      <x:c r="D1789" t="str">
        <x:v>Government Medical College, Virudhunagar, 1 COLLECTORATE MASTER PLAN COMPLEX KOORAIKUNDU VILLAGE VIRUDHUNAGAR</x:v>
      </x:c>
      <x:c r="E1789" t="str">
        <x:v>All India</x:v>
      </x:c>
      <x:c r="F1789" t="str">
        <x:v>SC</x:v>
      </x:c>
      <x:c r="G1789" t="n">
        <x:v>3</x:v>
      </x:c>
      <x:c r="H1789" t="n">
        <x:v>3</x:v>
      </x:c>
      <x:c r="I1789" t="n">
        <x:f>G1789-H1789</x:f>
        <x:v>0</x:v>
      </x:c>
      <x:c r="J1789" s="20" t="n">
        <x:f>IFERROR(H1789/G1789,0)</x:f>
        <x:v>1</x:v>
      </x:c>
      <x:c r="K1789" t="n">
        <x:v>62660</x:v>
      </x:c>
      <x:c r="L1789" t="n">
        <x:v>64216.5</x:v>
      </x:c>
      <x:c r="M1789" t="n">
        <x:v>65773</x:v>
      </x:c>
      <x:c r="N1789" t="n">
        <x:v>68575.5</x:v>
      </x:c>
      <x:c r="O1789" t="n">
        <x:v>71378</x:v>
      </x:c>
    </x:row>
    <x:row r="1790">
      <x:c r="A1790" t="str">
        <x:v>Tamil Nadu</x:v>
      </x:c>
      <x:c r="B1790" t="str">
        <x:v>All India except Central University</x:v>
      </x:c>
      <x:c r="C1790" t="str">
        <x:v>200555</x:v>
      </x:c>
      <x:c r="D1790" t="str">
        <x:v>Government Medical College, Virudhunagar, 1 COLLECTORATE MASTER PLAN COMPLEX KOORAIKUNDU VILLAGE VIRUDHUNAGAR</x:v>
      </x:c>
      <x:c r="E1790" t="str">
        <x:v>All India</x:v>
      </x:c>
      <x:c r="F1790" t="str">
        <x:v>ST</x:v>
      </x:c>
      <x:c r="G1790" t="n">
        <x:v>2</x:v>
      </x:c>
      <x:c r="H1790" t="n">
        <x:v>2</x:v>
      </x:c>
      <x:c r="I1790" t="n">
        <x:f>G1790-H1790</x:f>
        <x:v>0</x:v>
      </x:c>
      <x:c r="J1790" s="20" t="n">
        <x:f>IFERROR(H1790/G1790,0)</x:f>
        <x:v>1</x:v>
      </x:c>
      <x:c r="K1790" t="n">
        <x:v>130535</x:v>
      </x:c>
      <x:c r="L1790" t="n">
        <x:v>130840.75</x:v>
      </x:c>
      <x:c r="M1790" t="n">
        <x:v>131146.5</x:v>
      </x:c>
      <x:c r="N1790" t="n">
        <x:v>131452.25</x:v>
      </x:c>
      <x:c r="O1790" t="n">
        <x:v>131758</x:v>
      </x:c>
    </x:row>
    <x:row r="1791">
      <x:c r="A1791" t="str">
        <x:v>Telangana</x:v>
      </x:c>
      <x:c r="B1791" t="str">
        <x:v>All India except Central University</x:v>
      </x:c>
      <x:c r="C1791" t="str">
        <x:v>200600</x:v>
      </x:c>
      <x:c r="D1791" t="str">
        <x:v>Government Medical College, Wanaparthy, Marrikunta, Pebbair Road, Wanaparthy District, Telangana state.</x:v>
      </x:c>
      <x:c r="E1791" t="str">
        <x:v>All India</x:v>
      </x:c>
      <x:c r="F1791" t="str">
        <x:v>EWS</x:v>
      </x:c>
      <x:c r="G1791" t="n">
        <x:v>2</x:v>
      </x:c>
      <x:c r="H1791" t="n">
        <x:v>2</x:v>
      </x:c>
      <x:c r="I1791" t="n">
        <x:f>G1791-H1791</x:f>
        <x:v>0</x:v>
      </x:c>
      <x:c r="J1791" s="20" t="n">
        <x:f>IFERROR(H1791/G1791,0)</x:f>
        <x:v>1</x:v>
      </x:c>
      <x:c r="K1791" t="n">
        <x:v>25557</x:v>
      </x:c>
      <x:c r="L1791" t="n">
        <x:v>25754</x:v>
      </x:c>
      <x:c r="M1791" t="n">
        <x:v>25951</x:v>
      </x:c>
      <x:c r="N1791" t="n">
        <x:v>26148</x:v>
      </x:c>
      <x:c r="O1791" t="n">
        <x:v>26345</x:v>
      </x:c>
    </x:row>
    <x:row r="1792">
      <x:c r="A1792" t="str">
        <x:v>Telangana</x:v>
      </x:c>
      <x:c r="B1792" t="str">
        <x:v>All India except Central University</x:v>
      </x:c>
      <x:c r="C1792" t="str">
        <x:v>200600</x:v>
      </x:c>
      <x:c r="D1792" t="str">
        <x:v>Government Medical College, Wanaparthy, Marrikunta, Pebbair Road, Wanaparthy District, Telangana state.</x:v>
      </x:c>
      <x:c r="E1792" t="str">
        <x:v>All India</x:v>
      </x:c>
      <x:c r="F1792" t="str">
        <x:v>OBC</x:v>
      </x:c>
      <x:c r="G1792" t="n">
        <x:v>6</x:v>
      </x:c>
      <x:c r="H1792" t="n">
        <x:v>6</x:v>
      </x:c>
      <x:c r="I1792" t="n">
        <x:f>G1792-H1792</x:f>
        <x:v>0</x:v>
      </x:c>
      <x:c r="J1792" s="20" t="n">
        <x:f>IFERROR(H1792/G1792,0)</x:f>
        <x:v>1</x:v>
      </x:c>
      <x:c r="K1792" t="n">
        <x:v>21858</x:v>
      </x:c>
      <x:c r="L1792" t="n">
        <x:v>22239.75</x:v>
      </x:c>
      <x:c r="M1792" t="n">
        <x:v>22618</x:v>
      </x:c>
      <x:c r="N1792" t="n">
        <x:v>22664.75</x:v>
      </x:c>
      <x:c r="O1792" t="n">
        <x:v>22723</x:v>
      </x:c>
    </x:row>
    <x:row r="1793">
      <x:c r="A1793" t="str">
        <x:v>Telangana</x:v>
      </x:c>
      <x:c r="B1793" t="str">
        <x:v>All India except Central University</x:v>
      </x:c>
      <x:c r="C1793" t="str">
        <x:v>200600</x:v>
      </x:c>
      <x:c r="D1793" t="str">
        <x:v>Government Medical College, Wanaparthy, Marrikunta, Pebbair Road, Wanaparthy District, Telangana state.</x:v>
      </x:c>
      <x:c r="E1793" t="str">
        <x:v>All India</x:v>
      </x:c>
      <x:c r="F1793" t="str">
        <x:v>Open</x:v>
      </x:c>
      <x:c r="G1793" t="n">
        <x:v>9</x:v>
      </x:c>
      <x:c r="H1793" t="n">
        <x:v>9</x:v>
      </x:c>
      <x:c r="I1793" t="n">
        <x:f>G1793-H1793</x:f>
        <x:v>0</x:v>
      </x:c>
      <x:c r="J1793" s="20" t="n">
        <x:f>IFERROR(H1793/G1793,0)</x:f>
        <x:v>1</x:v>
      </x:c>
      <x:c r="K1793" t="n">
        <x:v>14171</x:v>
      </x:c>
      <x:c r="L1793" t="n">
        <x:v>20009</x:v>
      </x:c>
      <x:c r="M1793" t="n">
        <x:v>21184</x:v>
      </x:c>
      <x:c r="N1793" t="n">
        <x:v>21440</x:v>
      </x:c>
      <x:c r="O1793" t="n">
        <x:v>21622</x:v>
      </x:c>
    </x:row>
    <x:row r="1794">
      <x:c r="A1794" t="str">
        <x:v>Telangana</x:v>
      </x:c>
      <x:c r="B1794" t="str">
        <x:v>All India except Central University</x:v>
      </x:c>
      <x:c r="C1794" t="str">
        <x:v>200600</x:v>
      </x:c>
      <x:c r="D1794" t="str">
        <x:v>Government Medical College, Wanaparthy, Marrikunta, Pebbair Road, Wanaparthy District, Telangana state.</x:v>
      </x:c>
      <x:c r="E1794" t="str">
        <x:v>All India</x:v>
      </x:c>
      <x:c r="F1794" t="str">
        <x:v>Open PwD</x:v>
      </x:c>
      <x:c r="G1794" t="n">
        <x:v>1</x:v>
      </x:c>
      <x:c r="H1794" t="n">
        <x:v>1</x:v>
      </x:c>
      <x:c r="I1794" t="n">
        <x:f>G1794-H1794</x:f>
        <x:v>0</x:v>
      </x:c>
      <x:c r="J1794" s="20" t="n">
        <x:f>IFERROR(H1794/G1794,0)</x:f>
        <x:v>1</x:v>
      </x:c>
      <x:c r="K1794" t="n">
        <x:v>692972</x:v>
      </x:c>
      <x:c r="L1794" t="n">
        <x:v>692972</x:v>
      </x:c>
      <x:c r="M1794" t="n">
        <x:v>692972</x:v>
      </x:c>
      <x:c r="N1794" t="n">
        <x:v>692972</x:v>
      </x:c>
      <x:c r="O1794" t="n">
        <x:v>692972</x:v>
      </x:c>
    </x:row>
    <x:row r="1795">
      <x:c r="A1795" t="str">
        <x:v>Telangana</x:v>
      </x:c>
      <x:c r="B1795" t="str">
        <x:v>All India except Central University</x:v>
      </x:c>
      <x:c r="C1795" t="str">
        <x:v>200600</x:v>
      </x:c>
      <x:c r="D1795" t="str">
        <x:v>Government Medical College, Wanaparthy, Marrikunta, Pebbair Road, Wanaparthy District, Telangana state.</x:v>
      </x:c>
      <x:c r="E1795" t="str">
        <x:v>All India</x:v>
      </x:c>
      <x:c r="F1795" t="str">
        <x:v>SC</x:v>
      </x:c>
      <x:c r="G1795" t="n">
        <x:v>2</x:v>
      </x:c>
      <x:c r="H1795" t="n">
        <x:v>2</x:v>
      </x:c>
      <x:c r="I1795" t="n">
        <x:f>G1795-H1795</x:f>
        <x:v>0</x:v>
      </x:c>
      <x:c r="J1795" s="20" t="n">
        <x:f>IFERROR(H1795/G1795,0)</x:f>
        <x:v>1</x:v>
      </x:c>
      <x:c r="K1795" t="n">
        <x:v>98655</x:v>
      </x:c>
      <x:c r="L1795" t="n">
        <x:v>99161.25</x:v>
      </x:c>
      <x:c r="M1795" t="n">
        <x:v>99667.5</x:v>
      </x:c>
      <x:c r="N1795" t="n">
        <x:v>100173.75</x:v>
      </x:c>
      <x:c r="O1795" t="n">
        <x:v>100680</x:v>
      </x:c>
    </x:row>
    <x:row r="1796">
      <x:c r="A1796" t="str">
        <x:v>Telangana</x:v>
      </x:c>
      <x:c r="B1796" t="str">
        <x:v>All India except Central University</x:v>
      </x:c>
      <x:c r="C1796" t="str">
        <x:v>200600</x:v>
      </x:c>
      <x:c r="D1796" t="str">
        <x:v>Government Medical College, Wanaparthy, Marrikunta, Pebbair Road, Wanaparthy District, Telangana state.</x:v>
      </x:c>
      <x:c r="E1796" t="str">
        <x:v>All India</x:v>
      </x:c>
      <x:c r="F1796" t="str">
        <x:v>SC PwD</x:v>
      </x:c>
      <x:c r="G1796" t="n">
        <x:v>1</x:v>
      </x:c>
      <x:c r="H1796" t="n">
        <x:v>1</x:v>
      </x:c>
      <x:c r="I1796" t="n">
        <x:f>G1796-H1796</x:f>
        <x:v>0</x:v>
      </x:c>
      <x:c r="J1796" s="20" t="n">
        <x:f>IFERROR(H1796/G1796,0)</x:f>
        <x:v>1</x:v>
      </x:c>
      <x:c r="K1796" t="n">
        <x:v>994954</x:v>
      </x:c>
      <x:c r="L1796" t="n">
        <x:v>994954</x:v>
      </x:c>
      <x:c r="M1796" t="n">
        <x:v>994954</x:v>
      </x:c>
      <x:c r="N1796" t="n">
        <x:v>994954</x:v>
      </x:c>
      <x:c r="O1796" t="n">
        <x:v>994954</x:v>
      </x:c>
    </x:row>
    <x:row r="1797">
      <x:c r="A1797" t="str">
        <x:v>Telangana</x:v>
      </x:c>
      <x:c r="B1797" t="str">
        <x:v>All India except Central University</x:v>
      </x:c>
      <x:c r="C1797" t="str">
        <x:v>200600</x:v>
      </x:c>
      <x:c r="D1797" t="str">
        <x:v>Government Medical College, Wanaparthy, Marrikunta, Pebbair Road, Wanaparthy District, Telangana state.</x:v>
      </x:c>
      <x:c r="E1797" t="str">
        <x:v>All India</x:v>
      </x:c>
      <x:c r="F1797" t="str">
        <x:v>ST</x:v>
      </x:c>
      <x:c r="G1797" t="n">
        <x:v>1</x:v>
      </x:c>
      <x:c r="H1797" t="n">
        <x:v>1</x:v>
      </x:c>
      <x:c r="I1797" t="n">
        <x:f>G1797-H1797</x:f>
        <x:v>0</x:v>
      </x:c>
      <x:c r="J1797" s="20" t="n">
        <x:f>IFERROR(H1797/G1797,0)</x:f>
        <x:v>1</x:v>
      </x:c>
      <x:c r="K1797" t="n">
        <x:v>120300</x:v>
      </x:c>
      <x:c r="L1797" t="n">
        <x:v>120300</x:v>
      </x:c>
      <x:c r="M1797" t="n">
        <x:v>120300</x:v>
      </x:c>
      <x:c r="N1797" t="n">
        <x:v>120300</x:v>
      </x:c>
      <x:c r="O1797" t="n">
        <x:v>120300</x:v>
      </x:c>
    </x:row>
    <x:row r="1798">
      <x:c r="A1798" t="str">
        <x:v>Maharashtra</x:v>
      </x:c>
      <x:c r="B1798" t="str">
        <x:v>All India except Central University</x:v>
      </x:c>
      <x:c r="C1798" t="str">
        <x:v>903361</x:v>
      </x:c>
      <x:c r="D1798" t="str">
        <x:v>Government Medical College, Washim, Government Medical College, Washim District womens Hospital building, Nalanda Nagar, Chikhali Road</x:v>
      </x:c>
      <x:c r="E1798" t="str">
        <x:v>All India</x:v>
      </x:c>
      <x:c r="F1798" t="str">
        <x:v>EWS</x:v>
      </x:c>
      <x:c r="G1798" t="n">
        <x:v>2</x:v>
      </x:c>
      <x:c r="H1798" t="n">
        <x:v>2</x:v>
      </x:c>
      <x:c r="I1798" t="n">
        <x:f>G1798-H1798</x:f>
        <x:v>0</x:v>
      </x:c>
      <x:c r="J1798" s="20" t="n">
        <x:f>IFERROR(H1798/G1798,0)</x:f>
        <x:v>1</x:v>
      </x:c>
      <x:c r="K1798" t="n">
        <x:v>22138</x:v>
      </x:c>
      <x:c r="L1798" t="n">
        <x:v>22377.5</x:v>
      </x:c>
      <x:c r="M1798" t="n">
        <x:v>22617</x:v>
      </x:c>
      <x:c r="N1798" t="n">
        <x:v>22856.5</x:v>
      </x:c>
      <x:c r="O1798" t="n">
        <x:v>23096</x:v>
      </x:c>
    </x:row>
    <x:row r="1799">
      <x:c r="A1799" t="str">
        <x:v>Maharashtra</x:v>
      </x:c>
      <x:c r="B1799" t="str">
        <x:v>All India except Central University</x:v>
      </x:c>
      <x:c r="C1799" t="str">
        <x:v>903361</x:v>
      </x:c>
      <x:c r="D1799" t="str">
        <x:v>Government Medical College, Washim, Government Medical College, Washim District womens Hospital building, Nalanda Nagar, Chikhali Road</x:v>
      </x:c>
      <x:c r="E1799" t="str">
        <x:v>All India</x:v>
      </x:c>
      <x:c r="F1799" t="str">
        <x:v>OBC</x:v>
      </x:c>
      <x:c r="G1799" t="n">
        <x:v>4</x:v>
      </x:c>
      <x:c r="H1799" t="n">
        <x:v>4</x:v>
      </x:c>
      <x:c r="I1799" t="n">
        <x:f>G1799-H1799</x:f>
        <x:v>0</x:v>
      </x:c>
      <x:c r="J1799" s="20" t="n">
        <x:f>IFERROR(H1799/G1799,0)</x:f>
        <x:v>1</x:v>
      </x:c>
      <x:c r="K1799" t="n">
        <x:v>19223</x:v>
      </x:c>
      <x:c r="L1799" t="n">
        <x:v>19592</x:v>
      </x:c>
      <x:c r="M1799" t="n">
        <x:v>19935.5</x:v>
      </x:c>
      <x:c r="N1799" t="n">
        <x:v>20166.25</x:v>
      </x:c>
      <x:c r="O1799" t="n">
        <x:v>20197</x:v>
      </x:c>
    </x:row>
    <x:row r="1800">
      <x:c r="A1800" t="str">
        <x:v>Maharashtra</x:v>
      </x:c>
      <x:c r="B1800" t="str">
        <x:v>All India except Central University</x:v>
      </x:c>
      <x:c r="C1800" t="str">
        <x:v>903361</x:v>
      </x:c>
      <x:c r="D1800" t="str">
        <x:v>Government Medical College, Washim, Government Medical College, Washim District womens Hospital building, Nalanda Nagar, Chikhali Road</x:v>
      </x:c>
      <x:c r="E1800" t="str">
        <x:v>All India</x:v>
      </x:c>
      <x:c r="F1800" t="str">
        <x:v>Open</x:v>
      </x:c>
      <x:c r="G1800" t="n">
        <x:v>6</x:v>
      </x:c>
      <x:c r="H1800" t="n">
        <x:v>6</x:v>
      </x:c>
      <x:c r="I1800" t="n">
        <x:f>G1800-H1800</x:f>
        <x:v>0</x:v>
      </x:c>
      <x:c r="J1800" s="20" t="n">
        <x:f>IFERROR(H1800/G1800,0)</x:f>
        <x:v>1</x:v>
      </x:c>
      <x:c r="K1800" t="n">
        <x:v>16893</x:v>
      </x:c>
      <x:c r="L1800" t="n">
        <x:v>18059.5</x:v>
      </x:c>
      <x:c r="M1800" t="n">
        <x:v>18488.5</x:v>
      </x:c>
      <x:c r="N1800" t="n">
        <x:v>19000.75</x:v>
      </x:c>
      <x:c r="O1800" t="n">
        <x:v>19088</x:v>
      </x:c>
    </x:row>
    <x:row r="1801">
      <x:c r="A1801" t="str">
        <x:v>Maharashtra</x:v>
      </x:c>
      <x:c r="B1801" t="str">
        <x:v>All India except Central University</x:v>
      </x:c>
      <x:c r="C1801" t="str">
        <x:v>903361</x:v>
      </x:c>
      <x:c r="D1801" t="str">
        <x:v>Government Medical College, Washim, Government Medical College, Washim District womens Hospital building, Nalanda Nagar, Chikhali Road</x:v>
      </x:c>
      <x:c r="E1801" t="str">
        <x:v>All India</x:v>
      </x:c>
      <x:c r="F1801" t="str">
        <x:v>SC</x:v>
      </x:c>
      <x:c r="G1801" t="n">
        <x:v>2</x:v>
      </x:c>
      <x:c r="H1801" t="n">
        <x:v>2</x:v>
      </x:c>
      <x:c r="I1801" t="n">
        <x:f>G1801-H1801</x:f>
        <x:v>0</x:v>
      </x:c>
      <x:c r="J1801" s="20" t="n">
        <x:f>IFERROR(H1801/G1801,0)</x:f>
        <x:v>1</x:v>
      </x:c>
      <x:c r="K1801" t="n">
        <x:v>93944</x:v>
      </x:c>
      <x:c r="L1801" t="n">
        <x:v>94143</x:v>
      </x:c>
      <x:c r="M1801" t="n">
        <x:v>94342</x:v>
      </x:c>
      <x:c r="N1801" t="n">
        <x:v>94541</x:v>
      </x:c>
      <x:c r="O1801" t="n">
        <x:v>94740</x:v>
      </x:c>
    </x:row>
    <x:row r="1802">
      <x:c r="A1802" t="str">
        <x:v>Maharashtra</x:v>
      </x:c>
      <x:c r="B1802" t="str">
        <x:v>All India except Central University</x:v>
      </x:c>
      <x:c r="C1802" t="str">
        <x:v>903361</x:v>
      </x:c>
      <x:c r="D1802" t="str">
        <x:v>Government Medical College, Washim, Government Medical College, Washim District womens Hospital building, Nalanda Nagar, Chikhali Road</x:v>
      </x:c>
      <x:c r="E1802" t="str">
        <x:v>All India</x:v>
      </x:c>
      <x:c r="F1802" t="str">
        <x:v>ST</x:v>
      </x:c>
      <x:c r="G1802" t="n">
        <x:v>1</x:v>
      </x:c>
      <x:c r="H1802" t="n">
        <x:v>1</x:v>
      </x:c>
      <x:c r="I1802" t="n">
        <x:f>G1802-H1802</x:f>
        <x:v>0</x:v>
      </x:c>
      <x:c r="J1802" s="20" t="n">
        <x:f>IFERROR(H1802/G1802,0)</x:f>
        <x:v>1</x:v>
      </x:c>
      <x:c r="K1802" t="n">
        <x:v>122976</x:v>
      </x:c>
      <x:c r="L1802" t="n">
        <x:v>122976</x:v>
      </x:c>
      <x:c r="M1802" t="n">
        <x:v>122976</x:v>
      </x:c>
      <x:c r="N1802" t="n">
        <x:v>122976</x:v>
      </x:c>
      <x:c r="O1802" t="n">
        <x:v>122976</x:v>
      </x:c>
    </x:row>
    <x:row r="1803">
      <x:c r="A1803" t="str">
        <x:v>Kerala</x:v>
      </x:c>
      <x:c r="B1803" t="str">
        <x:v>All India except Central University</x:v>
      </x:c>
      <x:c r="C1803" t="str">
        <x:v>904368</x:v>
      </x:c>
      <x:c r="D1803" t="str">
        <x:v>Government Medical College, Wayanad, Government Medical College, Wayanad, Mananthavady P.O., Wayanad, Kerala- 670645</x:v>
      </x:c>
      <x:c r="E1803" t="str">
        <x:v>All India</x:v>
      </x:c>
      <x:c r="F1803" t="str">
        <x:v>EWS</x:v>
      </x:c>
      <x:c r="G1803" t="n">
        <x:v>1</x:v>
      </x:c>
      <x:c r="H1803" t="n">
        <x:v>1</x:v>
      </x:c>
      <x:c r="I1803" t="n">
        <x:f>G1803-H1803</x:f>
        <x:v>0</x:v>
      </x:c>
      <x:c r="J1803" s="20" t="n">
        <x:f>IFERROR(H1803/G1803,0)</x:f>
        <x:v>1</x:v>
      </x:c>
      <x:c r="K1803" t="n">
        <x:v>23675</x:v>
      </x:c>
      <x:c r="L1803" t="n">
        <x:v>23675</x:v>
      </x:c>
      <x:c r="M1803" t="n">
        <x:v>23675</x:v>
      </x:c>
      <x:c r="N1803" t="n">
        <x:v>23675</x:v>
      </x:c>
      <x:c r="O1803" t="n">
        <x:v>23675</x:v>
      </x:c>
    </x:row>
    <x:row r="1804">
      <x:c r="A1804" t="str">
        <x:v>Kerala</x:v>
      </x:c>
      <x:c r="B1804" t="str">
        <x:v>All India except Central University</x:v>
      </x:c>
      <x:c r="C1804" t="str">
        <x:v>904368</x:v>
      </x:c>
      <x:c r="D1804" t="str">
        <x:v>Government Medical College, Wayanad, Government Medical College, Wayanad, Mananthavady P.O., Wayanad, Kerala- 670645</x:v>
      </x:c>
      <x:c r="E1804" t="str">
        <x:v>All India</x:v>
      </x:c>
      <x:c r="F1804" t="str">
        <x:v>OBC</x:v>
      </x:c>
      <x:c r="G1804" t="n">
        <x:v>1</x:v>
      </x:c>
      <x:c r="H1804" t="n">
        <x:v>1</x:v>
      </x:c>
      <x:c r="I1804" t="n">
        <x:f>G1804-H1804</x:f>
        <x:v>0</x:v>
      </x:c>
      <x:c r="J1804" s="20" t="n">
        <x:f>IFERROR(H1804/G1804,0)</x:f>
        <x:v>1</x:v>
      </x:c>
      <x:c r="K1804" t="n">
        <x:v>8197</x:v>
      </x:c>
      <x:c r="L1804" t="n">
        <x:v>8197</x:v>
      </x:c>
      <x:c r="M1804" t="n">
        <x:v>8197</x:v>
      </x:c>
      <x:c r="N1804" t="n">
        <x:v>8197</x:v>
      </x:c>
      <x:c r="O1804" t="n">
        <x:v>8197</x:v>
      </x:c>
    </x:row>
    <x:row r="1805">
      <x:c r="A1805" t="str">
        <x:v>Kerala</x:v>
      </x:c>
      <x:c r="B1805" t="str">
        <x:v>All India except Central University</x:v>
      </x:c>
      <x:c r="C1805" t="str">
        <x:v>904368</x:v>
      </x:c>
      <x:c r="D1805" t="str">
        <x:v>Government Medical College, Wayanad, Government Medical College, Wayanad, Mananthavady P.O., Wayanad, Kerala- 670645</x:v>
      </x:c>
      <x:c r="E1805" t="str">
        <x:v>All India</x:v>
      </x:c>
      <x:c r="F1805" t="str">
        <x:v>OBC PwD</x:v>
      </x:c>
      <x:c r="G1805" t="n">
        <x:v>1</x:v>
      </x:c>
      <x:c r="H1805" t="n">
        <x:v>1</x:v>
      </x:c>
      <x:c r="I1805" t="n">
        <x:f>G1805-H1805</x:f>
        <x:v>0</x:v>
      </x:c>
      <x:c r="J1805" s="20" t="n">
        <x:f>IFERROR(H1805/G1805,0)</x:f>
        <x:v>1</x:v>
      </x:c>
      <x:c r="K1805" t="n">
        <x:v>682446</x:v>
      </x:c>
      <x:c r="L1805" t="n">
        <x:v>682446</x:v>
      </x:c>
      <x:c r="M1805" t="n">
        <x:v>682446</x:v>
      </x:c>
      <x:c r="N1805" t="n">
        <x:v>682446</x:v>
      </x:c>
      <x:c r="O1805" t="n">
        <x:v>682446</x:v>
      </x:c>
    </x:row>
    <x:row r="1806">
      <x:c r="A1806" t="str">
        <x:v>Kerala</x:v>
      </x:c>
      <x:c r="B1806" t="str">
        <x:v>All India except Central University</x:v>
      </x:c>
      <x:c r="C1806" t="str">
        <x:v>904368</x:v>
      </x:c>
      <x:c r="D1806" t="str">
        <x:v>Government Medical College, Wayanad, Government Medical College, Wayanad, Mananthavady P.O., Wayanad, Kerala- 670645</x:v>
      </x:c>
      <x:c r="E1806" t="str">
        <x:v>All India</x:v>
      </x:c>
      <x:c r="F1806" t="str">
        <x:v>Open</x:v>
      </x:c>
      <x:c r="G1806" t="n">
        <x:v>3</x:v>
      </x:c>
      <x:c r="H1806" t="n">
        <x:v>3</x:v>
      </x:c>
      <x:c r="I1806" t="n">
        <x:f>G1806-H1806</x:f>
        <x:v>0</x:v>
      </x:c>
      <x:c r="J1806" s="20" t="n">
        <x:f>IFERROR(H1806/G1806,0)</x:f>
        <x:v>1</x:v>
      </x:c>
      <x:c r="K1806" t="n">
        <x:v>6758</x:v>
      </x:c>
      <x:c r="L1806" t="n">
        <x:v>7383.5</x:v>
      </x:c>
      <x:c r="M1806" t="n">
        <x:v>8009</x:v>
      </x:c>
      <x:c r="N1806" t="n">
        <x:v>8067</x:v>
      </x:c>
      <x:c r="O1806" t="n">
        <x:v>8125</x:v>
      </x:c>
    </x:row>
    <x:row r="1807">
      <x:c r="A1807" t="str">
        <x:v>Kerala</x:v>
      </x:c>
      <x:c r="B1807" t="str">
        <x:v>All India except Central University</x:v>
      </x:c>
      <x:c r="C1807" t="str">
        <x:v>904368</x:v>
      </x:c>
      <x:c r="D1807" t="str">
        <x:v>Government Medical College, Wayanad, Government Medical College, Wayanad, Mananthavady P.O., Wayanad, Kerala- 670645</x:v>
      </x:c>
      <x:c r="E1807" t="str">
        <x:v>All India</x:v>
      </x:c>
      <x:c r="F1807" t="str">
        <x:v>SC</x:v>
      </x:c>
      <x:c r="G1807" t="n">
        <x:v>1</x:v>
      </x:c>
      <x:c r="H1807" t="n">
        <x:v>1</x:v>
      </x:c>
      <x:c r="I1807" t="n">
        <x:f>G1807-H1807</x:f>
        <x:v>0</x:v>
      </x:c>
      <x:c r="J1807" s="20" t="n">
        <x:f>IFERROR(H1807/G1807,0)</x:f>
        <x:v>1</x:v>
      </x:c>
      <x:c r="K1807" t="n">
        <x:v>68599</x:v>
      </x:c>
      <x:c r="L1807" t="n">
        <x:v>68599</x:v>
      </x:c>
      <x:c r="M1807" t="n">
        <x:v>68599</x:v>
      </x:c>
      <x:c r="N1807" t="n">
        <x:v>68599</x:v>
      </x:c>
      <x:c r="O1807" t="n">
        <x:v>68599</x:v>
      </x:c>
    </x:row>
    <x:row r="1808">
      <x:c r="A1808" t="str">
        <x:v>Kerala</x:v>
      </x:c>
      <x:c r="B1808" t="str">
        <x:v>All India except Central University</x:v>
      </x:c>
      <x:c r="C1808" t="str">
        <x:v>904368</x:v>
      </x:c>
      <x:c r="D1808" t="str">
        <x:v>Government Medical College, Wayanad, Government Medical College, Wayanad, Mananthavady P.O., Wayanad, Kerala- 670645</x:v>
      </x:c>
      <x:c r="E1808" t="str">
        <x:v>All India</x:v>
      </x:c>
      <x:c r="F1808" t="str">
        <x:v>ST</x:v>
      </x:c>
      <x:c r="G1808" t="n">
        <x:v>1</x:v>
      </x:c>
      <x:c r="H1808" t="n">
        <x:v>1</x:v>
      </x:c>
      <x:c r="I1808" t="n">
        <x:f>G1808-H1808</x:f>
        <x:v>0</x:v>
      </x:c>
      <x:c r="J1808" s="20" t="n">
        <x:f>IFERROR(H1808/G1808,0)</x:f>
        <x:v>1</x:v>
      </x:c>
      <x:c r="K1808" t="n">
        <x:v>123979</x:v>
      </x:c>
      <x:c r="L1808" t="n">
        <x:v>123979</x:v>
      </x:c>
      <x:c r="M1808" t="n">
        <x:v>123979</x:v>
      </x:c>
      <x:c r="N1808" t="n">
        <x:v>123979</x:v>
      </x:c>
      <x:c r="O1808" t="n">
        <x:v>123979</x:v>
      </x:c>
    </x:row>
    <x:row r="1809">
      <x:c r="A1809" t="str">
        <x:v>Telangana</x:v>
      </x:c>
      <x:c r="B1809" t="str">
        <x:v>All India except Central University</x:v>
      </x:c>
      <x:c r="C1809" t="str">
        <x:v>903353</x:v>
      </x:c>
      <x:c r="D1809" t="str">
        <x:v>Government Medical College, Yadadri, PAGADIPALLY BHONGIR YADADRI BHUVANAGIRI</x:v>
      </x:c>
      <x:c r="E1809" t="str">
        <x:v>All India</x:v>
      </x:c>
      <x:c r="F1809" t="str">
        <x:v>EWS</x:v>
      </x:c>
      <x:c r="G1809" t="n">
        <x:v>1</x:v>
      </x:c>
      <x:c r="H1809" t="n">
        <x:v>1</x:v>
      </x:c>
      <x:c r="I1809" t="n">
        <x:f>G1809-H1809</x:f>
        <x:v>0</x:v>
      </x:c>
      <x:c r="J1809" s="20" t="n">
        <x:f>IFERROR(H1809/G1809,0)</x:f>
        <x:v>1</x:v>
      </x:c>
      <x:c r="K1809" t="n">
        <x:v>26507</x:v>
      </x:c>
      <x:c r="L1809" t="n">
        <x:v>26507</x:v>
      </x:c>
      <x:c r="M1809" t="n">
        <x:v>26507</x:v>
      </x:c>
      <x:c r="N1809" t="n">
        <x:v>26507</x:v>
      </x:c>
      <x:c r="O1809" t="n">
        <x:v>26507</x:v>
      </x:c>
    </x:row>
    <x:row r="1810">
      <x:c r="A1810" t="str">
        <x:v>Telangana</x:v>
      </x:c>
      <x:c r="B1810" t="str">
        <x:v>All India except Central University</x:v>
      </x:c>
      <x:c r="C1810" t="str">
        <x:v>903353</x:v>
      </x:c>
      <x:c r="D1810" t="str">
        <x:v>Government Medical College, Yadadri, PAGADIPALLY BHONGIR YADADRI BHUVANAGIRI</x:v>
      </x:c>
      <x:c r="E1810" t="str">
        <x:v>All India</x:v>
      </x:c>
      <x:c r="F1810" t="str">
        <x:v>OBC</x:v>
      </x:c>
      <x:c r="G1810" t="n">
        <x:v>1</x:v>
      </x:c>
      <x:c r="H1810" t="n">
        <x:v>1</x:v>
      </x:c>
      <x:c r="I1810" t="n">
        <x:f>G1810-H1810</x:f>
        <x:v>0</x:v>
      </x:c>
      <x:c r="J1810" s="20" t="n">
        <x:f>IFERROR(H1810/G1810,0)</x:f>
        <x:v>1</x:v>
      </x:c>
      <x:c r="K1810" t="n">
        <x:v>21894</x:v>
      </x:c>
      <x:c r="L1810" t="n">
        <x:v>21894</x:v>
      </x:c>
      <x:c r="M1810" t="n">
        <x:v>21894</x:v>
      </x:c>
      <x:c r="N1810" t="n">
        <x:v>21894</x:v>
      </x:c>
      <x:c r="O1810" t="n">
        <x:v>21894</x:v>
      </x:c>
    </x:row>
    <x:row r="1811">
      <x:c r="A1811" t="str">
        <x:v>Telangana</x:v>
      </x:c>
      <x:c r="B1811" t="str">
        <x:v>All India except Central University</x:v>
      </x:c>
      <x:c r="C1811" t="str">
        <x:v>903353</x:v>
      </x:c>
      <x:c r="D1811" t="str">
        <x:v>Government Medical College, Yadadri, PAGADIPALLY BHONGIR YADADRI BHUVANAGIRI</x:v>
      </x:c>
      <x:c r="E1811" t="str">
        <x:v>All India</x:v>
      </x:c>
      <x:c r="F1811" t="str">
        <x:v>OBC PwD</x:v>
      </x:c>
      <x:c r="G1811" t="n">
        <x:v>1</x:v>
      </x:c>
      <x:c r="H1811" t="n">
        <x:v>1</x:v>
      </x:c>
      <x:c r="I1811" t="n">
        <x:f>G1811-H1811</x:f>
        <x:v>0</x:v>
      </x:c>
      <x:c r="J1811" s="20" t="n">
        <x:f>IFERROR(H1811/G1811,0)</x:f>
        <x:v>1</x:v>
      </x:c>
      <x:c r="K1811" t="n">
        <x:v>582251</x:v>
      </x:c>
      <x:c r="L1811" t="n">
        <x:v>582251</x:v>
      </x:c>
      <x:c r="M1811" t="n">
        <x:v>582251</x:v>
      </x:c>
      <x:c r="N1811" t="n">
        <x:v>582251</x:v>
      </x:c>
      <x:c r="O1811" t="n">
        <x:v>582251</x:v>
      </x:c>
    </x:row>
    <x:row r="1812">
      <x:c r="A1812" t="str">
        <x:v>Telangana</x:v>
      </x:c>
      <x:c r="B1812" t="str">
        <x:v>All India except Central University</x:v>
      </x:c>
      <x:c r="C1812" t="str">
        <x:v>903353</x:v>
      </x:c>
      <x:c r="D1812" t="str">
        <x:v>Government Medical College, Yadadri, PAGADIPALLY BHONGIR YADADRI BHUVANAGIRI</x:v>
      </x:c>
      <x:c r="E1812" t="str">
        <x:v>All India</x:v>
      </x:c>
      <x:c r="F1812" t="str">
        <x:v>Open</x:v>
      </x:c>
      <x:c r="G1812" t="n">
        <x:v>2</x:v>
      </x:c>
      <x:c r="H1812" t="n">
        <x:v>2</x:v>
      </x:c>
      <x:c r="I1812" t="n">
        <x:f>G1812-H1812</x:f>
        <x:v>0</x:v>
      </x:c>
      <x:c r="J1812" s="20" t="n">
        <x:f>IFERROR(H1812/G1812,0)</x:f>
        <x:v>1</x:v>
      </x:c>
      <x:c r="K1812" t="n">
        <x:v>17597</x:v>
      </x:c>
      <x:c r="L1812" t="n">
        <x:v>17786</x:v>
      </x:c>
      <x:c r="M1812" t="n">
        <x:v>17975</x:v>
      </x:c>
      <x:c r="N1812" t="n">
        <x:v>18164</x:v>
      </x:c>
      <x:c r="O1812" t="n">
        <x:v>18353</x:v>
      </x:c>
    </x:row>
    <x:row r="1813">
      <x:c r="A1813" t="str">
        <x:v>Telangana</x:v>
      </x:c>
      <x:c r="B1813" t="str">
        <x:v>All India except Central University</x:v>
      </x:c>
      <x:c r="C1813" t="str">
        <x:v>903353</x:v>
      </x:c>
      <x:c r="D1813" t="str">
        <x:v>Government Medical College, Yadadri, PAGADIPALLY BHONGIR YADADRI BHUVANAGIRI</x:v>
      </x:c>
      <x:c r="E1813" t="str">
        <x:v>All India</x:v>
      </x:c>
      <x:c r="F1813" t="str">
        <x:v>SC</x:v>
      </x:c>
      <x:c r="G1813" t="n">
        <x:v>1</x:v>
      </x:c>
      <x:c r="H1813" t="n">
        <x:v>1</x:v>
      </x:c>
      <x:c r="I1813" t="n">
        <x:f>G1813-H1813</x:f>
        <x:v>0</x:v>
      </x:c>
      <x:c r="J1813" s="20" t="n">
        <x:f>IFERROR(H1813/G1813,0)</x:f>
        <x:v>1</x:v>
      </x:c>
      <x:c r="K1813" t="n">
        <x:v>93484</x:v>
      </x:c>
      <x:c r="L1813" t="n">
        <x:v>93484</x:v>
      </x:c>
      <x:c r="M1813" t="n">
        <x:v>93484</x:v>
      </x:c>
      <x:c r="N1813" t="n">
        <x:v>93484</x:v>
      </x:c>
      <x:c r="O1813" t="n">
        <x:v>93484</x:v>
      </x:c>
    </x:row>
    <x:row r="1814">
      <x:c r="A1814" t="str">
        <x:v>Telangana</x:v>
      </x:c>
      <x:c r="B1814" t="str">
        <x:v>All India except Central University</x:v>
      </x:c>
      <x:c r="C1814" t="str">
        <x:v>903353</x:v>
      </x:c>
      <x:c r="D1814" t="str">
        <x:v>Government Medical College, Yadadri, PAGADIPALLY BHONGIR YADADRI BHUVANAGIRI</x:v>
      </x:c>
      <x:c r="E1814" t="str">
        <x:v>All India</x:v>
      </x:c>
      <x:c r="F1814" t="str">
        <x:v>ST</x:v>
      </x:c>
      <x:c r="G1814" t="n">
        <x:v>1</x:v>
      </x:c>
      <x:c r="H1814" t="n">
        <x:v>1</x:v>
      </x:c>
      <x:c r="I1814" t="n">
        <x:f>G1814-H1814</x:f>
        <x:v>0</x:v>
      </x:c>
      <x:c r="J1814" s="20" t="n">
        <x:f>IFERROR(H1814/G1814,0)</x:f>
        <x:v>1</x:v>
      </x:c>
      <x:c r="K1814" t="n">
        <x:v>127392</x:v>
      </x:c>
      <x:c r="L1814" t="n">
        <x:v>127392</x:v>
      </x:c>
      <x:c r="M1814" t="n">
        <x:v>127392</x:v>
      </x:c>
      <x:c r="N1814" t="n">
        <x:v>127392</x:v>
      </x:c>
      <x:c r="O1814" t="n">
        <x:v>127392</x:v>
      </x:c>
    </x:row>
    <x:row r="1815">
      <x:c r="A1815" t="str">
        <x:v>Kerala</x:v>
      </x:c>
      <x:c r="B1815" t="str">
        <x:v>All India except Central University</x:v>
      </x:c>
      <x:c r="C1815" t="str">
        <x:v>200186</x:v>
      </x:c>
      <x:c r="D1815" t="str">
        <x:v>Government Medical College,ESIC, Parippally, Kollam, Parippally Kollam 691574</x:v>
      </x:c>
      <x:c r="E1815" t="str">
        <x:v>All India</x:v>
      </x:c>
      <x:c r="F1815" t="str">
        <x:v>EWS</x:v>
      </x:c>
      <x:c r="G1815" t="n">
        <x:v>1</x:v>
      </x:c>
      <x:c r="H1815" t="n">
        <x:v>1</x:v>
      </x:c>
      <x:c r="I1815" t="n">
        <x:f>G1815-H1815</x:f>
        <x:v>0</x:v>
      </x:c>
      <x:c r="J1815" s="20" t="n">
        <x:f>IFERROR(H1815/G1815,0)</x:f>
        <x:v>1</x:v>
      </x:c>
      <x:c r="K1815" t="n">
        <x:v>16464</x:v>
      </x:c>
      <x:c r="L1815" t="n">
        <x:v>16464</x:v>
      </x:c>
      <x:c r="M1815" t="n">
        <x:v>16464</x:v>
      </x:c>
      <x:c r="N1815" t="n">
        <x:v>16464</x:v>
      </x:c>
      <x:c r="O1815" t="n">
        <x:v>16464</x:v>
      </x:c>
    </x:row>
    <x:row r="1816">
      <x:c r="A1816" t="str">
        <x:v>Kerala</x:v>
      </x:c>
      <x:c r="B1816" t="str">
        <x:v>All India except Central University</x:v>
      </x:c>
      <x:c r="C1816" t="str">
        <x:v>200186</x:v>
      </x:c>
      <x:c r="D1816" t="str">
        <x:v>Government Medical College,ESIC, Parippally, Kollam, Parippally Kollam 691574</x:v>
      </x:c>
      <x:c r="E1816" t="str">
        <x:v>All India</x:v>
      </x:c>
      <x:c r="F1816" t="str">
        <x:v>OBC</x:v>
      </x:c>
      <x:c r="G1816" t="n">
        <x:v>5</x:v>
      </x:c>
      <x:c r="H1816" t="n">
        <x:v>5</x:v>
      </x:c>
      <x:c r="I1816" t="n">
        <x:f>G1816-H1816</x:f>
        <x:v>0</x:v>
      </x:c>
      <x:c r="J1816" s="20" t="n">
        <x:f>IFERROR(H1816/G1816,0)</x:f>
        <x:v>1</x:v>
      </x:c>
      <x:c r="K1816" t="n">
        <x:v>6593</x:v>
      </x:c>
      <x:c r="L1816" t="n">
        <x:v>6632</x:v>
      </x:c>
      <x:c r="M1816" t="n">
        <x:v>6654</x:v>
      </x:c>
      <x:c r="N1816" t="n">
        <x:v>6673</x:v>
      </x:c>
      <x:c r="O1816" t="n">
        <x:v>6690</x:v>
      </x:c>
    </x:row>
    <x:row r="1817">
      <x:c r="A1817" t="str">
        <x:v>Kerala</x:v>
      </x:c>
      <x:c r="B1817" t="str">
        <x:v>All India except Central University</x:v>
      </x:c>
      <x:c r="C1817" t="str">
        <x:v>200186</x:v>
      </x:c>
      <x:c r="D1817" t="str">
        <x:v>Government Medical College,ESIC, Parippally, Kollam, Parippally Kollam 691574</x:v>
      </x:c>
      <x:c r="E1817" t="str">
        <x:v>All India</x:v>
      </x:c>
      <x:c r="F1817" t="str">
        <x:v>Open</x:v>
      </x:c>
      <x:c r="G1817" t="n">
        <x:v>6</x:v>
      </x:c>
      <x:c r="H1817" t="n">
        <x:v>6</x:v>
      </x:c>
      <x:c r="I1817" t="n">
        <x:f>G1817-H1817</x:f>
        <x:v>0</x:v>
      </x:c>
      <x:c r="J1817" s="20" t="n">
        <x:f>IFERROR(H1817/G1817,0)</x:f>
        <x:v>1</x:v>
      </x:c>
      <x:c r="K1817" t="n">
        <x:v>4660</x:v>
      </x:c>
      <x:c r="L1817" t="n">
        <x:v>4705</x:v>
      </x:c>
      <x:c r="M1817" t="n">
        <x:v>4810</x:v>
      </x:c>
      <x:c r="N1817" t="n">
        <x:v>5447.5</x:v>
      </x:c>
      <x:c r="O1817" t="n">
        <x:v>5694</x:v>
      </x:c>
    </x:row>
    <x:row r="1818">
      <x:c r="A1818" t="str">
        <x:v>Kerala</x:v>
      </x:c>
      <x:c r="B1818" t="str">
        <x:v>All India except Central University</x:v>
      </x:c>
      <x:c r="C1818" t="str">
        <x:v>200186</x:v>
      </x:c>
      <x:c r="D1818" t="str">
        <x:v>Government Medical College,ESIC, Parippally, Kollam, Parippally Kollam 691574</x:v>
      </x:c>
      <x:c r="E1818" t="str">
        <x:v>All India</x:v>
      </x:c>
      <x:c r="F1818" t="str">
        <x:v>SC</x:v>
      </x:c>
      <x:c r="G1818" t="n">
        <x:v>2</x:v>
      </x:c>
      <x:c r="H1818" t="n">
        <x:v>2</x:v>
      </x:c>
      <x:c r="I1818" t="n">
        <x:f>G1818-H1818</x:f>
        <x:v>0</x:v>
      </x:c>
      <x:c r="J1818" s="20" t="n">
        <x:f>IFERROR(H1818/G1818,0)</x:f>
        <x:v>1</x:v>
      </x:c>
      <x:c r="K1818" t="n">
        <x:v>65036</x:v>
      </x:c>
      <x:c r="L1818" t="n">
        <x:v>65582.25</x:v>
      </x:c>
      <x:c r="M1818" t="n">
        <x:v>66128.5</x:v>
      </x:c>
      <x:c r="N1818" t="n">
        <x:v>66674.75</x:v>
      </x:c>
      <x:c r="O1818" t="n">
        <x:v>67221</x:v>
      </x:c>
    </x:row>
    <x:row r="1819">
      <x:c r="A1819" t="str">
        <x:v>Kerala</x:v>
      </x:c>
      <x:c r="B1819" t="str">
        <x:v>All India except Central University</x:v>
      </x:c>
      <x:c r="C1819" t="str">
        <x:v>200186</x:v>
      </x:c>
      <x:c r="D1819" t="str">
        <x:v>Government Medical College,ESIC, Parippally, Kollam, Parippally Kollam 691574</x:v>
      </x:c>
      <x:c r="E1819" t="str">
        <x:v>All India</x:v>
      </x:c>
      <x:c r="F1819" t="str">
        <x:v>SC PwD</x:v>
      </x:c>
      <x:c r="G1819" t="n">
        <x:v>1</x:v>
      </x:c>
      <x:c r="H1819" t="n">
        <x:v>1</x:v>
      </x:c>
      <x:c r="I1819" t="n">
        <x:f>G1819-H1819</x:f>
        <x:v>0</x:v>
      </x:c>
      <x:c r="J1819" s="20" t="n">
        <x:f>IFERROR(H1819/G1819,0)</x:f>
        <x:v>1</x:v>
      </x:c>
      <x:c r="K1819" t="n">
        <x:v>820875</x:v>
      </x:c>
      <x:c r="L1819" t="n">
        <x:v>820875</x:v>
      </x:c>
      <x:c r="M1819" t="n">
        <x:v>820875</x:v>
      </x:c>
      <x:c r="N1819" t="n">
        <x:v>820875</x:v>
      </x:c>
      <x:c r="O1819" t="n">
        <x:v>820875</x:v>
      </x:c>
    </x:row>
    <x:row r="1820">
      <x:c r="A1820" t="str">
        <x:v>Kerala</x:v>
      </x:c>
      <x:c r="B1820" t="str">
        <x:v>All India except Central University</x:v>
      </x:c>
      <x:c r="C1820" t="str">
        <x:v>200186</x:v>
      </x:c>
      <x:c r="D1820" t="str">
        <x:v>Government Medical College,ESIC, Parippally, Kollam, Parippally Kollam 691574</x:v>
      </x:c>
      <x:c r="E1820" t="str">
        <x:v>All India</x:v>
      </x:c>
      <x:c r="F1820" t="str">
        <x:v>ST</x:v>
      </x:c>
      <x:c r="G1820" t="n">
        <x:v>1</x:v>
      </x:c>
      <x:c r="H1820" t="n">
        <x:v>1</x:v>
      </x:c>
      <x:c r="I1820" t="n">
        <x:f>G1820-H1820</x:f>
        <x:v>0</x:v>
      </x:c>
      <x:c r="J1820" s="20" t="n">
        <x:f>IFERROR(H1820/G1820,0)</x:f>
        <x:v>1</x:v>
      </x:c>
      <x:c r="K1820" t="n">
        <x:v>104514</x:v>
      </x:c>
      <x:c r="L1820" t="n">
        <x:v>104514</x:v>
      </x:c>
      <x:c r="M1820" t="n">
        <x:v>104514</x:v>
      </x:c>
      <x:c r="N1820" t="n">
        <x:v>104514</x:v>
      </x:c>
      <x:c r="O1820" t="n">
        <x:v>104514</x:v>
      </x:c>
    </x:row>
    <x:row r="1821">
      <x:c r="A1821" t="str">
        <x:v>Kerala</x:v>
      </x:c>
      <x:c r="B1821" t="str">
        <x:v>All India except Central University</x:v>
      </x:c>
      <x:c r="C1821" t="str">
        <x:v>200186</x:v>
      </x:c>
      <x:c r="D1821" t="str">
        <x:v>Government Medical College,ESIC, Parippally, Kollam, Parippally Kollam 691574</x:v>
      </x:c>
      <x:c r="E1821" t="str">
        <x:v>ESI</x:v>
      </x:c>
      <x:c r="F1821" t="str">
        <x:v>EWS</x:v>
      </x:c>
      <x:c r="G1821" t="n">
        <x:v>3</x:v>
      </x:c>
      <x:c r="H1821" t="n">
        <x:v>3</x:v>
      </x:c>
      <x:c r="I1821" t="n">
        <x:f>G1821-H1821</x:f>
        <x:v>0</x:v>
      </x:c>
      <x:c r="J1821" s="20" t="n">
        <x:f>IFERROR(H1821/G1821,0)</x:f>
        <x:v>1</x:v>
      </x:c>
      <x:c r="K1821" t="n">
        <x:v>21297</x:v>
      </x:c>
      <x:c r="L1821" t="n">
        <x:v>30650.5</x:v>
      </x:c>
      <x:c r="M1821" t="n">
        <x:v>40004</x:v>
      </x:c>
      <x:c r="N1821" t="n">
        <x:v>44127.5</x:v>
      </x:c>
      <x:c r="O1821" t="n">
        <x:v>48251</x:v>
      </x:c>
    </x:row>
    <x:row r="1822">
      <x:c r="A1822" t="str">
        <x:v>Kerala</x:v>
      </x:c>
      <x:c r="B1822" t="str">
        <x:v>All India except Central University</x:v>
      </x:c>
      <x:c r="C1822" t="str">
        <x:v>200186</x:v>
      </x:c>
      <x:c r="D1822" t="str">
        <x:v>Government Medical College,ESIC, Parippally, Kollam, Parippally Kollam 691574</x:v>
      </x:c>
      <x:c r="E1822" t="str">
        <x:v>ESI</x:v>
      </x:c>
      <x:c r="F1822" t="str">
        <x:v>EWS PwD</x:v>
      </x:c>
      <x:c r="G1822" t="n">
        <x:v>1</x:v>
      </x:c>
      <x:c r="H1822" t="n">
        <x:v>0</x:v>
      </x:c>
      <x:c r="I1822" t="n">
        <x:f>G1822-H1822</x:f>
        <x:v>1</x:v>
      </x:c>
      <x:c r="J1822" s="20" t="n">
        <x:f>IFERROR(H1822/G1822,0)</x:f>
        <x:v>0</x:v>
      </x:c>
      <x:c r="K1822"/>
      <x:c r="L1822"/>
      <x:c r="M1822"/>
      <x:c r="N1822"/>
      <x:c r="O1822"/>
    </x:row>
    <x:row r="1823">
      <x:c r="A1823" t="str">
        <x:v>Kerala</x:v>
      </x:c>
      <x:c r="B1823" t="str">
        <x:v>All India except Central University</x:v>
      </x:c>
      <x:c r="C1823" t="str">
        <x:v>200186</x:v>
      </x:c>
      <x:c r="D1823" t="str">
        <x:v>Government Medical College,ESIC, Parippally, Kollam, Parippally Kollam 691574</x:v>
      </x:c>
      <x:c r="E1823" t="str">
        <x:v>ESI</x:v>
      </x:c>
      <x:c r="F1823" t="str">
        <x:v>OBC</x:v>
      </x:c>
      <x:c r="G1823" t="n">
        <x:v>9</x:v>
      </x:c>
      <x:c r="H1823" t="n">
        <x:v>9</x:v>
      </x:c>
      <x:c r="I1823" t="n">
        <x:f>G1823-H1823</x:f>
        <x:v>0</x:v>
      </x:c>
      <x:c r="J1823" s="20" t="n">
        <x:f>IFERROR(H1823/G1823,0)</x:f>
        <x:v>1</x:v>
      </x:c>
      <x:c r="K1823" t="n">
        <x:v>21075</x:v>
      </x:c>
      <x:c r="L1823" t="n">
        <x:v>24271</x:v>
      </x:c>
      <x:c r="M1823" t="n">
        <x:v>27139</x:v>
      </x:c>
      <x:c r="N1823" t="n">
        <x:v>28821</x:v>
      </x:c>
      <x:c r="O1823" t="n">
        <x:v>30646</x:v>
      </x:c>
    </x:row>
    <x:row r="1824">
      <x:c r="A1824" t="str">
        <x:v>Kerala</x:v>
      </x:c>
      <x:c r="B1824" t="str">
        <x:v>All India except Central University</x:v>
      </x:c>
      <x:c r="C1824" t="str">
        <x:v>200186</x:v>
      </x:c>
      <x:c r="D1824" t="str">
        <x:v>Government Medical College,ESIC, Parippally, Kollam, Parippally Kollam 691574</x:v>
      </x:c>
      <x:c r="E1824" t="str">
        <x:v>ESI</x:v>
      </x:c>
      <x:c r="F1824" t="str">
        <x:v>OBC PwD</x:v>
      </x:c>
      <x:c r="G1824" t="n">
        <x:v>1</x:v>
      </x:c>
      <x:c r="H1824" t="n">
        <x:v>0</x:v>
      </x:c>
      <x:c r="I1824" t="n">
        <x:f>G1824-H1824</x:f>
        <x:v>1</x:v>
      </x:c>
      <x:c r="J1824" s="20" t="n">
        <x:f>IFERROR(H1824/G1824,0)</x:f>
        <x:v>0</x:v>
      </x:c>
      <x:c r="K1824"/>
      <x:c r="L1824"/>
      <x:c r="M1824"/>
      <x:c r="N1824"/>
      <x:c r="O1824"/>
    </x:row>
    <x:row r="1825">
      <x:c r="A1825" t="str">
        <x:v>Kerala</x:v>
      </x:c>
      <x:c r="B1825" t="str">
        <x:v>All India except Central University</x:v>
      </x:c>
      <x:c r="C1825" t="str">
        <x:v>200186</x:v>
      </x:c>
      <x:c r="D1825" t="str">
        <x:v>Government Medical College,ESIC, Parippally, Kollam, Parippally Kollam 691574</x:v>
      </x:c>
      <x:c r="E1825" t="str">
        <x:v>ESI</x:v>
      </x:c>
      <x:c r="F1825" t="str">
        <x:v>Open</x:v>
      </x:c>
      <x:c r="G1825" t="n">
        <x:v>15</x:v>
      </x:c>
      <x:c r="H1825" t="n">
        <x:v>15</x:v>
      </x:c>
      <x:c r="I1825" t="n">
        <x:f>G1825-H1825</x:f>
        <x:v>0</x:v>
      </x:c>
      <x:c r="J1825" s="20" t="n">
        <x:f>IFERROR(H1825/G1825,0)</x:f>
        <x:v>1</x:v>
      </x:c>
      <x:c r="K1825" t="n">
        <x:v>8413</x:v>
      </x:c>
      <x:c r="L1825" t="n">
        <x:v>10513.5</x:v>
      </x:c>
      <x:c r="M1825" t="n">
        <x:v>14168</x:v>
      </x:c>
      <x:c r="N1825" t="n">
        <x:v>17852.5</x:v>
      </x:c>
      <x:c r="O1825" t="n">
        <x:v>20506</x:v>
      </x:c>
    </x:row>
    <x:row r="1826">
      <x:c r="A1826" t="str">
        <x:v>Kerala</x:v>
      </x:c>
      <x:c r="B1826" t="str">
        <x:v>All India except Central University</x:v>
      </x:c>
      <x:c r="C1826" t="str">
        <x:v>200186</x:v>
      </x:c>
      <x:c r="D1826" t="str">
        <x:v>Government Medical College,ESIC, Parippally, Kollam, Parippally Kollam 691574</x:v>
      </x:c>
      <x:c r="E1826" t="str">
        <x:v>ESI</x:v>
      </x:c>
      <x:c r="F1826" t="str">
        <x:v>Open PwD</x:v>
      </x:c>
      <x:c r="G1826" t="n">
        <x:v>1</x:v>
      </x:c>
      <x:c r="H1826" t="n">
        <x:v>1</x:v>
      </x:c>
      <x:c r="I1826" t="n">
        <x:f>G1826-H1826</x:f>
        <x:v>0</x:v>
      </x:c>
      <x:c r="J1826" s="20" t="n">
        <x:f>IFERROR(H1826/G1826,0)</x:f>
        <x:v>1</x:v>
      </x:c>
      <x:c r="K1826" t="n">
        <x:v>862572</x:v>
      </x:c>
      <x:c r="L1826" t="n">
        <x:v>862572</x:v>
      </x:c>
      <x:c r="M1826" t="n">
        <x:v>862572</x:v>
      </x:c>
      <x:c r="N1826" t="n">
        <x:v>862572</x:v>
      </x:c>
      <x:c r="O1826" t="n">
        <x:v>862572</x:v>
      </x:c>
    </x:row>
    <x:row r="1827">
      <x:c r="A1827" t="str">
        <x:v>Kerala</x:v>
      </x:c>
      <x:c r="B1827" t="str">
        <x:v>All India except Central University</x:v>
      </x:c>
      <x:c r="C1827" t="str">
        <x:v>200186</x:v>
      </x:c>
      <x:c r="D1827" t="str">
        <x:v>Government Medical College,ESIC, Parippally, Kollam, Parippally Kollam 691574</x:v>
      </x:c>
      <x:c r="E1827" t="str">
        <x:v>ESI</x:v>
      </x:c>
      <x:c r="F1827" t="str">
        <x:v>SC</x:v>
      </x:c>
      <x:c r="G1827" t="n">
        <x:v>5</x:v>
      </x:c>
      <x:c r="H1827" t="n">
        <x:v>5</x:v>
      </x:c>
      <x:c r="I1827" t="n">
        <x:f>G1827-H1827</x:f>
        <x:v>0</x:v>
      </x:c>
      <x:c r="J1827" s="20" t="n">
        <x:f>IFERROR(H1827/G1827,0)</x:f>
        <x:v>1</x:v>
      </x:c>
      <x:c r="K1827" t="n">
        <x:v>88230</x:v>
      </x:c>
      <x:c r="L1827" t="n">
        <x:v>133214</x:v>
      </x:c>
      <x:c r="M1827" t="n">
        <x:v>155087</x:v>
      </x:c>
      <x:c r="N1827" t="n">
        <x:v>173453</x:v>
      </x:c>
      <x:c r="O1827" t="n">
        <x:v>175898</x:v>
      </x:c>
    </x:row>
    <x:row r="1828">
      <x:c r="A1828" t="str">
        <x:v>Kerala</x:v>
      </x:c>
      <x:c r="B1828" t="str">
        <x:v>All India except Central University</x:v>
      </x:c>
      <x:c r="C1828" t="str">
        <x:v>200186</x:v>
      </x:c>
      <x:c r="D1828" t="str">
        <x:v>Government Medical College,ESIC, Parippally, Kollam, Parippally Kollam 691574</x:v>
      </x:c>
      <x:c r="E1828" t="str">
        <x:v>ESI</x:v>
      </x:c>
      <x:c r="F1828" t="str">
        <x:v>SC PwD</x:v>
      </x:c>
      <x:c r="G1828" t="n">
        <x:v>1</x:v>
      </x:c>
      <x:c r="H1828" t="n">
        <x:v>0</x:v>
      </x:c>
      <x:c r="I1828" t="n">
        <x:f>G1828-H1828</x:f>
        <x:v>1</x:v>
      </x:c>
      <x:c r="J1828" s="20" t="n">
        <x:f>IFERROR(H1828/G1828,0)</x:f>
        <x:v>0</x:v>
      </x:c>
      <x:c r="K1828"/>
      <x:c r="L1828"/>
      <x:c r="M1828"/>
      <x:c r="N1828"/>
      <x:c r="O1828"/>
    </x:row>
    <x:row r="1829">
      <x:c r="A1829" t="str">
        <x:v>Kerala</x:v>
      </x:c>
      <x:c r="B1829" t="str">
        <x:v>All India except Central University</x:v>
      </x:c>
      <x:c r="C1829" t="str">
        <x:v>200186</x:v>
      </x:c>
      <x:c r="D1829" t="str">
        <x:v>Government Medical College,ESIC, Parippally, Kollam, Parippally Kollam 691574</x:v>
      </x:c>
      <x:c r="E1829" t="str">
        <x:v>ESI</x:v>
      </x:c>
      <x:c r="F1829" t="str">
        <x:v>ST</x:v>
      </x:c>
      <x:c r="G1829" t="n">
        <x:v>3</x:v>
      </x:c>
      <x:c r="H1829" t="n">
        <x:v>3</x:v>
      </x:c>
      <x:c r="I1829" t="n">
        <x:f>G1829-H1829</x:f>
        <x:v>0</x:v>
      </x:c>
      <x:c r="J1829" s="20" t="n">
        <x:f>IFERROR(H1829/G1829,0)</x:f>
        <x:v>1</x:v>
      </x:c>
      <x:c r="K1829" t="n">
        <x:v>332892</x:v>
      </x:c>
      <x:c r="L1829" t="n">
        <x:v>339570.5</x:v>
      </x:c>
      <x:c r="M1829" t="n">
        <x:v>346249</x:v>
      </x:c>
      <x:c r="N1829" t="n">
        <x:v>353858.5</x:v>
      </x:c>
      <x:c r="O1829" t="n">
        <x:v>361468</x:v>
      </x:c>
    </x:row>
    <x:row r="1830">
      <x:c r="A1830" t="str">
        <x:v>Maharashtra</x:v>
      </x:c>
      <x:c r="B1830" t="str">
        <x:v>All India except Central University</x:v>
      </x:c>
      <x:c r="C1830" t="str">
        <x:v>902836</x:v>
      </x:c>
      <x:c r="D1830" t="str">
        <x:v>Government Medical College,Nashik, Hindu Hruday Samrat Vandaniya Balasaheb Thakare Hospital and Bytco Hospital Near Durga Mata Mandir R</x:v>
      </x:c>
      <x:c r="E1830" t="str">
        <x:v>All India</x:v>
      </x:c>
      <x:c r="F1830" t="str">
        <x:v>EWS</x:v>
      </x:c>
      <x:c r="G1830" t="n">
        <x:v>1</x:v>
      </x:c>
      <x:c r="H1830" t="n">
        <x:v>1</x:v>
      </x:c>
      <x:c r="I1830" t="n">
        <x:f>G1830-H1830</x:f>
        <x:v>0</x:v>
      </x:c>
      <x:c r="J1830" s="20" t="n">
        <x:f>IFERROR(H1830/G1830,0)</x:f>
        <x:v>1</x:v>
      </x:c>
      <x:c r="K1830" t="n">
        <x:v>12271</x:v>
      </x:c>
      <x:c r="L1830" t="n">
        <x:v>12271</x:v>
      </x:c>
      <x:c r="M1830" t="n">
        <x:v>12271</x:v>
      </x:c>
      <x:c r="N1830" t="n">
        <x:v>12271</x:v>
      </x:c>
      <x:c r="O1830" t="n">
        <x:v>12271</x:v>
      </x:c>
    </x:row>
    <x:row r="1831">
      <x:c r="A1831" t="str">
        <x:v>Maharashtra</x:v>
      </x:c>
      <x:c r="B1831" t="str">
        <x:v>All India except Central University</x:v>
      </x:c>
      <x:c r="C1831" t="str">
        <x:v>902836</x:v>
      </x:c>
      <x:c r="D1831" t="str">
        <x:v>Government Medical College,Nashik, Hindu Hruday Samrat Vandaniya Balasaheb Thakare Hospital and Bytco Hospital Near Durga Mata Mandir R</x:v>
      </x:c>
      <x:c r="E1831" t="str">
        <x:v>All India</x:v>
      </x:c>
      <x:c r="F1831" t="str">
        <x:v>OBC</x:v>
      </x:c>
      <x:c r="G1831" t="n">
        <x:v>3</x:v>
      </x:c>
      <x:c r="H1831" t="n">
        <x:v>3</x:v>
      </x:c>
      <x:c r="I1831" t="n">
        <x:f>G1831-H1831</x:f>
        <x:v>0</x:v>
      </x:c>
      <x:c r="J1831" s="20" t="n">
        <x:f>IFERROR(H1831/G1831,0)</x:f>
        <x:v>1</x:v>
      </x:c>
      <x:c r="K1831" t="n">
        <x:v>10463</x:v>
      </x:c>
      <x:c r="L1831" t="n">
        <x:v>10715.5</x:v>
      </x:c>
      <x:c r="M1831" t="n">
        <x:v>10968</x:v>
      </x:c>
      <x:c r="N1831" t="n">
        <x:v>11090.5</x:v>
      </x:c>
      <x:c r="O1831" t="n">
        <x:v>11213</x:v>
      </x:c>
    </x:row>
    <x:row r="1832">
      <x:c r="A1832" t="str">
        <x:v>Maharashtra</x:v>
      </x:c>
      <x:c r="B1832" t="str">
        <x:v>All India except Central University</x:v>
      </x:c>
      <x:c r="C1832" t="str">
        <x:v>902836</x:v>
      </x:c>
      <x:c r="D1832" t="str">
        <x:v>Government Medical College,Nashik, Hindu Hruday Samrat Vandaniya Balasaheb Thakare Hospital and Bytco Hospital Near Durga Mata Mandir R</x:v>
      </x:c>
      <x:c r="E1832" t="str">
        <x:v>All India</x:v>
      </x:c>
      <x:c r="F1832" t="str">
        <x:v>OBC PwD</x:v>
      </x:c>
      <x:c r="G1832" t="n">
        <x:v>1</x:v>
      </x:c>
      <x:c r="H1832" t="n">
        <x:v>1</x:v>
      </x:c>
      <x:c r="I1832" t="n">
        <x:f>G1832-H1832</x:f>
        <x:v>0</x:v>
      </x:c>
      <x:c r="J1832" s="20" t="n">
        <x:f>IFERROR(H1832/G1832,0)</x:f>
        <x:v>1</x:v>
      </x:c>
      <x:c r="K1832" t="n">
        <x:v>559873</x:v>
      </x:c>
      <x:c r="L1832" t="n">
        <x:v>559873</x:v>
      </x:c>
      <x:c r="M1832" t="n">
        <x:v>559873</x:v>
      </x:c>
      <x:c r="N1832" t="n">
        <x:v>559873</x:v>
      </x:c>
      <x:c r="O1832" t="n">
        <x:v>559873</x:v>
      </x:c>
    </x:row>
    <x:row r="1833">
      <x:c r="A1833" t="str">
        <x:v>Maharashtra</x:v>
      </x:c>
      <x:c r="B1833" t="str">
        <x:v>All India except Central University</x:v>
      </x:c>
      <x:c r="C1833" t="str">
        <x:v>902836</x:v>
      </x:c>
      <x:c r="D1833" t="str">
        <x:v>Government Medical College,Nashik, Hindu Hruday Samrat Vandaniya Balasaheb Thakare Hospital and Bytco Hospital Near Durga Mata Mandir R</x:v>
      </x:c>
      <x:c r="E1833" t="str">
        <x:v>All India</x:v>
      </x:c>
      <x:c r="F1833" t="str">
        <x:v>Open</x:v>
      </x:c>
      <x:c r="G1833" t="n">
        <x:v>5</x:v>
      </x:c>
      <x:c r="H1833" t="n">
        <x:v>5</x:v>
      </x:c>
      <x:c r="I1833" t="n">
        <x:f>G1833-H1833</x:f>
        <x:v>0</x:v>
      </x:c>
      <x:c r="J1833" s="20" t="n">
        <x:f>IFERROR(H1833/G1833,0)</x:f>
        <x:v>1</x:v>
      </x:c>
      <x:c r="K1833" t="n">
        <x:v>6507</x:v>
      </x:c>
      <x:c r="L1833" t="n">
        <x:v>9035</x:v>
      </x:c>
      <x:c r="M1833" t="n">
        <x:v>9076</x:v>
      </x:c>
      <x:c r="N1833" t="n">
        <x:v>9224</x:v>
      </x:c>
      <x:c r="O1833" t="n">
        <x:v>9749</x:v>
      </x:c>
    </x:row>
    <x:row r="1834">
      <x:c r="A1834" t="str">
        <x:v>Maharashtra</x:v>
      </x:c>
      <x:c r="B1834" t="str">
        <x:v>All India except Central University</x:v>
      </x:c>
      <x:c r="C1834" t="str">
        <x:v>902836</x:v>
      </x:c>
      <x:c r="D1834" t="str">
        <x:v>Government Medical College,Nashik, Hindu Hruday Samrat Vandaniya Balasaheb Thakare Hospital and Bytco Hospital Near Durga Mata Mandir R</x:v>
      </x:c>
      <x:c r="E1834" t="str">
        <x:v>All India</x:v>
      </x:c>
      <x:c r="F1834" t="str">
        <x:v>Open PwD</x:v>
      </x:c>
      <x:c r="G1834" t="n">
        <x:v>1</x:v>
      </x:c>
      <x:c r="H1834" t="n">
        <x:v>1</x:v>
      </x:c>
      <x:c r="I1834" t="n">
        <x:f>G1834-H1834</x:f>
        <x:v>0</x:v>
      </x:c>
      <x:c r="J1834" s="20" t="n">
        <x:f>IFERROR(H1834/G1834,0)</x:f>
        <x:v>1</x:v>
      </x:c>
      <x:c r="K1834" t="n">
        <x:v>512148</x:v>
      </x:c>
      <x:c r="L1834" t="n">
        <x:v>512148</x:v>
      </x:c>
      <x:c r="M1834" t="n">
        <x:v>512148</x:v>
      </x:c>
      <x:c r="N1834" t="n">
        <x:v>512148</x:v>
      </x:c>
      <x:c r="O1834" t="n">
        <x:v>512148</x:v>
      </x:c>
    </x:row>
    <x:row r="1835">
      <x:c r="A1835" t="str">
        <x:v>Maharashtra</x:v>
      </x:c>
      <x:c r="B1835" t="str">
        <x:v>All India except Central University</x:v>
      </x:c>
      <x:c r="C1835" t="str">
        <x:v>902836</x:v>
      </x:c>
      <x:c r="D1835" t="str">
        <x:v>Government Medical College,Nashik, Hindu Hruday Samrat Vandaniya Balasaheb Thakare Hospital and Bytco Hospital Near Durga Mata Mandir R</x:v>
      </x:c>
      <x:c r="E1835" t="str">
        <x:v>All India</x:v>
      </x:c>
      <x:c r="F1835" t="str">
        <x:v>SC</x:v>
      </x:c>
      <x:c r="G1835" t="n">
        <x:v>3</x:v>
      </x:c>
      <x:c r="H1835" t="n">
        <x:v>3</x:v>
      </x:c>
      <x:c r="I1835" t="n">
        <x:f>G1835-H1835</x:f>
        <x:v>0</x:v>
      </x:c>
      <x:c r="J1835" s="20" t="n">
        <x:f>IFERROR(H1835/G1835,0)</x:f>
        <x:v>1</x:v>
      </x:c>
      <x:c r="K1835" t="n">
        <x:v>56153</x:v>
      </x:c>
      <x:c r="L1835" t="n">
        <x:v>61983</x:v>
      </x:c>
      <x:c r="M1835" t="n">
        <x:v>67813</x:v>
      </x:c>
      <x:c r="N1835" t="n">
        <x:v>68061.5</x:v>
      </x:c>
      <x:c r="O1835" t="n">
        <x:v>68310</x:v>
      </x:c>
    </x:row>
    <x:row r="1836">
      <x:c r="A1836" t="str">
        <x:v>Maharashtra</x:v>
      </x:c>
      <x:c r="B1836" t="str">
        <x:v>All India except Central University</x:v>
      </x:c>
      <x:c r="C1836" t="str">
        <x:v>902836</x:v>
      </x:c>
      <x:c r="D1836" t="str">
        <x:v>Government Medical College,Nashik, Hindu Hruday Samrat Vandaniya Balasaheb Thakare Hospital and Bytco Hospital Near Durga Mata Mandir R</x:v>
      </x:c>
      <x:c r="E1836" t="str">
        <x:v>All India</x:v>
      </x:c>
      <x:c r="F1836" t="str">
        <x:v>ST</x:v>
      </x:c>
      <x:c r="G1836" t="n">
        <x:v>1</x:v>
      </x:c>
      <x:c r="H1836" t="n">
        <x:v>1</x:v>
      </x:c>
      <x:c r="I1836" t="n">
        <x:f>G1836-H1836</x:f>
        <x:v>0</x:v>
      </x:c>
      <x:c r="J1836" s="20" t="n">
        <x:f>IFERROR(H1836/G1836,0)</x:f>
        <x:v>1</x:v>
      </x:c>
      <x:c r="K1836" t="n">
        <x:v>94965</x:v>
      </x:c>
      <x:c r="L1836" t="n">
        <x:v>94965</x:v>
      </x:c>
      <x:c r="M1836" t="n">
        <x:v>94965</x:v>
      </x:c>
      <x:c r="N1836" t="n">
        <x:v>94965</x:v>
      </x:c>
      <x:c r="O1836" t="n">
        <x:v>94965</x:v>
      </x:c>
    </x:row>
    <x:row r="1837">
      <x:c r="A1837" t="str">
        <x:v>Maharashtra</x:v>
      </x:c>
      <x:c r="B1837" t="str">
        <x:v>All India except Central University</x:v>
      </x:c>
      <x:c r="C1837" t="str">
        <x:v>200664</x:v>
      </x:c>
      <x:c r="D1837" t="str">
        <x:v>Government Medical college and District Hospital, Ratnagiri, Hodekar Road, Udyamnagar, Patwardhanwadi, Ratnagiri, Maharashtra-415612</x:v>
      </x:c>
      <x:c r="E1837" t="str">
        <x:v>All India</x:v>
      </x:c>
      <x:c r="F1837" t="str">
        <x:v>EWS</x:v>
      </x:c>
      <x:c r="G1837" t="n">
        <x:v>1</x:v>
      </x:c>
      <x:c r="H1837" t="n">
        <x:v>1</x:v>
      </x:c>
      <x:c r="I1837" t="n">
        <x:f>G1837-H1837</x:f>
        <x:v>0</x:v>
      </x:c>
      <x:c r="J1837" s="20" t="n">
        <x:f>IFERROR(H1837/G1837,0)</x:f>
        <x:v>1</x:v>
      </x:c>
      <x:c r="K1837" t="n">
        <x:v>18239</x:v>
      </x:c>
      <x:c r="L1837" t="n">
        <x:v>18239</x:v>
      </x:c>
      <x:c r="M1837" t="n">
        <x:v>18239</x:v>
      </x:c>
      <x:c r="N1837" t="n">
        <x:v>18239</x:v>
      </x:c>
      <x:c r="O1837" t="n">
        <x:v>18239</x:v>
      </x:c>
    </x:row>
    <x:row r="1838">
      <x:c r="A1838" t="str">
        <x:v>Maharashtra</x:v>
      </x:c>
      <x:c r="B1838" t="str">
        <x:v>All India except Central University</x:v>
      </x:c>
      <x:c r="C1838" t="str">
        <x:v>200664</x:v>
      </x:c>
      <x:c r="D1838" t="str">
        <x:v>Government Medical college and District Hospital, Ratnagiri, Hodekar Road, Udyamnagar, Patwardhanwadi, Ratnagiri, Maharashtra-415612</x:v>
      </x:c>
      <x:c r="E1838" t="str">
        <x:v>All India</x:v>
      </x:c>
      <x:c r="F1838" t="str">
        <x:v>EWS PwD</x:v>
      </x:c>
      <x:c r="G1838" t="n">
        <x:v>1</x:v>
      </x:c>
      <x:c r="H1838" t="n">
        <x:v>1</x:v>
      </x:c>
      <x:c r="I1838" t="n">
        <x:f>G1838-H1838</x:f>
        <x:v>0</x:v>
      </x:c>
      <x:c r="J1838" s="20" t="n">
        <x:f>IFERROR(H1838/G1838,0)</x:f>
        <x:v>1</x:v>
      </x:c>
      <x:c r="K1838" t="n">
        <x:v>588102</x:v>
      </x:c>
      <x:c r="L1838" t="n">
        <x:v>588102</x:v>
      </x:c>
      <x:c r="M1838" t="n">
        <x:v>588102</x:v>
      </x:c>
      <x:c r="N1838" t="n">
        <x:v>588102</x:v>
      </x:c>
      <x:c r="O1838" t="n">
        <x:v>588102</x:v>
      </x:c>
    </x:row>
    <x:row r="1839">
      <x:c r="A1839" t="str">
        <x:v>Maharashtra</x:v>
      </x:c>
      <x:c r="B1839" t="str">
        <x:v>All India except Central University</x:v>
      </x:c>
      <x:c r="C1839" t="str">
        <x:v>200664</x:v>
      </x:c>
      <x:c r="D1839" t="str">
        <x:v>Government Medical college and District Hospital, Ratnagiri, Hodekar Road, Udyamnagar, Patwardhanwadi, Ratnagiri, Maharashtra-415612</x:v>
      </x:c>
      <x:c r="E1839" t="str">
        <x:v>All India</x:v>
      </x:c>
      <x:c r="F1839" t="str">
        <x:v>OBC</x:v>
      </x:c>
      <x:c r="G1839" t="n">
        <x:v>3</x:v>
      </x:c>
      <x:c r="H1839" t="n">
        <x:v>3</x:v>
      </x:c>
      <x:c r="I1839" t="n">
        <x:f>G1839-H1839</x:f>
        <x:v>0</x:v>
      </x:c>
      <x:c r="J1839" s="20" t="n">
        <x:f>IFERROR(H1839/G1839,0)</x:f>
        <x:v>1</x:v>
      </x:c>
      <x:c r="K1839" t="n">
        <x:v>16647</x:v>
      </x:c>
      <x:c r="L1839" t="n">
        <x:v>16877</x:v>
      </x:c>
      <x:c r="M1839" t="n">
        <x:v>17107</x:v>
      </x:c>
      <x:c r="N1839" t="n">
        <x:v>17135.5</x:v>
      </x:c>
      <x:c r="O1839" t="n">
        <x:v>17164</x:v>
      </x:c>
    </x:row>
    <x:row r="1840">
      <x:c r="A1840" t="str">
        <x:v>Maharashtra</x:v>
      </x:c>
      <x:c r="B1840" t="str">
        <x:v>All India except Central University</x:v>
      </x:c>
      <x:c r="C1840" t="str">
        <x:v>200664</x:v>
      </x:c>
      <x:c r="D1840" t="str">
        <x:v>Government Medical college and District Hospital, Ratnagiri, Hodekar Road, Udyamnagar, Patwardhanwadi, Ratnagiri, Maharashtra-415612</x:v>
      </x:c>
      <x:c r="E1840" t="str">
        <x:v>All India</x:v>
      </x:c>
      <x:c r="F1840" t="str">
        <x:v>OBC PwD</x:v>
      </x:c>
      <x:c r="G1840" t="n">
        <x:v>1</x:v>
      </x:c>
      <x:c r="H1840" t="n">
        <x:v>1</x:v>
      </x:c>
      <x:c r="I1840" t="n">
        <x:f>G1840-H1840</x:f>
        <x:v>0</x:v>
      </x:c>
      <x:c r="J1840" s="20" t="n">
        <x:f>IFERROR(H1840/G1840,0)</x:f>
        <x:v>1</x:v>
      </x:c>
      <x:c r="K1840" t="n">
        <x:v>574611</x:v>
      </x:c>
      <x:c r="L1840" t="n">
        <x:v>574611</x:v>
      </x:c>
      <x:c r="M1840" t="n">
        <x:v>574611</x:v>
      </x:c>
      <x:c r="N1840" t="n">
        <x:v>574611</x:v>
      </x:c>
      <x:c r="O1840" t="n">
        <x:v>574611</x:v>
      </x:c>
    </x:row>
    <x:row r="1841">
      <x:c r="A1841" t="str">
        <x:v>Maharashtra</x:v>
      </x:c>
      <x:c r="B1841" t="str">
        <x:v>All India except Central University</x:v>
      </x:c>
      <x:c r="C1841" t="str">
        <x:v>200664</x:v>
      </x:c>
      <x:c r="D1841" t="str">
        <x:v>Government Medical college and District Hospital, Ratnagiri, Hodekar Road, Udyamnagar, Patwardhanwadi, Ratnagiri, Maharashtra-415612</x:v>
      </x:c>
      <x:c r="E1841" t="str">
        <x:v>All India</x:v>
      </x:c>
      <x:c r="F1841" t="str">
        <x:v>Open</x:v>
      </x:c>
      <x:c r="G1841" t="n">
        <x:v>5</x:v>
      </x:c>
      <x:c r="H1841" t="n">
        <x:v>5</x:v>
      </x:c>
      <x:c r="I1841" t="n">
        <x:f>G1841-H1841</x:f>
        <x:v>0</x:v>
      </x:c>
      <x:c r="J1841" s="20" t="n">
        <x:f>IFERROR(H1841/G1841,0)</x:f>
        <x:v>1</x:v>
      </x:c>
      <x:c r="K1841" t="n">
        <x:v>13931</x:v>
      </x:c>
      <x:c r="L1841" t="n">
        <x:v>15646</x:v>
      </x:c>
      <x:c r="M1841" t="n">
        <x:v>15893</x:v>
      </x:c>
      <x:c r="N1841" t="n">
        <x:v>16082</x:v>
      </x:c>
      <x:c r="O1841" t="n">
        <x:v>16233</x:v>
      </x:c>
    </x:row>
    <x:row r="1842">
      <x:c r="A1842" t="str">
        <x:v>Maharashtra</x:v>
      </x:c>
      <x:c r="B1842" t="str">
        <x:v>All India except Central University</x:v>
      </x:c>
      <x:c r="C1842" t="str">
        <x:v>200664</x:v>
      </x:c>
      <x:c r="D1842" t="str">
        <x:v>Government Medical college and District Hospital, Ratnagiri, Hodekar Road, Udyamnagar, Patwardhanwadi, Ratnagiri, Maharashtra-415612</x:v>
      </x:c>
      <x:c r="E1842" t="str">
        <x:v>All India</x:v>
      </x:c>
      <x:c r="F1842" t="str">
        <x:v>SC</x:v>
      </x:c>
      <x:c r="G1842" t="n">
        <x:v>2</x:v>
      </x:c>
      <x:c r="H1842" t="n">
        <x:v>2</x:v>
      </x:c>
      <x:c r="I1842" t="n">
        <x:f>G1842-H1842</x:f>
        <x:v>0</x:v>
      </x:c>
      <x:c r="J1842" s="20" t="n">
        <x:f>IFERROR(H1842/G1842,0)</x:f>
        <x:v>1</x:v>
      </x:c>
      <x:c r="K1842" t="n">
        <x:v>75077</x:v>
      </x:c>
      <x:c r="L1842" t="n">
        <x:v>76486.25</x:v>
      </x:c>
      <x:c r="M1842" t="n">
        <x:v>77895.5</x:v>
      </x:c>
      <x:c r="N1842" t="n">
        <x:v>79304.75</x:v>
      </x:c>
      <x:c r="O1842" t="n">
        <x:v>80714</x:v>
      </x:c>
    </x:row>
    <x:row r="1843">
      <x:c r="A1843" t="str">
        <x:v>Maharashtra</x:v>
      </x:c>
      <x:c r="B1843" t="str">
        <x:v>All India except Central University</x:v>
      </x:c>
      <x:c r="C1843" t="str">
        <x:v>200664</x:v>
      </x:c>
      <x:c r="D1843" t="str">
        <x:v>Government Medical college and District Hospital, Ratnagiri, Hodekar Road, Udyamnagar, Patwardhanwadi, Ratnagiri, Maharashtra-415612</x:v>
      </x:c>
      <x:c r="E1843" t="str">
        <x:v>All India</x:v>
      </x:c>
      <x:c r="F1843" t="str">
        <x:v>SC PwD</x:v>
      </x:c>
      <x:c r="G1843" t="n">
        <x:v>1</x:v>
      </x:c>
      <x:c r="H1843" t="n">
        <x:v>1</x:v>
      </x:c>
      <x:c r="I1843" t="n">
        <x:f>G1843-H1843</x:f>
        <x:v>0</x:v>
      </x:c>
      <x:c r="J1843" s="20" t="n">
        <x:f>IFERROR(H1843/G1843,0)</x:f>
        <x:v>1</x:v>
      </x:c>
      <x:c r="K1843" t="n">
        <x:v>786588</x:v>
      </x:c>
      <x:c r="L1843" t="n">
        <x:v>786588</x:v>
      </x:c>
      <x:c r="M1843" t="n">
        <x:v>786588</x:v>
      </x:c>
      <x:c r="N1843" t="n">
        <x:v>786588</x:v>
      </x:c>
      <x:c r="O1843" t="n">
        <x:v>786588</x:v>
      </x:c>
    </x:row>
    <x:row r="1844">
      <x:c r="A1844" t="str">
        <x:v>Maharashtra</x:v>
      </x:c>
      <x:c r="B1844" t="str">
        <x:v>All India except Central University</x:v>
      </x:c>
      <x:c r="C1844" t="str">
        <x:v>200664</x:v>
      </x:c>
      <x:c r="D1844" t="str">
        <x:v>Government Medical college and District Hospital, Ratnagiri, Hodekar Road, Udyamnagar, Patwardhanwadi, Ratnagiri, Maharashtra-415612</x:v>
      </x:c>
      <x:c r="E1844" t="str">
        <x:v>All India</x:v>
      </x:c>
      <x:c r="F1844" t="str">
        <x:v>ST</x:v>
      </x:c>
      <x:c r="G1844" t="n">
        <x:v>1</x:v>
      </x:c>
      <x:c r="H1844" t="n">
        <x:v>1</x:v>
      </x:c>
      <x:c r="I1844" t="n">
        <x:f>G1844-H1844</x:f>
        <x:v>0</x:v>
      </x:c>
      <x:c r="J1844" s="20" t="n">
        <x:f>IFERROR(H1844/G1844,0)</x:f>
        <x:v>1</x:v>
      </x:c>
      <x:c r="K1844" t="n">
        <x:v>96915</x:v>
      </x:c>
      <x:c r="L1844" t="n">
        <x:v>96915</x:v>
      </x:c>
      <x:c r="M1844" t="n">
        <x:v>96915</x:v>
      </x:c>
      <x:c r="N1844" t="n">
        <x:v>96915</x:v>
      </x:c>
      <x:c r="O1844" t="n">
        <x:v>96915</x:v>
      </x:c>
    </x:row>
    <x:row r="1845">
      <x:c r="A1845" t="str">
        <x:v>Andhra Pradesh</x:v>
      </x:c>
      <x:c r="B1845" t="str">
        <x:v>All India except Central University</x:v>
      </x:c>
      <x:c r="C1845" t="str">
        <x:v>200442</x:v>
      </x:c>
      <x:c r="D1845" t="str">
        <x:v>Government Siddhartha Medical College, Vijaywada, Beside New Government General Hospital Gunadala Vijayawada</x:v>
      </x:c>
      <x:c r="E1845" t="str">
        <x:v>All India</x:v>
      </x:c>
      <x:c r="F1845" t="str">
        <x:v>EWS</x:v>
      </x:c>
      <x:c r="G1845" t="n">
        <x:v>2</x:v>
      </x:c>
      <x:c r="H1845" t="n">
        <x:v>2</x:v>
      </x:c>
      <x:c r="I1845" t="n">
        <x:f>G1845-H1845</x:f>
        <x:v>0</x:v>
      </x:c>
      <x:c r="J1845" s="20" t="n">
        <x:f>IFERROR(H1845/G1845,0)</x:f>
        <x:v>1</x:v>
      </x:c>
      <x:c r="K1845" t="n">
        <x:v>13115</x:v>
      </x:c>
      <x:c r="L1845" t="n">
        <x:v>13144.5</x:v>
      </x:c>
      <x:c r="M1845" t="n">
        <x:v>13174</x:v>
      </x:c>
      <x:c r="N1845" t="n">
        <x:v>13203.5</x:v>
      </x:c>
      <x:c r="O1845" t="n">
        <x:v>13233</x:v>
      </x:c>
    </x:row>
    <x:row r="1846">
      <x:c r="A1846" t="str">
        <x:v>Andhra Pradesh</x:v>
      </x:c>
      <x:c r="B1846" t="str">
        <x:v>All India except Central University</x:v>
      </x:c>
      <x:c r="C1846" t="str">
        <x:v>200442</x:v>
      </x:c>
      <x:c r="D1846" t="str">
        <x:v>Government Siddhartha Medical College, Vijaywada, Beside New Government General Hospital Gunadala Vijayawada</x:v>
      </x:c>
      <x:c r="E1846" t="str">
        <x:v>All India</x:v>
      </x:c>
      <x:c r="F1846" t="str">
        <x:v>EWS PwD</x:v>
      </x:c>
      <x:c r="G1846" t="n">
        <x:v>1</x:v>
      </x:c>
      <x:c r="H1846" t="n">
        <x:v>1</x:v>
      </x:c>
      <x:c r="I1846" t="n">
        <x:f>G1846-H1846</x:f>
        <x:v>0</x:v>
      </x:c>
      <x:c r="J1846" s="20" t="n">
        <x:f>IFERROR(H1846/G1846,0)</x:f>
        <x:v>1</x:v>
      </x:c>
      <x:c r="K1846" t="n">
        <x:v>575238</x:v>
      </x:c>
      <x:c r="L1846" t="n">
        <x:v>575238</x:v>
      </x:c>
      <x:c r="M1846" t="n">
        <x:v>575238</x:v>
      </x:c>
      <x:c r="N1846" t="n">
        <x:v>575238</x:v>
      </x:c>
      <x:c r="O1846" t="n">
        <x:v>575238</x:v>
      </x:c>
    </x:row>
    <x:row r="1847">
      <x:c r="A1847" t="str">
        <x:v>Andhra Pradesh</x:v>
      </x:c>
      <x:c r="B1847" t="str">
        <x:v>All India except Central University</x:v>
      </x:c>
      <x:c r="C1847" t="str">
        <x:v>200442</x:v>
      </x:c>
      <x:c r="D1847" t="str">
        <x:v>Government Siddhartha Medical College, Vijaywada, Beside New Government General Hospital Gunadala Vijayawada</x:v>
      </x:c>
      <x:c r="E1847" t="str">
        <x:v>All India</x:v>
      </x:c>
      <x:c r="F1847" t="str">
        <x:v>OBC</x:v>
      </x:c>
      <x:c r="G1847" t="n">
        <x:v>9</x:v>
      </x:c>
      <x:c r="H1847" t="n">
        <x:v>9</x:v>
      </x:c>
      <x:c r="I1847" t="n">
        <x:f>G1847-H1847</x:f>
        <x:v>0</x:v>
      </x:c>
      <x:c r="J1847" s="20" t="n">
        <x:f>IFERROR(H1847/G1847,0)</x:f>
        <x:v>1</x:v>
      </x:c>
      <x:c r="K1847" t="n">
        <x:v>11136</x:v>
      </x:c>
      <x:c r="L1847" t="n">
        <x:v>11584</x:v>
      </x:c>
      <x:c r="M1847" t="n">
        <x:v>12587</x:v>
      </x:c>
      <x:c r="N1847" t="n">
        <x:v>13423</x:v>
      </x:c>
      <x:c r="O1847" t="n">
        <x:v>14333</x:v>
      </x:c>
    </x:row>
    <x:row r="1848">
      <x:c r="A1848" t="str">
        <x:v>Andhra Pradesh</x:v>
      </x:c>
      <x:c r="B1848" t="str">
        <x:v>All India except Central University</x:v>
      </x:c>
      <x:c r="C1848" t="str">
        <x:v>200442</x:v>
      </x:c>
      <x:c r="D1848" t="str">
        <x:v>Government Siddhartha Medical College, Vijaywada, Beside New Government General Hospital Gunadala Vijayawada</x:v>
      </x:c>
      <x:c r="E1848" t="str">
        <x:v>All India</x:v>
      </x:c>
      <x:c r="F1848" t="str">
        <x:v>OBC PwD</x:v>
      </x:c>
      <x:c r="G1848" t="n">
        <x:v>1</x:v>
      </x:c>
      <x:c r="H1848" t="n">
        <x:v>1</x:v>
      </x:c>
      <x:c r="I1848" t="n">
        <x:f>G1848-H1848</x:f>
        <x:v>0</x:v>
      </x:c>
      <x:c r="J1848" s="20" t="n">
        <x:f>IFERROR(H1848/G1848,0)</x:f>
        <x:v>1</x:v>
      </x:c>
      <x:c r="K1848" t="n">
        <x:v>651354</x:v>
      </x:c>
      <x:c r="L1848" t="n">
        <x:v>651354</x:v>
      </x:c>
      <x:c r="M1848" t="n">
        <x:v>651354</x:v>
      </x:c>
      <x:c r="N1848" t="n">
        <x:v>651354</x:v>
      </x:c>
      <x:c r="O1848" t="n">
        <x:v>651354</x:v>
      </x:c>
    </x:row>
    <x:row r="1849">
      <x:c r="A1849" t="str">
        <x:v>Andhra Pradesh</x:v>
      </x:c>
      <x:c r="B1849" t="str">
        <x:v>All India except Central University</x:v>
      </x:c>
      <x:c r="C1849" t="str">
        <x:v>200442</x:v>
      </x:c>
      <x:c r="D1849" t="str">
        <x:v>Government Siddhartha Medical College, Vijaywada, Beside New Government General Hospital Gunadala Vijayawada</x:v>
      </x:c>
      <x:c r="E1849" t="str">
        <x:v>All India</x:v>
      </x:c>
      <x:c r="F1849" t="str">
        <x:v>Open</x:v>
      </x:c>
      <x:c r="G1849" t="n">
        <x:v>15</x:v>
      </x:c>
      <x:c r="H1849" t="n">
        <x:v>15</x:v>
      </x:c>
      <x:c r="I1849" t="n">
        <x:f>G1849-H1849</x:f>
        <x:v>0</x:v>
      </x:c>
      <x:c r="J1849" s="20" t="n">
        <x:f>IFERROR(H1849/G1849,0)</x:f>
        <x:v>1</x:v>
      </x:c>
      <x:c r="K1849" t="n">
        <x:v>4723</x:v>
      </x:c>
      <x:c r="L1849" t="n">
        <x:v>7484</x:v>
      </x:c>
      <x:c r="M1849" t="n">
        <x:v>8668</x:v>
      </x:c>
      <x:c r="N1849" t="n">
        <x:v>9182.5</x:v>
      </x:c>
      <x:c r="O1849" t="n">
        <x:v>10122</x:v>
      </x:c>
    </x:row>
    <x:row r="1850">
      <x:c r="A1850" t="str">
        <x:v>Andhra Pradesh</x:v>
      </x:c>
      <x:c r="B1850" t="str">
        <x:v>All India except Central University</x:v>
      </x:c>
      <x:c r="C1850" t="str">
        <x:v>200442</x:v>
      </x:c>
      <x:c r="D1850" t="str">
        <x:v>Government Siddhartha Medical College, Vijaywada, Beside New Government General Hospital Gunadala Vijayawada</x:v>
      </x:c>
      <x:c r="E1850" t="str">
        <x:v>All India</x:v>
      </x:c>
      <x:c r="F1850" t="str">
        <x:v>Open PwD</x:v>
      </x:c>
      <x:c r="G1850" t="n">
        <x:v>1</x:v>
      </x:c>
      <x:c r="H1850" t="n">
        <x:v>1</x:v>
      </x:c>
      <x:c r="I1850" t="n">
        <x:f>G1850-H1850</x:f>
        <x:v>0</x:v>
      </x:c>
      <x:c r="J1850" s="20" t="n">
        <x:f>IFERROR(H1850/G1850,0)</x:f>
        <x:v>1</x:v>
      </x:c>
      <x:c r="K1850" t="n">
        <x:v>180083</x:v>
      </x:c>
      <x:c r="L1850" t="n">
        <x:v>180083</x:v>
      </x:c>
      <x:c r="M1850" t="n">
        <x:v>180083</x:v>
      </x:c>
      <x:c r="N1850" t="n">
        <x:v>180083</x:v>
      </x:c>
      <x:c r="O1850" t="n">
        <x:v>180083</x:v>
      </x:c>
    </x:row>
    <x:row r="1851">
      <x:c r="A1851" t="str">
        <x:v>Andhra Pradesh</x:v>
      </x:c>
      <x:c r="B1851" t="str">
        <x:v>All India except Central University</x:v>
      </x:c>
      <x:c r="C1851" t="str">
        <x:v>200442</x:v>
      </x:c>
      <x:c r="D1851" t="str">
        <x:v>Government Siddhartha Medical College, Vijaywada, Beside New Government General Hospital Gunadala Vijayawada</x:v>
      </x:c>
      <x:c r="E1851" t="str">
        <x:v>All India</x:v>
      </x:c>
      <x:c r="F1851" t="str">
        <x:v>SC</x:v>
      </x:c>
      <x:c r="G1851" t="n">
        <x:v>5</x:v>
      </x:c>
      <x:c r="H1851" t="n">
        <x:v>5</x:v>
      </x:c>
      <x:c r="I1851" t="n">
        <x:f>G1851-H1851</x:f>
        <x:v>0</x:v>
      </x:c>
      <x:c r="J1851" s="20" t="n">
        <x:f>IFERROR(H1851/G1851,0)</x:f>
        <x:v>1</x:v>
      </x:c>
      <x:c r="K1851" t="n">
        <x:v>36289</x:v>
      </x:c>
      <x:c r="L1851" t="n">
        <x:v>39544</x:v>
      </x:c>
      <x:c r="M1851" t="n">
        <x:v>47251</x:v>
      </x:c>
      <x:c r="N1851" t="n">
        <x:v>48552</x:v>
      </x:c>
      <x:c r="O1851" t="n">
        <x:v>51615</x:v>
      </x:c>
    </x:row>
    <x:row r="1852">
      <x:c r="A1852" t="str">
        <x:v>Andhra Pradesh</x:v>
      </x:c>
      <x:c r="B1852" t="str">
        <x:v>All India except Central University</x:v>
      </x:c>
      <x:c r="C1852" t="str">
        <x:v>200442</x:v>
      </x:c>
      <x:c r="D1852" t="str">
        <x:v>Government Siddhartha Medical College, Vijaywada, Beside New Government General Hospital Gunadala Vijayawada</x:v>
      </x:c>
      <x:c r="E1852" t="str">
        <x:v>All India</x:v>
      </x:c>
      <x:c r="F1852" t="str">
        <x:v>ST</x:v>
      </x:c>
      <x:c r="G1852" t="n">
        <x:v>3</x:v>
      </x:c>
      <x:c r="H1852" t="n">
        <x:v>3</x:v>
      </x:c>
      <x:c r="I1852" t="n">
        <x:f>G1852-H1852</x:f>
        <x:v>0</x:v>
      </x:c>
      <x:c r="J1852" s="20" t="n">
        <x:f>IFERROR(H1852/G1852,0)</x:f>
        <x:v>1</x:v>
      </x:c>
      <x:c r="K1852" t="n">
        <x:v>94396</x:v>
      </x:c>
      <x:c r="L1852" t="n">
        <x:v>94644</x:v>
      </x:c>
      <x:c r="M1852" t="n">
        <x:v>94892</x:v>
      </x:c>
      <x:c r="N1852" t="n">
        <x:v>95699.5</x:v>
      </x:c>
      <x:c r="O1852" t="n">
        <x:v>96507</x:v>
      </x:c>
    </x:row>
    <x:row r="1853">
      <x:c r="A1853" t="str">
        <x:v>Tamil Nadu</x:v>
      </x:c>
      <x:c r="B1853" t="str">
        <x:v>All India except Central University</x:v>
      </x:c>
      <x:c r="C1853" t="str">
        <x:v>200268</x:v>
      </x:c>
      <x:c r="D1853" t="str">
        <x:v>Government Sivagangai Medical College, Sivaganga, MANAMADURAI MAIN ROAD, KEELA VANIYANKUDI, SIVAGANGAI</x:v>
      </x:c>
      <x:c r="E1853" t="str">
        <x:v>All India</x:v>
      </x:c>
      <x:c r="F1853" t="str">
        <x:v>EWS</x:v>
      </x:c>
      <x:c r="G1853" t="n">
        <x:v>1</x:v>
      </x:c>
      <x:c r="H1853" t="n">
        <x:v>1</x:v>
      </x:c>
      <x:c r="I1853" t="n">
        <x:f>G1853-H1853</x:f>
        <x:v>0</x:v>
      </x:c>
      <x:c r="J1853" s="20" t="n">
        <x:f>IFERROR(H1853/G1853,0)</x:f>
        <x:v>1</x:v>
      </x:c>
      <x:c r="K1853" t="n">
        <x:v>24193</x:v>
      </x:c>
      <x:c r="L1853" t="n">
        <x:v>24193</x:v>
      </x:c>
      <x:c r="M1853" t="n">
        <x:v>24193</x:v>
      </x:c>
      <x:c r="N1853" t="n">
        <x:v>24193</x:v>
      </x:c>
      <x:c r="O1853" t="n">
        <x:v>24193</x:v>
      </x:c>
    </x:row>
    <x:row r="1854">
      <x:c r="A1854" t="str">
        <x:v>Tamil Nadu</x:v>
      </x:c>
      <x:c r="B1854" t="str">
        <x:v>All India except Central University</x:v>
      </x:c>
      <x:c r="C1854" t="str">
        <x:v>200268</x:v>
      </x:c>
      <x:c r="D1854" t="str">
        <x:v>Government Sivagangai Medical College, Sivaganga, MANAMADURAI MAIN ROAD, KEELA VANIYANKUDI, SIVAGANGAI</x:v>
      </x:c>
      <x:c r="E1854" t="str">
        <x:v>All India</x:v>
      </x:c>
      <x:c r="F1854" t="str">
        <x:v>OBC</x:v>
      </x:c>
      <x:c r="G1854" t="n">
        <x:v>3</x:v>
      </x:c>
      <x:c r="H1854" t="n">
        <x:v>3</x:v>
      </x:c>
      <x:c r="I1854" t="n">
        <x:f>G1854-H1854</x:f>
        <x:v>0</x:v>
      </x:c>
      <x:c r="J1854" s="20" t="n">
        <x:f>IFERROR(H1854/G1854,0)</x:f>
        <x:v>1</x:v>
      </x:c>
      <x:c r="K1854" t="n">
        <x:v>13281</x:v>
      </x:c>
      <x:c r="L1854" t="n">
        <x:v>13302</x:v>
      </x:c>
      <x:c r="M1854" t="n">
        <x:v>13323</x:v>
      </x:c>
      <x:c r="N1854" t="n">
        <x:v>13354</x:v>
      </x:c>
      <x:c r="O1854" t="n">
        <x:v>13385</x:v>
      </x:c>
    </x:row>
    <x:row r="1855">
      <x:c r="A1855" t="str">
        <x:v>Tamil Nadu</x:v>
      </x:c>
      <x:c r="B1855" t="str">
        <x:v>All India except Central University</x:v>
      </x:c>
      <x:c r="C1855" t="str">
        <x:v>200268</x:v>
      </x:c>
      <x:c r="D1855" t="str">
        <x:v>Government Sivagangai Medical College, Sivaganga, MANAMADURAI MAIN ROAD, KEELA VANIYANKUDI, SIVAGANGAI</x:v>
      </x:c>
      <x:c r="E1855" t="str">
        <x:v>All India</x:v>
      </x:c>
      <x:c r="F1855" t="str">
        <x:v>OBC PwD</x:v>
      </x:c>
      <x:c r="G1855" t="n">
        <x:v>1</x:v>
      </x:c>
      <x:c r="H1855" t="n">
        <x:v>1</x:v>
      </x:c>
      <x:c r="I1855" t="n">
        <x:f>G1855-H1855</x:f>
        <x:v>0</x:v>
      </x:c>
      <x:c r="J1855" s="20" t="n">
        <x:f>IFERROR(H1855/G1855,0)</x:f>
        <x:v>1</x:v>
      </x:c>
      <x:c r="K1855" t="n">
        <x:v>604587</x:v>
      </x:c>
      <x:c r="L1855" t="n">
        <x:v>604587</x:v>
      </x:c>
      <x:c r="M1855" t="n">
        <x:v>604587</x:v>
      </x:c>
      <x:c r="N1855" t="n">
        <x:v>604587</x:v>
      </x:c>
      <x:c r="O1855" t="n">
        <x:v>604587</x:v>
      </x:c>
    </x:row>
    <x:row r="1856">
      <x:c r="A1856" t="str">
        <x:v>Tamil Nadu</x:v>
      </x:c>
      <x:c r="B1856" t="str">
        <x:v>All India except Central University</x:v>
      </x:c>
      <x:c r="C1856" t="str">
        <x:v>200268</x:v>
      </x:c>
      <x:c r="D1856" t="str">
        <x:v>Government Sivagangai Medical College, Sivaganga, MANAMADURAI MAIN ROAD, KEELA VANIYANKUDI, SIVAGANGAI</x:v>
      </x:c>
      <x:c r="E1856" t="str">
        <x:v>All India</x:v>
      </x:c>
      <x:c r="F1856" t="str">
        <x:v>Open</x:v>
      </x:c>
      <x:c r="G1856" t="n">
        <x:v>6</x:v>
      </x:c>
      <x:c r="H1856" t="n">
        <x:v>6</x:v>
      </x:c>
      <x:c r="I1856" t="n">
        <x:f>G1856-H1856</x:f>
        <x:v>0</x:v>
      </x:c>
      <x:c r="J1856" s="20" t="n">
        <x:f>IFERROR(H1856/G1856,0)</x:f>
        <x:v>1</x:v>
      </x:c>
      <x:c r="K1856" t="n">
        <x:v>6270</x:v>
      </x:c>
      <x:c r="L1856" t="n">
        <x:v>9452.5</x:v>
      </x:c>
      <x:c r="M1856" t="n">
        <x:v>12243.5</x:v>
      </x:c>
      <x:c r="N1856" t="n">
        <x:v>12971.25</x:v>
      </x:c>
      <x:c r="O1856" t="n">
        <x:v>13055</x:v>
      </x:c>
    </x:row>
    <x:row r="1857">
      <x:c r="A1857" t="str">
        <x:v>Tamil Nadu</x:v>
      </x:c>
      <x:c r="B1857" t="str">
        <x:v>All India except Central University</x:v>
      </x:c>
      <x:c r="C1857" t="str">
        <x:v>200268</x:v>
      </x:c>
      <x:c r="D1857" t="str">
        <x:v>Government Sivagangai Medical College, Sivaganga, MANAMADURAI MAIN ROAD, KEELA VANIYANKUDI, SIVAGANGAI</x:v>
      </x:c>
      <x:c r="E1857" t="str">
        <x:v>All India</x:v>
      </x:c>
      <x:c r="F1857" t="str">
        <x:v>SC</x:v>
      </x:c>
      <x:c r="G1857" t="n">
        <x:v>3</x:v>
      </x:c>
      <x:c r="H1857" t="n">
        <x:v>3</x:v>
      </x:c>
      <x:c r="I1857" t="n">
        <x:f>G1857-H1857</x:f>
        <x:v>0</x:v>
      </x:c>
      <x:c r="J1857" s="20" t="n">
        <x:f>IFERROR(H1857/G1857,0)</x:f>
        <x:v>1</x:v>
      </x:c>
      <x:c r="K1857" t="n">
        <x:v>64982</x:v>
      </x:c>
      <x:c r="L1857" t="n">
        <x:v>66484</x:v>
      </x:c>
      <x:c r="M1857" t="n">
        <x:v>67986</x:v>
      </x:c>
      <x:c r="N1857" t="n">
        <x:v>68688</x:v>
      </x:c>
      <x:c r="O1857" t="n">
        <x:v>69390</x:v>
      </x:c>
    </x:row>
    <x:row r="1858">
      <x:c r="A1858" t="str">
        <x:v>Tamil Nadu</x:v>
      </x:c>
      <x:c r="B1858" t="str">
        <x:v>All India except Central University</x:v>
      </x:c>
      <x:c r="C1858" t="str">
        <x:v>200268</x:v>
      </x:c>
      <x:c r="D1858" t="str">
        <x:v>Government Sivagangai Medical College, Sivaganga, MANAMADURAI MAIN ROAD, KEELA VANIYANKUDI, SIVAGANGAI</x:v>
      </x:c>
      <x:c r="E1858" t="str">
        <x:v>All India</x:v>
      </x:c>
      <x:c r="F1858" t="str">
        <x:v>ST</x:v>
      </x:c>
      <x:c r="G1858" t="n">
        <x:v>1</x:v>
      </x:c>
      <x:c r="H1858" t="n">
        <x:v>1</x:v>
      </x:c>
      <x:c r="I1858" t="n">
        <x:f>G1858-H1858</x:f>
        <x:v>0</x:v>
      </x:c>
      <x:c r="J1858" s="20" t="n">
        <x:f>IFERROR(H1858/G1858,0)</x:f>
        <x:v>1</x:v>
      </x:c>
      <x:c r="K1858" t="n">
        <x:v>128706</x:v>
      </x:c>
      <x:c r="L1858" t="n">
        <x:v>128706</x:v>
      </x:c>
      <x:c r="M1858" t="n">
        <x:v>128706</x:v>
      </x:c>
      <x:c r="N1858" t="n">
        <x:v>128706</x:v>
      </x:c>
      <x:c r="O1858" t="n">
        <x:v>128706</x:v>
      </x:c>
    </x:row>
    <x:row r="1859">
      <x:c r="A1859" t="str">
        <x:v>Tamil Nadu</x:v>
      </x:c>
      <x:c r="B1859" t="str">
        <x:v>All India except Central University</x:v>
      </x:c>
      <x:c r="C1859" t="str">
        <x:v>200283</x:v>
      </x:c>
      <x:c r="D1859" t="str">
        <x:v>Government Thiruvannamalai Medical College, Thiruvannamalai, District Collectorate, Master Plan Complex, Vengikkal, Thiruvannamalai</x:v>
      </x:c>
      <x:c r="E1859" t="str">
        <x:v>All India</x:v>
      </x:c>
      <x:c r="F1859" t="str">
        <x:v>EWS</x:v>
      </x:c>
      <x:c r="G1859" t="n">
        <x:v>2</x:v>
      </x:c>
      <x:c r="H1859" t="n">
        <x:v>2</x:v>
      </x:c>
      <x:c r="I1859" t="n">
        <x:f>G1859-H1859</x:f>
        <x:v>0</x:v>
      </x:c>
      <x:c r="J1859" s="20" t="n">
        <x:f>IFERROR(H1859/G1859,0)</x:f>
        <x:v>1</x:v>
      </x:c>
      <x:c r="K1859" t="n">
        <x:v>21828</x:v>
      </x:c>
      <x:c r="L1859" t="n">
        <x:v>22818.75</x:v>
      </x:c>
      <x:c r="M1859" t="n">
        <x:v>23809.5</x:v>
      </x:c>
      <x:c r="N1859" t="n">
        <x:v>24800.25</x:v>
      </x:c>
      <x:c r="O1859" t="n">
        <x:v>25791</x:v>
      </x:c>
    </x:row>
    <x:row r="1860">
      <x:c r="A1860" t="str">
        <x:v>Tamil Nadu</x:v>
      </x:c>
      <x:c r="B1860" t="str">
        <x:v>All India except Central University</x:v>
      </x:c>
      <x:c r="C1860" t="str">
        <x:v>200283</x:v>
      </x:c>
      <x:c r="D1860" t="str">
        <x:v>Government Thiruvannamalai Medical College, Thiruvannamalai, District Collectorate, Master Plan Complex, Vengikkal, Thiruvannamalai</x:v>
      </x:c>
      <x:c r="E1860" t="str">
        <x:v>All India</x:v>
      </x:c>
      <x:c r="F1860" t="str">
        <x:v>OBC</x:v>
      </x:c>
      <x:c r="G1860" t="n">
        <x:v>4</x:v>
      </x:c>
      <x:c r="H1860" t="n">
        <x:v>4</x:v>
      </x:c>
      <x:c r="I1860" t="n">
        <x:f>G1860-H1860</x:f>
        <x:v>0</x:v>
      </x:c>
      <x:c r="J1860" s="20" t="n">
        <x:f>IFERROR(H1860/G1860,0)</x:f>
        <x:v>1</x:v>
      </x:c>
      <x:c r="K1860" t="n">
        <x:v>10381</x:v>
      </x:c>
      <x:c r="L1860" t="n">
        <x:v>10850.5</x:v>
      </x:c>
      <x:c r="M1860" t="n">
        <x:v>11021.5</x:v>
      </x:c>
      <x:c r="N1860" t="n">
        <x:v>11073.5</x:v>
      </x:c>
      <x:c r="O1860" t="n">
        <x:v>11186</x:v>
      </x:c>
    </x:row>
    <x:row r="1861">
      <x:c r="A1861" t="str">
        <x:v>Tamil Nadu</x:v>
      </x:c>
      <x:c r="B1861" t="str">
        <x:v>All India except Central University</x:v>
      </x:c>
      <x:c r="C1861" t="str">
        <x:v>200283</x:v>
      </x:c>
      <x:c r="D1861" t="str">
        <x:v>Government Thiruvannamalai Medical College, Thiruvannamalai, District Collectorate, Master Plan Complex, Vengikkal, Thiruvannamalai</x:v>
      </x:c>
      <x:c r="E1861" t="str">
        <x:v>All India</x:v>
      </x:c>
      <x:c r="F1861" t="str">
        <x:v>Open</x:v>
      </x:c>
      <x:c r="G1861" t="n">
        <x:v>5</x:v>
      </x:c>
      <x:c r="H1861" t="n">
        <x:v>5</x:v>
      </x:c>
      <x:c r="I1861" t="n">
        <x:f>G1861-H1861</x:f>
        <x:v>0</x:v>
      </x:c>
      <x:c r="J1861" s="20" t="n">
        <x:f>IFERROR(H1861/G1861,0)</x:f>
        <x:v>1</x:v>
      </x:c>
      <x:c r="K1861" t="n">
        <x:v>6972</x:v>
      </x:c>
      <x:c r="L1861" t="n">
        <x:v>8096</x:v>
      </x:c>
      <x:c r="M1861" t="n">
        <x:v>8358</x:v>
      </x:c>
      <x:c r="N1861" t="n">
        <x:v>8808</x:v>
      </x:c>
      <x:c r="O1861" t="n">
        <x:v>9833</x:v>
      </x:c>
    </x:row>
    <x:row r="1862">
      <x:c r="A1862" t="str">
        <x:v>Tamil Nadu</x:v>
      </x:c>
      <x:c r="B1862" t="str">
        <x:v>All India except Central University</x:v>
      </x:c>
      <x:c r="C1862" t="str">
        <x:v>200283</x:v>
      </x:c>
      <x:c r="D1862" t="str">
        <x:v>Government Thiruvannamalai Medical College, Thiruvannamalai, District Collectorate, Master Plan Complex, Vengikkal, Thiruvannamalai</x:v>
      </x:c>
      <x:c r="E1862" t="str">
        <x:v>All India</x:v>
      </x:c>
      <x:c r="F1862" t="str">
        <x:v>Open PwD</x:v>
      </x:c>
      <x:c r="G1862" t="n">
        <x:v>1</x:v>
      </x:c>
      <x:c r="H1862" t="n">
        <x:v>1</x:v>
      </x:c>
      <x:c r="I1862" t="n">
        <x:f>G1862-H1862</x:f>
        <x:v>0</x:v>
      </x:c>
      <x:c r="J1862" s="20" t="n">
        <x:f>IFERROR(H1862/G1862,0)</x:f>
        <x:v>1</x:v>
      </x:c>
      <x:c r="K1862" t="n">
        <x:v>550878</x:v>
      </x:c>
      <x:c r="L1862" t="n">
        <x:v>550878</x:v>
      </x:c>
      <x:c r="M1862" t="n">
        <x:v>550878</x:v>
      </x:c>
      <x:c r="N1862" t="n">
        <x:v>550878</x:v>
      </x:c>
      <x:c r="O1862" t="n">
        <x:v>550878</x:v>
      </x:c>
    </x:row>
    <x:row r="1863">
      <x:c r="A1863" t="str">
        <x:v>Tamil Nadu</x:v>
      </x:c>
      <x:c r="B1863" t="str">
        <x:v>All India except Central University</x:v>
      </x:c>
      <x:c r="C1863" t="str">
        <x:v>200283</x:v>
      </x:c>
      <x:c r="D1863" t="str">
        <x:v>Government Thiruvannamalai Medical College, Thiruvannamalai, District Collectorate, Master Plan Complex, Vengikkal, Thiruvannamalai</x:v>
      </x:c>
      <x:c r="E1863" t="str">
        <x:v>All India</x:v>
      </x:c>
      <x:c r="F1863" t="str">
        <x:v>SC</x:v>
      </x:c>
      <x:c r="G1863" t="n">
        <x:v>2</x:v>
      </x:c>
      <x:c r="H1863" t="n">
        <x:v>2</x:v>
      </x:c>
      <x:c r="I1863" t="n">
        <x:f>G1863-H1863</x:f>
        <x:v>0</x:v>
      </x:c>
      <x:c r="J1863" s="20" t="n">
        <x:f>IFERROR(H1863/G1863,0)</x:f>
        <x:v>1</x:v>
      </x:c>
      <x:c r="K1863" t="n">
        <x:v>37849</x:v>
      </x:c>
      <x:c r="L1863" t="n">
        <x:v>41209</x:v>
      </x:c>
      <x:c r="M1863" t="n">
        <x:v>44569</x:v>
      </x:c>
      <x:c r="N1863" t="n">
        <x:v>47929</x:v>
      </x:c>
      <x:c r="O1863" t="n">
        <x:v>51289</x:v>
      </x:c>
    </x:row>
    <x:row r="1864">
      <x:c r="A1864" t="str">
        <x:v>Tamil Nadu</x:v>
      </x:c>
      <x:c r="B1864" t="str">
        <x:v>All India except Central University</x:v>
      </x:c>
      <x:c r="C1864" t="str">
        <x:v>200283</x:v>
      </x:c>
      <x:c r="D1864" t="str">
        <x:v>Government Thiruvannamalai Medical College, Thiruvannamalai, District Collectorate, Master Plan Complex, Vengikkal, Thiruvannamalai</x:v>
      </x:c>
      <x:c r="E1864" t="str">
        <x:v>All India</x:v>
      </x:c>
      <x:c r="F1864" t="str">
        <x:v>ST</x:v>
      </x:c>
      <x:c r="G1864" t="n">
        <x:v>1</x:v>
      </x:c>
      <x:c r="H1864" t="n">
        <x:v>1</x:v>
      </x:c>
      <x:c r="I1864" t="n">
        <x:f>G1864-H1864</x:f>
        <x:v>0</x:v>
      </x:c>
      <x:c r="J1864" s="20" t="n">
        <x:f>IFERROR(H1864/G1864,0)</x:f>
        <x:v>1</x:v>
      </x:c>
      <x:c r="K1864" t="n">
        <x:v>98131</x:v>
      </x:c>
      <x:c r="L1864" t="n">
        <x:v>98131</x:v>
      </x:c>
      <x:c r="M1864" t="n">
        <x:v>98131</x:v>
      </x:c>
      <x:c r="N1864" t="n">
        <x:v>98131</x:v>
      </x:c>
      <x:c r="O1864" t="n">
        <x:v>98131</x:v>
      </x:c>
    </x:row>
    <x:row r="1865">
      <x:c r="A1865" t="str">
        <x:v>Tamil Nadu</x:v>
      </x:c>
      <x:c r="B1865" t="str">
        <x:v>All India except Central University</x:v>
      </x:c>
      <x:c r="C1865" t="str">
        <x:v>200269</x:v>
      </x:c>
      <x:c r="D1865" t="str">
        <x:v>Government Vellore Medical College, Vellore, Government Vellore Medical College and Hospital, Adukkamparai, Vellore.</x:v>
      </x:c>
      <x:c r="E1865" t="str">
        <x:v>All India</x:v>
      </x:c>
      <x:c r="F1865" t="str">
        <x:v>EWS</x:v>
      </x:c>
      <x:c r="G1865" t="n">
        <x:v>2</x:v>
      </x:c>
      <x:c r="H1865" t="n">
        <x:v>2</x:v>
      </x:c>
      <x:c r="I1865" t="n">
        <x:f>G1865-H1865</x:f>
        <x:v>0</x:v>
      </x:c>
      <x:c r="J1865" s="20" t="n">
        <x:f>IFERROR(H1865/G1865,0)</x:f>
        <x:v>1</x:v>
      </x:c>
      <x:c r="K1865" t="n">
        <x:v>14190</x:v>
      </x:c>
      <x:c r="L1865" t="n">
        <x:v>14711.5</x:v>
      </x:c>
      <x:c r="M1865" t="n">
        <x:v>15233</x:v>
      </x:c>
      <x:c r="N1865" t="n">
        <x:v>15754.5</x:v>
      </x:c>
      <x:c r="O1865" t="n">
        <x:v>16276</x:v>
      </x:c>
    </x:row>
    <x:row r="1866">
      <x:c r="A1866" t="str">
        <x:v>Tamil Nadu</x:v>
      </x:c>
      <x:c r="B1866" t="str">
        <x:v>All India except Central University</x:v>
      </x:c>
      <x:c r="C1866" t="str">
        <x:v>200269</x:v>
      </x:c>
      <x:c r="D1866" t="str">
        <x:v>Government Vellore Medical College, Vellore, Government Vellore Medical College and Hospital, Adukkamparai, Vellore.</x:v>
      </x:c>
      <x:c r="E1866" t="str">
        <x:v>All India</x:v>
      </x:c>
      <x:c r="F1866" t="str">
        <x:v>OBC</x:v>
      </x:c>
      <x:c r="G1866" t="n">
        <x:v>4</x:v>
      </x:c>
      <x:c r="H1866" t="n">
        <x:v>4</x:v>
      </x:c>
      <x:c r="I1866" t="n">
        <x:f>G1866-H1866</x:f>
        <x:v>0</x:v>
      </x:c>
      <x:c r="J1866" s="20" t="n">
        <x:f>IFERROR(H1866/G1866,0)</x:f>
        <x:v>1</x:v>
      </x:c>
      <x:c r="K1866" t="n">
        <x:v>7114</x:v>
      </x:c>
      <x:c r="L1866" t="n">
        <x:v>7148.5</x:v>
      </x:c>
      <x:c r="M1866" t="n">
        <x:v>7199</x:v>
      </x:c>
      <x:c r="N1866" t="n">
        <x:v>7311.25</x:v>
      </x:c>
      <x:c r="O1866" t="n">
        <x:v>7531</x:v>
      </x:c>
    </x:row>
    <x:row r="1867">
      <x:c r="A1867" t="str">
        <x:v>Tamil Nadu</x:v>
      </x:c>
      <x:c r="B1867" t="str">
        <x:v>All India except Central University</x:v>
      </x:c>
      <x:c r="C1867" t="str">
        <x:v>200269</x:v>
      </x:c>
      <x:c r="D1867" t="str">
        <x:v>Government Vellore Medical College, Vellore, Government Vellore Medical College and Hospital, Adukkamparai, Vellore.</x:v>
      </x:c>
      <x:c r="E1867" t="str">
        <x:v>All India</x:v>
      </x:c>
      <x:c r="F1867" t="str">
        <x:v>Open</x:v>
      </x:c>
      <x:c r="G1867" t="n">
        <x:v>6</x:v>
      </x:c>
      <x:c r="H1867" t="n">
        <x:v>6</x:v>
      </x:c>
      <x:c r="I1867" t="n">
        <x:f>G1867-H1867</x:f>
        <x:v>0</x:v>
      </x:c>
      <x:c r="J1867" s="20" t="n">
        <x:f>IFERROR(H1867/G1867,0)</x:f>
        <x:v>1</x:v>
      </x:c>
      <x:c r="K1867" t="n">
        <x:v>3166</x:v>
      </x:c>
      <x:c r="L1867" t="n">
        <x:v>4320.25</x:v>
      </x:c>
      <x:c r="M1867" t="n">
        <x:v>4766.5</x:v>
      </x:c>
      <x:c r="N1867" t="n">
        <x:v>5382.25</x:v>
      </x:c>
      <x:c r="O1867" t="n">
        <x:v>5672</x:v>
      </x:c>
    </x:row>
    <x:row r="1868">
      <x:c r="A1868" t="str">
        <x:v>Tamil Nadu</x:v>
      </x:c>
      <x:c r="B1868" t="str">
        <x:v>All India except Central University</x:v>
      </x:c>
      <x:c r="C1868" t="str">
        <x:v>200269</x:v>
      </x:c>
      <x:c r="D1868" t="str">
        <x:v>Government Vellore Medical College, Vellore, Government Vellore Medical College and Hospital, Adukkamparai, Vellore.</x:v>
      </x:c>
      <x:c r="E1868" t="str">
        <x:v>All India</x:v>
      </x:c>
      <x:c r="F1868" t="str">
        <x:v>SC</x:v>
      </x:c>
      <x:c r="G1868" t="n">
        <x:v>2</x:v>
      </x:c>
      <x:c r="H1868" t="n">
        <x:v>2</x:v>
      </x:c>
      <x:c r="I1868" t="n">
        <x:f>G1868-H1868</x:f>
        <x:v>0</x:v>
      </x:c>
      <x:c r="J1868" s="20" t="n">
        <x:f>IFERROR(H1868/G1868,0)</x:f>
        <x:v>1</x:v>
      </x:c>
      <x:c r="K1868" t="n">
        <x:v>29710</x:v>
      </x:c>
      <x:c r="L1868" t="n">
        <x:v>31380</x:v>
      </x:c>
      <x:c r="M1868" t="n">
        <x:v>33050</x:v>
      </x:c>
      <x:c r="N1868" t="n">
        <x:v>34720</x:v>
      </x:c>
      <x:c r="O1868" t="n">
        <x:v>36390</x:v>
      </x:c>
    </x:row>
    <x:row r="1869">
      <x:c r="A1869" t="str">
        <x:v>Tamil Nadu</x:v>
      </x:c>
      <x:c r="B1869" t="str">
        <x:v>All India except Central University</x:v>
      </x:c>
      <x:c r="C1869" t="str">
        <x:v>200269</x:v>
      </x:c>
      <x:c r="D1869" t="str">
        <x:v>Government Vellore Medical College, Vellore, Government Vellore Medical College and Hospital, Adukkamparai, Vellore.</x:v>
      </x:c>
      <x:c r="E1869" t="str">
        <x:v>All India</x:v>
      </x:c>
      <x:c r="F1869" t="str">
        <x:v>ST</x:v>
      </x:c>
      <x:c r="G1869" t="n">
        <x:v>1</x:v>
      </x:c>
      <x:c r="H1869" t="n">
        <x:v>1</x:v>
      </x:c>
      <x:c r="I1869" t="n">
        <x:f>G1869-H1869</x:f>
        <x:v>0</x:v>
      </x:c>
      <x:c r="J1869" s="20" t="n">
        <x:f>IFERROR(H1869/G1869,0)</x:f>
        <x:v>1</x:v>
      </x:c>
      <x:c r="K1869" t="n">
        <x:v>84174</x:v>
      </x:c>
      <x:c r="L1869" t="n">
        <x:v>84174</x:v>
      </x:c>
      <x:c r="M1869" t="n">
        <x:v>84174</x:v>
      </x:c>
      <x:c r="N1869" t="n">
        <x:v>84174</x:v>
      </x:c>
      <x:c r="O1869" t="n">
        <x:v>84174</x:v>
      </x:c>
    </x:row>
    <x:row r="1870">
      <x:c r="A1870" t="str">
        <x:v>Tamil Nadu</x:v>
      </x:c>
      <x:c r="B1870" t="str">
        <x:v>All India except Central University</x:v>
      </x:c>
      <x:c r="C1870" t="str">
        <x:v>200271</x:v>
      </x:c>
      <x:c r="D1870" t="str">
        <x:v>Government Villupuram Medical College, Villupuram, THE DEAN, GOVERNMENT VILLUPURAM MEDICAL COLLEGE, TRICHY TRUNK ROAD, MUNDIYAMPAKKAM, VILLUPURAM</x:v>
      </x:c>
      <x:c r="E1870" t="str">
        <x:v>All India</x:v>
      </x:c>
      <x:c r="F1870" t="str">
        <x:v>EWS</x:v>
      </x:c>
      <x:c r="G1870" t="n">
        <x:v>1</x:v>
      </x:c>
      <x:c r="H1870" t="n">
        <x:v>1</x:v>
      </x:c>
      <x:c r="I1870" t="n">
        <x:f>G1870-H1870</x:f>
        <x:v>0</x:v>
      </x:c>
      <x:c r="J1870" s="20" t="n">
        <x:f>IFERROR(H1870/G1870,0)</x:f>
        <x:v>1</x:v>
      </x:c>
      <x:c r="K1870" t="n">
        <x:v>24872</x:v>
      </x:c>
      <x:c r="L1870" t="n">
        <x:v>24872</x:v>
      </x:c>
      <x:c r="M1870" t="n">
        <x:v>24872</x:v>
      </x:c>
      <x:c r="N1870" t="n">
        <x:v>24872</x:v>
      </x:c>
      <x:c r="O1870" t="n">
        <x:v>24872</x:v>
      </x:c>
    </x:row>
    <x:row r="1871">
      <x:c r="A1871" t="str">
        <x:v>Tamil Nadu</x:v>
      </x:c>
      <x:c r="B1871" t="str">
        <x:v>All India except Central University</x:v>
      </x:c>
      <x:c r="C1871" t="str">
        <x:v>200271</x:v>
      </x:c>
      <x:c r="D1871" t="str">
        <x:v>Government Villupuram Medical College, Villupuram, THE DEAN, GOVERNMENT VILLUPURAM MEDICAL COLLEGE, TRICHY TRUNK ROAD, MUNDIYAMPAKKAM, VILLUPURAM</x:v>
      </x:c>
      <x:c r="E1871" t="str">
        <x:v>All India</x:v>
      </x:c>
      <x:c r="F1871" t="str">
        <x:v>OBC</x:v>
      </x:c>
      <x:c r="G1871" t="n">
        <x:v>4</x:v>
      </x:c>
      <x:c r="H1871" t="n">
        <x:v>4</x:v>
      </x:c>
      <x:c r="I1871" t="n">
        <x:f>G1871-H1871</x:f>
        <x:v>0</x:v>
      </x:c>
      <x:c r="J1871" s="20" t="n">
        <x:f>IFERROR(H1871/G1871,0)</x:f>
        <x:v>1</x:v>
      </x:c>
      <x:c r="K1871" t="n">
        <x:v>10562</x:v>
      </x:c>
      <x:c r="L1871" t="n">
        <x:v>10646.75</x:v>
      </x:c>
      <x:c r="M1871" t="n">
        <x:v>10856</x:v>
      </x:c>
      <x:c r="N1871" t="n">
        <x:v>11040.5</x:v>
      </x:c>
      <x:c r="O1871" t="n">
        <x:v>11051</x:v>
      </x:c>
    </x:row>
    <x:row r="1872">
      <x:c r="A1872" t="str">
        <x:v>Tamil Nadu</x:v>
      </x:c>
      <x:c r="B1872" t="str">
        <x:v>All India except Central University</x:v>
      </x:c>
      <x:c r="C1872" t="str">
        <x:v>200271</x:v>
      </x:c>
      <x:c r="D1872" t="str">
        <x:v>Government Villupuram Medical College, Villupuram, THE DEAN, GOVERNMENT VILLUPURAM MEDICAL COLLEGE, TRICHY TRUNK ROAD, MUNDIYAMPAKKAM, VILLUPURAM</x:v>
      </x:c>
      <x:c r="E1872" t="str">
        <x:v>All India</x:v>
      </x:c>
      <x:c r="F1872" t="str">
        <x:v>Open</x:v>
      </x:c>
      <x:c r="G1872" t="n">
        <x:v>7</x:v>
      </x:c>
      <x:c r="H1872" t="n">
        <x:v>7</x:v>
      </x:c>
      <x:c r="I1872" t="n">
        <x:f>G1872-H1872</x:f>
        <x:v>0</x:v>
      </x:c>
      <x:c r="J1872" s="20" t="n">
        <x:f>IFERROR(H1872/G1872,0)</x:f>
        <x:v>1</x:v>
      </x:c>
      <x:c r="K1872" t="n">
        <x:v>6881</x:v>
      </x:c>
      <x:c r="L1872" t="n">
        <x:v>7347</x:v>
      </x:c>
      <x:c r="M1872" t="n">
        <x:v>8602</x:v>
      </x:c>
      <x:c r="N1872" t="n">
        <x:v>9393</x:v>
      </x:c>
      <x:c r="O1872" t="n">
        <x:v>10187</x:v>
      </x:c>
    </x:row>
    <x:row r="1873">
      <x:c r="A1873" t="str">
        <x:v>Tamil Nadu</x:v>
      </x:c>
      <x:c r="B1873" t="str">
        <x:v>All India except Central University</x:v>
      </x:c>
      <x:c r="C1873" t="str">
        <x:v>200271</x:v>
      </x:c>
      <x:c r="D1873" t="str">
        <x:v>Government Villupuram Medical College, Villupuram, THE DEAN, GOVERNMENT VILLUPURAM MEDICAL COLLEGE, TRICHY TRUNK ROAD, MUNDIYAMPAKKAM, VILLUPURAM</x:v>
      </x:c>
      <x:c r="E1873" t="str">
        <x:v>All India</x:v>
      </x:c>
      <x:c r="F1873" t="str">
        <x:v>SC</x:v>
      </x:c>
      <x:c r="G1873" t="n">
        <x:v>2</x:v>
      </x:c>
      <x:c r="H1873" t="n">
        <x:v>2</x:v>
      </x:c>
      <x:c r="I1873" t="n">
        <x:f>G1873-H1873</x:f>
        <x:v>0</x:v>
      </x:c>
      <x:c r="J1873" s="20" t="n">
        <x:f>IFERROR(H1873/G1873,0)</x:f>
        <x:v>1</x:v>
      </x:c>
      <x:c r="K1873" t="n">
        <x:v>37865</x:v>
      </x:c>
      <x:c r="L1873" t="n">
        <x:v>39581.75</x:v>
      </x:c>
      <x:c r="M1873" t="n">
        <x:v>41298.5</x:v>
      </x:c>
      <x:c r="N1873" t="n">
        <x:v>43015.25</x:v>
      </x:c>
      <x:c r="O1873" t="n">
        <x:v>44732</x:v>
      </x:c>
    </x:row>
    <x:row r="1874">
      <x:c r="A1874" t="str">
        <x:v>Tamil Nadu</x:v>
      </x:c>
      <x:c r="B1874" t="str">
        <x:v>All India except Central University</x:v>
      </x:c>
      <x:c r="C1874" t="str">
        <x:v>200271</x:v>
      </x:c>
      <x:c r="D1874" t="str">
        <x:v>Government Villupuram Medical College, Villupuram, THE DEAN, GOVERNMENT VILLUPURAM MEDICAL COLLEGE, TRICHY TRUNK ROAD, MUNDIYAMPAKKAM, VILLUPURAM</x:v>
      </x:c>
      <x:c r="E1874" t="str">
        <x:v>All India</x:v>
      </x:c>
      <x:c r="F1874" t="str">
        <x:v>ST</x:v>
      </x:c>
      <x:c r="G1874" t="n">
        <x:v>1</x:v>
      </x:c>
      <x:c r="H1874" t="n">
        <x:v>1</x:v>
      </x:c>
      <x:c r="I1874" t="n">
        <x:f>G1874-H1874</x:f>
        <x:v>0</x:v>
      </x:c>
      <x:c r="J1874" s="20" t="n">
        <x:f>IFERROR(H1874/G1874,0)</x:f>
        <x:v>1</x:v>
      </x:c>
      <x:c r="K1874" t="n">
        <x:v>116316</x:v>
      </x:c>
      <x:c r="L1874" t="n">
        <x:v>116316</x:v>
      </x:c>
      <x:c r="M1874" t="n">
        <x:v>116316</x:v>
      </x:c>
      <x:c r="N1874" t="n">
        <x:v>116316</x:v>
      </x:c>
      <x:c r="O1874" t="n">
        <x:v>116316</x:v>
      </x:c>
    </x:row>
    <x:row r="1875">
      <x:c r="A1875" t="str">
        <x:v>Telangana</x:v>
      </x:c>
      <x:c r="B1875" t="str">
        <x:v>All India except Central University</x:v>
      </x:c>
      <x:c r="C1875" t="str">
        <x:v>903352</x:v>
      </x:c>
      <x:c r="D1875" t="str">
        <x:v>Government medical College, Quthbullapur, Government Medical College Quthbullapur, Plot A2-4, ECIL cross roads, Kushaiguda Hyderabad, Med</x:v>
      </x:c>
      <x:c r="E1875" t="str">
        <x:v>All India</x:v>
      </x:c>
      <x:c r="F1875" t="str">
        <x:v>EWS</x:v>
      </x:c>
      <x:c r="G1875" t="n">
        <x:v>1</x:v>
      </x:c>
      <x:c r="H1875" t="n">
        <x:v>1</x:v>
      </x:c>
      <x:c r="I1875" t="n">
        <x:f>G1875-H1875</x:f>
        <x:v>0</x:v>
      </x:c>
      <x:c r="J1875" s="20" t="n">
        <x:f>IFERROR(H1875/G1875,0)</x:f>
        <x:v>1</x:v>
      </x:c>
      <x:c r="K1875" t="n">
        <x:v>25133</x:v>
      </x:c>
      <x:c r="L1875" t="n">
        <x:v>25133</x:v>
      </x:c>
      <x:c r="M1875" t="n">
        <x:v>25133</x:v>
      </x:c>
      <x:c r="N1875" t="n">
        <x:v>25133</x:v>
      </x:c>
      <x:c r="O1875" t="n">
        <x:v>25133</x:v>
      </x:c>
    </x:row>
    <x:row r="1876">
      <x:c r="A1876" t="str">
        <x:v>Telangana</x:v>
      </x:c>
      <x:c r="B1876" t="str">
        <x:v>All India except Central University</x:v>
      </x:c>
      <x:c r="C1876" t="str">
        <x:v>903352</x:v>
      </x:c>
      <x:c r="D1876" t="str">
        <x:v>Government medical College, Quthbullapur, Government Medical College Quthbullapur, Plot A2-4, ECIL cross roads, Kushaiguda Hyderabad, Med</x:v>
      </x:c>
      <x:c r="E1876" t="str">
        <x:v>All India</x:v>
      </x:c>
      <x:c r="F1876" t="str">
        <x:v>OBC</x:v>
      </x:c>
      <x:c r="G1876" t="n">
        <x:v>1</x:v>
      </x:c>
      <x:c r="H1876" t="n">
        <x:v>1</x:v>
      </x:c>
      <x:c r="I1876" t="n">
        <x:f>G1876-H1876</x:f>
        <x:v>0</x:v>
      </x:c>
      <x:c r="J1876" s="20" t="n">
        <x:f>IFERROR(H1876/G1876,0)</x:f>
        <x:v>1</x:v>
      </x:c>
      <x:c r="K1876" t="n">
        <x:v>18550</x:v>
      </x:c>
      <x:c r="L1876" t="n">
        <x:v>18550</x:v>
      </x:c>
      <x:c r="M1876" t="n">
        <x:v>18550</x:v>
      </x:c>
      <x:c r="N1876" t="n">
        <x:v>18550</x:v>
      </x:c>
      <x:c r="O1876" t="n">
        <x:v>18550</x:v>
      </x:c>
    </x:row>
    <x:row r="1877">
      <x:c r="A1877" t="str">
        <x:v>Telangana</x:v>
      </x:c>
      <x:c r="B1877" t="str">
        <x:v>All India except Central University</x:v>
      </x:c>
      <x:c r="C1877" t="str">
        <x:v>903352</x:v>
      </x:c>
      <x:c r="D1877" t="str">
        <x:v>Government medical College, Quthbullapur, Government Medical College Quthbullapur, Plot A2-4, ECIL cross roads, Kushaiguda Hyderabad, Med</x:v>
      </x:c>
      <x:c r="E1877" t="str">
        <x:v>All India</x:v>
      </x:c>
      <x:c r="F1877" t="str">
        <x:v>Open</x:v>
      </x:c>
      <x:c r="G1877" t="n">
        <x:v>3</x:v>
      </x:c>
      <x:c r="H1877" t="n">
        <x:v>3</x:v>
      </x:c>
      <x:c r="I1877" t="n">
        <x:f>G1877-H1877</x:f>
        <x:v>0</x:v>
      </x:c>
      <x:c r="J1877" s="20" t="n">
        <x:f>IFERROR(H1877/G1877,0)</x:f>
        <x:v>1</x:v>
      </x:c>
      <x:c r="K1877" t="n">
        <x:v>9846</x:v>
      </x:c>
      <x:c r="L1877" t="n">
        <x:v>13655</x:v>
      </x:c>
      <x:c r="M1877" t="n">
        <x:v>17464</x:v>
      </x:c>
      <x:c r="N1877" t="n">
        <x:v>17506</x:v>
      </x:c>
      <x:c r="O1877" t="n">
        <x:v>17548</x:v>
      </x:c>
    </x:row>
    <x:row r="1878">
      <x:c r="A1878" t="str">
        <x:v>Telangana</x:v>
      </x:c>
      <x:c r="B1878" t="str">
        <x:v>All India except Central University</x:v>
      </x:c>
      <x:c r="C1878" t="str">
        <x:v>903352</x:v>
      </x:c>
      <x:c r="D1878" t="str">
        <x:v>Government medical College, Quthbullapur, Government Medical College Quthbullapur, Plot A2-4, ECIL cross roads, Kushaiguda Hyderabad, Med</x:v>
      </x:c>
      <x:c r="E1878" t="str">
        <x:v>All India</x:v>
      </x:c>
      <x:c r="F1878" t="str">
        <x:v>SC</x:v>
      </x:c>
      <x:c r="G1878" t="n">
        <x:v>1</x:v>
      </x:c>
      <x:c r="H1878" t="n">
        <x:v>1</x:v>
      </x:c>
      <x:c r="I1878" t="n">
        <x:f>G1878-H1878</x:f>
        <x:v>0</x:v>
      </x:c>
      <x:c r="J1878" s="20" t="n">
        <x:f>IFERROR(H1878/G1878,0)</x:f>
        <x:v>1</x:v>
      </x:c>
      <x:c r="K1878" t="n">
        <x:v>92123</x:v>
      </x:c>
      <x:c r="L1878" t="n">
        <x:v>92123</x:v>
      </x:c>
      <x:c r="M1878" t="n">
        <x:v>92123</x:v>
      </x:c>
      <x:c r="N1878" t="n">
        <x:v>92123</x:v>
      </x:c>
      <x:c r="O1878" t="n">
        <x:v>92123</x:v>
      </x:c>
    </x:row>
    <x:row r="1879">
      <x:c r="A1879" t="str">
        <x:v>Telangana</x:v>
      </x:c>
      <x:c r="B1879" t="str">
        <x:v>All India except Central University</x:v>
      </x:c>
      <x:c r="C1879" t="str">
        <x:v>903352</x:v>
      </x:c>
      <x:c r="D1879" t="str">
        <x:v>Government medical College, Quthbullapur, Government Medical College Quthbullapur, Plot A2-4, ECIL cross roads, Kushaiguda Hyderabad, Med</x:v>
      </x:c>
      <x:c r="E1879" t="str">
        <x:v>All India</x:v>
      </x:c>
      <x:c r="F1879" t="str">
        <x:v>ST</x:v>
      </x:c>
      <x:c r="G1879" t="n">
        <x:v>1</x:v>
      </x:c>
      <x:c r="H1879" t="n">
        <x:v>1</x:v>
      </x:c>
      <x:c r="I1879" t="n">
        <x:f>G1879-H1879</x:f>
        <x:v>0</x:v>
      </x:c>
      <x:c r="J1879" s="20" t="n">
        <x:f>IFERROR(H1879/G1879,0)</x:f>
        <x:v>1</x:v>
      </x:c>
      <x:c r="K1879" t="n">
        <x:v>102347</x:v>
      </x:c>
      <x:c r="L1879" t="n">
        <x:v>102347</x:v>
      </x:c>
      <x:c r="M1879" t="n">
        <x:v>102347</x:v>
      </x:c>
      <x:c r="N1879" t="n">
        <x:v>102347</x:v>
      </x:c>
      <x:c r="O1879" t="n">
        <x:v>102347</x:v>
      </x:c>
    </x:row>
    <x:row r="1880">
      <x:c r="A1880" t="str">
        <x:v>Chhattisgarh</x:v>
      </x:c>
      <x:c r="B1880" t="str">
        <x:v>All India except Central University</x:v>
      </x:c>
      <x:c r="C1880" t="str">
        <x:v>904740</x:v>
      </x:c>
      <x:c r="D1880" t="str">
        <x:v>Government medical college, jashpur-kunkuri, Government medical college, Jashpur-Kunkuri, Jhargaon, Jila-Jashpur (C.G.) Pin No. - 496331</x:v>
      </x:c>
      <x:c r="E1880" t="str">
        <x:v>All India</x:v>
      </x:c>
      <x:c r="F1880" t="str">
        <x:v>OBC</x:v>
      </x:c>
      <x:c r="G1880" t="n">
        <x:v>2</x:v>
      </x:c>
      <x:c r="H1880" t="n">
        <x:v>2</x:v>
      </x:c>
      <x:c r="I1880" t="n">
        <x:f>G1880-H1880</x:f>
        <x:v>0</x:v>
      </x:c>
      <x:c r="J1880" s="20" t="n">
        <x:f>IFERROR(H1880/G1880,0)</x:f>
        <x:v>1</x:v>
      </x:c>
      <x:c r="K1880" t="n">
        <x:v>21755</x:v>
      </x:c>
      <x:c r="L1880" t="n">
        <x:v>21794.75</x:v>
      </x:c>
      <x:c r="M1880" t="n">
        <x:v>21834.5</x:v>
      </x:c>
      <x:c r="N1880" t="n">
        <x:v>21874.25</x:v>
      </x:c>
      <x:c r="O1880" t="n">
        <x:v>21914</x:v>
      </x:c>
    </x:row>
    <x:row r="1881">
      <x:c r="A1881" t="str">
        <x:v>Chhattisgarh</x:v>
      </x:c>
      <x:c r="B1881" t="str">
        <x:v>All India except Central University</x:v>
      </x:c>
      <x:c r="C1881" t="str">
        <x:v>904740</x:v>
      </x:c>
      <x:c r="D1881" t="str">
        <x:v>Government medical college, jashpur-kunkuri, Government medical college, Jashpur-Kunkuri, Jhargaon, Jila-Jashpur (C.G.) Pin No. - 496331</x:v>
      </x:c>
      <x:c r="E1881" t="str">
        <x:v>All India</x:v>
      </x:c>
      <x:c r="F1881" t="str">
        <x:v>Open</x:v>
      </x:c>
      <x:c r="G1881" t="n">
        <x:v>3</x:v>
      </x:c>
      <x:c r="H1881" t="n">
        <x:v>3</x:v>
      </x:c>
      <x:c r="I1881" t="n">
        <x:f>G1881-H1881</x:f>
        <x:v>0</x:v>
      </x:c>
      <x:c r="J1881" s="20" t="n">
        <x:f>IFERROR(H1881/G1881,0)</x:f>
        <x:v>1</x:v>
      </x:c>
      <x:c r="K1881" t="n">
        <x:v>19798</x:v>
      </x:c>
      <x:c r="L1881" t="n">
        <x:v>20033.5</x:v>
      </x:c>
      <x:c r="M1881" t="n">
        <x:v>20269</x:v>
      </x:c>
      <x:c r="N1881" t="n">
        <x:v>20588.5</x:v>
      </x:c>
      <x:c r="O1881" t="n">
        <x:v>20908</x:v>
      </x:c>
    </x:row>
    <x:row r="1882">
      <x:c r="A1882" t="str">
        <x:v>Chhattisgarh</x:v>
      </x:c>
      <x:c r="B1882" t="str">
        <x:v>All India except Central University</x:v>
      </x:c>
      <x:c r="C1882" t="str">
        <x:v>904740</x:v>
      </x:c>
      <x:c r="D1882" t="str">
        <x:v>Government medical college, jashpur-kunkuri, Government medical college, Jashpur-Kunkuri, Jhargaon, Jila-Jashpur (C.G.) Pin No. - 496331</x:v>
      </x:c>
      <x:c r="E1882" t="str">
        <x:v>All India</x:v>
      </x:c>
      <x:c r="F1882" t="str">
        <x:v>SC</x:v>
      </x:c>
      <x:c r="G1882" t="n">
        <x:v>1</x:v>
      </x:c>
      <x:c r="H1882" t="n">
        <x:v>1</x:v>
      </x:c>
      <x:c r="I1882" t="n">
        <x:f>G1882-H1882</x:f>
        <x:v>0</x:v>
      </x:c>
      <x:c r="J1882" s="20" t="n">
        <x:f>IFERROR(H1882/G1882,0)</x:f>
        <x:v>1</x:v>
      </x:c>
      <x:c r="K1882" t="n">
        <x:v>101268</x:v>
      </x:c>
      <x:c r="L1882" t="n">
        <x:v>101268</x:v>
      </x:c>
      <x:c r="M1882" t="n">
        <x:v>101268</x:v>
      </x:c>
      <x:c r="N1882" t="n">
        <x:v>101268</x:v>
      </x:c>
      <x:c r="O1882" t="n">
        <x:v>101268</x:v>
      </x:c>
    </x:row>
    <x:row r="1883">
      <x:c r="A1883" t="str">
        <x:v>Chhattisgarh</x:v>
      </x:c>
      <x:c r="B1883" t="str">
        <x:v>All India except Central University</x:v>
      </x:c>
      <x:c r="C1883" t="str">
        <x:v>904740</x:v>
      </x:c>
      <x:c r="D1883" t="str">
        <x:v>Government medical college, jashpur-kunkuri, Government medical college, Jashpur-Kunkuri, Jhargaon, Jila-Jashpur (C.G.) Pin No. - 496331</x:v>
      </x:c>
      <x:c r="E1883" t="str">
        <x:v>All India</x:v>
      </x:c>
      <x:c r="F1883" t="str">
        <x:v>ST</x:v>
      </x:c>
      <x:c r="G1883" t="n">
        <x:v>1</x:v>
      </x:c>
      <x:c r="H1883" t="n">
        <x:v>1</x:v>
      </x:c>
      <x:c r="I1883" t="n">
        <x:f>G1883-H1883</x:f>
        <x:v>0</x:v>
      </x:c>
      <x:c r="J1883" s="20" t="n">
        <x:f>IFERROR(H1883/G1883,0)</x:f>
        <x:v>1</x:v>
      </x:c>
      <x:c r="K1883" t="n">
        <x:v>127702</x:v>
      </x:c>
      <x:c r="L1883" t="n">
        <x:v>127702</x:v>
      </x:c>
      <x:c r="M1883" t="n">
        <x:v>127702</x:v>
      </x:c>
      <x:c r="N1883" t="n">
        <x:v>127702</x:v>
      </x:c>
      <x:c r="O1883" t="n">
        <x:v>127702</x:v>
      </x:c>
    </x:row>
    <x:row r="1884">
      <x:c r="A1884" t="str">
        <x:v>Rajasthan</x:v>
      </x:c>
      <x:c r="B1884" t="str">
        <x:v>All India except Central University</x:v>
      </x:c>
      <x:c r="C1884" t="str">
        <x:v>904355</x:v>
      </x:c>
      <x:c r="D1884" t="str">
        <x:v>Government medical college, tonk, Government Medical College,Yusufpura at Charai, Rajasthan 304001</x:v>
      </x:c>
      <x:c r="E1884" t="str">
        <x:v>All India</x:v>
      </x:c>
      <x:c r="F1884" t="str">
        <x:v>EWS</x:v>
      </x:c>
      <x:c r="G1884" t="n">
        <x:v>1</x:v>
      </x:c>
      <x:c r="H1884" t="n">
        <x:v>1</x:v>
      </x:c>
      <x:c r="I1884" t="n">
        <x:f>G1884-H1884</x:f>
        <x:v>0</x:v>
      </x:c>
      <x:c r="J1884" s="20" t="n">
        <x:f>IFERROR(H1884/G1884,0)</x:f>
        <x:v>1</x:v>
      </x:c>
      <x:c r="K1884" t="n">
        <x:v>13945</x:v>
      </x:c>
      <x:c r="L1884" t="n">
        <x:v>13945</x:v>
      </x:c>
      <x:c r="M1884" t="n">
        <x:v>13945</x:v>
      </x:c>
      <x:c r="N1884" t="n">
        <x:v>13945</x:v>
      </x:c>
      <x:c r="O1884" t="n">
        <x:v>13945</x:v>
      </x:c>
    </x:row>
    <x:row r="1885">
      <x:c r="A1885" t="str">
        <x:v>Rajasthan</x:v>
      </x:c>
      <x:c r="B1885" t="str">
        <x:v>All India except Central University</x:v>
      </x:c>
      <x:c r="C1885" t="str">
        <x:v>904355</x:v>
      </x:c>
      <x:c r="D1885" t="str">
        <x:v>Government medical college, tonk, Government Medical College,Yusufpura at Charai, Rajasthan 304001</x:v>
      </x:c>
      <x:c r="E1885" t="str">
        <x:v>All India</x:v>
      </x:c>
      <x:c r="F1885" t="str">
        <x:v>OBC</x:v>
      </x:c>
      <x:c r="G1885" t="n">
        <x:v>1</x:v>
      </x:c>
      <x:c r="H1885" t="n">
        <x:v>1</x:v>
      </x:c>
      <x:c r="I1885" t="n">
        <x:f>G1885-H1885</x:f>
        <x:v>0</x:v>
      </x:c>
      <x:c r="J1885" s="20" t="n">
        <x:f>IFERROR(H1885/G1885,0)</x:f>
        <x:v>1</x:v>
      </x:c>
      <x:c r="K1885" t="n">
        <x:v>12450</x:v>
      </x:c>
      <x:c r="L1885" t="n">
        <x:v>12450</x:v>
      </x:c>
      <x:c r="M1885" t="n">
        <x:v>12450</x:v>
      </x:c>
      <x:c r="N1885" t="n">
        <x:v>12450</x:v>
      </x:c>
      <x:c r="O1885" t="n">
        <x:v>12450</x:v>
      </x:c>
    </x:row>
    <x:row r="1886">
      <x:c r="A1886" t="str">
        <x:v>Rajasthan</x:v>
      </x:c>
      <x:c r="B1886" t="str">
        <x:v>All India except Central University</x:v>
      </x:c>
      <x:c r="C1886" t="str">
        <x:v>904355</x:v>
      </x:c>
      <x:c r="D1886" t="str">
        <x:v>Government medical college, tonk, Government Medical College,Yusufpura at Charai, Rajasthan 304001</x:v>
      </x:c>
      <x:c r="E1886" t="str">
        <x:v>All India</x:v>
      </x:c>
      <x:c r="F1886" t="str">
        <x:v>OBC PwD</x:v>
      </x:c>
      <x:c r="G1886" t="n">
        <x:v>1</x:v>
      </x:c>
      <x:c r="H1886" t="n">
        <x:v>1</x:v>
      </x:c>
      <x:c r="I1886" t="n">
        <x:f>G1886-H1886</x:f>
        <x:v>0</x:v>
      </x:c>
      <x:c r="J1886" s="20" t="n">
        <x:f>IFERROR(H1886/G1886,0)</x:f>
        <x:v>1</x:v>
      </x:c>
      <x:c r="K1886" t="n">
        <x:v>546227</x:v>
      </x:c>
      <x:c r="L1886" t="n">
        <x:v>546227</x:v>
      </x:c>
      <x:c r="M1886" t="n">
        <x:v>546227</x:v>
      </x:c>
      <x:c r="N1886" t="n">
        <x:v>546227</x:v>
      </x:c>
      <x:c r="O1886" t="n">
        <x:v>546227</x:v>
      </x:c>
    </x:row>
    <x:row r="1887">
      <x:c r="A1887" t="str">
        <x:v>Rajasthan</x:v>
      </x:c>
      <x:c r="B1887" t="str">
        <x:v>All India except Central University</x:v>
      </x:c>
      <x:c r="C1887" t="str">
        <x:v>904355</x:v>
      </x:c>
      <x:c r="D1887" t="str">
        <x:v>Government medical college, tonk, Government Medical College,Yusufpura at Charai, Rajasthan 304001</x:v>
      </x:c>
      <x:c r="E1887" t="str">
        <x:v>All India</x:v>
      </x:c>
      <x:c r="F1887" t="str">
        <x:v>Open</x:v>
      </x:c>
      <x:c r="G1887" t="n">
        <x:v>3</x:v>
      </x:c>
      <x:c r="H1887" t="n">
        <x:v>3</x:v>
      </x:c>
      <x:c r="I1887" t="n">
        <x:f>G1887-H1887</x:f>
        <x:v>0</x:v>
      </x:c>
      <x:c r="J1887" s="20" t="n">
        <x:f>IFERROR(H1887/G1887,0)</x:f>
        <x:v>1</x:v>
      </x:c>
      <x:c r="K1887" t="n">
        <x:v>11306</x:v>
      </x:c>
      <x:c r="L1887" t="n">
        <x:v>11749</x:v>
      </x:c>
      <x:c r="M1887" t="n">
        <x:v>12192</x:v>
      </x:c>
      <x:c r="N1887" t="n">
        <x:v>12249</x:v>
      </x:c>
      <x:c r="O1887" t="n">
        <x:v>12306</x:v>
      </x:c>
    </x:row>
    <x:row r="1888">
      <x:c r="A1888" t="str">
        <x:v>Rajasthan</x:v>
      </x:c>
      <x:c r="B1888" t="str">
        <x:v>All India except Central University</x:v>
      </x:c>
      <x:c r="C1888" t="str">
        <x:v>904355</x:v>
      </x:c>
      <x:c r="D1888" t="str">
        <x:v>Government medical college, tonk, Government Medical College,Yusufpura at Charai, Rajasthan 304001</x:v>
      </x:c>
      <x:c r="E1888" t="str">
        <x:v>All India</x:v>
      </x:c>
      <x:c r="F1888" t="str">
        <x:v>SC</x:v>
      </x:c>
      <x:c r="G1888" t="n">
        <x:v>1</x:v>
      </x:c>
      <x:c r="H1888" t="n">
        <x:v>1</x:v>
      </x:c>
      <x:c r="I1888" t="n">
        <x:f>G1888-H1888</x:f>
        <x:v>0</x:v>
      </x:c>
      <x:c r="J1888" s="20" t="n">
        <x:f>IFERROR(H1888/G1888,0)</x:f>
        <x:v>1</x:v>
      </x:c>
      <x:c r="K1888" t="n">
        <x:v>58395</x:v>
      </x:c>
      <x:c r="L1888" t="n">
        <x:v>58395</x:v>
      </x:c>
      <x:c r="M1888" t="n">
        <x:v>58395</x:v>
      </x:c>
      <x:c r="N1888" t="n">
        <x:v>58395</x:v>
      </x:c>
      <x:c r="O1888" t="n">
        <x:v>58395</x:v>
      </x:c>
    </x:row>
    <x:row r="1889">
      <x:c r="A1889" t="str">
        <x:v>Andhra Pradesh</x:v>
      </x:c>
      <x:c r="B1889" t="str">
        <x:v>All India except Central University</x:v>
      </x:c>
      <x:c r="C1889" t="str">
        <x:v>200668</x:v>
      </x:c>
      <x:c r="D1889" t="str">
        <x:v>Government medical college, vizianagaram, Opposite Central Tribal University , Near JNTU Gajularega, Vizianagaram, Andhra Pradesh, 535003</x:v>
      </x:c>
      <x:c r="E1889" t="str">
        <x:v>All India</x:v>
      </x:c>
      <x:c r="F1889" t="str">
        <x:v>EWS</x:v>
      </x:c>
      <x:c r="G1889" t="n">
        <x:v>3</x:v>
      </x:c>
      <x:c r="H1889" t="n">
        <x:v>3</x:v>
      </x:c>
      <x:c r="I1889" t="n">
        <x:f>G1889-H1889</x:f>
        <x:v>0</x:v>
      </x:c>
      <x:c r="J1889" s="20" t="n">
        <x:f>IFERROR(H1889/G1889,0)</x:f>
        <x:v>1</x:v>
      </x:c>
      <x:c r="K1889" t="n">
        <x:v>23243</x:v>
      </x:c>
      <x:c r="L1889" t="n">
        <x:v>23611</x:v>
      </x:c>
      <x:c r="M1889" t="n">
        <x:v>23979</x:v>
      </x:c>
      <x:c r="N1889" t="n">
        <x:v>24757.5</x:v>
      </x:c>
      <x:c r="O1889" t="n">
        <x:v>25536</x:v>
      </x:c>
    </x:row>
    <x:row r="1890">
      <x:c r="A1890" t="str">
        <x:v>Andhra Pradesh</x:v>
      </x:c>
      <x:c r="B1890" t="str">
        <x:v>All India except Central University</x:v>
      </x:c>
      <x:c r="C1890" t="str">
        <x:v>200668</x:v>
      </x:c>
      <x:c r="D1890" t="str">
        <x:v>Government medical college, vizianagaram, Opposite Central Tribal University , Near JNTU Gajularega, Vizianagaram, Andhra Pradesh, 535003</x:v>
      </x:c>
      <x:c r="E1890" t="str">
        <x:v>All India</x:v>
      </x:c>
      <x:c r="F1890" t="str">
        <x:v>OBC</x:v>
      </x:c>
      <x:c r="G1890" t="n">
        <x:v>6</x:v>
      </x:c>
      <x:c r="H1890" t="n">
        <x:v>6</x:v>
      </x:c>
      <x:c r="I1890" t="n">
        <x:f>G1890-H1890</x:f>
        <x:v>0</x:v>
      </x:c>
      <x:c r="J1890" s="20" t="n">
        <x:f>IFERROR(H1890/G1890,0)</x:f>
        <x:v>1</x:v>
      </x:c>
      <x:c r="K1890" t="n">
        <x:v>20815</x:v>
      </x:c>
      <x:c r="L1890" t="n">
        <x:v>21555.25</x:v>
      </x:c>
      <x:c r="M1890" t="n">
        <x:v>21587.5</x:v>
      </x:c>
      <x:c r="N1890" t="n">
        <x:v>21667</x:v>
      </x:c>
      <x:c r="O1890" t="n">
        <x:v>21696</x:v>
      </x:c>
    </x:row>
    <x:row r="1891">
      <x:c r="A1891" t="str">
        <x:v>Andhra Pradesh</x:v>
      </x:c>
      <x:c r="B1891" t="str">
        <x:v>All India except Central University</x:v>
      </x:c>
      <x:c r="C1891" t="str">
        <x:v>200668</x:v>
      </x:c>
      <x:c r="D1891" t="str">
        <x:v>Government medical college, vizianagaram, Opposite Central Tribal University , Near JNTU Gajularega, Vizianagaram, Andhra Pradesh, 535003</x:v>
      </x:c>
      <x:c r="E1891" t="str">
        <x:v>All India</x:v>
      </x:c>
      <x:c r="F1891" t="str">
        <x:v>Open</x:v>
      </x:c>
      <x:c r="G1891" t="n">
        <x:v>7</x:v>
      </x:c>
      <x:c r="H1891" t="n">
        <x:v>7</x:v>
      </x:c>
      <x:c r="I1891" t="n">
        <x:f>G1891-H1891</x:f>
        <x:v>0</x:v>
      </x:c>
      <x:c r="J1891" s="20" t="n">
        <x:f>IFERROR(H1891/G1891,0)</x:f>
        <x:v>1</x:v>
      </x:c>
      <x:c r="K1891" t="n">
        <x:v>14399</x:v>
      </x:c>
      <x:c r="L1891" t="n">
        <x:v>16773.5</x:v>
      </x:c>
      <x:c r="M1891" t="n">
        <x:v>17920</x:v>
      </x:c>
      <x:c r="N1891" t="n">
        <x:v>18609.5</x:v>
      </x:c>
      <x:c r="O1891" t="n">
        <x:v>19642</x:v>
      </x:c>
    </x:row>
    <x:row r="1892">
      <x:c r="A1892" t="str">
        <x:v>Andhra Pradesh</x:v>
      </x:c>
      <x:c r="B1892" t="str">
        <x:v>All India except Central University</x:v>
      </x:c>
      <x:c r="C1892" t="str">
        <x:v>200668</x:v>
      </x:c>
      <x:c r="D1892" t="str">
        <x:v>Government medical college, vizianagaram, Opposite Central Tribal University , Near JNTU Gajularega, Vizianagaram, Andhra Pradesh, 535003</x:v>
      </x:c>
      <x:c r="E1892" t="str">
        <x:v>All India</x:v>
      </x:c>
      <x:c r="F1892" t="str">
        <x:v>SC</x:v>
      </x:c>
      <x:c r="G1892" t="n">
        <x:v>4</x:v>
      </x:c>
      <x:c r="H1892" t="n">
        <x:v>4</x:v>
      </x:c>
      <x:c r="I1892" t="n">
        <x:f>G1892-H1892</x:f>
        <x:v>0</x:v>
      </x:c>
      <x:c r="J1892" s="20" t="n">
        <x:f>IFERROR(H1892/G1892,0)</x:f>
        <x:v>1</x:v>
      </x:c>
      <x:c r="K1892" t="n">
        <x:v>59932</x:v>
      </x:c>
      <x:c r="L1892" t="n">
        <x:v>69286</x:v>
      </x:c>
      <x:c r="M1892" t="n">
        <x:v>73471.5</x:v>
      </x:c>
      <x:c r="N1892" t="n">
        <x:v>77422</x:v>
      </x:c>
      <x:c r="O1892" t="n">
        <x:v>86071</x:v>
      </x:c>
    </x:row>
    <x:row r="1893">
      <x:c r="A1893" t="str">
        <x:v>Andhra Pradesh</x:v>
      </x:c>
      <x:c r="B1893" t="str">
        <x:v>All India except Central University</x:v>
      </x:c>
      <x:c r="C1893" t="str">
        <x:v>200668</x:v>
      </x:c>
      <x:c r="D1893" t="str">
        <x:v>Government medical college, vizianagaram, Opposite Central Tribal University , Near JNTU Gajularega, Vizianagaram, Andhra Pradesh, 535003</x:v>
      </x:c>
      <x:c r="E1893" t="str">
        <x:v>All India</x:v>
      </x:c>
      <x:c r="F1893" t="str">
        <x:v>ST</x:v>
      </x:c>
      <x:c r="G1893" t="n">
        <x:v>2</x:v>
      </x:c>
      <x:c r="H1893" t="n">
        <x:v>2</x:v>
      </x:c>
      <x:c r="I1893" t="n">
        <x:f>G1893-H1893</x:f>
        <x:v>0</x:v>
      </x:c>
      <x:c r="J1893" s="20" t="n">
        <x:f>IFERROR(H1893/G1893,0)</x:f>
        <x:v>1</x:v>
      </x:c>
      <x:c r="K1893" t="n">
        <x:v>125733</x:v>
      </x:c>
      <x:c r="L1893" t="n">
        <x:v>126010.5</x:v>
      </x:c>
      <x:c r="M1893" t="n">
        <x:v>126288</x:v>
      </x:c>
      <x:c r="N1893" t="n">
        <x:v>126565.5</x:v>
      </x:c>
      <x:c r="O1893" t="n">
        <x:v>126843</x:v>
      </x:c>
    </x:row>
    <x:row r="1894">
      <x:c r="A1894" t="str">
        <x:v>Jammu And Kashmir</x:v>
      </x:c>
      <x:c r="B1894" t="str">
        <x:v>All India except Central University</x:v>
      </x:c>
      <x:c r="C1894" t="str">
        <x:v>200639</x:v>
      </x:c>
      <x:c r="D1894" t="str">
        <x:v>Govt. Medical College, Doda, Kashmir, Government Medical College &amp; Hospital Ghat Doda</x:v>
      </x:c>
      <x:c r="E1894" t="str">
        <x:v>All India</x:v>
      </x:c>
      <x:c r="F1894" t="str">
        <x:v>EWS</x:v>
      </x:c>
      <x:c r="G1894" t="n">
        <x:v>2</x:v>
      </x:c>
      <x:c r="H1894" t="n">
        <x:v>2</x:v>
      </x:c>
      <x:c r="I1894" t="n">
        <x:f>G1894-H1894</x:f>
        <x:v>0</x:v>
      </x:c>
      <x:c r="J1894" s="20" t="n">
        <x:f>IFERROR(H1894/G1894,0)</x:f>
        <x:v>1</x:v>
      </x:c>
      <x:c r="K1894" t="n">
        <x:v>20442</x:v>
      </x:c>
      <x:c r="L1894" t="n">
        <x:v>20483.25</x:v>
      </x:c>
      <x:c r="M1894" t="n">
        <x:v>20524.5</x:v>
      </x:c>
      <x:c r="N1894" t="n">
        <x:v>20565.75</x:v>
      </x:c>
      <x:c r="O1894" t="n">
        <x:v>20607</x:v>
      </x:c>
    </x:row>
    <x:row r="1895">
      <x:c r="A1895" t="str">
        <x:v>Jammu And Kashmir</x:v>
      </x:c>
      <x:c r="B1895" t="str">
        <x:v>All India except Central University</x:v>
      </x:c>
      <x:c r="C1895" t="str">
        <x:v>200639</x:v>
      </x:c>
      <x:c r="D1895" t="str">
        <x:v>Govt. Medical College, Doda, Kashmir, Government Medical College &amp; Hospital Ghat Doda</x:v>
      </x:c>
      <x:c r="E1895" t="str">
        <x:v>All India</x:v>
      </x:c>
      <x:c r="F1895" t="str">
        <x:v>OBC</x:v>
      </x:c>
      <x:c r="G1895" t="n">
        <x:v>6</x:v>
      </x:c>
      <x:c r="H1895" t="n">
        <x:v>6</x:v>
      </x:c>
      <x:c r="I1895" t="n">
        <x:f>G1895-H1895</x:f>
        <x:v>0</x:v>
      </x:c>
      <x:c r="J1895" s="20" t="n">
        <x:f>IFERROR(H1895/G1895,0)</x:f>
        <x:v>1</x:v>
      </x:c>
      <x:c r="K1895" t="n">
        <x:v>18340</x:v>
      </x:c>
      <x:c r="L1895" t="n">
        <x:v>18474.25</x:v>
      </x:c>
      <x:c r="M1895" t="n">
        <x:v>18584.5</x:v>
      </x:c>
      <x:c r="N1895" t="n">
        <x:v>19088.5</x:v>
      </x:c>
      <x:c r="O1895" t="n">
        <x:v>19403</x:v>
      </x:c>
    </x:row>
    <x:row r="1896">
      <x:c r="A1896" t="str">
        <x:v>Jammu And Kashmir</x:v>
      </x:c>
      <x:c r="B1896" t="str">
        <x:v>All India except Central University</x:v>
      </x:c>
      <x:c r="C1896" t="str">
        <x:v>200639</x:v>
      </x:c>
      <x:c r="D1896" t="str">
        <x:v>Govt. Medical College, Doda, Kashmir, Government Medical College &amp; Hospital Ghat Doda</x:v>
      </x:c>
      <x:c r="E1896" t="str">
        <x:v>All India</x:v>
      </x:c>
      <x:c r="F1896" t="str">
        <x:v>Open</x:v>
      </x:c>
      <x:c r="G1896" t="n">
        <x:v>9</x:v>
      </x:c>
      <x:c r="H1896" t="n">
        <x:v>9</x:v>
      </x:c>
      <x:c r="I1896" t="n">
        <x:f>G1896-H1896</x:f>
        <x:v>0</x:v>
      </x:c>
      <x:c r="J1896" s="20" t="n">
        <x:f>IFERROR(H1896/G1896,0)</x:f>
        <x:v>1</x:v>
      </x:c>
      <x:c r="K1896" t="n">
        <x:v>11356</x:v>
      </x:c>
      <x:c r="L1896" t="n">
        <x:v>15370</x:v>
      </x:c>
      <x:c r="M1896" t="n">
        <x:v>17121</x:v>
      </x:c>
      <x:c r="N1896" t="n">
        <x:v>17431</x:v>
      </x:c>
      <x:c r="O1896" t="n">
        <x:v>17923</x:v>
      </x:c>
    </x:row>
    <x:row r="1897">
      <x:c r="A1897" t="str">
        <x:v>Jammu And Kashmir</x:v>
      </x:c>
      <x:c r="B1897" t="str">
        <x:v>All India except Central University</x:v>
      </x:c>
      <x:c r="C1897" t="str">
        <x:v>200639</x:v>
      </x:c>
      <x:c r="D1897" t="str">
        <x:v>Govt. Medical College, Doda, Kashmir, Government Medical College &amp; Hospital Ghat Doda</x:v>
      </x:c>
      <x:c r="E1897" t="str">
        <x:v>All India</x:v>
      </x:c>
      <x:c r="F1897" t="str">
        <x:v>SC</x:v>
      </x:c>
      <x:c r="G1897" t="n">
        <x:v>4</x:v>
      </x:c>
      <x:c r="H1897" t="n">
        <x:v>4</x:v>
      </x:c>
      <x:c r="I1897" t="n">
        <x:f>G1897-H1897</x:f>
        <x:v>0</x:v>
      </x:c>
      <x:c r="J1897" s="20" t="n">
        <x:f>IFERROR(H1897/G1897,0)</x:f>
        <x:v>1</x:v>
      </x:c>
      <x:c r="K1897" t="n">
        <x:v>75631</x:v>
      </x:c>
      <x:c r="L1897" t="n">
        <x:v>81055.75</x:v>
      </x:c>
      <x:c r="M1897" t="n">
        <x:v>84748.5</x:v>
      </x:c>
      <x:c r="N1897" t="n">
        <x:v>86660.5</x:v>
      </x:c>
      <x:c r="O1897" t="n">
        <x:v>86743</x:v>
      </x:c>
    </x:row>
    <x:row r="1898">
      <x:c r="A1898" t="str">
        <x:v>Jammu And Kashmir</x:v>
      </x:c>
      <x:c r="B1898" t="str">
        <x:v>All India except Central University</x:v>
      </x:c>
      <x:c r="C1898" t="str">
        <x:v>200639</x:v>
      </x:c>
      <x:c r="D1898" t="str">
        <x:v>Govt. Medical College, Doda, Kashmir, Government Medical College &amp; Hospital Ghat Doda</x:v>
      </x:c>
      <x:c r="E1898" t="str">
        <x:v>All India</x:v>
      </x:c>
      <x:c r="F1898" t="str">
        <x:v>ST</x:v>
      </x:c>
      <x:c r="G1898" t="n">
        <x:v>2</x:v>
      </x:c>
      <x:c r="H1898" t="n">
        <x:v>2</x:v>
      </x:c>
      <x:c r="I1898" t="n">
        <x:f>G1898-H1898</x:f>
        <x:v>0</x:v>
      </x:c>
      <x:c r="J1898" s="20" t="n">
        <x:f>IFERROR(H1898/G1898,0)</x:f>
        <x:v>1</x:v>
      </x:c>
      <x:c r="K1898" t="n">
        <x:v>91553</x:v>
      </x:c>
      <x:c r="L1898" t="n">
        <x:v>92389.5</x:v>
      </x:c>
      <x:c r="M1898" t="n">
        <x:v>93226</x:v>
      </x:c>
      <x:c r="N1898" t="n">
        <x:v>94062.5</x:v>
      </x:c>
      <x:c r="O1898" t="n">
        <x:v>94899</x:v>
      </x:c>
    </x:row>
    <x:row r="1899">
      <x:c r="A1899" t="str">
        <x:v>Chhattisgarh</x:v>
      </x:c>
      <x:c r="B1899" t="str">
        <x:v>All India except Central University</x:v>
      </x:c>
      <x:c r="C1899" t="str">
        <x:v>904741</x:v>
      </x:c>
      <x:c r="D1899" t="str">
        <x:v>Govt. Medical College, Kabeerdham , DISTRICT COURT ROAD, NEAR COLLECTORATE, KAWARDHA, DISTRICT KABIRDHAM PIN 491995</x:v>
      </x:c>
      <x:c r="E1899" t="str">
        <x:v>All India</x:v>
      </x:c>
      <x:c r="F1899" t="str">
        <x:v>EWS</x:v>
      </x:c>
      <x:c r="G1899" t="n">
        <x:v>1</x:v>
      </x:c>
      <x:c r="H1899" t="n">
        <x:v>1</x:v>
      </x:c>
      <x:c r="I1899" t="n">
        <x:f>G1899-H1899</x:f>
        <x:v>0</x:v>
      </x:c>
      <x:c r="J1899" s="20" t="n">
        <x:f>IFERROR(H1899/G1899,0)</x:f>
        <x:v>1</x:v>
      </x:c>
      <x:c r="K1899" t="n">
        <x:v>24490</x:v>
      </x:c>
      <x:c r="L1899" t="n">
        <x:v>24490</x:v>
      </x:c>
      <x:c r="M1899" t="n">
        <x:v>24490</x:v>
      </x:c>
      <x:c r="N1899" t="n">
        <x:v>24490</x:v>
      </x:c>
      <x:c r="O1899" t="n">
        <x:v>24490</x:v>
      </x:c>
    </x:row>
    <x:row r="1900">
      <x:c r="A1900" t="str">
        <x:v>Chhattisgarh</x:v>
      </x:c>
      <x:c r="B1900" t="str">
        <x:v>All India except Central University</x:v>
      </x:c>
      <x:c r="C1900" t="str">
        <x:v>904741</x:v>
      </x:c>
      <x:c r="D1900" t="str">
        <x:v>Govt. Medical College, Kabeerdham , DISTRICT COURT ROAD, NEAR COLLECTORATE, KAWARDHA, DISTRICT KABIRDHAM PIN 491995</x:v>
      </x:c>
      <x:c r="E1900" t="str">
        <x:v>All India</x:v>
      </x:c>
      <x:c r="F1900" t="str">
        <x:v>OBC</x:v>
      </x:c>
      <x:c r="G1900" t="n">
        <x:v>2</x:v>
      </x:c>
      <x:c r="H1900" t="n">
        <x:v>2</x:v>
      </x:c>
      <x:c r="I1900" t="n">
        <x:f>G1900-H1900</x:f>
        <x:v>0</x:v>
      </x:c>
      <x:c r="J1900" s="20" t="n">
        <x:f>IFERROR(H1900/G1900,0)</x:f>
        <x:v>1</x:v>
      </x:c>
      <x:c r="K1900" t="n">
        <x:v>20523</x:v>
      </x:c>
      <x:c r="L1900" t="n">
        <x:v>20993.5</x:v>
      </x:c>
      <x:c r="M1900" t="n">
        <x:v>21464</x:v>
      </x:c>
      <x:c r="N1900" t="n">
        <x:v>21934.5</x:v>
      </x:c>
      <x:c r="O1900" t="n">
        <x:v>22405</x:v>
      </x:c>
    </x:row>
    <x:row r="1901">
      <x:c r="A1901" t="str">
        <x:v>Chhattisgarh</x:v>
      </x:c>
      <x:c r="B1901" t="str">
        <x:v>All India except Central University</x:v>
      </x:c>
      <x:c r="C1901" t="str">
        <x:v>904741</x:v>
      </x:c>
      <x:c r="D1901" t="str">
        <x:v>Govt. Medical College, Kabeerdham , DISTRICT COURT ROAD, NEAR COLLECTORATE, KAWARDHA, DISTRICT KABIRDHAM PIN 491995</x:v>
      </x:c>
      <x:c r="E1901" t="str">
        <x:v>All India</x:v>
      </x:c>
      <x:c r="F1901" t="str">
        <x:v>Open</x:v>
      </x:c>
      <x:c r="G1901" t="n">
        <x:v>2</x:v>
      </x:c>
      <x:c r="H1901" t="n">
        <x:v>2</x:v>
      </x:c>
      <x:c r="I1901" t="n">
        <x:f>G1901-H1901</x:f>
        <x:v>0</x:v>
      </x:c>
      <x:c r="J1901" s="20" t="n">
        <x:f>IFERROR(H1901/G1901,0)</x:f>
        <x:v>1</x:v>
      </x:c>
      <x:c r="K1901" t="n">
        <x:v>19186</x:v>
      </x:c>
      <x:c r="L1901" t="n">
        <x:v>19376</x:v>
      </x:c>
      <x:c r="M1901" t="n">
        <x:v>19566</x:v>
      </x:c>
      <x:c r="N1901" t="n">
        <x:v>19756</x:v>
      </x:c>
      <x:c r="O1901" t="n">
        <x:v>19946</x:v>
      </x:c>
    </x:row>
    <x:row r="1902">
      <x:c r="A1902" t="str">
        <x:v>Chhattisgarh</x:v>
      </x:c>
      <x:c r="B1902" t="str">
        <x:v>All India except Central University</x:v>
      </x:c>
      <x:c r="C1902" t="str">
        <x:v>904741</x:v>
      </x:c>
      <x:c r="D1902" t="str">
        <x:v>Govt. Medical College, Kabeerdham , DISTRICT COURT ROAD, NEAR COLLECTORATE, KAWARDHA, DISTRICT KABIRDHAM PIN 491995</x:v>
      </x:c>
      <x:c r="E1902" t="str">
        <x:v>All India</x:v>
      </x:c>
      <x:c r="F1902" t="str">
        <x:v>SC</x:v>
      </x:c>
      <x:c r="G1902" t="n">
        <x:v>1</x:v>
      </x:c>
      <x:c r="H1902" t="n">
        <x:v>1</x:v>
      </x:c>
      <x:c r="I1902" t="n">
        <x:f>G1902-H1902</x:f>
        <x:v>0</x:v>
      </x:c>
      <x:c r="J1902" s="20" t="n">
        <x:f>IFERROR(H1902/G1902,0)</x:f>
        <x:v>1</x:v>
      </x:c>
      <x:c r="K1902" t="n">
        <x:v>95823</x:v>
      </x:c>
      <x:c r="L1902" t="n">
        <x:v>95823</x:v>
      </x:c>
      <x:c r="M1902" t="n">
        <x:v>95823</x:v>
      </x:c>
      <x:c r="N1902" t="n">
        <x:v>95823</x:v>
      </x:c>
      <x:c r="O1902" t="n">
        <x:v>95823</x:v>
      </x:c>
    </x:row>
    <x:row r="1903">
      <x:c r="A1903" t="str">
        <x:v>Chhattisgarh</x:v>
      </x:c>
      <x:c r="B1903" t="str">
        <x:v>All India except Central University</x:v>
      </x:c>
      <x:c r="C1903" t="str">
        <x:v>904741</x:v>
      </x:c>
      <x:c r="D1903" t="str">
        <x:v>Govt. Medical College, Kabeerdham , DISTRICT COURT ROAD, NEAR COLLECTORATE, KAWARDHA, DISTRICT KABIRDHAM PIN 491995</x:v>
      </x:c>
      <x:c r="E1903" t="str">
        <x:v>All India</x:v>
      </x:c>
      <x:c r="F1903" t="str">
        <x:v>ST</x:v>
      </x:c>
      <x:c r="G1903" t="n">
        <x:v>1</x:v>
      </x:c>
      <x:c r="H1903" t="n">
        <x:v>1</x:v>
      </x:c>
      <x:c r="I1903" t="n">
        <x:f>G1903-H1903</x:f>
        <x:v>0</x:v>
      </x:c>
      <x:c r="J1903" s="20" t="n">
        <x:f>IFERROR(H1903/G1903,0)</x:f>
        <x:v>1</x:v>
      </x:c>
      <x:c r="K1903" t="n">
        <x:v>126608</x:v>
      </x:c>
      <x:c r="L1903" t="n">
        <x:v>126608</x:v>
      </x:c>
      <x:c r="M1903" t="n">
        <x:v>126608</x:v>
      </x:c>
      <x:c r="N1903" t="n">
        <x:v>126608</x:v>
      </x:c>
      <x:c r="O1903" t="n">
        <x:v>126608</x:v>
      </x:c>
    </x:row>
    <x:row r="1904">
      <x:c r="A1904" t="str">
        <x:v>Kerala</x:v>
      </x:c>
      <x:c r="B1904" t="str">
        <x:v>All India except Central University</x:v>
      </x:c>
      <x:c r="C1904" t="str">
        <x:v>200485</x:v>
      </x:c>
      <x:c r="D1904" t="str">
        <x:v>Govt. Medical College,Pariyaram, Kannur (Prev. Known as Academy of Medical Sciences), P.O Pariyaram Medical College, Kannur, Kerala 670503</x:v>
      </x:c>
      <x:c r="E1904" t="str">
        <x:v>All India</x:v>
      </x:c>
      <x:c r="F1904" t="str">
        <x:v>EWS</x:v>
      </x:c>
      <x:c r="G1904" t="n">
        <x:v>2</x:v>
      </x:c>
      <x:c r="H1904" t="n">
        <x:v>2</x:v>
      </x:c>
      <x:c r="I1904" t="n">
        <x:f>G1904-H1904</x:f>
        <x:v>0</x:v>
      </x:c>
      <x:c r="J1904" s="20" t="n">
        <x:f>IFERROR(H1904/G1904,0)</x:f>
        <x:v>1</x:v>
      </x:c>
      <x:c r="K1904" t="n">
        <x:v>16302</x:v>
      </x:c>
      <x:c r="L1904" t="n">
        <x:v>16439.75</x:v>
      </x:c>
      <x:c r="M1904" t="n">
        <x:v>16577.5</x:v>
      </x:c>
      <x:c r="N1904" t="n">
        <x:v>16715.25</x:v>
      </x:c>
      <x:c r="O1904" t="n">
        <x:v>16853</x:v>
      </x:c>
    </x:row>
    <x:row r="1905">
      <x:c r="A1905" t="str">
        <x:v>Kerala</x:v>
      </x:c>
      <x:c r="B1905" t="str">
        <x:v>All India except Central University</x:v>
      </x:c>
      <x:c r="C1905" t="str">
        <x:v>200485</x:v>
      </x:c>
      <x:c r="D1905" t="str">
        <x:v>Govt. Medical College,Pariyaram, Kannur (Prev. Known as Academy of Medical Sciences), P.O Pariyaram Medical College, Kannur, Kerala 670503</x:v>
      </x:c>
      <x:c r="E1905" t="str">
        <x:v>All India</x:v>
      </x:c>
      <x:c r="F1905" t="str">
        <x:v>OBC</x:v>
      </x:c>
      <x:c r="G1905" t="n">
        <x:v>4</x:v>
      </x:c>
      <x:c r="H1905" t="n">
        <x:v>4</x:v>
      </x:c>
      <x:c r="I1905" t="n">
        <x:f>G1905-H1905</x:f>
        <x:v>0</x:v>
      </x:c>
      <x:c r="J1905" s="20" t="n">
        <x:f>IFERROR(H1905/G1905,0)</x:f>
        <x:v>1</x:v>
      </x:c>
      <x:c r="K1905" t="n">
        <x:v>5890</x:v>
      </x:c>
      <x:c r="L1905" t="n">
        <x:v>6158.5</x:v>
      </x:c>
      <x:c r="M1905" t="n">
        <x:v>6383</x:v>
      </x:c>
      <x:c r="N1905" t="n">
        <x:v>6521.5</x:v>
      </x:c>
      <x:c r="O1905" t="n">
        <x:v>6532</x:v>
      </x:c>
    </x:row>
    <x:row r="1906">
      <x:c r="A1906" t="str">
        <x:v>Kerala</x:v>
      </x:c>
      <x:c r="B1906" t="str">
        <x:v>All India except Central University</x:v>
      </x:c>
      <x:c r="C1906" t="str">
        <x:v>200485</x:v>
      </x:c>
      <x:c r="D1906" t="str">
        <x:v>Govt. Medical College,Pariyaram, Kannur (Prev. Known as Academy of Medical Sciences), P.O Pariyaram Medical College, Kannur, Kerala 670503</x:v>
      </x:c>
      <x:c r="E1906" t="str">
        <x:v>All India</x:v>
      </x:c>
      <x:c r="F1906" t="str">
        <x:v>Open</x:v>
      </x:c>
      <x:c r="G1906" t="n">
        <x:v>6</x:v>
      </x:c>
      <x:c r="H1906" t="n">
        <x:v>6</x:v>
      </x:c>
      <x:c r="I1906" t="n">
        <x:f>G1906-H1906</x:f>
        <x:v>0</x:v>
      </x:c>
      <x:c r="J1906" s="20" t="n">
        <x:f>IFERROR(H1906/G1906,0)</x:f>
        <x:v>1</x:v>
      </x:c>
      <x:c r="K1906" t="n">
        <x:v>4149</x:v>
      </x:c>
      <x:c r="L1906" t="n">
        <x:v>4912.5</x:v>
      </x:c>
      <x:c r="M1906" t="n">
        <x:v>5157.5</x:v>
      </x:c>
      <x:c r="N1906" t="n">
        <x:v>5601.25</x:v>
      </x:c>
      <x:c r="O1906" t="n">
        <x:v>5723</x:v>
      </x:c>
    </x:row>
    <x:row r="1907">
      <x:c r="A1907" t="str">
        <x:v>Kerala</x:v>
      </x:c>
      <x:c r="B1907" t="str">
        <x:v>All India except Central University</x:v>
      </x:c>
      <x:c r="C1907" t="str">
        <x:v>200485</x:v>
      </x:c>
      <x:c r="D1907" t="str">
        <x:v>Govt. Medical College,Pariyaram, Kannur (Prev. Known as Academy of Medical Sciences), P.O Pariyaram Medical College, Kannur, Kerala 670503</x:v>
      </x:c>
      <x:c r="E1907" t="str">
        <x:v>All India</x:v>
      </x:c>
      <x:c r="F1907" t="str">
        <x:v>SC</x:v>
      </x:c>
      <x:c r="G1907" t="n">
        <x:v>2</x:v>
      </x:c>
      <x:c r="H1907" t="n">
        <x:v>2</x:v>
      </x:c>
      <x:c r="I1907" t="n">
        <x:f>G1907-H1907</x:f>
        <x:v>0</x:v>
      </x:c>
      <x:c r="J1907" s="20" t="n">
        <x:f>IFERROR(H1907/G1907,0)</x:f>
        <x:v>1</x:v>
      </x:c>
      <x:c r="K1907" t="n">
        <x:v>61905</x:v>
      </x:c>
      <x:c r="L1907" t="n">
        <x:v>62434.75</x:v>
      </x:c>
      <x:c r="M1907" t="n">
        <x:v>62964.5</x:v>
      </x:c>
      <x:c r="N1907" t="n">
        <x:v>63494.25</x:v>
      </x:c>
      <x:c r="O1907" t="n">
        <x:v>64024</x:v>
      </x:c>
    </x:row>
    <x:row r="1908">
      <x:c r="A1908" t="str">
        <x:v>Kerala</x:v>
      </x:c>
      <x:c r="B1908" t="str">
        <x:v>All India except Central University</x:v>
      </x:c>
      <x:c r="C1908" t="str">
        <x:v>200485</x:v>
      </x:c>
      <x:c r="D1908" t="str">
        <x:v>Govt. Medical College,Pariyaram, Kannur (Prev. Known as Academy of Medical Sciences), P.O Pariyaram Medical College, Kannur, Kerala 670503</x:v>
      </x:c>
      <x:c r="E1908" t="str">
        <x:v>All India</x:v>
      </x:c>
      <x:c r="F1908" t="str">
        <x:v>ST</x:v>
      </x:c>
      <x:c r="G1908" t="n">
        <x:v>1</x:v>
      </x:c>
      <x:c r="H1908" t="n">
        <x:v>1</x:v>
      </x:c>
      <x:c r="I1908" t="n">
        <x:f>G1908-H1908</x:f>
        <x:v>0</x:v>
      </x:c>
      <x:c r="J1908" s="20" t="n">
        <x:f>IFERROR(H1908/G1908,0)</x:f>
        <x:v>1</x:v>
      </x:c>
      <x:c r="K1908" t="n">
        <x:v>95821</x:v>
      </x:c>
      <x:c r="L1908" t="n">
        <x:v>95821</x:v>
      </x:c>
      <x:c r="M1908" t="n">
        <x:v>95821</x:v>
      </x:c>
      <x:c r="N1908" t="n">
        <x:v>95821</x:v>
      </x:c>
      <x:c r="O1908" t="n">
        <x:v>95821</x:v>
      </x:c>
    </x:row>
    <x:row r="1909">
      <x:c r="A1909" t="str">
        <x:v>Tamil Nadu</x:v>
      </x:c>
      <x:c r="B1909" t="str">
        <x:v>All India except Central University</x:v>
      </x:c>
      <x:c r="C1909" t="str">
        <x:v>200266</x:v>
      </x:c>
      <x:c r="D1909" t="str">
        <x:v>Govt. Mohan Kumaramangalam Medical College, Salem, MAJEERA KOLLAPPATTI, Salem steel Plant Road Salem 636030 TamilNadu</x:v>
      </x:c>
      <x:c r="E1909" t="str">
        <x:v>All India</x:v>
      </x:c>
      <x:c r="F1909" t="str">
        <x:v>EWS</x:v>
      </x:c>
      <x:c r="G1909" t="n">
        <x:v>1</x:v>
      </x:c>
      <x:c r="H1909" t="n">
        <x:v>1</x:v>
      </x:c>
      <x:c r="I1909" t="n">
        <x:f>G1909-H1909</x:f>
        <x:v>0</x:v>
      </x:c>
      <x:c r="J1909" s="20" t="n">
        <x:f>IFERROR(H1909/G1909,0)</x:f>
        <x:v>1</x:v>
      </x:c>
      <x:c r="K1909" t="n">
        <x:v>19686</x:v>
      </x:c>
      <x:c r="L1909" t="n">
        <x:v>19686</x:v>
      </x:c>
      <x:c r="M1909" t="n">
        <x:v>19686</x:v>
      </x:c>
      <x:c r="N1909" t="n">
        <x:v>19686</x:v>
      </x:c>
      <x:c r="O1909" t="n">
        <x:v>19686</x:v>
      </x:c>
    </x:row>
    <x:row r="1910">
      <x:c r="A1910" t="str">
        <x:v>Tamil Nadu</x:v>
      </x:c>
      <x:c r="B1910" t="str">
        <x:v>All India except Central University</x:v>
      </x:c>
      <x:c r="C1910" t="str">
        <x:v>200266</x:v>
      </x:c>
      <x:c r="D1910" t="str">
        <x:v>Govt. Mohan Kumaramangalam Medical College, Salem, MAJEERA KOLLAPPATTI, Salem steel Plant Road Salem 636030 TamilNadu</x:v>
      </x:c>
      <x:c r="E1910" t="str">
        <x:v>All India</x:v>
      </x:c>
      <x:c r="F1910" t="str">
        <x:v>OBC</x:v>
      </x:c>
      <x:c r="G1910" t="n">
        <x:v>4</x:v>
      </x:c>
      <x:c r="H1910" t="n">
        <x:v>4</x:v>
      </x:c>
      <x:c r="I1910" t="n">
        <x:f>G1910-H1910</x:f>
        <x:v>0</x:v>
      </x:c>
      <x:c r="J1910" s="20" t="n">
        <x:f>IFERROR(H1910/G1910,0)</x:f>
        <x:v>1</x:v>
      </x:c>
      <x:c r="K1910" t="n">
        <x:v>4758</x:v>
      </x:c>
      <x:c r="L1910" t="n">
        <x:v>5219.25</x:v>
      </x:c>
      <x:c r="M1910" t="n">
        <x:v>5564.5</x:v>
      </x:c>
      <x:c r="N1910" t="n">
        <x:v>5775.5</x:v>
      </x:c>
      <x:c r="O1910" t="n">
        <x:v>5834</x:v>
      </x:c>
    </x:row>
    <x:row r="1911">
      <x:c r="A1911" t="str">
        <x:v>Tamil Nadu</x:v>
      </x:c>
      <x:c r="B1911" t="str">
        <x:v>All India except Central University</x:v>
      </x:c>
      <x:c r="C1911" t="str">
        <x:v>200266</x:v>
      </x:c>
      <x:c r="D1911" t="str">
        <x:v>Govt. Mohan Kumaramangalam Medical College, Salem, MAJEERA KOLLAPPATTI, Salem steel Plant Road Salem 636030 TamilNadu</x:v>
      </x:c>
      <x:c r="E1911" t="str">
        <x:v>All India</x:v>
      </x:c>
      <x:c r="F1911" t="str">
        <x:v>Open</x:v>
      </x:c>
      <x:c r="G1911" t="n">
        <x:v>4</x:v>
      </x:c>
      <x:c r="H1911" t="n">
        <x:v>4</x:v>
      </x:c>
      <x:c r="I1911" t="n">
        <x:f>G1911-H1911</x:f>
        <x:v>0</x:v>
      </x:c>
      <x:c r="J1911" s="20" t="n">
        <x:f>IFERROR(H1911/G1911,0)</x:f>
        <x:v>1</x:v>
      </x:c>
      <x:c r="K1911" t="n">
        <x:v>393</x:v>
      </x:c>
      <x:c r="L1911" t="n">
        <x:v>1086.75</x:v>
      </x:c>
      <x:c r="M1911" t="n">
        <x:v>2655</x:v>
      </x:c>
      <x:c r="N1911" t="n">
        <x:v>4128.5</x:v>
      </x:c>
      <x:c r="O1911" t="n">
        <x:v>4538</x:v>
      </x:c>
    </x:row>
    <x:row r="1912">
      <x:c r="A1912" t="str">
        <x:v>Tamil Nadu</x:v>
      </x:c>
      <x:c r="B1912" t="str">
        <x:v>All India except Central University</x:v>
      </x:c>
      <x:c r="C1912" t="str">
        <x:v>200266</x:v>
      </x:c>
      <x:c r="D1912" t="str">
        <x:v>Govt. Mohan Kumaramangalam Medical College, Salem, MAJEERA KOLLAPPATTI, Salem steel Plant Road Salem 636030 TamilNadu</x:v>
      </x:c>
      <x:c r="E1912" t="str">
        <x:v>All India</x:v>
      </x:c>
      <x:c r="F1912" t="str">
        <x:v>Open PwD</x:v>
      </x:c>
      <x:c r="G1912" t="n">
        <x:v>1</x:v>
      </x:c>
      <x:c r="H1912" t="n">
        <x:v>1</x:v>
      </x:c>
      <x:c r="I1912" t="n">
        <x:f>G1912-H1912</x:f>
        <x:v>0</x:v>
      </x:c>
      <x:c r="J1912" s="20" t="n">
        <x:f>IFERROR(H1912/G1912,0)</x:f>
        <x:v>1</x:v>
      </x:c>
      <x:c r="K1912" t="n">
        <x:v>447573</x:v>
      </x:c>
      <x:c r="L1912" t="n">
        <x:v>447573</x:v>
      </x:c>
      <x:c r="M1912" t="n">
        <x:v>447573</x:v>
      </x:c>
      <x:c r="N1912" t="n">
        <x:v>447573</x:v>
      </x:c>
      <x:c r="O1912" t="n">
        <x:v>447573</x:v>
      </x:c>
    </x:row>
    <x:row r="1913">
      <x:c r="A1913" t="str">
        <x:v>Tamil Nadu</x:v>
      </x:c>
      <x:c r="B1913" t="str">
        <x:v>All India except Central University</x:v>
      </x:c>
      <x:c r="C1913" t="str">
        <x:v>200266</x:v>
      </x:c>
      <x:c r="D1913" t="str">
        <x:v>Govt. Mohan Kumaramangalam Medical College, Salem, MAJEERA KOLLAPPATTI, Salem steel Plant Road Salem 636030 TamilNadu</x:v>
      </x:c>
      <x:c r="E1913" t="str">
        <x:v>All India</x:v>
      </x:c>
      <x:c r="F1913" t="str">
        <x:v>SC</x:v>
      </x:c>
      <x:c r="G1913" t="n">
        <x:v>3</x:v>
      </x:c>
      <x:c r="H1913" t="n">
        <x:v>3</x:v>
      </x:c>
      <x:c r="I1913" t="n">
        <x:f>G1913-H1913</x:f>
        <x:v>0</x:v>
      </x:c>
      <x:c r="J1913" s="20" t="n">
        <x:f>IFERROR(H1913/G1913,0)</x:f>
        <x:v>1</x:v>
      </x:c>
      <x:c r="K1913" t="n">
        <x:v>28989</x:v>
      </x:c>
      <x:c r="L1913" t="n">
        <x:v>29206.5</x:v>
      </x:c>
      <x:c r="M1913" t="n">
        <x:v>29424</x:v>
      </x:c>
      <x:c r="N1913" t="n">
        <x:v>33023.5</x:v>
      </x:c>
      <x:c r="O1913" t="n">
        <x:v>36623</x:v>
      </x:c>
    </x:row>
    <x:row r="1914">
      <x:c r="A1914" t="str">
        <x:v>Tamil Nadu</x:v>
      </x:c>
      <x:c r="B1914" t="str">
        <x:v>All India except Central University</x:v>
      </x:c>
      <x:c r="C1914" t="str">
        <x:v>200266</x:v>
      </x:c>
      <x:c r="D1914" t="str">
        <x:v>Govt. Mohan Kumaramangalam Medical College, Salem, MAJEERA KOLLAPPATTI, Salem steel Plant Road Salem 636030 TamilNadu</x:v>
      </x:c>
      <x:c r="E1914" t="str">
        <x:v>All India</x:v>
      </x:c>
      <x:c r="F1914" t="str">
        <x:v>ST</x:v>
      </x:c>
      <x:c r="G1914" t="n">
        <x:v>2</x:v>
      </x:c>
      <x:c r="H1914" t="n">
        <x:v>2</x:v>
      </x:c>
      <x:c r="I1914" t="n">
        <x:f>G1914-H1914</x:f>
        <x:v>0</x:v>
      </x:c>
      <x:c r="J1914" s="20" t="n">
        <x:f>IFERROR(H1914/G1914,0)</x:f>
        <x:v>1</x:v>
      </x:c>
      <x:c r="K1914" t="n">
        <x:v>101058</x:v>
      </x:c>
      <x:c r="L1914" t="n">
        <x:v>101242.5</x:v>
      </x:c>
      <x:c r="M1914" t="n">
        <x:v>101427</x:v>
      </x:c>
      <x:c r="N1914" t="n">
        <x:v>101611.5</x:v>
      </x:c>
      <x:c r="O1914" t="n">
        <x:v>101796</x:v>
      </x:c>
    </x:row>
    <x:row r="1915">
      <x:c r="A1915" t="str">
        <x:v>Chhattisgarh</x:v>
      </x:c>
      <x:c r="B1915" t="str">
        <x:v>All India except Central University</x:v>
      </x:c>
      <x:c r="C1915" t="str">
        <x:v>904742</x:v>
      </x:c>
      <x:c r="D1915" t="str">
        <x:v>Govt.Medical Collage Manendragarh, Govt. Medical College Manendragarh, Jhagrakhand Road, Dist- MCB C.G.</x:v>
      </x:c>
      <x:c r="E1915" t="str">
        <x:v>All India</x:v>
      </x:c>
      <x:c r="F1915" t="str">
        <x:v>EWS</x:v>
      </x:c>
      <x:c r="G1915" t="n">
        <x:v>1</x:v>
      </x:c>
      <x:c r="H1915" t="n">
        <x:v>1</x:v>
      </x:c>
      <x:c r="I1915" t="n">
        <x:f>G1915-H1915</x:f>
        <x:v>0</x:v>
      </x:c>
      <x:c r="J1915" s="20" t="n">
        <x:f>IFERROR(H1915/G1915,0)</x:f>
        <x:v>1</x:v>
      </x:c>
      <x:c r="K1915" t="n">
        <x:v>24542</x:v>
      </x:c>
      <x:c r="L1915" t="n">
        <x:v>24542</x:v>
      </x:c>
      <x:c r="M1915" t="n">
        <x:v>24542</x:v>
      </x:c>
      <x:c r="N1915" t="n">
        <x:v>24542</x:v>
      </x:c>
      <x:c r="O1915" t="n">
        <x:v>24542</x:v>
      </x:c>
    </x:row>
    <x:row r="1916">
      <x:c r="A1916" t="str">
        <x:v>Chhattisgarh</x:v>
      </x:c>
      <x:c r="B1916" t="str">
        <x:v>All India except Central University</x:v>
      </x:c>
      <x:c r="C1916" t="str">
        <x:v>904742</x:v>
      </x:c>
      <x:c r="D1916" t="str">
        <x:v>Govt.Medical Collage Manendragarh, Govt. Medical College Manendragarh, Jhagrakhand Road, Dist- MCB C.G.</x:v>
      </x:c>
      <x:c r="E1916" t="str">
        <x:v>All India</x:v>
      </x:c>
      <x:c r="F1916" t="str">
        <x:v>OBC</x:v>
      </x:c>
      <x:c r="G1916" t="n">
        <x:v>2</x:v>
      </x:c>
      <x:c r="H1916" t="n">
        <x:v>2</x:v>
      </x:c>
      <x:c r="I1916" t="n">
        <x:f>G1916-H1916</x:f>
        <x:v>0</x:v>
      </x:c>
      <x:c r="J1916" s="20" t="n">
        <x:f>IFERROR(H1916/G1916,0)</x:f>
        <x:v>1</x:v>
      </x:c>
      <x:c r="K1916" t="n">
        <x:v>20568</x:v>
      </x:c>
      <x:c r="L1916" t="n">
        <x:v>20609.5</x:v>
      </x:c>
      <x:c r="M1916" t="n">
        <x:v>20651</x:v>
      </x:c>
      <x:c r="N1916" t="n">
        <x:v>20692.5</x:v>
      </x:c>
      <x:c r="O1916" t="n">
        <x:v>20734</x:v>
      </x:c>
    </x:row>
    <x:row r="1917">
      <x:c r="A1917" t="str">
        <x:v>Chhattisgarh</x:v>
      </x:c>
      <x:c r="B1917" t="str">
        <x:v>All India except Central University</x:v>
      </x:c>
      <x:c r="C1917" t="str">
        <x:v>904742</x:v>
      </x:c>
      <x:c r="D1917" t="str">
        <x:v>Govt.Medical Collage Manendragarh, Govt. Medical College Manendragarh, Jhagrakhand Road, Dist- MCB C.G.</x:v>
      </x:c>
      <x:c r="E1917" t="str">
        <x:v>All India</x:v>
      </x:c>
      <x:c r="F1917" t="str">
        <x:v>Open</x:v>
      </x:c>
      <x:c r="G1917" t="n">
        <x:v>3</x:v>
      </x:c>
      <x:c r="H1917" t="n">
        <x:v>3</x:v>
      </x:c>
      <x:c r="I1917" t="n">
        <x:f>G1917-H1917</x:f>
        <x:v>0</x:v>
      </x:c>
      <x:c r="J1917" s="20" t="n">
        <x:f>IFERROR(H1917/G1917,0)</x:f>
        <x:v>1</x:v>
      </x:c>
      <x:c r="K1917" t="n">
        <x:v>16145</x:v>
      </x:c>
      <x:c r="L1917" t="n">
        <x:v>16858.5</x:v>
      </x:c>
      <x:c r="M1917" t="n">
        <x:v>17572</x:v>
      </x:c>
      <x:c r="N1917" t="n">
        <x:v>18667.5</x:v>
      </x:c>
      <x:c r="O1917" t="n">
        <x:v>19763</x:v>
      </x:c>
    </x:row>
    <x:row r="1918">
      <x:c r="A1918" t="str">
        <x:v>Chhattisgarh</x:v>
      </x:c>
      <x:c r="B1918" t="str">
        <x:v>All India except Central University</x:v>
      </x:c>
      <x:c r="C1918" t="str">
        <x:v>904742</x:v>
      </x:c>
      <x:c r="D1918" t="str">
        <x:v>Govt.Medical Collage Manendragarh, Govt. Medical College Manendragarh, Jhagrakhand Road, Dist- MCB C.G.</x:v>
      </x:c>
      <x:c r="E1918" t="str">
        <x:v>All India</x:v>
      </x:c>
      <x:c r="F1918" t="str">
        <x:v>SC</x:v>
      </x:c>
      <x:c r="G1918" t="n">
        <x:v>1</x:v>
      </x:c>
      <x:c r="H1918" t="n">
        <x:v>1</x:v>
      </x:c>
      <x:c r="I1918" t="n">
        <x:f>G1918-H1918</x:f>
        <x:v>0</x:v>
      </x:c>
      <x:c r="J1918" s="20" t="n">
        <x:f>IFERROR(H1918/G1918,0)</x:f>
        <x:v>1</x:v>
      </x:c>
      <x:c r="K1918" t="n">
        <x:v>97534</x:v>
      </x:c>
      <x:c r="L1918" t="n">
        <x:v>97534</x:v>
      </x:c>
      <x:c r="M1918" t="n">
        <x:v>97534</x:v>
      </x:c>
      <x:c r="N1918" t="n">
        <x:v>97534</x:v>
      </x:c>
      <x:c r="O1918" t="n">
        <x:v>97534</x:v>
      </x:c>
    </x:row>
    <x:row r="1919">
      <x:c r="A1919" t="str">
        <x:v>Maharashtra</x:v>
      </x:c>
      <x:c r="B1919" t="str">
        <x:v>All India except Central University</x:v>
      </x:c>
      <x:c r="C1919" t="str">
        <x:v>200219</x:v>
      </x:c>
      <x:c r="D1919" t="str">
        <x:v>Grant Medical College, Mumbai, Sir JJ Group of Hospital Compound, Sir JJ Road, Byculla Mumbai</x:v>
      </x:c>
      <x:c r="E1919" t="str">
        <x:v>All India</x:v>
      </x:c>
      <x:c r="F1919" t="str">
        <x:v>EWS</x:v>
      </x:c>
      <x:c r="G1919" t="n">
        <x:v>4</x:v>
      </x:c>
      <x:c r="H1919" t="n">
        <x:v>4</x:v>
      </x:c>
      <x:c r="I1919" t="n">
        <x:f>G1919-H1919</x:f>
        <x:v>0</x:v>
      </x:c>
      <x:c r="J1919" s="20" t="n">
        <x:f>IFERROR(H1919/G1919,0)</x:f>
        <x:v>1</x:v>
      </x:c>
      <x:c r="K1919" t="n">
        <x:v>3379</x:v>
      </x:c>
      <x:c r="L1919" t="n">
        <x:v>3489.25</x:v>
      </x:c>
      <x:c r="M1919" t="n">
        <x:v>3779</x:v>
      </x:c>
      <x:c r="N1919" t="n">
        <x:v>4040.25</x:v>
      </x:c>
      <x:c r="O1919" t="n">
        <x:v>4065</x:v>
      </x:c>
    </x:row>
    <x:row r="1920">
      <x:c r="A1920" t="str">
        <x:v>Maharashtra</x:v>
      </x:c>
      <x:c r="B1920" t="str">
        <x:v>All India except Central University</x:v>
      </x:c>
      <x:c r="C1920" t="str">
        <x:v>200219</x:v>
      </x:c>
      <x:c r="D1920" t="str">
        <x:v>Grant Medical College, Mumbai, Sir JJ Group of Hospital Compound, Sir JJ Road, Byculla Mumbai</x:v>
      </x:c>
      <x:c r="E1920" t="str">
        <x:v>All India</x:v>
      </x:c>
      <x:c r="F1920" t="str">
        <x:v>OBC</x:v>
      </x:c>
      <x:c r="G1920" t="n">
        <x:v>11</x:v>
      </x:c>
      <x:c r="H1920" t="n">
        <x:v>11</x:v>
      </x:c>
      <x:c r="I1920" t="n">
        <x:f>G1920-H1920</x:f>
        <x:v>0</x:v>
      </x:c>
      <x:c r="J1920" s="20" t="n">
        <x:f>IFERROR(H1920/G1920,0)</x:f>
        <x:v>1</x:v>
      </x:c>
      <x:c r="K1920" t="n">
        <x:v>2979</x:v>
      </x:c>
      <x:c r="L1920" t="n">
        <x:v>3538.5</x:v>
      </x:c>
      <x:c r="M1920" t="n">
        <x:v>3770</x:v>
      </x:c>
      <x:c r="N1920" t="n">
        <x:v>4055</x:v>
      </x:c>
      <x:c r="O1920" t="n">
        <x:v>4108</x:v>
      </x:c>
    </x:row>
    <x:row r="1921">
      <x:c r="A1921" t="str">
        <x:v>Maharashtra</x:v>
      </x:c>
      <x:c r="B1921" t="str">
        <x:v>All India except Central University</x:v>
      </x:c>
      <x:c r="C1921" t="str">
        <x:v>200219</x:v>
      </x:c>
      <x:c r="D1921" t="str">
        <x:v>Grant Medical College, Mumbai, Sir JJ Group of Hospital Compound, Sir JJ Road, Byculla Mumbai</x:v>
      </x:c>
      <x:c r="E1921" t="str">
        <x:v>All India</x:v>
      </x:c>
      <x:c r="F1921" t="str">
        <x:v>Open</x:v>
      </x:c>
      <x:c r="G1921" t="n">
        <x:v>15</x:v>
      </x:c>
      <x:c r="H1921" t="n">
        <x:v>15</x:v>
      </x:c>
      <x:c r="I1921" t="n">
        <x:f>G1921-H1921</x:f>
        <x:v>0</x:v>
      </x:c>
      <x:c r="J1921" s="20" t="n">
        <x:f>IFERROR(H1921/G1921,0)</x:f>
        <x:v>1</x:v>
      </x:c>
      <x:c r="K1921" t="n">
        <x:v>1215</x:v>
      </x:c>
      <x:c r="L1921" t="n">
        <x:v>1647</x:v>
      </x:c>
      <x:c r="M1921" t="n">
        <x:v>1863</x:v>
      </x:c>
      <x:c r="N1921" t="n">
        <x:v>1950.5</x:v>
      </x:c>
      <x:c r="O1921" t="n">
        <x:v>2379</x:v>
      </x:c>
    </x:row>
    <x:row r="1922">
      <x:c r="A1922" t="str">
        <x:v>Maharashtra</x:v>
      </x:c>
      <x:c r="B1922" t="str">
        <x:v>All India except Central University</x:v>
      </x:c>
      <x:c r="C1922" t="str">
        <x:v>200219</x:v>
      </x:c>
      <x:c r="D1922" t="str">
        <x:v>Grant Medical College, Mumbai, Sir JJ Group of Hospital Compound, Sir JJ Road, Byculla Mumbai</x:v>
      </x:c>
      <x:c r="E1922" t="str">
        <x:v>All India</x:v>
      </x:c>
      <x:c r="F1922" t="str">
        <x:v>SC</x:v>
      </x:c>
      <x:c r="G1922" t="n">
        <x:v>5</x:v>
      </x:c>
      <x:c r="H1922" t="n">
        <x:v>5</x:v>
      </x:c>
      <x:c r="I1922" t="n">
        <x:f>G1922-H1922</x:f>
        <x:v>0</x:v>
      </x:c>
      <x:c r="J1922" s="20" t="n">
        <x:f>IFERROR(H1922/G1922,0)</x:f>
        <x:v>1</x:v>
      </x:c>
      <x:c r="K1922" t="n">
        <x:v>13452</x:v>
      </x:c>
      <x:c r="L1922" t="n">
        <x:v>20959</x:v>
      </x:c>
      <x:c r="M1922" t="n">
        <x:v>21969</x:v>
      </x:c>
      <x:c r="N1922" t="n">
        <x:v>22266</x:v>
      </x:c>
      <x:c r="O1922" t="n">
        <x:v>22986</x:v>
      </x:c>
    </x:row>
    <x:row r="1923">
      <x:c r="A1923" t="str">
        <x:v>Maharashtra</x:v>
      </x:c>
      <x:c r="B1923" t="str">
        <x:v>All India except Central University</x:v>
      </x:c>
      <x:c r="C1923" t="str">
        <x:v>200219</x:v>
      </x:c>
      <x:c r="D1923" t="str">
        <x:v>Grant Medical College, Mumbai, Sir JJ Group of Hospital Compound, Sir JJ Road, Byculla Mumbai</x:v>
      </x:c>
      <x:c r="E1923" t="str">
        <x:v>All India</x:v>
      </x:c>
      <x:c r="F1923" t="str">
        <x:v>ST</x:v>
      </x:c>
      <x:c r="G1923" t="n">
        <x:v>3</x:v>
      </x:c>
      <x:c r="H1923" t="n">
        <x:v>3</x:v>
      </x:c>
      <x:c r="I1923" t="n">
        <x:f>G1923-H1923</x:f>
        <x:v>0</x:v>
      </x:c>
      <x:c r="J1923" s="20" t="n">
        <x:f>IFERROR(H1923/G1923,0)</x:f>
        <x:v>1</x:v>
      </x:c>
      <x:c r="K1923" t="n">
        <x:v>45708</x:v>
      </x:c>
      <x:c r="L1923" t="n">
        <x:v>46370.5</x:v>
      </x:c>
      <x:c r="M1923" t="n">
        <x:v>47033</x:v>
      </x:c>
      <x:c r="N1923" t="n">
        <x:v>47356.5</x:v>
      </x:c>
      <x:c r="O1923" t="n">
        <x:v>47680</x:v>
      </x:c>
    </x:row>
    <x:row r="1924">
      <x:c r="A1924" t="str">
        <x:v>Uttarakhand</x:v>
      </x:c>
      <x:c r="B1924" t="str">
        <x:v>Deemed University</x:v>
      </x:c>
      <x:c r="C1924" t="str">
        <x:v>902812</x:v>
      </x:c>
      <x:c r="D1924" t="str">
        <x:v>Graphic Era Institute of Medical Sciences Dehradun, Uttrakhand, Graphic Era Institute of Medical Sciences 16th Milestone Chakrata Road Dehradun, Uttarakhand</x:v>
      </x:c>
      <x:c r="E1924" t="str">
        <x:v>NRI</x:v>
      </x:c>
      <x:c r="F1924" t="str">
        <x:v>Open</x:v>
      </x:c>
      <x:c r="G1924" t="n">
        <x:v>30</x:v>
      </x:c>
      <x:c r="H1924" t="n">
        <x:v>0</x:v>
      </x:c>
      <x:c r="I1924" t="n">
        <x:f>G1924-H1924</x:f>
        <x:v>30</x:v>
      </x:c>
      <x:c r="J1924" s="20" t="n">
        <x:f>IFERROR(H1924/G1924,0)</x:f>
        <x:v>0</x:v>
      </x:c>
      <x:c r="K1924"/>
      <x:c r="L1924"/>
      <x:c r="M1924"/>
      <x:c r="N1924"/>
      <x:c r="O1924"/>
    </x:row>
    <x:row r="1925">
      <x:c r="A1925" t="str">
        <x:v>Uttarakhand</x:v>
      </x:c>
      <x:c r="B1925" t="str">
        <x:v>Deemed University</x:v>
      </x:c>
      <x:c r="C1925" t="str">
        <x:v>902812</x:v>
      </x:c>
      <x:c r="D1925" t="str">
        <x:v>Graphic Era Institute of Medical Sciences Dehradun, Uttrakhand, Graphic Era Institute of Medical Sciences 16th Milestone Chakrata Road Dehradun, Uttarakhand</x:v>
      </x:c>
      <x:c r="E1925" t="str">
        <x:v>Self-Financed Merit</x:v>
      </x:c>
      <x:c r="F1925" t="str">
        <x:v>Open</x:v>
      </x:c>
      <x:c r="G1925" t="n">
        <x:v>170</x:v>
      </x:c>
      <x:c r="H1925" t="n">
        <x:v>170</x:v>
      </x:c>
      <x:c r="I1925" t="n">
        <x:f>G1925-H1925</x:f>
        <x:v>0</x:v>
      </x:c>
      <x:c r="J1925" s="20" t="n">
        <x:f>IFERROR(H1925/G1925,0)</x:f>
        <x:v>1</x:v>
      </x:c>
      <x:c r="K1925" t="n">
        <x:v>156007</x:v>
      </x:c>
      <x:c r="L1925" t="n">
        <x:v>410070</x:v>
      </x:c>
      <x:c r="M1925" t="n">
        <x:v>479276</x:v>
      </x:c>
      <x:c r="N1925" t="n">
        <x:v>530928.5</x:v>
      </x:c>
      <x:c r="O1925" t="n">
        <x:v>564667</x:v>
      </x:c>
    </x:row>
    <x:row r="1926">
      <x:c r="A1926" t="str">
        <x:v>Karnataka</x:v>
      </x:c>
      <x:c r="B1926" t="str">
        <x:v>All India except Central University</x:v>
      </x:c>
      <x:c r="C1926" t="str">
        <x:v>200171</x:v>
      </x:c>
      <x:c r="D1926" t="str">
        <x:v>Gulbarga Institute of Medical Sciences, Gulbarga, Gulbarga Institute of Medical Sciences, Veeresh Nagar, Sedam Road, Kalaburagi</x:v>
      </x:c>
      <x:c r="E1926" t="str">
        <x:v>All India</x:v>
      </x:c>
      <x:c r="F1926" t="str">
        <x:v>EWS</x:v>
      </x:c>
      <x:c r="G1926" t="n">
        <x:v>3</x:v>
      </x:c>
      <x:c r="H1926" t="n">
        <x:v>3</x:v>
      </x:c>
      <x:c r="I1926" t="n">
        <x:f>G1926-H1926</x:f>
        <x:v>0</x:v>
      </x:c>
      <x:c r="J1926" s="20" t="n">
        <x:f>IFERROR(H1926/G1926,0)</x:f>
        <x:v>1</x:v>
      </x:c>
      <x:c r="K1926" t="n">
        <x:v>16978</x:v>
      </x:c>
      <x:c r="L1926" t="n">
        <x:v>17625.5</x:v>
      </x:c>
      <x:c r="M1926" t="n">
        <x:v>18273</x:v>
      </x:c>
      <x:c r="N1926" t="n">
        <x:v>18620</x:v>
      </x:c>
      <x:c r="O1926" t="n">
        <x:v>18967</x:v>
      </x:c>
    </x:row>
    <x:row r="1927">
      <x:c r="A1927" t="str">
        <x:v>Karnataka</x:v>
      </x:c>
      <x:c r="B1927" t="str">
        <x:v>All India except Central University</x:v>
      </x:c>
      <x:c r="C1927" t="str">
        <x:v>200171</x:v>
      </x:c>
      <x:c r="D1927" t="str">
        <x:v>Gulbarga Institute of Medical Sciences, Gulbarga, Gulbarga Institute of Medical Sciences, Veeresh Nagar, Sedam Road, Kalaburagi</x:v>
      </x:c>
      <x:c r="E1927" t="str">
        <x:v>All India</x:v>
      </x:c>
      <x:c r="F1927" t="str">
        <x:v>OBC</x:v>
      </x:c>
      <x:c r="G1927" t="n">
        <x:v>8</x:v>
      </x:c>
      <x:c r="H1927" t="n">
        <x:v>8</x:v>
      </x:c>
      <x:c r="I1927" t="n">
        <x:f>G1927-H1927</x:f>
        <x:v>0</x:v>
      </x:c>
      <x:c r="J1927" s="20" t="n">
        <x:f>IFERROR(H1927/G1927,0)</x:f>
        <x:v>1</x:v>
      </x:c>
      <x:c r="K1927" t="n">
        <x:v>14899</x:v>
      </x:c>
      <x:c r="L1927" t="n">
        <x:v>15117.75</x:v>
      </x:c>
      <x:c r="M1927" t="n">
        <x:v>15213</x:v>
      </x:c>
      <x:c r="N1927" t="n">
        <x:v>15465.25</x:v>
      </x:c>
      <x:c r="O1927" t="n">
        <x:v>15581</x:v>
      </x:c>
    </x:row>
    <x:row r="1928">
      <x:c r="A1928" t="str">
        <x:v>Karnataka</x:v>
      </x:c>
      <x:c r="B1928" t="str">
        <x:v>All India except Central University</x:v>
      </x:c>
      <x:c r="C1928" t="str">
        <x:v>200171</x:v>
      </x:c>
      <x:c r="D1928" t="str">
        <x:v>Gulbarga Institute of Medical Sciences, Gulbarga, Gulbarga Institute of Medical Sciences, Veeresh Nagar, Sedam Road, Kalaburagi</x:v>
      </x:c>
      <x:c r="E1928" t="str">
        <x:v>All India</x:v>
      </x:c>
      <x:c r="F1928" t="str">
        <x:v>Open</x:v>
      </x:c>
      <x:c r="G1928" t="n">
        <x:v>12</x:v>
      </x:c>
      <x:c r="H1928" t="n">
        <x:v>12</x:v>
      </x:c>
      <x:c r="I1928" t="n">
        <x:f>G1928-H1928</x:f>
        <x:v>0</x:v>
      </x:c>
      <x:c r="J1928" s="20" t="n">
        <x:f>IFERROR(H1928/G1928,0)</x:f>
        <x:v>1</x:v>
      </x:c>
      <x:c r="K1928" t="n">
        <x:v>7443</x:v>
      </x:c>
      <x:c r="L1928" t="n">
        <x:v>12955.25</x:v>
      </x:c>
      <x:c r="M1928" t="n">
        <x:v>13457.5</x:v>
      </x:c>
      <x:c r="N1928" t="n">
        <x:v>13860.75</x:v>
      </x:c>
      <x:c r="O1928" t="n">
        <x:v>14131</x:v>
      </x:c>
    </x:row>
    <x:row r="1929">
      <x:c r="A1929" t="str">
        <x:v>Karnataka</x:v>
      </x:c>
      <x:c r="B1929" t="str">
        <x:v>All India except Central University</x:v>
      </x:c>
      <x:c r="C1929" t="str">
        <x:v>200171</x:v>
      </x:c>
      <x:c r="D1929" t="str">
        <x:v>Gulbarga Institute of Medical Sciences, Gulbarga, Gulbarga Institute of Medical Sciences, Veeresh Nagar, Sedam Road, Kalaburagi</x:v>
      </x:c>
      <x:c r="E1929" t="str">
        <x:v>All India</x:v>
      </x:c>
      <x:c r="F1929" t="str">
        <x:v>SC</x:v>
      </x:c>
      <x:c r="G1929" t="n">
        <x:v>5</x:v>
      </x:c>
      <x:c r="H1929" t="n">
        <x:v>5</x:v>
      </x:c>
      <x:c r="I1929" t="n">
        <x:f>G1929-H1929</x:f>
        <x:v>0</x:v>
      </x:c>
      <x:c r="J1929" s="20" t="n">
        <x:f>IFERROR(H1929/G1929,0)</x:f>
        <x:v>1</x:v>
      </x:c>
      <x:c r="K1929" t="n">
        <x:v>67956</x:v>
      </x:c>
      <x:c r="L1929" t="n">
        <x:v>70782</x:v>
      </x:c>
      <x:c r="M1929" t="n">
        <x:v>71718</x:v>
      </x:c>
      <x:c r="N1929" t="n">
        <x:v>77861</x:v>
      </x:c>
      <x:c r="O1929" t="n">
        <x:v>79120</x:v>
      </x:c>
    </x:row>
    <x:row r="1930">
      <x:c r="A1930" t="str">
        <x:v>Karnataka</x:v>
      </x:c>
      <x:c r="B1930" t="str">
        <x:v>All India except Central University</x:v>
      </x:c>
      <x:c r="C1930" t="str">
        <x:v>200171</x:v>
      </x:c>
      <x:c r="D1930" t="str">
        <x:v>Gulbarga Institute of Medical Sciences, Gulbarga, Gulbarga Institute of Medical Sciences, Veeresh Nagar, Sedam Road, Kalaburagi</x:v>
      </x:c>
      <x:c r="E1930" t="str">
        <x:v>All India</x:v>
      </x:c>
      <x:c r="F1930" t="str">
        <x:v>ST</x:v>
      </x:c>
      <x:c r="G1930" t="n">
        <x:v>2</x:v>
      </x:c>
      <x:c r="H1930" t="n">
        <x:v>2</x:v>
      </x:c>
      <x:c r="I1930" t="n">
        <x:f>G1930-H1930</x:f>
        <x:v>0</x:v>
      </x:c>
      <x:c r="J1930" s="20" t="n">
        <x:f>IFERROR(H1930/G1930,0)</x:f>
        <x:v>1</x:v>
      </x:c>
      <x:c r="K1930" t="n">
        <x:v>86021</x:v>
      </x:c>
      <x:c r="L1930" t="n">
        <x:v>87216.75</x:v>
      </x:c>
      <x:c r="M1930" t="n">
        <x:v>88412.5</x:v>
      </x:c>
      <x:c r="N1930" t="n">
        <x:v>89608.25</x:v>
      </x:c>
      <x:c r="O1930" t="n">
        <x:v>90804</x:v>
      </x:c>
    </x:row>
    <x:row r="1931">
      <x:c r="A1931" t="str">
        <x:v>Andhra Pradesh</x:v>
      </x:c>
      <x:c r="B1931" t="str">
        <x:v>All India except Central University</x:v>
      </x:c>
      <x:c r="C1931" t="str">
        <x:v>200423</x:v>
      </x:c>
      <x:c r="D1931" t="str">
        <x:v>Guntur Medical College, Guntur, Kannavarithoa Opp. NGOs Association Building</x:v>
      </x:c>
      <x:c r="E1931" t="str">
        <x:v>All India</x:v>
      </x:c>
      <x:c r="F1931" t="str">
        <x:v>EWS</x:v>
      </x:c>
      <x:c r="G1931" t="n">
        <x:v>4</x:v>
      </x:c>
      <x:c r="H1931" t="n">
        <x:v>4</x:v>
      </x:c>
      <x:c r="I1931" t="n">
        <x:f>G1931-H1931</x:f>
        <x:v>0</x:v>
      </x:c>
      <x:c r="J1931" s="20" t="n">
        <x:f>IFERROR(H1931/G1931,0)</x:f>
        <x:v>1</x:v>
      </x:c>
      <x:c r="K1931" t="n">
        <x:v>6499</x:v>
      </x:c>
      <x:c r="L1931" t="n">
        <x:v>6780.25</x:v>
      </x:c>
      <x:c r="M1931" t="n">
        <x:v>7558</x:v>
      </x:c>
      <x:c r="N1931" t="n">
        <x:v>8281.75</x:v>
      </x:c>
      <x:c r="O1931" t="n">
        <x:v>8401</x:v>
      </x:c>
    </x:row>
    <x:row r="1932">
      <x:c r="A1932" t="str">
        <x:v>Andhra Pradesh</x:v>
      </x:c>
      <x:c r="B1932" t="str">
        <x:v>All India except Central University</x:v>
      </x:c>
      <x:c r="C1932" t="str">
        <x:v>200423</x:v>
      </x:c>
      <x:c r="D1932" t="str">
        <x:v>Guntur Medical College, Guntur, Kannavarithoa Opp. NGOs Association Building</x:v>
      </x:c>
      <x:c r="E1932" t="str">
        <x:v>All India</x:v>
      </x:c>
      <x:c r="F1932" t="str">
        <x:v>OBC</x:v>
      </x:c>
      <x:c r="G1932" t="n">
        <x:v>10</x:v>
      </x:c>
      <x:c r="H1932" t="n">
        <x:v>10</x:v>
      </x:c>
      <x:c r="I1932" t="n">
        <x:f>G1932-H1932</x:f>
        <x:v>0</x:v>
      </x:c>
      <x:c r="J1932" s="20" t="n">
        <x:f>IFERROR(H1932/G1932,0)</x:f>
        <x:v>1</x:v>
      </x:c>
      <x:c r="K1932" t="n">
        <x:v>5793</x:v>
      </x:c>
      <x:c r="L1932" t="n">
        <x:v>6947.75</x:v>
      </x:c>
      <x:c r="M1932" t="n">
        <x:v>7425</x:v>
      </x:c>
      <x:c r="N1932" t="n">
        <x:v>8237.75</x:v>
      </x:c>
      <x:c r="O1932" t="n">
        <x:v>8513</x:v>
      </x:c>
    </x:row>
    <x:row r="1933">
      <x:c r="A1933" t="str">
        <x:v>Andhra Pradesh</x:v>
      </x:c>
      <x:c r="B1933" t="str">
        <x:v>All India except Central University</x:v>
      </x:c>
      <x:c r="C1933" t="str">
        <x:v>200423</x:v>
      </x:c>
      <x:c r="D1933" t="str">
        <x:v>Guntur Medical College, Guntur, Kannavarithoa Opp. NGOs Association Building</x:v>
      </x:c>
      <x:c r="E1933" t="str">
        <x:v>All India</x:v>
      </x:c>
      <x:c r="F1933" t="str">
        <x:v>Open</x:v>
      </x:c>
      <x:c r="G1933" t="n">
        <x:v>14</x:v>
      </x:c>
      <x:c r="H1933" t="n">
        <x:v>14</x:v>
      </x:c>
      <x:c r="I1933" t="n">
        <x:f>G1933-H1933</x:f>
        <x:v>0</x:v>
      </x:c>
      <x:c r="J1933" s="20" t="n">
        <x:f>IFERROR(H1933/G1933,0)</x:f>
        <x:v>1</x:v>
      </x:c>
      <x:c r="K1933" t="n">
        <x:v>3641</x:v>
      </x:c>
      <x:c r="L1933" t="n">
        <x:v>4619</x:v>
      </x:c>
      <x:c r="M1933" t="n">
        <x:v>5190.5</x:v>
      </x:c>
      <x:c r="N1933" t="n">
        <x:v>5428.75</x:v>
      </x:c>
      <x:c r="O1933" t="n">
        <x:v>5572</x:v>
      </x:c>
    </x:row>
    <x:row r="1934">
      <x:c r="A1934" t="str">
        <x:v>Andhra Pradesh</x:v>
      </x:c>
      <x:c r="B1934" t="str">
        <x:v>All India except Central University</x:v>
      </x:c>
      <x:c r="C1934" t="str">
        <x:v>200423</x:v>
      </x:c>
      <x:c r="D1934" t="str">
        <x:v>Guntur Medical College, Guntur, Kannavarithoa Opp. NGOs Association Building</x:v>
      </x:c>
      <x:c r="E1934" t="str">
        <x:v>All India</x:v>
      </x:c>
      <x:c r="F1934" t="str">
        <x:v>SC</x:v>
      </x:c>
      <x:c r="G1934" t="n">
        <x:v>6</x:v>
      </x:c>
      <x:c r="H1934" t="n">
        <x:v>6</x:v>
      </x:c>
      <x:c r="I1934" t="n">
        <x:f>G1934-H1934</x:f>
        <x:v>0</x:v>
      </x:c>
      <x:c r="J1934" s="20" t="n">
        <x:f>IFERROR(H1934/G1934,0)</x:f>
        <x:v>1</x:v>
      </x:c>
      <x:c r="K1934" t="n">
        <x:v>7123</x:v>
      </x:c>
      <x:c r="L1934" t="n">
        <x:v>22838.25</x:v>
      </x:c>
      <x:c r="M1934" t="n">
        <x:v>31785.5</x:v>
      </x:c>
      <x:c r="N1934" t="n">
        <x:v>36486.25</x:v>
      </x:c>
      <x:c r="O1934" t="n">
        <x:v>38649</x:v>
      </x:c>
    </x:row>
    <x:row r="1935">
      <x:c r="A1935" t="str">
        <x:v>Andhra Pradesh</x:v>
      </x:c>
      <x:c r="B1935" t="str">
        <x:v>All India except Central University</x:v>
      </x:c>
      <x:c r="C1935" t="str">
        <x:v>200423</x:v>
      </x:c>
      <x:c r="D1935" t="str">
        <x:v>Guntur Medical College, Guntur, Kannavarithoa Opp. NGOs Association Building</x:v>
      </x:c>
      <x:c r="E1935" t="str">
        <x:v>All India</x:v>
      </x:c>
      <x:c r="F1935" t="str">
        <x:v>ST</x:v>
      </x:c>
      <x:c r="G1935" t="n">
        <x:v>3</x:v>
      </x:c>
      <x:c r="H1935" t="n">
        <x:v>3</x:v>
      </x:c>
      <x:c r="I1935" t="n">
        <x:f>G1935-H1935</x:f>
        <x:v>0</x:v>
      </x:c>
      <x:c r="J1935" s="20" t="n">
        <x:f>IFERROR(H1935/G1935,0)</x:f>
        <x:v>1</x:v>
      </x:c>
      <x:c r="K1935" t="n">
        <x:v>46594</x:v>
      </x:c>
      <x:c r="L1935" t="n">
        <x:v>52200</x:v>
      </x:c>
      <x:c r="M1935" t="n">
        <x:v>57806</x:v>
      </x:c>
      <x:c r="N1935" t="n">
        <x:v>60176.5</x:v>
      </x:c>
      <x:c r="O1935" t="n">
        <x:v>62547</x:v>
      </x:c>
    </x:row>
    <x:row r="1936">
      <x:c r="A1936" t="str">
        <x:v>Punjab</x:v>
      </x:c>
      <x:c r="B1936" t="str">
        <x:v>All India except Central University</x:v>
      </x:c>
      <x:c r="C1936" t="str">
        <x:v>200247</x:v>
      </x:c>
      <x:c r="D1936" t="str">
        <x:v>Guru Govind Singh Medical College, Faridkot, Sadiq Road, Faridkot.</x:v>
      </x:c>
      <x:c r="E1936" t="str">
        <x:v>All India</x:v>
      </x:c>
      <x:c r="F1936" t="str">
        <x:v>EWS</x:v>
      </x:c>
      <x:c r="G1936" t="n">
        <x:v>4</x:v>
      </x:c>
      <x:c r="H1936" t="n">
        <x:v>4</x:v>
      </x:c>
      <x:c r="I1936" t="n">
        <x:f>G1936-H1936</x:f>
        <x:v>0</x:v>
      </x:c>
      <x:c r="J1936" s="20" t="n">
        <x:f>IFERROR(H1936/G1936,0)</x:f>
        <x:v>1</x:v>
      </x:c>
      <x:c r="K1936" t="n">
        <x:v>10447</x:v>
      </x:c>
      <x:c r="L1936" t="n">
        <x:v>10843</x:v>
      </x:c>
      <x:c r="M1936" t="n">
        <x:v>11158</x:v>
      </x:c>
      <x:c r="N1936" t="n">
        <x:v>11428.75</x:v>
      </x:c>
      <x:c r="O1936" t="n">
        <x:v>11692</x:v>
      </x:c>
    </x:row>
    <x:row r="1937">
      <x:c r="A1937" t="str">
        <x:v>Punjab</x:v>
      </x:c>
      <x:c r="B1937" t="str">
        <x:v>All India except Central University</x:v>
      </x:c>
      <x:c r="C1937" t="str">
        <x:v>200247</x:v>
      </x:c>
      <x:c r="D1937" t="str">
        <x:v>Guru Govind Singh Medical College, Faridkot, Sadiq Road, Faridkot.</x:v>
      </x:c>
      <x:c r="E1937" t="str">
        <x:v>All India</x:v>
      </x:c>
      <x:c r="F1937" t="str">
        <x:v>OBC</x:v>
      </x:c>
      <x:c r="G1937" t="n">
        <x:v>10</x:v>
      </x:c>
      <x:c r="H1937" t="n">
        <x:v>10</x:v>
      </x:c>
      <x:c r="I1937" t="n">
        <x:f>G1937-H1937</x:f>
        <x:v>0</x:v>
      </x:c>
      <x:c r="J1937" s="20" t="n">
        <x:f>IFERROR(H1937/G1937,0)</x:f>
        <x:v>1</x:v>
      </x:c>
      <x:c r="K1937" t="n">
        <x:v>8605</x:v>
      </x:c>
      <x:c r="L1937" t="n">
        <x:v>9540</x:v>
      </x:c>
      <x:c r="M1937" t="n">
        <x:v>10180.5</x:v>
      </x:c>
      <x:c r="N1937" t="n">
        <x:v>10269</x:v>
      </x:c>
      <x:c r="O1937" t="n">
        <x:v>10454</x:v>
      </x:c>
    </x:row>
    <x:row r="1938">
      <x:c r="A1938" t="str">
        <x:v>Punjab</x:v>
      </x:c>
      <x:c r="B1938" t="str">
        <x:v>All India except Central University</x:v>
      </x:c>
      <x:c r="C1938" t="str">
        <x:v>200247</x:v>
      </x:c>
      <x:c r="D1938" t="str">
        <x:v>Guru Govind Singh Medical College, Faridkot, Sadiq Road, Faridkot.</x:v>
      </x:c>
      <x:c r="E1938" t="str">
        <x:v>All India</x:v>
      </x:c>
      <x:c r="F1938" t="str">
        <x:v>Open</x:v>
      </x:c>
      <x:c r="G1938" t="n">
        <x:v>15</x:v>
      </x:c>
      <x:c r="H1938" t="n">
        <x:v>15</x:v>
      </x:c>
      <x:c r="I1938" t="n">
        <x:f>G1938-H1938</x:f>
        <x:v>0</x:v>
      </x:c>
      <x:c r="J1938" s="20" t="n">
        <x:f>IFERROR(H1938/G1938,0)</x:f>
        <x:v>1</x:v>
      </x:c>
      <x:c r="K1938" t="n">
        <x:v>4780</x:v>
      </x:c>
      <x:c r="L1938" t="n">
        <x:v>6066.5</x:v>
      </x:c>
      <x:c r="M1938" t="n">
        <x:v>7193</x:v>
      </x:c>
      <x:c r="N1938" t="n">
        <x:v>7485.5</x:v>
      </x:c>
      <x:c r="O1938" t="n">
        <x:v>7817</x:v>
      </x:c>
    </x:row>
    <x:row r="1939">
      <x:c r="A1939" t="str">
        <x:v>Punjab</x:v>
      </x:c>
      <x:c r="B1939" t="str">
        <x:v>All India except Central University</x:v>
      </x:c>
      <x:c r="C1939" t="str">
        <x:v>200247</x:v>
      </x:c>
      <x:c r="D1939" t="str">
        <x:v>Guru Govind Singh Medical College, Faridkot, Sadiq Road, Faridkot.</x:v>
      </x:c>
      <x:c r="E1939" t="str">
        <x:v>All India</x:v>
      </x:c>
      <x:c r="F1939" t="str">
        <x:v>Open PwD</x:v>
      </x:c>
      <x:c r="G1939" t="n">
        <x:v>1</x:v>
      </x:c>
      <x:c r="H1939" t="n">
        <x:v>1</x:v>
      </x:c>
      <x:c r="I1939" t="n">
        <x:f>G1939-H1939</x:f>
        <x:v>0</x:v>
      </x:c>
      <x:c r="J1939" s="20" t="n">
        <x:f>IFERROR(H1939/G1939,0)</x:f>
        <x:v>1</x:v>
      </x:c>
      <x:c r="K1939" t="n">
        <x:v>290271</x:v>
      </x:c>
      <x:c r="L1939" t="n">
        <x:v>290271</x:v>
      </x:c>
      <x:c r="M1939" t="n">
        <x:v>290271</x:v>
      </x:c>
      <x:c r="N1939" t="n">
        <x:v>290271</x:v>
      </x:c>
      <x:c r="O1939" t="n">
        <x:v>290271</x:v>
      </x:c>
    </x:row>
    <x:row r="1940">
      <x:c r="A1940" t="str">
        <x:v>Punjab</x:v>
      </x:c>
      <x:c r="B1940" t="str">
        <x:v>All India except Central University</x:v>
      </x:c>
      <x:c r="C1940" t="str">
        <x:v>200247</x:v>
      </x:c>
      <x:c r="D1940" t="str">
        <x:v>Guru Govind Singh Medical College, Faridkot, Sadiq Road, Faridkot.</x:v>
      </x:c>
      <x:c r="E1940" t="str">
        <x:v>All India</x:v>
      </x:c>
      <x:c r="F1940" t="str">
        <x:v>SC</x:v>
      </x:c>
      <x:c r="G1940" t="n">
        <x:v>5</x:v>
      </x:c>
      <x:c r="H1940" t="n">
        <x:v>5</x:v>
      </x:c>
      <x:c r="I1940" t="n">
        <x:f>G1940-H1940</x:f>
        <x:v>0</x:v>
      </x:c>
      <x:c r="J1940" s="20" t="n">
        <x:f>IFERROR(H1940/G1940,0)</x:f>
        <x:v>1</x:v>
      </x:c>
      <x:c r="K1940" t="n">
        <x:v>37029</x:v>
      </x:c>
      <x:c r="L1940" t="n">
        <x:v>42997</x:v>
      </x:c>
      <x:c r="M1940" t="n">
        <x:v>45286</x:v>
      </x:c>
      <x:c r="N1940" t="n">
        <x:v>45314</x:v>
      </x:c>
      <x:c r="O1940" t="n">
        <x:v>46327</x:v>
      </x:c>
    </x:row>
    <x:row r="1941">
      <x:c r="A1941" t="str">
        <x:v>Punjab</x:v>
      </x:c>
      <x:c r="B1941" t="str">
        <x:v>All India except Central University</x:v>
      </x:c>
      <x:c r="C1941" t="str">
        <x:v>200247</x:v>
      </x:c>
      <x:c r="D1941" t="str">
        <x:v>Guru Govind Singh Medical College, Faridkot, Sadiq Road, Faridkot.</x:v>
      </x:c>
      <x:c r="E1941" t="str">
        <x:v>All India</x:v>
      </x:c>
      <x:c r="F1941" t="str">
        <x:v>ST</x:v>
      </x:c>
      <x:c r="G1941" t="n">
        <x:v>2</x:v>
      </x:c>
      <x:c r="H1941" t="n">
        <x:v>2</x:v>
      </x:c>
      <x:c r="I1941" t="n">
        <x:f>G1941-H1941</x:f>
        <x:v>0</x:v>
      </x:c>
      <x:c r="J1941" s="20" t="n">
        <x:f>IFERROR(H1941/G1941,0)</x:f>
        <x:v>1</x:v>
      </x:c>
      <x:c r="K1941" t="n">
        <x:v>73838</x:v>
      </x:c>
      <x:c r="L1941" t="n">
        <x:v>77131.25</x:v>
      </x:c>
      <x:c r="M1941" t="n">
        <x:v>80424.5</x:v>
      </x:c>
      <x:c r="N1941" t="n">
        <x:v>83717.75</x:v>
      </x:c>
      <x:c r="O1941" t="n">
        <x:v>87011</x:v>
      </x:c>
    </x:row>
    <x:row r="1942">
      <x:c r="A1942" t="str">
        <x:v>Maharashtra</x:v>
      </x:c>
      <x:c r="B1942" t="str">
        <x:v>All India except Central University</x:v>
      </x:c>
      <x:c r="C1942" t="str">
        <x:v>200206</x:v>
      </x:c>
      <x:c r="D1942" t="str">
        <x:v>H.B.T. Medical College &amp; Dr. R.N. Cooper Municipal General Hospital, Juhu, Mumbai, JUHU, VILEPARLE WEST MUMBAI</x:v>
      </x:c>
      <x:c r="E1942" t="str">
        <x:v>All India</x:v>
      </x:c>
      <x:c r="F1942" t="str">
        <x:v>EWS</x:v>
      </x:c>
      <x:c r="G1942" t="n">
        <x:v>3</x:v>
      </x:c>
      <x:c r="H1942" t="n">
        <x:v>3</x:v>
      </x:c>
      <x:c r="I1942" t="n">
        <x:f>G1942-H1942</x:f>
        <x:v>0</x:v>
      </x:c>
      <x:c r="J1942" s="20" t="n">
        <x:f>IFERROR(H1942/G1942,0)</x:f>
        <x:v>1</x:v>
      </x:c>
      <x:c r="K1942" t="n">
        <x:v>5559</x:v>
      </x:c>
      <x:c r="L1942" t="n">
        <x:v>6127</x:v>
      </x:c>
      <x:c r="M1942" t="n">
        <x:v>6695</x:v>
      </x:c>
      <x:c r="N1942" t="n">
        <x:v>7218</x:v>
      </x:c>
      <x:c r="O1942" t="n">
        <x:v>7741</x:v>
      </x:c>
    </x:row>
    <x:row r="1943">
      <x:c r="A1943" t="str">
        <x:v>Maharashtra</x:v>
      </x:c>
      <x:c r="B1943" t="str">
        <x:v>All India except Central University</x:v>
      </x:c>
      <x:c r="C1943" t="str">
        <x:v>200206</x:v>
      </x:c>
      <x:c r="D1943" t="str">
        <x:v>H.B.T. Medical College &amp; Dr. R.N. Cooper Municipal General Hospital, Juhu, Mumbai, JUHU, VILEPARLE WEST MUMBAI</x:v>
      </x:c>
      <x:c r="E1943" t="str">
        <x:v>All India</x:v>
      </x:c>
      <x:c r="F1943" t="str">
        <x:v>OBC</x:v>
      </x:c>
      <x:c r="G1943" t="n">
        <x:v>8</x:v>
      </x:c>
      <x:c r="H1943" t="n">
        <x:v>8</x:v>
      </x:c>
      <x:c r="I1943" t="n">
        <x:f>G1943-H1943</x:f>
        <x:v>0</x:v>
      </x:c>
      <x:c r="J1943" s="20" t="n">
        <x:f>IFERROR(H1943/G1943,0)</x:f>
        <x:v>1</x:v>
      </x:c>
      <x:c r="K1943" t="n">
        <x:v>5067</x:v>
      </x:c>
      <x:c r="L1943" t="n">
        <x:v>5944.5</x:v>
      </x:c>
      <x:c r="M1943" t="n">
        <x:v>6011</x:v>
      </x:c>
      <x:c r="N1943" t="n">
        <x:v>6196</x:v>
      </x:c>
      <x:c r="O1943" t="n">
        <x:v>6395</x:v>
      </x:c>
    </x:row>
    <x:row r="1944">
      <x:c r="A1944" t="str">
        <x:v>Maharashtra</x:v>
      </x:c>
      <x:c r="B1944" t="str">
        <x:v>All India except Central University</x:v>
      </x:c>
      <x:c r="C1944" t="str">
        <x:v>200206</x:v>
      </x:c>
      <x:c r="D1944" t="str">
        <x:v>H.B.T. Medical College &amp; Dr. R.N. Cooper Municipal General Hospital, Juhu, Mumbai, JUHU, VILEPARLE WEST MUMBAI</x:v>
      </x:c>
      <x:c r="E1944" t="str">
        <x:v>All India</x:v>
      </x:c>
      <x:c r="F1944" t="str">
        <x:v>Open</x:v>
      </x:c>
      <x:c r="G1944" t="n">
        <x:v>11</x:v>
      </x:c>
      <x:c r="H1944" t="n">
        <x:v>11</x:v>
      </x:c>
      <x:c r="I1944" t="n">
        <x:f>G1944-H1944</x:f>
        <x:v>0</x:v>
      </x:c>
      <x:c r="J1944" s="20" t="n">
        <x:f>IFERROR(H1944/G1944,0)</x:f>
        <x:v>1</x:v>
      </x:c>
      <x:c r="K1944" t="n">
        <x:v>3104</x:v>
      </x:c>
      <x:c r="L1944" t="n">
        <x:v>3771</x:v>
      </x:c>
      <x:c r="M1944" t="n">
        <x:v>4098</x:v>
      </x:c>
      <x:c r="N1944" t="n">
        <x:v>4110</x:v>
      </x:c>
      <x:c r="O1944" t="n">
        <x:v>4191</x:v>
      </x:c>
    </x:row>
    <x:row r="1945">
      <x:c r="A1945" t="str">
        <x:v>Maharashtra</x:v>
      </x:c>
      <x:c r="B1945" t="str">
        <x:v>All India except Central University</x:v>
      </x:c>
      <x:c r="C1945" t="str">
        <x:v>200206</x:v>
      </x:c>
      <x:c r="D1945" t="str">
        <x:v>H.B.T. Medical College &amp; Dr. R.N. Cooper Municipal General Hospital, Juhu, Mumbai, JUHU, VILEPARLE WEST MUMBAI</x:v>
      </x:c>
      <x:c r="E1945" t="str">
        <x:v>All India</x:v>
      </x:c>
      <x:c r="F1945" t="str">
        <x:v>Open PwD</x:v>
      </x:c>
      <x:c r="G1945" t="n">
        <x:v>1</x:v>
      </x:c>
      <x:c r="H1945" t="n">
        <x:v>1</x:v>
      </x:c>
      <x:c r="I1945" t="n">
        <x:f>G1945-H1945</x:f>
        <x:v>0</x:v>
      </x:c>
      <x:c r="J1945" s="20" t="n">
        <x:f>IFERROR(H1945/G1945,0)</x:f>
        <x:v>1</x:v>
      </x:c>
      <x:c r="K1945" t="n">
        <x:v>226577</x:v>
      </x:c>
      <x:c r="L1945" t="n">
        <x:v>226577</x:v>
      </x:c>
      <x:c r="M1945" t="n">
        <x:v>226577</x:v>
      </x:c>
      <x:c r="N1945" t="n">
        <x:v>226577</x:v>
      </x:c>
      <x:c r="O1945" t="n">
        <x:v>226577</x:v>
      </x:c>
    </x:row>
    <x:row r="1946">
      <x:c r="A1946" t="str">
        <x:v>Maharashtra</x:v>
      </x:c>
      <x:c r="B1946" t="str">
        <x:v>All India except Central University</x:v>
      </x:c>
      <x:c r="C1946" t="str">
        <x:v>200206</x:v>
      </x:c>
      <x:c r="D1946" t="str">
        <x:v>H.B.T. Medical College &amp; Dr. R.N. Cooper Municipal General Hospital, Juhu, Mumbai, JUHU, VILEPARLE WEST MUMBAI</x:v>
      </x:c>
      <x:c r="E1946" t="str">
        <x:v>All India</x:v>
      </x:c>
      <x:c r="F1946" t="str">
        <x:v>SC</x:v>
      </x:c>
      <x:c r="G1946" t="n">
        <x:v>5</x:v>
      </x:c>
      <x:c r="H1946" t="n">
        <x:v>5</x:v>
      </x:c>
      <x:c r="I1946" t="n">
        <x:f>G1946-H1946</x:f>
        <x:v>0</x:v>
      </x:c>
      <x:c r="J1946" s="20" t="n">
        <x:f>IFERROR(H1946/G1946,0)</x:f>
        <x:v>1</x:v>
      </x:c>
      <x:c r="K1946" t="n">
        <x:v>32198</x:v>
      </x:c>
      <x:c r="L1946" t="n">
        <x:v>38648</x:v>
      </x:c>
      <x:c r="M1946" t="n">
        <x:v>39174</x:v>
      </x:c>
      <x:c r="N1946" t="n">
        <x:v>41802</x:v>
      </x:c>
      <x:c r="O1946" t="n">
        <x:v>42210</x:v>
      </x:c>
    </x:row>
    <x:row r="1947">
      <x:c r="A1947" t="str">
        <x:v>Maharashtra</x:v>
      </x:c>
      <x:c r="B1947" t="str">
        <x:v>All India except Central University</x:v>
      </x:c>
      <x:c r="C1947" t="str">
        <x:v>200206</x:v>
      </x:c>
      <x:c r="D1947" t="str">
        <x:v>H.B.T. Medical College &amp; Dr. R.N. Cooper Municipal General Hospital, Juhu, Mumbai, JUHU, VILEPARLE WEST MUMBAI</x:v>
      </x:c>
      <x:c r="E1947" t="str">
        <x:v>All India</x:v>
      </x:c>
      <x:c r="F1947" t="str">
        <x:v>ST</x:v>
      </x:c>
      <x:c r="G1947" t="n">
        <x:v>2</x:v>
      </x:c>
      <x:c r="H1947" t="n">
        <x:v>2</x:v>
      </x:c>
      <x:c r="I1947" t="n">
        <x:f>G1947-H1947</x:f>
        <x:v>0</x:v>
      </x:c>
      <x:c r="J1947" s="20" t="n">
        <x:f>IFERROR(H1947/G1947,0)</x:f>
        <x:v>1</x:v>
      </x:c>
      <x:c r="K1947" t="n">
        <x:v>68163</x:v>
      </x:c>
      <x:c r="L1947" t="n">
        <x:v>68495.25</x:v>
      </x:c>
      <x:c r="M1947" t="n">
        <x:v>68827.5</x:v>
      </x:c>
      <x:c r="N1947" t="n">
        <x:v>69159.75</x:v>
      </x:c>
      <x:c r="O1947" t="n">
        <x:v>69492</x:v>
      </x:c>
    </x:row>
    <x:row r="1948">
      <x:c r="A1948" t="str">
        <x:v>Delhi</x:v>
      </x:c>
      <x:c r="B1948" t="str">
        <x:v>Deemed University</x:v>
      </x:c>
      <x:c r="C1948" t="str">
        <x:v>200326</x:v>
      </x:c>
      <x:c r="D1948" t="str">
        <x:v>Hamdard Institute of Medical Sciences &amp; Research, New Delhi, HIMSR, Guru Ravidas Marg, Hamdard Nagar, New Delhi</x:v>
      </x:c>
      <x:c r="E1948" t="str">
        <x:v>Muslim Minority</x:v>
      </x:c>
      <x:c r="F1948" t="str">
        <x:v>Open</x:v>
      </x:c>
      <x:c r="G1948" t="n">
        <x:v>75</x:v>
      </x:c>
      <x:c r="H1948" t="n">
        <x:v>75</x:v>
      </x:c>
      <x:c r="I1948" t="n">
        <x:f>G1948-H1948</x:f>
        <x:v>0</x:v>
      </x:c>
      <x:c r="J1948" s="20" t="n">
        <x:f>IFERROR(H1948/G1948,0)</x:f>
        <x:v>1</x:v>
      </x:c>
      <x:c r="K1948" t="n">
        <x:v>38216</x:v>
      </x:c>
      <x:c r="L1948" t="n">
        <x:v>74078.5</x:v>
      </x:c>
      <x:c r="M1948" t="n">
        <x:v>84757</x:v>
      </x:c>
      <x:c r="N1948" t="n">
        <x:v>92992.5</x:v>
      </x:c>
      <x:c r="O1948" t="n">
        <x:v>103937</x:v>
      </x:c>
    </x:row>
    <x:row r="1949">
      <x:c r="A1949" t="str">
        <x:v>Delhi</x:v>
      </x:c>
      <x:c r="B1949" t="str">
        <x:v>Deemed University</x:v>
      </x:c>
      <x:c r="C1949" t="str">
        <x:v>200326</x:v>
      </x:c>
      <x:c r="D1949" t="str">
        <x:v>Hamdard Institute of Medical Sciences &amp; Research, New Delhi, HIMSR, Guru Ravidas Marg, Hamdard Nagar, New Delhi</x:v>
      </x:c>
      <x:c r="E1949" t="str">
        <x:v>NRI</x:v>
      </x:c>
      <x:c r="F1949" t="str">
        <x:v>Open</x:v>
      </x:c>
      <x:c r="G1949" t="n">
        <x:v>23</x:v>
      </x:c>
      <x:c r="H1949" t="n">
        <x:v>5</x:v>
      </x:c>
      <x:c r="I1949" t="n">
        <x:f>G1949-H1949</x:f>
        <x:v>18</x:v>
      </x:c>
      <x:c r="J1949" s="20" t="n">
        <x:f>IFERROR(H1949/G1949,0)</x:f>
        <x:v>0.21739130434782608</x:v>
      </x:c>
      <x:c r="K1949" t="n">
        <x:v>401309</x:v>
      </x:c>
      <x:c r="L1949" t="n">
        <x:v>531105</x:v>
      </x:c>
      <x:c r="M1949" t="n">
        <x:v>819480</x:v>
      </x:c>
      <x:c r="N1949" t="n">
        <x:v>848310</x:v>
      </x:c>
      <x:c r="O1949" t="n">
        <x:v>857621</x:v>
      </x:c>
    </x:row>
    <x:row r="1950">
      <x:c r="A1950" t="str">
        <x:v>Delhi</x:v>
      </x:c>
      <x:c r="B1950" t="str">
        <x:v>Deemed University</x:v>
      </x:c>
      <x:c r="C1950" t="str">
        <x:v>200326</x:v>
      </x:c>
      <x:c r="D1950" t="str">
        <x:v>Hamdard Institute of Medical Sciences &amp; Research, New Delhi, HIMSR, Guru Ravidas Marg, Hamdard Nagar, New Delhi</x:v>
      </x:c>
      <x:c r="E1950" t="str">
        <x:v>Self-Financed Merit</x:v>
      </x:c>
      <x:c r="F1950" t="str">
        <x:v>Open</x:v>
      </x:c>
      <x:c r="G1950" t="n">
        <x:v>52</x:v>
      </x:c>
      <x:c r="H1950" t="n">
        <x:v>52</x:v>
      </x:c>
      <x:c r="I1950" t="n">
        <x:f>G1950-H1950</x:f>
        <x:v>0</x:v>
      </x:c>
      <x:c r="J1950" s="20" t="n">
        <x:f>IFERROR(H1950/G1950,0)</x:f>
        <x:v>1</x:v>
      </x:c>
      <x:c r="K1950" t="n">
        <x:v>9818</x:v>
      </x:c>
      <x:c r="L1950" t="n">
        <x:v>48011.75</x:v>
      </x:c>
      <x:c r="M1950" t="n">
        <x:v>57615</x:v>
      </x:c>
      <x:c r="N1950" t="n">
        <x:v>65883.75</x:v>
      </x:c>
      <x:c r="O1950" t="n">
        <x:v>70072</x:v>
      </x:c>
    </x:row>
    <x:row r="1951">
      <x:c r="A1951" t="str">
        <x:v>Karnataka</x:v>
      </x:c>
      <x:c r="B1951" t="str">
        <x:v>All India except Central University</x:v>
      </x:c>
      <x:c r="C1951" t="str">
        <x:v>200172</x:v>
      </x:c>
      <x:c r="D1951" t="str">
        <x:v>Hassan Institute of Medical Sciences, Hassan, K R PURAM, BEHIND DC OFFICE,HASSAN</x:v>
      </x:c>
      <x:c r="E1951" t="str">
        <x:v>All India</x:v>
      </x:c>
      <x:c r="F1951" t="str">
        <x:v>EWS</x:v>
      </x:c>
      <x:c r="G1951" t="n">
        <x:v>3</x:v>
      </x:c>
      <x:c r="H1951" t="n">
        <x:v>3</x:v>
      </x:c>
      <x:c r="I1951" t="n">
        <x:f>G1951-H1951</x:f>
        <x:v>0</x:v>
      </x:c>
      <x:c r="J1951" s="20" t="n">
        <x:f>IFERROR(H1951/G1951,0)</x:f>
        <x:v>1</x:v>
      </x:c>
      <x:c r="K1951" t="n">
        <x:v>12401</x:v>
      </x:c>
      <x:c r="L1951" t="n">
        <x:v>14175.5</x:v>
      </x:c>
      <x:c r="M1951" t="n">
        <x:v>15950</x:v>
      </x:c>
      <x:c r="N1951" t="n">
        <x:v>16651.5</x:v>
      </x:c>
      <x:c r="O1951" t="n">
        <x:v>17353</x:v>
      </x:c>
    </x:row>
    <x:row r="1952">
      <x:c r="A1952" t="str">
        <x:v>Karnataka</x:v>
      </x:c>
      <x:c r="B1952" t="str">
        <x:v>All India except Central University</x:v>
      </x:c>
      <x:c r="C1952" t="str">
        <x:v>200172</x:v>
      </x:c>
      <x:c r="D1952" t="str">
        <x:v>Hassan Institute of Medical Sciences, Hassan, K R PURAM, BEHIND DC OFFICE,HASSAN</x:v>
      </x:c>
      <x:c r="E1952" t="str">
        <x:v>All India</x:v>
      </x:c>
      <x:c r="F1952" t="str">
        <x:v>OBC</x:v>
      </x:c>
      <x:c r="G1952" t="n">
        <x:v>7</x:v>
      </x:c>
      <x:c r="H1952" t="n">
        <x:v>7</x:v>
      </x:c>
      <x:c r="I1952" t="n">
        <x:f>G1952-H1952</x:f>
        <x:v>0</x:v>
      </x:c>
      <x:c r="J1952" s="20" t="n">
        <x:f>IFERROR(H1952/G1952,0)</x:f>
        <x:v>1</x:v>
      </x:c>
      <x:c r="K1952" t="n">
        <x:v>9879</x:v>
      </x:c>
      <x:c r="L1952" t="n">
        <x:v>10997</x:v>
      </x:c>
      <x:c r="M1952" t="n">
        <x:v>11131</x:v>
      </x:c>
      <x:c r="N1952" t="n">
        <x:v>12299</x:v>
      </x:c>
      <x:c r="O1952" t="n">
        <x:v>12445</x:v>
      </x:c>
    </x:row>
    <x:row r="1953">
      <x:c r="A1953" t="str">
        <x:v>Karnataka</x:v>
      </x:c>
      <x:c r="B1953" t="str">
        <x:v>All India except Central University</x:v>
      </x:c>
      <x:c r="C1953" t="str">
        <x:v>200172</x:v>
      </x:c>
      <x:c r="D1953" t="str">
        <x:v>Hassan Institute of Medical Sciences, Hassan, K R PURAM, BEHIND DC OFFICE,HASSAN</x:v>
      </x:c>
      <x:c r="E1953" t="str">
        <x:v>All India</x:v>
      </x:c>
      <x:c r="F1953" t="str">
        <x:v>OBC PwD</x:v>
      </x:c>
      <x:c r="G1953" t="n">
        <x:v>1</x:v>
      </x:c>
      <x:c r="H1953" t="n">
        <x:v>1</x:v>
      </x:c>
      <x:c r="I1953" t="n">
        <x:f>G1953-H1953</x:f>
        <x:v>0</x:v>
      </x:c>
      <x:c r="J1953" s="20" t="n">
        <x:f>IFERROR(H1953/G1953,0)</x:f>
        <x:v>1</x:v>
      </x:c>
      <x:c r="K1953" t="n">
        <x:v>664979</x:v>
      </x:c>
      <x:c r="L1953" t="n">
        <x:v>664979</x:v>
      </x:c>
      <x:c r="M1953" t="n">
        <x:v>664979</x:v>
      </x:c>
      <x:c r="N1953" t="n">
        <x:v>664979</x:v>
      </x:c>
      <x:c r="O1953" t="n">
        <x:v>664979</x:v>
      </x:c>
    </x:row>
    <x:row r="1954">
      <x:c r="A1954" t="str">
        <x:v>Karnataka</x:v>
      </x:c>
      <x:c r="B1954" t="str">
        <x:v>All India except Central University</x:v>
      </x:c>
      <x:c r="C1954" t="str">
        <x:v>200172</x:v>
      </x:c>
      <x:c r="D1954" t="str">
        <x:v>Hassan Institute of Medical Sciences, Hassan, K R PURAM, BEHIND DC OFFICE,HASSAN</x:v>
      </x:c>
      <x:c r="E1954" t="str">
        <x:v>All India</x:v>
      </x:c>
      <x:c r="F1954" t="str">
        <x:v>Open</x:v>
      </x:c>
      <x:c r="G1954" t="n">
        <x:v>11</x:v>
      </x:c>
      <x:c r="H1954" t="n">
        <x:v>11</x:v>
      </x:c>
      <x:c r="I1954" t="n">
        <x:f>G1954-H1954</x:f>
        <x:v>0</x:v>
      </x:c>
      <x:c r="J1954" s="20" t="n">
        <x:f>IFERROR(H1954/G1954,0)</x:f>
        <x:v>1</x:v>
      </x:c>
      <x:c r="K1954" t="n">
        <x:v>6916</x:v>
      </x:c>
      <x:c r="L1954" t="n">
        <x:v>7259</x:v>
      </x:c>
      <x:c r="M1954" t="n">
        <x:v>8247</x:v>
      </x:c>
      <x:c r="N1954" t="n">
        <x:v>9257.5</x:v>
      </x:c>
      <x:c r="O1954" t="n">
        <x:v>9640</x:v>
      </x:c>
    </x:row>
    <x:row r="1955">
      <x:c r="A1955" t="str">
        <x:v>Karnataka</x:v>
      </x:c>
      <x:c r="B1955" t="str">
        <x:v>All India except Central University</x:v>
      </x:c>
      <x:c r="C1955" t="str">
        <x:v>200172</x:v>
      </x:c>
      <x:c r="D1955" t="str">
        <x:v>Hassan Institute of Medical Sciences, Hassan, K R PURAM, BEHIND DC OFFICE,HASSAN</x:v>
      </x:c>
      <x:c r="E1955" t="str">
        <x:v>All India</x:v>
      </x:c>
      <x:c r="F1955" t="str">
        <x:v>Open PwD</x:v>
      </x:c>
      <x:c r="G1955" t="n">
        <x:v>1</x:v>
      </x:c>
      <x:c r="H1955" t="n">
        <x:v>1</x:v>
      </x:c>
      <x:c r="I1955" t="n">
        <x:f>G1955-H1955</x:f>
        <x:v>0</x:v>
      </x:c>
      <x:c r="J1955" s="20" t="n">
        <x:f>IFERROR(H1955/G1955,0)</x:f>
        <x:v>1</x:v>
      </x:c>
      <x:c r="K1955" t="n">
        <x:v>383547</x:v>
      </x:c>
      <x:c r="L1955" t="n">
        <x:v>383547</x:v>
      </x:c>
      <x:c r="M1955" t="n">
        <x:v>383547</x:v>
      </x:c>
      <x:c r="N1955" t="n">
        <x:v>383547</x:v>
      </x:c>
      <x:c r="O1955" t="n">
        <x:v>383547</x:v>
      </x:c>
    </x:row>
    <x:row r="1956">
      <x:c r="A1956" t="str">
        <x:v>Karnataka</x:v>
      </x:c>
      <x:c r="B1956" t="str">
        <x:v>All India except Central University</x:v>
      </x:c>
      <x:c r="C1956" t="str">
        <x:v>200172</x:v>
      </x:c>
      <x:c r="D1956" t="str">
        <x:v>Hassan Institute of Medical Sciences, Hassan, K R PURAM, BEHIND DC OFFICE,HASSAN</x:v>
      </x:c>
      <x:c r="E1956" t="str">
        <x:v>All India</x:v>
      </x:c>
      <x:c r="F1956" t="str">
        <x:v>SC</x:v>
      </x:c>
      <x:c r="G1956" t="n">
        <x:v>4</x:v>
      </x:c>
      <x:c r="H1956" t="n">
        <x:v>4</x:v>
      </x:c>
      <x:c r="I1956" t="n">
        <x:f>G1956-H1956</x:f>
        <x:v>0</x:v>
      </x:c>
      <x:c r="J1956" s="20" t="n">
        <x:f>IFERROR(H1956/G1956,0)</x:f>
        <x:v>1</x:v>
      </x:c>
      <x:c r="K1956" t="n">
        <x:v>57307</x:v>
      </x:c>
      <x:c r="L1956" t="n">
        <x:v>58381</x:v>
      </x:c>
      <x:c r="M1956" t="n">
        <x:v>61439.5</x:v>
      </x:c>
      <x:c r="N1956" t="n">
        <x:v>64303.5</x:v>
      </x:c>
      <x:c r="O1956" t="n">
        <x:v>64794</x:v>
      </x:c>
    </x:row>
    <x:row r="1957">
      <x:c r="A1957" t="str">
        <x:v>Karnataka</x:v>
      </x:c>
      <x:c r="B1957" t="str">
        <x:v>All India except Central University</x:v>
      </x:c>
      <x:c r="C1957" t="str">
        <x:v>200172</x:v>
      </x:c>
      <x:c r="D1957" t="str">
        <x:v>Hassan Institute of Medical Sciences, Hassan, K R PURAM, BEHIND DC OFFICE,HASSAN</x:v>
      </x:c>
      <x:c r="E1957" t="str">
        <x:v>All India</x:v>
      </x:c>
      <x:c r="F1957" t="str">
        <x:v>ST</x:v>
      </x:c>
      <x:c r="G1957" t="n">
        <x:v>3</x:v>
      </x:c>
      <x:c r="H1957" t="n">
        <x:v>3</x:v>
      </x:c>
      <x:c r="I1957" t="n">
        <x:f>G1957-H1957</x:f>
        <x:v>0</x:v>
      </x:c>
      <x:c r="J1957" s="20" t="n">
        <x:f>IFERROR(H1957/G1957,0)</x:f>
        <x:v>1</x:v>
      </x:c>
      <x:c r="K1957" t="n">
        <x:v>71327</x:v>
      </x:c>
      <x:c r="L1957" t="n">
        <x:v>71801</x:v>
      </x:c>
      <x:c r="M1957" t="n">
        <x:v>72275</x:v>
      </x:c>
      <x:c r="N1957" t="n">
        <x:v>76558.5</x:v>
      </x:c>
      <x:c r="O1957" t="n">
        <x:v>80842</x:v>
      </x:c>
    </x:row>
    <x:row r="1958">
      <x:c r="A1958" t="str">
        <x:v>Karnataka</x:v>
      </x:c>
      <x:c r="B1958" t="str">
        <x:v>All India except Central University</x:v>
      </x:c>
      <x:c r="C1958" t="str">
        <x:v>200610</x:v>
      </x:c>
      <x:c r="D1958" t="str">
        <x:v>Haveri Institute of Medical Sciences, Haveri, Devagiri-Yellapura, Haveri-581110, Karnataka</x:v>
      </x:c>
      <x:c r="E1958" t="str">
        <x:v>All India</x:v>
      </x:c>
      <x:c r="F1958" t="str">
        <x:v>EWS</x:v>
      </x:c>
      <x:c r="G1958" t="n">
        <x:v>2</x:v>
      </x:c>
      <x:c r="H1958" t="n">
        <x:v>2</x:v>
      </x:c>
      <x:c r="I1958" t="n">
        <x:f>G1958-H1958</x:f>
        <x:v>0</x:v>
      </x:c>
      <x:c r="J1958" s="20" t="n">
        <x:f>IFERROR(H1958/G1958,0)</x:f>
        <x:v>1</x:v>
      </x:c>
      <x:c r="K1958" t="n">
        <x:v>23984</x:v>
      </x:c>
      <x:c r="L1958" t="n">
        <x:v>24154</x:v>
      </x:c>
      <x:c r="M1958" t="n">
        <x:v>24324</x:v>
      </x:c>
      <x:c r="N1958" t="n">
        <x:v>24494</x:v>
      </x:c>
      <x:c r="O1958" t="n">
        <x:v>24664</x:v>
      </x:c>
    </x:row>
    <x:row r="1959">
      <x:c r="A1959" t="str">
        <x:v>Karnataka</x:v>
      </x:c>
      <x:c r="B1959" t="str">
        <x:v>All India except Central University</x:v>
      </x:c>
      <x:c r="C1959" t="str">
        <x:v>200610</x:v>
      </x:c>
      <x:c r="D1959" t="str">
        <x:v>Haveri Institute of Medical Sciences, Haveri, Devagiri-Yellapura, Haveri-581110, Karnataka</x:v>
      </x:c>
      <x:c r="E1959" t="str">
        <x:v>All India</x:v>
      </x:c>
      <x:c r="F1959" t="str">
        <x:v>OBC</x:v>
      </x:c>
      <x:c r="G1959" t="n">
        <x:v>6</x:v>
      </x:c>
      <x:c r="H1959" t="n">
        <x:v>6</x:v>
      </x:c>
      <x:c r="I1959" t="n">
        <x:f>G1959-H1959</x:f>
        <x:v>0</x:v>
      </x:c>
      <x:c r="J1959" s="20" t="n">
        <x:f>IFERROR(H1959/G1959,0)</x:f>
        <x:v>1</x:v>
      </x:c>
      <x:c r="K1959" t="n">
        <x:v>18991</x:v>
      </x:c>
      <x:c r="L1959" t="n">
        <x:v>19061.75</x:v>
      </x:c>
      <x:c r="M1959" t="n">
        <x:v>19081</x:v>
      </x:c>
      <x:c r="N1959" t="n">
        <x:v>19380</x:v>
      </x:c>
      <x:c r="O1959" t="n">
        <x:v>19595</x:v>
      </x:c>
    </x:row>
    <x:row r="1960">
      <x:c r="A1960" t="str">
        <x:v>Karnataka</x:v>
      </x:c>
      <x:c r="B1960" t="str">
        <x:v>All India except Central University</x:v>
      </x:c>
      <x:c r="C1960" t="str">
        <x:v>200610</x:v>
      </x:c>
      <x:c r="D1960" t="str">
        <x:v>Haveri Institute of Medical Sciences, Haveri, Devagiri-Yellapura, Haveri-581110, Karnataka</x:v>
      </x:c>
      <x:c r="E1960" t="str">
        <x:v>All India</x:v>
      </x:c>
      <x:c r="F1960" t="str">
        <x:v>Open</x:v>
      </x:c>
      <x:c r="G1960" t="n">
        <x:v>10</x:v>
      </x:c>
      <x:c r="H1960" t="n">
        <x:v>10</x:v>
      </x:c>
      <x:c r="I1960" t="n">
        <x:f>G1960-H1960</x:f>
        <x:v>0</x:v>
      </x:c>
      <x:c r="J1960" s="20" t="n">
        <x:f>IFERROR(H1960/G1960,0)</x:f>
        <x:v>1</x:v>
      </x:c>
      <x:c r="K1960" t="n">
        <x:v>17677</x:v>
      </x:c>
      <x:c r="L1960" t="n">
        <x:v>17837.5</x:v>
      </x:c>
      <x:c r="M1960" t="n">
        <x:v>17911.5</x:v>
      </x:c>
      <x:c r="N1960" t="n">
        <x:v>18042.75</x:v>
      </x:c>
      <x:c r="O1960" t="n">
        <x:v>18115</x:v>
      </x:c>
    </x:row>
    <x:row r="1961">
      <x:c r="A1961" t="str">
        <x:v>Karnataka</x:v>
      </x:c>
      <x:c r="B1961" t="str">
        <x:v>All India except Central University</x:v>
      </x:c>
      <x:c r="C1961" t="str">
        <x:v>200610</x:v>
      </x:c>
      <x:c r="D1961" t="str">
        <x:v>Haveri Institute of Medical Sciences, Haveri, Devagiri-Yellapura, Haveri-581110, Karnataka</x:v>
      </x:c>
      <x:c r="E1961" t="str">
        <x:v>All India</x:v>
      </x:c>
      <x:c r="F1961" t="str">
        <x:v>SC</x:v>
      </x:c>
      <x:c r="G1961" t="n">
        <x:v>3</x:v>
      </x:c>
      <x:c r="H1961" t="n">
        <x:v>3</x:v>
      </x:c>
      <x:c r="I1961" t="n">
        <x:f>G1961-H1961</x:f>
        <x:v>0</x:v>
      </x:c>
      <x:c r="J1961" s="20" t="n">
        <x:f>IFERROR(H1961/G1961,0)</x:f>
        <x:v>1</x:v>
      </x:c>
      <x:c r="K1961" t="n">
        <x:v>91215</x:v>
      </x:c>
      <x:c r="L1961" t="n">
        <x:v>93698</x:v>
      </x:c>
      <x:c r="M1961" t="n">
        <x:v>96181</x:v>
      </x:c>
      <x:c r="N1961" t="n">
        <x:v>96454</x:v>
      </x:c>
      <x:c r="O1961" t="n">
        <x:v>96727</x:v>
      </x:c>
    </x:row>
    <x:row r="1962">
      <x:c r="A1962" t="str">
        <x:v>Karnataka</x:v>
      </x:c>
      <x:c r="B1962" t="str">
        <x:v>All India except Central University</x:v>
      </x:c>
      <x:c r="C1962" t="str">
        <x:v>200610</x:v>
      </x:c>
      <x:c r="D1962" t="str">
        <x:v>Haveri Institute of Medical Sciences, Haveri, Devagiri-Yellapura, Haveri-581110, Karnataka</x:v>
      </x:c>
      <x:c r="E1962" t="str">
        <x:v>All India</x:v>
      </x:c>
      <x:c r="F1962" t="str">
        <x:v>ST</x:v>
      </x:c>
      <x:c r="G1962" t="n">
        <x:v>1</x:v>
      </x:c>
      <x:c r="H1962" t="n">
        <x:v>1</x:v>
      </x:c>
      <x:c r="I1962" t="n">
        <x:f>G1962-H1962</x:f>
        <x:v>0</x:v>
      </x:c>
      <x:c r="J1962" s="20" t="n">
        <x:f>IFERROR(H1962/G1962,0)</x:f>
        <x:v>1</x:v>
      </x:c>
      <x:c r="K1962" t="n">
        <x:v>97532</x:v>
      </x:c>
      <x:c r="L1962" t="n">
        <x:v>97532</x:v>
      </x:c>
      <x:c r="M1962" t="n">
        <x:v>97532</x:v>
      </x:c>
      <x:c r="N1962" t="n">
        <x:v>97532</x:v>
      </x:c>
      <x:c r="O1962" t="n">
        <x:v>97532</x:v>
      </x:c>
    </x:row>
    <x:row r="1963">
      <x:c r="A1963" t="str">
        <x:v>Jharkhand</x:v>
      </x:c>
      <x:c r="B1963" t="str">
        <x:v>All India except Central University</x:v>
      </x:c>
      <x:c r="C1963" t="str">
        <x:v>200586</x:v>
      </x:c>
      <x:c r="D1963" t="str">
        <x:v>Hazaribagh Medical College, Hazaribagh, NEAR CENTRAL JAIL, HAZARIBAG</x:v>
      </x:c>
      <x:c r="E1963" t="str">
        <x:v>All India</x:v>
      </x:c>
      <x:c r="F1963" t="str">
        <x:v>EWS</x:v>
      </x:c>
      <x:c r="G1963" t="n">
        <x:v>1</x:v>
      </x:c>
      <x:c r="H1963" t="n">
        <x:v>1</x:v>
      </x:c>
      <x:c r="I1963" t="n">
        <x:f>G1963-H1963</x:f>
        <x:v>0</x:v>
      </x:c>
      <x:c r="J1963" s="20" t="n">
        <x:f>IFERROR(H1963/G1963,0)</x:f>
        <x:v>1</x:v>
      </x:c>
      <x:c r="K1963" t="n">
        <x:v>15023</x:v>
      </x:c>
      <x:c r="L1963" t="n">
        <x:v>15023</x:v>
      </x:c>
      <x:c r="M1963" t="n">
        <x:v>15023</x:v>
      </x:c>
      <x:c r="N1963" t="n">
        <x:v>15023</x:v>
      </x:c>
      <x:c r="O1963" t="n">
        <x:v>15023</x:v>
      </x:c>
    </x:row>
    <x:row r="1964">
      <x:c r="A1964" t="str">
        <x:v>Jharkhand</x:v>
      </x:c>
      <x:c r="B1964" t="str">
        <x:v>All India except Central University</x:v>
      </x:c>
      <x:c r="C1964" t="str">
        <x:v>200586</x:v>
      </x:c>
      <x:c r="D1964" t="str">
        <x:v>Hazaribagh Medical College, Hazaribagh, NEAR CENTRAL JAIL, HAZARIBAG</x:v>
      </x:c>
      <x:c r="E1964" t="str">
        <x:v>All India</x:v>
      </x:c>
      <x:c r="F1964" t="str">
        <x:v>OBC</x:v>
      </x:c>
      <x:c r="G1964" t="n">
        <x:v>4</x:v>
      </x:c>
      <x:c r="H1964" t="n">
        <x:v>4</x:v>
      </x:c>
      <x:c r="I1964" t="n">
        <x:f>G1964-H1964</x:f>
        <x:v>0</x:v>
      </x:c>
      <x:c r="J1964" s="20" t="n">
        <x:f>IFERROR(H1964/G1964,0)</x:f>
        <x:v>1</x:v>
      </x:c>
      <x:c r="K1964" t="n">
        <x:v>13752</x:v>
      </x:c>
      <x:c r="L1964" t="n">
        <x:v>14127</x:v>
      </x:c>
      <x:c r="M1964" t="n">
        <x:v>14531.5</x:v>
      </x:c>
      <x:c r="N1964" t="n">
        <x:v>14867.25</x:v>
      </x:c>
      <x:c r="O1964" t="n">
        <x:v>15036</x:v>
      </x:c>
    </x:row>
    <x:row r="1965">
      <x:c r="A1965" t="str">
        <x:v>Jharkhand</x:v>
      </x:c>
      <x:c r="B1965" t="str">
        <x:v>All India except Central University</x:v>
      </x:c>
      <x:c r="C1965" t="str">
        <x:v>200586</x:v>
      </x:c>
      <x:c r="D1965" t="str">
        <x:v>Hazaribagh Medical College, Hazaribagh, NEAR CENTRAL JAIL, HAZARIBAG</x:v>
      </x:c>
      <x:c r="E1965" t="str">
        <x:v>All India</x:v>
      </x:c>
      <x:c r="F1965" t="str">
        <x:v>Open</x:v>
      </x:c>
      <x:c r="G1965" t="n">
        <x:v>6</x:v>
      </x:c>
      <x:c r="H1965" t="n">
        <x:v>6</x:v>
      </x:c>
      <x:c r="I1965" t="n">
        <x:f>G1965-H1965</x:f>
        <x:v>0</x:v>
      </x:c>
      <x:c r="J1965" s="20" t="n">
        <x:f>IFERROR(H1965/G1965,0)</x:f>
        <x:v>1</x:v>
      </x:c>
      <x:c r="K1965" t="n">
        <x:v>10989</x:v>
      </x:c>
      <x:c r="L1965" t="n">
        <x:v>12670.75</x:v>
      </x:c>
      <x:c r="M1965" t="n">
        <x:v>12951.5</x:v>
      </x:c>
      <x:c r="N1965" t="n">
        <x:v>13254.75</x:v>
      </x:c>
      <x:c r="O1965" t="n">
        <x:v>13628</x:v>
      </x:c>
    </x:row>
    <x:row r="1966">
      <x:c r="A1966" t="str">
        <x:v>Jharkhand</x:v>
      </x:c>
      <x:c r="B1966" t="str">
        <x:v>All India except Central University</x:v>
      </x:c>
      <x:c r="C1966" t="str">
        <x:v>200586</x:v>
      </x:c>
      <x:c r="D1966" t="str">
        <x:v>Hazaribagh Medical College, Hazaribagh, NEAR CENTRAL JAIL, HAZARIBAG</x:v>
      </x:c>
      <x:c r="E1966" t="str">
        <x:v>All India</x:v>
      </x:c>
      <x:c r="F1966" t="str">
        <x:v>Open PwD</x:v>
      </x:c>
      <x:c r="G1966" t="n">
        <x:v>1</x:v>
      </x:c>
      <x:c r="H1966" t="n">
        <x:v>1</x:v>
      </x:c>
      <x:c r="I1966" t="n">
        <x:f>G1966-H1966</x:f>
        <x:v>0</x:v>
      </x:c>
      <x:c r="J1966" s="20" t="n">
        <x:f>IFERROR(H1966/G1966,0)</x:f>
        <x:v>1</x:v>
      </x:c>
      <x:c r="K1966" t="n">
        <x:v>567114</x:v>
      </x:c>
      <x:c r="L1966" t="n">
        <x:v>567114</x:v>
      </x:c>
      <x:c r="M1966" t="n">
        <x:v>567114</x:v>
      </x:c>
      <x:c r="N1966" t="n">
        <x:v>567114</x:v>
      </x:c>
      <x:c r="O1966" t="n">
        <x:v>567114</x:v>
      </x:c>
    </x:row>
    <x:row r="1967">
      <x:c r="A1967" t="str">
        <x:v>Jharkhand</x:v>
      </x:c>
      <x:c r="B1967" t="str">
        <x:v>All India except Central University</x:v>
      </x:c>
      <x:c r="C1967" t="str">
        <x:v>200586</x:v>
      </x:c>
      <x:c r="D1967" t="str">
        <x:v>Hazaribagh Medical College, Hazaribagh, NEAR CENTRAL JAIL, HAZARIBAG</x:v>
      </x:c>
      <x:c r="E1967" t="str">
        <x:v>All India</x:v>
      </x:c>
      <x:c r="F1967" t="str">
        <x:v>SC</x:v>
      </x:c>
      <x:c r="G1967" t="n">
        <x:v>2</x:v>
      </x:c>
      <x:c r="H1967" t="n">
        <x:v>2</x:v>
      </x:c>
      <x:c r="I1967" t="n">
        <x:f>G1967-H1967</x:f>
        <x:v>0</x:v>
      </x:c>
      <x:c r="J1967" s="20" t="n">
        <x:f>IFERROR(H1967/G1967,0)</x:f>
        <x:v>1</x:v>
      </x:c>
      <x:c r="K1967" t="n">
        <x:v>79366</x:v>
      </x:c>
      <x:c r="L1967" t="n">
        <x:v>80640.75</x:v>
      </x:c>
      <x:c r="M1967" t="n">
        <x:v>81915.5</x:v>
      </x:c>
      <x:c r="N1967" t="n">
        <x:v>83190.25</x:v>
      </x:c>
      <x:c r="O1967" t="n">
        <x:v>84465</x:v>
      </x:c>
    </x:row>
    <x:row r="1968">
      <x:c r="A1968" t="str">
        <x:v>Jharkhand</x:v>
      </x:c>
      <x:c r="B1968" t="str">
        <x:v>All India except Central University</x:v>
      </x:c>
      <x:c r="C1968" t="str">
        <x:v>200586</x:v>
      </x:c>
      <x:c r="D1968" t="str">
        <x:v>Hazaribagh Medical College, Hazaribagh, NEAR CENTRAL JAIL, HAZARIBAG</x:v>
      </x:c>
      <x:c r="E1968" t="str">
        <x:v>All India</x:v>
      </x:c>
      <x:c r="F1968" t="str">
        <x:v>ST</x:v>
      </x:c>
      <x:c r="G1968" t="n">
        <x:v>1</x:v>
      </x:c>
      <x:c r="H1968" t="n">
        <x:v>1</x:v>
      </x:c>
      <x:c r="I1968" t="n">
        <x:f>G1968-H1968</x:f>
        <x:v>0</x:v>
      </x:c>
      <x:c r="J1968" s="20" t="n">
        <x:f>IFERROR(H1968/G1968,0)</x:f>
        <x:v>1</x:v>
      </x:c>
      <x:c r="K1968" t="n">
        <x:v>104848</x:v>
      </x:c>
      <x:c r="L1968" t="n">
        <x:v>104848</x:v>
      </x:c>
      <x:c r="M1968" t="n">
        <x:v>104848</x:v>
      </x:c>
      <x:c r="N1968" t="n">
        <x:v>104848</x:v>
      </x:c>
      <x:c r="O1968" t="n">
        <x:v>104848</x:v>
      </x:c>
    </x:row>
    <x:row r="1969">
      <x:c r="A1969" t="str">
        <x:v>Bihar</x:v>
      </x:c>
      <x:c r="B1969" t="str">
        <x:v>All India except Central University</x:v>
      </x:c>
      <x:c r="C1969" t="str">
        <x:v>200112</x:v>
      </x:c>
      <x:c r="D1969" t="str">
        <x:v>Indira Gandhi Institute of Medical Sciences, Sheikhpura, Patna, RAZA BAZAR, SHEIKHPURA, PATNA</x:v>
      </x:c>
      <x:c r="E1969" t="str">
        <x:v>All India</x:v>
      </x:c>
      <x:c r="F1969" t="str">
        <x:v>EWS</x:v>
      </x:c>
      <x:c r="G1969" t="n">
        <x:v>1</x:v>
      </x:c>
      <x:c r="H1969" t="n">
        <x:v>1</x:v>
      </x:c>
      <x:c r="I1969" t="n">
        <x:f>G1969-H1969</x:f>
        <x:v>0</x:v>
      </x:c>
      <x:c r="J1969" s="20" t="n">
        <x:f>IFERROR(H1969/G1969,0)</x:f>
        <x:v>1</x:v>
      </x:c>
      <x:c r="K1969" t="n">
        <x:v>5562</x:v>
      </x:c>
      <x:c r="L1969" t="n">
        <x:v>5562</x:v>
      </x:c>
      <x:c r="M1969" t="n">
        <x:v>5562</x:v>
      </x:c>
      <x:c r="N1969" t="n">
        <x:v>5562</x:v>
      </x:c>
      <x:c r="O1969" t="n">
        <x:v>5562</x:v>
      </x:c>
    </x:row>
    <x:row r="1970">
      <x:c r="A1970" t="str">
        <x:v>Bihar</x:v>
      </x:c>
      <x:c r="B1970" t="str">
        <x:v>All India except Central University</x:v>
      </x:c>
      <x:c r="C1970" t="str">
        <x:v>200112</x:v>
      </x:c>
      <x:c r="D1970" t="str">
        <x:v>Indira Gandhi Institute of Medical Sciences, Sheikhpura, Patna, RAZA BAZAR, SHEIKHPURA, PATNA</x:v>
      </x:c>
      <x:c r="E1970" t="str">
        <x:v>All India</x:v>
      </x:c>
      <x:c r="F1970" t="str">
        <x:v>EWS PwD</x:v>
      </x:c>
      <x:c r="G1970" t="n">
        <x:v>1</x:v>
      </x:c>
      <x:c r="H1970" t="n">
        <x:v>1</x:v>
      </x:c>
      <x:c r="I1970" t="n">
        <x:f>G1970-H1970</x:f>
        <x:v>0</x:v>
      </x:c>
      <x:c r="J1970" s="20" t="n">
        <x:f>IFERROR(H1970/G1970,0)</x:f>
        <x:v>1</x:v>
      </x:c>
      <x:c r="K1970" t="n">
        <x:v>590024</x:v>
      </x:c>
      <x:c r="L1970" t="n">
        <x:v>590024</x:v>
      </x:c>
      <x:c r="M1970" t="n">
        <x:v>590024</x:v>
      </x:c>
      <x:c r="N1970" t="n">
        <x:v>590024</x:v>
      </x:c>
      <x:c r="O1970" t="n">
        <x:v>590024</x:v>
      </x:c>
    </x:row>
    <x:row r="1971">
      <x:c r="A1971" t="str">
        <x:v>Bihar</x:v>
      </x:c>
      <x:c r="B1971" t="str">
        <x:v>All India except Central University</x:v>
      </x:c>
      <x:c r="C1971" t="str">
        <x:v>200112</x:v>
      </x:c>
      <x:c r="D1971" t="str">
        <x:v>Indira Gandhi Institute of Medical Sciences, Sheikhpura, Patna, RAZA BAZAR, SHEIKHPURA, PATNA</x:v>
      </x:c>
      <x:c r="E1971" t="str">
        <x:v>All India</x:v>
      </x:c>
      <x:c r="F1971" t="str">
        <x:v>OBC</x:v>
      </x:c>
      <x:c r="G1971" t="n">
        <x:v>5</x:v>
      </x:c>
      <x:c r="H1971" t="n">
        <x:v>5</x:v>
      </x:c>
      <x:c r="I1971" t="n">
        <x:f>G1971-H1971</x:f>
        <x:v>0</x:v>
      </x:c>
      <x:c r="J1971" s="20" t="n">
        <x:f>IFERROR(H1971/G1971,0)</x:f>
        <x:v>1</x:v>
      </x:c>
      <x:c r="K1971" t="n">
        <x:v>4719</x:v>
      </x:c>
      <x:c r="L1971" t="n">
        <x:v>4760</x:v>
      </x:c>
      <x:c r="M1971" t="n">
        <x:v>4842</x:v>
      </x:c>
      <x:c r="N1971" t="n">
        <x:v>4923</x:v>
      </x:c>
      <x:c r="O1971" t="n">
        <x:v>5044</x:v>
      </x:c>
    </x:row>
    <x:row r="1972">
      <x:c r="A1972" t="str">
        <x:v>Bihar</x:v>
      </x:c>
      <x:c r="B1972" t="str">
        <x:v>All India except Central University</x:v>
      </x:c>
      <x:c r="C1972" t="str">
        <x:v>200112</x:v>
      </x:c>
      <x:c r="D1972" t="str">
        <x:v>Indira Gandhi Institute of Medical Sciences, Sheikhpura, Patna, RAZA BAZAR, SHEIKHPURA, PATNA</x:v>
      </x:c>
      <x:c r="E1972" t="str">
        <x:v>All India</x:v>
      </x:c>
      <x:c r="F1972" t="str">
        <x:v>Open</x:v>
      </x:c>
      <x:c r="G1972" t="n">
        <x:v>9</x:v>
      </x:c>
      <x:c r="H1972" t="n">
        <x:v>9</x:v>
      </x:c>
      <x:c r="I1972" t="n">
        <x:f>G1972-H1972</x:f>
        <x:v>0</x:v>
      </x:c>
      <x:c r="J1972" s="20" t="n">
        <x:f>IFERROR(H1972/G1972,0)</x:f>
        <x:v>1</x:v>
      </x:c>
      <x:c r="K1972" t="n">
        <x:v>3455</x:v>
      </x:c>
      <x:c r="L1972" t="n">
        <x:v>3782</x:v>
      </x:c>
      <x:c r="M1972" t="n">
        <x:v>4271</x:v>
      </x:c>
      <x:c r="N1972" t="n">
        <x:v>4374</x:v>
      </x:c>
      <x:c r="O1972" t="n">
        <x:v>4461</x:v>
      </x:c>
    </x:row>
    <x:row r="1973">
      <x:c r="A1973" t="str">
        <x:v>Bihar</x:v>
      </x:c>
      <x:c r="B1973" t="str">
        <x:v>All India except Central University</x:v>
      </x:c>
      <x:c r="C1973" t="str">
        <x:v>200112</x:v>
      </x:c>
      <x:c r="D1973" t="str">
        <x:v>Indira Gandhi Institute of Medical Sciences, Sheikhpura, Patna, RAZA BAZAR, SHEIKHPURA, PATNA</x:v>
      </x:c>
      <x:c r="E1973" t="str">
        <x:v>All India</x:v>
      </x:c>
      <x:c r="F1973" t="str">
        <x:v>SC</x:v>
      </x:c>
      <x:c r="G1973" t="n">
        <x:v>3</x:v>
      </x:c>
      <x:c r="H1973" t="n">
        <x:v>3</x:v>
      </x:c>
      <x:c r="I1973" t="n">
        <x:f>G1973-H1973</x:f>
        <x:v>0</x:v>
      </x:c>
      <x:c r="J1973" s="20" t="n">
        <x:f>IFERROR(H1973/G1973,0)</x:f>
        <x:v>1</x:v>
      </x:c>
      <x:c r="K1973" t="n">
        <x:v>30440</x:v>
      </x:c>
      <x:c r="L1973" t="n">
        <x:v>34150</x:v>
      </x:c>
      <x:c r="M1973" t="n">
        <x:v>37860</x:v>
      </x:c>
      <x:c r="N1973" t="n">
        <x:v>38197</x:v>
      </x:c>
      <x:c r="O1973" t="n">
        <x:v>38534</x:v>
      </x:c>
    </x:row>
    <x:row r="1974">
      <x:c r="A1974" t="str">
        <x:v>Bihar</x:v>
      </x:c>
      <x:c r="B1974" t="str">
        <x:v>All India except Central University</x:v>
      </x:c>
      <x:c r="C1974" t="str">
        <x:v>200112</x:v>
      </x:c>
      <x:c r="D1974" t="str">
        <x:v>Indira Gandhi Institute of Medical Sciences, Sheikhpura, Patna, RAZA BAZAR, SHEIKHPURA, PATNA</x:v>
      </x:c>
      <x:c r="E1974" t="str">
        <x:v>All India</x:v>
      </x:c>
      <x:c r="F1974" t="str">
        <x:v>SC PwD</x:v>
      </x:c>
      <x:c r="G1974" t="n">
        <x:v>1</x:v>
      </x:c>
      <x:c r="H1974" t="n">
        <x:v>1</x:v>
      </x:c>
      <x:c r="I1974" t="n">
        <x:f>G1974-H1974</x:f>
        <x:v>0</x:v>
      </x:c>
      <x:c r="J1974" s="20" t="n">
        <x:f>IFERROR(H1974/G1974,0)</x:f>
        <x:v>1</x:v>
      </x:c>
      <x:c r="K1974" t="n">
        <x:v>939216</x:v>
      </x:c>
      <x:c r="L1974" t="n">
        <x:v>939216</x:v>
      </x:c>
      <x:c r="M1974" t="n">
        <x:v>939216</x:v>
      </x:c>
      <x:c r="N1974" t="n">
        <x:v>939216</x:v>
      </x:c>
      <x:c r="O1974" t="n">
        <x:v>939216</x:v>
      </x:c>
    </x:row>
    <x:row r="1975">
      <x:c r="A1975" t="str">
        <x:v>Bihar</x:v>
      </x:c>
      <x:c r="B1975" t="str">
        <x:v>All India except Central University</x:v>
      </x:c>
      <x:c r="C1975" t="str">
        <x:v>200112</x:v>
      </x:c>
      <x:c r="D1975" t="str">
        <x:v>Indira Gandhi Institute of Medical Sciences, Sheikhpura, Patna, RAZA BAZAR, SHEIKHPURA, PATNA</x:v>
      </x:c>
      <x:c r="E1975" t="str">
        <x:v>All India</x:v>
      </x:c>
      <x:c r="F1975" t="str">
        <x:v>ST</x:v>
      </x:c>
      <x:c r="G1975" t="n">
        <x:v>1</x:v>
      </x:c>
      <x:c r="H1975" t="n">
        <x:v>1</x:v>
      </x:c>
      <x:c r="I1975" t="n">
        <x:f>G1975-H1975</x:f>
        <x:v>0</x:v>
      </x:c>
      <x:c r="J1975" s="20" t="n">
        <x:f>IFERROR(H1975/G1975,0)</x:f>
        <x:v>1</x:v>
      </x:c>
      <x:c r="K1975" t="n">
        <x:v>58641</x:v>
      </x:c>
      <x:c r="L1975" t="n">
        <x:v>58641</x:v>
      </x:c>
      <x:c r="M1975" t="n">
        <x:v>58641</x:v>
      </x:c>
      <x:c r="N1975" t="n">
        <x:v>58641</x:v>
      </x:c>
      <x:c r="O1975" t="n">
        <x:v>58641</x:v>
      </x:c>
    </x:row>
    <x:row r="1976">
      <x:c r="A1976" t="str">
        <x:v>Bihar</x:v>
      </x:c>
      <x:c r="B1976" t="str">
        <x:v>All India except Central University</x:v>
      </x:c>
      <x:c r="C1976" t="str">
        <x:v>200112</x:v>
      </x:c>
      <x:c r="D1976" t="str">
        <x:v>Indira Gandhi Institute of Medical Sciences, Sheikhpura, Patna, RAZA BAZAR, SHEIKHPURA, PATNA</x:v>
      </x:c>
      <x:c r="E1976" t="str">
        <x:v>All India</x:v>
      </x:c>
      <x:c r="F1976" t="str">
        <x:v>ST PwD</x:v>
      </x:c>
      <x:c r="G1976" t="n">
        <x:v>1</x:v>
      </x:c>
      <x:c r="H1976" t="n">
        <x:v>0</x:v>
      </x:c>
      <x:c r="I1976" t="n">
        <x:f>G1976-H1976</x:f>
        <x:v>1</x:v>
      </x:c>
      <x:c r="J1976" s="20" t="n">
        <x:f>IFERROR(H1976/G1976,0)</x:f>
        <x:v>0</x:v>
      </x:c>
      <x:c r="K1976"/>
      <x:c r="L1976"/>
      <x:c r="M1976"/>
      <x:c r="N1976"/>
      <x:c r="O1976"/>
    </x:row>
    <x:row r="1977">
      <x:c r="A1977" t="str">
        <x:v>Maharashtra</x:v>
      </x:c>
      <x:c r="B1977" t="str">
        <x:v>All India except Central University</x:v>
      </x:c>
      <x:c r="C1977" t="str">
        <x:v>200220</x:v>
      </x:c>
      <x:c r="D1977" t="str">
        <x:v>Indira Gandhi Medical College &amp; Hospital, Nagpur, MAYO HOSPITAL CENTRAL AVENUE ROAD NEAR RAM ZULA NAGPUR</x:v>
      </x:c>
      <x:c r="E1977" t="str">
        <x:v>All India</x:v>
      </x:c>
      <x:c r="F1977" t="str">
        <x:v>EWS</x:v>
      </x:c>
      <x:c r="G1977" t="n">
        <x:v>3</x:v>
      </x:c>
      <x:c r="H1977" t="n">
        <x:v>3</x:v>
      </x:c>
      <x:c r="I1977" t="n">
        <x:f>G1977-H1977</x:f>
        <x:v>0</x:v>
      </x:c>
      <x:c r="J1977" s="20" t="n">
        <x:f>IFERROR(H1977/G1977,0)</x:f>
        <x:v>1</x:v>
      </x:c>
      <x:c r="K1977" t="n">
        <x:v>7065</x:v>
      </x:c>
      <x:c r="L1977" t="n">
        <x:v>7685.5</x:v>
      </x:c>
      <x:c r="M1977" t="n">
        <x:v>8306</x:v>
      </x:c>
      <x:c r="N1977" t="n">
        <x:v>8410.5</x:v>
      </x:c>
      <x:c r="O1977" t="n">
        <x:v>8515</x:v>
      </x:c>
    </x:row>
    <x:row r="1978">
      <x:c r="A1978" t="str">
        <x:v>Maharashtra</x:v>
      </x:c>
      <x:c r="B1978" t="str">
        <x:v>All India except Central University</x:v>
      </x:c>
      <x:c r="C1978" t="str">
        <x:v>200220</x:v>
      </x:c>
      <x:c r="D1978" t="str">
        <x:v>Indira Gandhi Medical College &amp; Hospital, Nagpur, MAYO HOSPITAL CENTRAL AVENUE ROAD NEAR RAM ZULA NAGPUR</x:v>
      </x:c>
      <x:c r="E1978" t="str">
        <x:v>All India</x:v>
      </x:c>
      <x:c r="F1978" t="str">
        <x:v>OBC</x:v>
      </x:c>
      <x:c r="G1978" t="n">
        <x:v>7</x:v>
      </x:c>
      <x:c r="H1978" t="n">
        <x:v>7</x:v>
      </x:c>
      <x:c r="I1978" t="n">
        <x:f>G1978-H1978</x:f>
        <x:v>0</x:v>
      </x:c>
      <x:c r="J1978" s="20" t="n">
        <x:f>IFERROR(H1978/G1978,0)</x:f>
        <x:v>1</x:v>
      </x:c>
      <x:c r="K1978" t="n">
        <x:v>6966</x:v>
      </x:c>
      <x:c r="L1978" t="n">
        <x:v>7074</x:v>
      </x:c>
      <x:c r="M1978" t="n">
        <x:v>7365</x:v>
      </x:c>
      <x:c r="N1978" t="n">
        <x:v>7649.5</x:v>
      </x:c>
      <x:c r="O1978" t="n">
        <x:v>7836</x:v>
      </x:c>
    </x:row>
    <x:row r="1979">
      <x:c r="A1979" t="str">
        <x:v>Maharashtra</x:v>
      </x:c>
      <x:c r="B1979" t="str">
        <x:v>All India except Central University</x:v>
      </x:c>
      <x:c r="C1979" t="str">
        <x:v>200220</x:v>
      </x:c>
      <x:c r="D1979" t="str">
        <x:v>Indira Gandhi Medical College &amp; Hospital, Nagpur, MAYO HOSPITAL CENTRAL AVENUE ROAD NEAR RAM ZULA NAGPUR</x:v>
      </x:c>
      <x:c r="E1979" t="str">
        <x:v>All India</x:v>
      </x:c>
      <x:c r="F1979" t="str">
        <x:v>OBC PwD</x:v>
      </x:c>
      <x:c r="G1979" t="n">
        <x:v>1</x:v>
      </x:c>
      <x:c r="H1979" t="n">
        <x:v>1</x:v>
      </x:c>
      <x:c r="I1979" t="n">
        <x:f>G1979-H1979</x:f>
        <x:v>0</x:v>
      </x:c>
      <x:c r="J1979" s="20" t="n">
        <x:f>IFERROR(H1979/G1979,0)</x:f>
        <x:v>1</x:v>
      </x:c>
      <x:c r="K1979" t="n">
        <x:v>313119</x:v>
      </x:c>
      <x:c r="L1979" t="n">
        <x:v>313119</x:v>
      </x:c>
      <x:c r="M1979" t="n">
        <x:v>313119</x:v>
      </x:c>
      <x:c r="N1979" t="n">
        <x:v>313119</x:v>
      </x:c>
      <x:c r="O1979" t="n">
        <x:v>313119</x:v>
      </x:c>
    </x:row>
    <x:row r="1980">
      <x:c r="A1980" t="str">
        <x:v>Maharashtra</x:v>
      </x:c>
      <x:c r="B1980" t="str">
        <x:v>All India except Central University</x:v>
      </x:c>
      <x:c r="C1980" t="str">
        <x:v>200220</x:v>
      </x:c>
      <x:c r="D1980" t="str">
        <x:v>Indira Gandhi Medical College &amp; Hospital, Nagpur, MAYO HOSPITAL CENTRAL AVENUE ROAD NEAR RAM ZULA NAGPUR</x:v>
      </x:c>
      <x:c r="E1980" t="str">
        <x:v>All India</x:v>
      </x:c>
      <x:c r="F1980" t="str">
        <x:v>Open</x:v>
      </x:c>
      <x:c r="G1980" t="n">
        <x:v>12</x:v>
      </x:c>
      <x:c r="H1980" t="n">
        <x:v>12</x:v>
      </x:c>
      <x:c r="I1980" t="n">
        <x:f>G1980-H1980</x:f>
        <x:v>0</x:v>
      </x:c>
      <x:c r="J1980" s="20" t="n">
        <x:f>IFERROR(H1980/G1980,0)</x:f>
        <x:v>1</x:v>
      </x:c>
      <x:c r="K1980" t="n">
        <x:v>4048</x:v>
      </x:c>
      <x:c r="L1980" t="n">
        <x:v>5240.5</x:v>
      </x:c>
      <x:c r="M1980" t="n">
        <x:v>5742</x:v>
      </x:c>
      <x:c r="N1980" t="n">
        <x:v>6066.25</x:v>
      </x:c>
      <x:c r="O1980" t="n">
        <x:v>6186</x:v>
      </x:c>
    </x:row>
    <x:row r="1981">
      <x:c r="A1981" t="str">
        <x:v>Maharashtra</x:v>
      </x:c>
      <x:c r="B1981" t="str">
        <x:v>All India except Central University</x:v>
      </x:c>
      <x:c r="C1981" t="str">
        <x:v>200220</x:v>
      </x:c>
      <x:c r="D1981" t="str">
        <x:v>Indira Gandhi Medical College &amp; Hospital, Nagpur, MAYO HOSPITAL CENTRAL AVENUE ROAD NEAR RAM ZULA NAGPUR</x:v>
      </x:c>
      <x:c r="E1981" t="str">
        <x:v>All India</x:v>
      </x:c>
      <x:c r="F1981" t="str">
        <x:v>Open PwD</x:v>
      </x:c>
      <x:c r="G1981" t="n">
        <x:v>1</x:v>
      </x:c>
      <x:c r="H1981" t="n">
        <x:v>1</x:v>
      </x:c>
      <x:c r="I1981" t="n">
        <x:f>G1981-H1981</x:f>
        <x:v>0</x:v>
      </x:c>
      <x:c r="J1981" s="20" t="n">
        <x:f>IFERROR(H1981/G1981,0)</x:f>
        <x:v>1</x:v>
      </x:c>
      <x:c r="K1981" t="n">
        <x:v>284019</x:v>
      </x:c>
      <x:c r="L1981" t="n">
        <x:v>284019</x:v>
      </x:c>
      <x:c r="M1981" t="n">
        <x:v>284019</x:v>
      </x:c>
      <x:c r="N1981" t="n">
        <x:v>284019</x:v>
      </x:c>
      <x:c r="O1981" t="n">
        <x:v>284019</x:v>
      </x:c>
    </x:row>
    <x:row r="1982">
      <x:c r="A1982" t="str">
        <x:v>Maharashtra</x:v>
      </x:c>
      <x:c r="B1982" t="str">
        <x:v>All India except Central University</x:v>
      </x:c>
      <x:c r="C1982" t="str">
        <x:v>200220</x:v>
      </x:c>
      <x:c r="D1982" t="str">
        <x:v>Indira Gandhi Medical College &amp; Hospital, Nagpur, MAYO HOSPITAL CENTRAL AVENUE ROAD NEAR RAM ZULA NAGPUR</x:v>
      </x:c>
      <x:c r="E1982" t="str">
        <x:v>All India</x:v>
      </x:c>
      <x:c r="F1982" t="str">
        <x:v>SC</x:v>
      </x:c>
      <x:c r="G1982" t="n">
        <x:v>3</x:v>
      </x:c>
      <x:c r="H1982" t="n">
        <x:v>3</x:v>
      </x:c>
      <x:c r="I1982" t="n">
        <x:f>G1982-H1982</x:f>
        <x:v>0</x:v>
      </x:c>
      <x:c r="J1982" s="20" t="n">
        <x:f>IFERROR(H1982/G1982,0)</x:f>
        <x:v>1</x:v>
      </x:c>
      <x:c r="K1982" t="n">
        <x:v>37726</x:v>
      </x:c>
      <x:c r="L1982" t="n">
        <x:v>39054.5</x:v>
      </x:c>
      <x:c r="M1982" t="n">
        <x:v>40383</x:v>
      </x:c>
      <x:c r="N1982" t="n">
        <x:v>40760.5</x:v>
      </x:c>
      <x:c r="O1982" t="n">
        <x:v>41138</x:v>
      </x:c>
    </x:row>
    <x:row r="1983">
      <x:c r="A1983" t="str">
        <x:v>Maharashtra</x:v>
      </x:c>
      <x:c r="B1983" t="str">
        <x:v>All India except Central University</x:v>
      </x:c>
      <x:c r="C1983" t="str">
        <x:v>200220</x:v>
      </x:c>
      <x:c r="D1983" t="str">
        <x:v>Indira Gandhi Medical College &amp; Hospital, Nagpur, MAYO HOSPITAL CENTRAL AVENUE ROAD NEAR RAM ZULA NAGPUR</x:v>
      </x:c>
      <x:c r="E1983" t="str">
        <x:v>All India</x:v>
      </x:c>
      <x:c r="F1983" t="str">
        <x:v>SC PwD</x:v>
      </x:c>
      <x:c r="G1983" t="n">
        <x:v>1</x:v>
      </x:c>
      <x:c r="H1983" t="n">
        <x:v>1</x:v>
      </x:c>
      <x:c r="I1983" t="n">
        <x:f>G1983-H1983</x:f>
        <x:v>0</x:v>
      </x:c>
      <x:c r="J1983" s="20" t="n">
        <x:f>IFERROR(H1983/G1983,0)</x:f>
        <x:v>1</x:v>
      </x:c>
      <x:c r="K1983" t="n">
        <x:v>350062</x:v>
      </x:c>
      <x:c r="L1983" t="n">
        <x:v>350062</x:v>
      </x:c>
      <x:c r="M1983" t="n">
        <x:v>350062</x:v>
      </x:c>
      <x:c r="N1983" t="n">
        <x:v>350062</x:v>
      </x:c>
      <x:c r="O1983" t="n">
        <x:v>350062</x:v>
      </x:c>
    </x:row>
    <x:row r="1984">
      <x:c r="A1984" t="str">
        <x:v>Maharashtra</x:v>
      </x:c>
      <x:c r="B1984" t="str">
        <x:v>All India except Central University</x:v>
      </x:c>
      <x:c r="C1984" t="str">
        <x:v>200220</x:v>
      </x:c>
      <x:c r="D1984" t="str">
        <x:v>Indira Gandhi Medical College &amp; Hospital, Nagpur, MAYO HOSPITAL CENTRAL AVENUE ROAD NEAR RAM ZULA NAGPUR</x:v>
      </x:c>
      <x:c r="E1984" t="str">
        <x:v>All India</x:v>
      </x:c>
      <x:c r="F1984" t="str">
        <x:v>ST</x:v>
      </x:c>
      <x:c r="G1984" t="n">
        <x:v>1</x:v>
      </x:c>
      <x:c r="H1984" t="n">
        <x:v>1</x:v>
      </x:c>
      <x:c r="I1984" t="n">
        <x:f>G1984-H1984</x:f>
        <x:v>0</x:v>
      </x:c>
      <x:c r="J1984" s="20" t="n">
        <x:f>IFERROR(H1984/G1984,0)</x:f>
        <x:v>1</x:v>
      </x:c>
      <x:c r="K1984" t="n">
        <x:v>74524</x:v>
      </x:c>
      <x:c r="L1984" t="n">
        <x:v>74524</x:v>
      </x:c>
      <x:c r="M1984" t="n">
        <x:v>74524</x:v>
      </x:c>
      <x:c r="N1984" t="n">
        <x:v>74524</x:v>
      </x:c>
      <x:c r="O1984" t="n">
        <x:v>74524</x:v>
      </x:c>
    </x:row>
    <x:row r="1985">
      <x:c r="A1985" t="str">
        <x:v>Maharashtra</x:v>
      </x:c>
      <x:c r="B1985" t="str">
        <x:v>All India except Central University</x:v>
      </x:c>
      <x:c r="C1985" t="str">
        <x:v>200220</x:v>
      </x:c>
      <x:c r="D1985" t="str">
        <x:v>Indira Gandhi Medical College &amp; Hospital, Nagpur, MAYO HOSPITAL CENTRAL AVENUE ROAD NEAR RAM ZULA NAGPUR</x:v>
      </x:c>
      <x:c r="E1985" t="str">
        <x:v>All India</x:v>
      </x:c>
      <x:c r="F1985" t="str">
        <x:v>ST PwD</x:v>
      </x:c>
      <x:c r="G1985" t="n">
        <x:v>1</x:v>
      </x:c>
      <x:c r="H1985" t="n">
        <x:v>1</x:v>
      </x:c>
      <x:c r="I1985" t="n">
        <x:f>G1985-H1985</x:f>
        <x:v>0</x:v>
      </x:c>
      <x:c r="J1985" s="20" t="n">
        <x:f>IFERROR(H1985/G1985,0)</x:f>
        <x:v>1</x:v>
      </x:c>
      <x:c r="K1985" t="n">
        <x:v>1157168</x:v>
      </x:c>
      <x:c r="L1985" t="n">
        <x:v>1157168</x:v>
      </x:c>
      <x:c r="M1985" t="n">
        <x:v>1157168</x:v>
      </x:c>
      <x:c r="N1985" t="n">
        <x:v>1157168</x:v>
      </x:c>
      <x:c r="O1985" t="n">
        <x:v>1157168</x:v>
      </x:c>
    </x:row>
    <x:row r="1986">
      <x:c r="A1986" t="str">
        <x:v>Puducherry</x:v>
      </x:c>
      <x:c r="B1986" t="str">
        <x:v>All India except Central University</x:v>
      </x:c>
      <x:c r="C1986" t="str">
        <x:v>200241</x:v>
      </x:c>
      <x:c r="D1986" t="str">
        <x:v>Indira Gandhi Medical College &amp; Research Institute, Puducherry, Vazhudavour Road, Kadirkamam</x:v>
      </x:c>
      <x:c r="E1986" t="str">
        <x:v>All India</x:v>
      </x:c>
      <x:c r="F1986" t="str">
        <x:v>EWS</x:v>
      </x:c>
      <x:c r="G1986" t="n">
        <x:v>2</x:v>
      </x:c>
      <x:c r="H1986" t="n">
        <x:v>2</x:v>
      </x:c>
      <x:c r="I1986" t="n">
        <x:f>G1986-H1986</x:f>
        <x:v>0</x:v>
      </x:c>
      <x:c r="J1986" s="20" t="n">
        <x:f>IFERROR(H1986/G1986,0)</x:f>
        <x:v>1</x:v>
      </x:c>
      <x:c r="K1986" t="n">
        <x:v>14477</x:v>
      </x:c>
      <x:c r="L1986" t="n">
        <x:v>14688.25</x:v>
      </x:c>
      <x:c r="M1986" t="n">
        <x:v>14899.5</x:v>
      </x:c>
      <x:c r="N1986" t="n">
        <x:v>15110.75</x:v>
      </x:c>
      <x:c r="O1986" t="n">
        <x:v>15322</x:v>
      </x:c>
    </x:row>
    <x:row r="1987">
      <x:c r="A1987" t="str">
        <x:v>Puducherry</x:v>
      </x:c>
      <x:c r="B1987" t="str">
        <x:v>All India except Central University</x:v>
      </x:c>
      <x:c r="C1987" t="str">
        <x:v>200241</x:v>
      </x:c>
      <x:c r="D1987" t="str">
        <x:v>Indira Gandhi Medical College &amp; Research Institute, Puducherry, Vazhudavour Road, Kadirkamam</x:v>
      </x:c>
      <x:c r="E1987" t="str">
        <x:v>All India</x:v>
      </x:c>
      <x:c r="F1987" t="str">
        <x:v>EWS PwD</x:v>
      </x:c>
      <x:c r="G1987" t="n">
        <x:v>1</x:v>
      </x:c>
      <x:c r="H1987" t="n">
        <x:v>1</x:v>
      </x:c>
      <x:c r="I1987" t="n">
        <x:f>G1987-H1987</x:f>
        <x:v>0</x:v>
      </x:c>
      <x:c r="J1987" s="20" t="n">
        <x:f>IFERROR(H1987/G1987,0)</x:f>
        <x:v>1</x:v>
      </x:c>
      <x:c r="K1987" t="n">
        <x:v>583979</x:v>
      </x:c>
      <x:c r="L1987" t="n">
        <x:v>583979</x:v>
      </x:c>
      <x:c r="M1987" t="n">
        <x:v>583979</x:v>
      </x:c>
      <x:c r="N1987" t="n">
        <x:v>583979</x:v>
      </x:c>
      <x:c r="O1987" t="n">
        <x:v>583979</x:v>
      </x:c>
    </x:row>
    <x:row r="1988">
      <x:c r="A1988" t="str">
        <x:v>Puducherry</x:v>
      </x:c>
      <x:c r="B1988" t="str">
        <x:v>All India except Central University</x:v>
      </x:c>
      <x:c r="C1988" t="str">
        <x:v>200241</x:v>
      </x:c>
      <x:c r="D1988" t="str">
        <x:v>Indira Gandhi Medical College &amp; Research Institute, Puducherry, Vazhudavour Road, Kadirkamam</x:v>
      </x:c>
      <x:c r="E1988" t="str">
        <x:v>All India</x:v>
      </x:c>
      <x:c r="F1988" t="str">
        <x:v>OBC</x:v>
      </x:c>
      <x:c r="G1988" t="n">
        <x:v>6</x:v>
      </x:c>
      <x:c r="H1988" t="n">
        <x:v>6</x:v>
      </x:c>
      <x:c r="I1988" t="n">
        <x:f>G1988-H1988</x:f>
        <x:v>0</x:v>
      </x:c>
      <x:c r="J1988" s="20" t="n">
        <x:f>IFERROR(H1988/G1988,0)</x:f>
        <x:v>1</x:v>
      </x:c>
      <x:c r="K1988" t="n">
        <x:v>9078</x:v>
      </x:c>
      <x:c r="L1988" t="n">
        <x:v>9336.25</x:v>
      </x:c>
      <x:c r="M1988" t="n">
        <x:v>9500.5</x:v>
      </x:c>
      <x:c r="N1988" t="n">
        <x:v>9772.75</x:v>
      </x:c>
      <x:c r="O1988" t="n">
        <x:v>10199</x:v>
      </x:c>
    </x:row>
    <x:row r="1989">
      <x:c r="A1989" t="str">
        <x:v>Puducherry</x:v>
      </x:c>
      <x:c r="B1989" t="str">
        <x:v>All India except Central University</x:v>
      </x:c>
      <x:c r="C1989" t="str">
        <x:v>200241</x:v>
      </x:c>
      <x:c r="D1989" t="str">
        <x:v>Indira Gandhi Medical College &amp; Research Institute, Puducherry, Vazhudavour Road, Kadirkamam</x:v>
      </x:c>
      <x:c r="E1989" t="str">
        <x:v>All India</x:v>
      </x:c>
      <x:c r="F1989" t="str">
        <x:v>OBC PwD</x:v>
      </x:c>
      <x:c r="G1989" t="n">
        <x:v>1</x:v>
      </x:c>
      <x:c r="H1989" t="n">
        <x:v>1</x:v>
      </x:c>
      <x:c r="I1989" t="n">
        <x:f>G1989-H1989</x:f>
        <x:v>0</x:v>
      </x:c>
      <x:c r="J1989" s="20" t="n">
        <x:f>IFERROR(H1989/G1989,0)</x:f>
        <x:v>1</x:v>
      </x:c>
      <x:c r="K1989" t="n">
        <x:v>729272</x:v>
      </x:c>
      <x:c r="L1989" t="n">
        <x:v>729272</x:v>
      </x:c>
      <x:c r="M1989" t="n">
        <x:v>729272</x:v>
      </x:c>
      <x:c r="N1989" t="n">
        <x:v>729272</x:v>
      </x:c>
      <x:c r="O1989" t="n">
        <x:v>729272</x:v>
      </x:c>
    </x:row>
    <x:row r="1990">
      <x:c r="A1990" t="str">
        <x:v>Puducherry</x:v>
      </x:c>
      <x:c r="B1990" t="str">
        <x:v>All India except Central University</x:v>
      </x:c>
      <x:c r="C1990" t="str">
        <x:v>200241</x:v>
      </x:c>
      <x:c r="D1990" t="str">
        <x:v>Indira Gandhi Medical College &amp; Research Institute, Puducherry, Vazhudavour Road, Kadirkamam</x:v>
      </x:c>
      <x:c r="E1990" t="str">
        <x:v>All India</x:v>
      </x:c>
      <x:c r="F1990" t="str">
        <x:v>Open</x:v>
      </x:c>
      <x:c r="G1990" t="n">
        <x:v>9</x:v>
      </x:c>
      <x:c r="H1990" t="n">
        <x:v>9</x:v>
      </x:c>
      <x:c r="I1990" t="n">
        <x:f>G1990-H1990</x:f>
        <x:v>0</x:v>
      </x:c>
      <x:c r="J1990" s="20" t="n">
        <x:f>IFERROR(H1990/G1990,0)</x:f>
        <x:v>1</x:v>
      </x:c>
      <x:c r="K1990" t="n">
        <x:v>2397</x:v>
      </x:c>
      <x:c r="L1990" t="n">
        <x:v>6435</x:v>
      </x:c>
      <x:c r="M1990" t="n">
        <x:v>7033</x:v>
      </x:c>
      <x:c r="N1990" t="n">
        <x:v>8222</x:v>
      </x:c>
      <x:c r="O1990" t="n">
        <x:v>8556</x:v>
      </x:c>
    </x:row>
    <x:row r="1991">
      <x:c r="A1991" t="str">
        <x:v>Puducherry</x:v>
      </x:c>
      <x:c r="B1991" t="str">
        <x:v>All India except Central University</x:v>
      </x:c>
      <x:c r="C1991" t="str">
        <x:v>200241</x:v>
      </x:c>
      <x:c r="D1991" t="str">
        <x:v>Indira Gandhi Medical College &amp; Research Institute, Puducherry, Vazhudavour Road, Kadirkamam</x:v>
      </x:c>
      <x:c r="E1991" t="str">
        <x:v>All India</x:v>
      </x:c>
      <x:c r="F1991" t="str">
        <x:v>Open PwD</x:v>
      </x:c>
      <x:c r="G1991" t="n">
        <x:v>1</x:v>
      </x:c>
      <x:c r="H1991" t="n">
        <x:v>1</x:v>
      </x:c>
      <x:c r="I1991" t="n">
        <x:f>G1991-H1991</x:f>
        <x:v>0</x:v>
      </x:c>
      <x:c r="J1991" s="20" t="n">
        <x:f>IFERROR(H1991/G1991,0)</x:f>
        <x:v>1</x:v>
      </x:c>
      <x:c r="K1991" t="n">
        <x:v>468590</x:v>
      </x:c>
      <x:c r="L1991" t="n">
        <x:v>468590</x:v>
      </x:c>
      <x:c r="M1991" t="n">
        <x:v>468590</x:v>
      </x:c>
      <x:c r="N1991" t="n">
        <x:v>468590</x:v>
      </x:c>
      <x:c r="O1991" t="n">
        <x:v>468590</x:v>
      </x:c>
    </x:row>
    <x:row r="1992">
      <x:c r="A1992" t="str">
        <x:v>Puducherry</x:v>
      </x:c>
      <x:c r="B1992" t="str">
        <x:v>All India except Central University</x:v>
      </x:c>
      <x:c r="C1992" t="str">
        <x:v>200241</x:v>
      </x:c>
      <x:c r="D1992" t="str">
        <x:v>Indira Gandhi Medical College &amp; Research Institute, Puducherry, Vazhudavour Road, Kadirkamam</x:v>
      </x:c>
      <x:c r="E1992" t="str">
        <x:v>All India</x:v>
      </x:c>
      <x:c r="F1992" t="str">
        <x:v>SC</x:v>
      </x:c>
      <x:c r="G1992" t="n">
        <x:v>4</x:v>
      </x:c>
      <x:c r="H1992" t="n">
        <x:v>4</x:v>
      </x:c>
      <x:c r="I1992" t="n">
        <x:f>G1992-H1992</x:f>
        <x:v>0</x:v>
      </x:c>
      <x:c r="J1992" s="20" t="n">
        <x:f>IFERROR(H1992/G1992,0)</x:f>
        <x:v>1</x:v>
      </x:c>
      <x:c r="K1992" t="n">
        <x:v>37507</x:v>
      </x:c>
      <x:c r="L1992" t="n">
        <x:v>44457.25</x:v>
      </x:c>
      <x:c r="M1992" t="n">
        <x:v>48512</x:v>
      </x:c>
      <x:c r="N1992" t="n">
        <x:v>50314.5</x:v>
      </x:c>
      <x:c r="O1992" t="n">
        <x:v>50508</x:v>
      </x:c>
    </x:row>
    <x:row r="1993">
      <x:c r="A1993" t="str">
        <x:v>Puducherry</x:v>
      </x:c>
      <x:c r="B1993" t="str">
        <x:v>All India except Central University</x:v>
      </x:c>
      <x:c r="C1993" t="str">
        <x:v>200241</x:v>
      </x:c>
      <x:c r="D1993" t="str">
        <x:v>Indira Gandhi Medical College &amp; Research Institute, Puducherry, Vazhudavour Road, Kadirkamam</x:v>
      </x:c>
      <x:c r="E1993" t="str">
        <x:v>All India</x:v>
      </x:c>
      <x:c r="F1993" t="str">
        <x:v>SC PwD</x:v>
      </x:c>
      <x:c r="G1993" t="n">
        <x:v>1</x:v>
      </x:c>
      <x:c r="H1993" t="n">
        <x:v>1</x:v>
      </x:c>
      <x:c r="I1993" t="n">
        <x:f>G1993-H1993</x:f>
        <x:v>0</x:v>
      </x:c>
      <x:c r="J1993" s="20" t="n">
        <x:f>IFERROR(H1993/G1993,0)</x:f>
        <x:v>1</x:v>
      </x:c>
      <x:c r="K1993" t="n">
        <x:v>1127786</x:v>
      </x:c>
      <x:c r="L1993" t="n">
        <x:v>1127786</x:v>
      </x:c>
      <x:c r="M1993" t="n">
        <x:v>1127786</x:v>
      </x:c>
      <x:c r="N1993" t="n">
        <x:v>1127786</x:v>
      </x:c>
      <x:c r="O1993" t="n">
        <x:v>1127786</x:v>
      </x:c>
    </x:row>
    <x:row r="1994">
      <x:c r="A1994" t="str">
        <x:v>Puducherry</x:v>
      </x:c>
      <x:c r="B1994" t="str">
        <x:v>All India except Central University</x:v>
      </x:c>
      <x:c r="C1994" t="str">
        <x:v>200241</x:v>
      </x:c>
      <x:c r="D1994" t="str">
        <x:v>Indira Gandhi Medical College &amp; Research Institute, Puducherry, Vazhudavour Road, Kadirkamam</x:v>
      </x:c>
      <x:c r="E1994" t="str">
        <x:v>All India</x:v>
      </x:c>
      <x:c r="F1994" t="str">
        <x:v>ST</x:v>
      </x:c>
      <x:c r="G1994" t="n">
        <x:v>2</x:v>
      </x:c>
      <x:c r="H1994" t="n">
        <x:v>2</x:v>
      </x:c>
      <x:c r="I1994" t="n">
        <x:f>G1994-H1994</x:f>
        <x:v>0</x:v>
      </x:c>
      <x:c r="J1994" s="20" t="n">
        <x:f>IFERROR(H1994/G1994,0)</x:f>
        <x:v>1</x:v>
      </x:c>
      <x:c r="K1994" t="n">
        <x:v>93203</x:v>
      </x:c>
      <x:c r="L1994" t="n">
        <x:v>96364.75</x:v>
      </x:c>
      <x:c r="M1994" t="n">
        <x:v>99526.5</x:v>
      </x:c>
      <x:c r="N1994" t="n">
        <x:v>102688.25</x:v>
      </x:c>
      <x:c r="O1994" t="n">
        <x:v>105850</x:v>
      </x:c>
    </x:row>
    <x:row r="1995">
      <x:c r="A1995" t="str">
        <x:v>Himachal Pradesh</x:v>
      </x:c>
      <x:c r="B1995" t="str">
        <x:v>All India except Central University</x:v>
      </x:c>
      <x:c r="C1995" t="str">
        <x:v>200154</x:v>
      </x:c>
      <x:c r="D1995" t="str">
        <x:v>Indira Gandhi Medical College, Shimla, IGMC SHIMLA NEAR LAKKAR BAZAR SHIMLA</x:v>
      </x:c>
      <x:c r="E1995" t="str">
        <x:v>All India</x:v>
      </x:c>
      <x:c r="F1995" t="str">
        <x:v>EWS</x:v>
      </x:c>
      <x:c r="G1995" t="n">
        <x:v>2</x:v>
      </x:c>
      <x:c r="H1995" t="n">
        <x:v>2</x:v>
      </x:c>
      <x:c r="I1995" t="n">
        <x:f>G1995-H1995</x:f>
        <x:v>0</x:v>
      </x:c>
      <x:c r="J1995" s="20" t="n">
        <x:f>IFERROR(H1995/G1995,0)</x:f>
        <x:v>1</x:v>
      </x:c>
      <x:c r="K1995" t="n">
        <x:v>4415</x:v>
      </x:c>
      <x:c r="L1995" t="n">
        <x:v>4564</x:v>
      </x:c>
      <x:c r="M1995" t="n">
        <x:v>4713</x:v>
      </x:c>
      <x:c r="N1995" t="n">
        <x:v>4862</x:v>
      </x:c>
      <x:c r="O1995" t="n">
        <x:v>5011</x:v>
      </x:c>
    </x:row>
    <x:row r="1996">
      <x:c r="A1996" t="str">
        <x:v>Himachal Pradesh</x:v>
      </x:c>
      <x:c r="B1996" t="str">
        <x:v>All India except Central University</x:v>
      </x:c>
      <x:c r="C1996" t="str">
        <x:v>200154</x:v>
      </x:c>
      <x:c r="D1996" t="str">
        <x:v>Indira Gandhi Medical College, Shimla, IGMC SHIMLA NEAR LAKKAR BAZAR SHIMLA</x:v>
      </x:c>
      <x:c r="E1996" t="str">
        <x:v>All India</x:v>
      </x:c>
      <x:c r="F1996" t="str">
        <x:v>OBC</x:v>
      </x:c>
      <x:c r="G1996" t="n">
        <x:v>4</x:v>
      </x:c>
      <x:c r="H1996" t="n">
        <x:v>4</x:v>
      </x:c>
      <x:c r="I1996" t="n">
        <x:f>G1996-H1996</x:f>
        <x:v>0</x:v>
      </x:c>
      <x:c r="J1996" s="20" t="n">
        <x:f>IFERROR(H1996/G1996,0)</x:f>
        <x:v>1</x:v>
      </x:c>
      <x:c r="K1996" t="n">
        <x:v>3713</x:v>
      </x:c>
      <x:c r="L1996" t="n">
        <x:v>3724.25</x:v>
      </x:c>
      <x:c r="M1996" t="n">
        <x:v>3792.5</x:v>
      </x:c>
      <x:c r="N1996" t="n">
        <x:v>3870.5</x:v>
      </x:c>
      <x:c r="O1996" t="n">
        <x:v>3911</x:v>
      </x:c>
    </x:row>
    <x:row r="1997">
      <x:c r="A1997" t="str">
        <x:v>Himachal Pradesh</x:v>
      </x:c>
      <x:c r="B1997" t="str">
        <x:v>All India except Central University</x:v>
      </x:c>
      <x:c r="C1997" t="str">
        <x:v>200154</x:v>
      </x:c>
      <x:c r="D1997" t="str">
        <x:v>Indira Gandhi Medical College, Shimla, IGMC SHIMLA NEAR LAKKAR BAZAR SHIMLA</x:v>
      </x:c>
      <x:c r="E1997" t="str">
        <x:v>All India</x:v>
      </x:c>
      <x:c r="F1997" t="str">
        <x:v>OBC PwD</x:v>
      </x:c>
      <x:c r="G1997" t="n">
        <x:v>1</x:v>
      </x:c>
      <x:c r="H1997" t="n">
        <x:v>1</x:v>
      </x:c>
      <x:c r="I1997" t="n">
        <x:f>G1997-H1997</x:f>
        <x:v>0</x:v>
      </x:c>
      <x:c r="J1997" s="20" t="n">
        <x:f>IFERROR(H1997/G1997,0)</x:f>
        <x:v>1</x:v>
      </x:c>
      <x:c r="K1997" t="n">
        <x:v>311087</x:v>
      </x:c>
      <x:c r="L1997" t="n">
        <x:v>311087</x:v>
      </x:c>
      <x:c r="M1997" t="n">
        <x:v>311087</x:v>
      </x:c>
      <x:c r="N1997" t="n">
        <x:v>311087</x:v>
      </x:c>
      <x:c r="O1997" t="n">
        <x:v>311087</x:v>
      </x:c>
    </x:row>
    <x:row r="1998">
      <x:c r="A1998" t="str">
        <x:v>Himachal Pradesh</x:v>
      </x:c>
      <x:c r="B1998" t="str">
        <x:v>All India except Central University</x:v>
      </x:c>
      <x:c r="C1998" t="str">
        <x:v>200154</x:v>
      </x:c>
      <x:c r="D1998" t="str">
        <x:v>Indira Gandhi Medical College, Shimla, IGMC SHIMLA NEAR LAKKAR BAZAR SHIMLA</x:v>
      </x:c>
      <x:c r="E1998" t="str">
        <x:v>All India</x:v>
      </x:c>
      <x:c r="F1998" t="str">
        <x:v>Open</x:v>
      </x:c>
      <x:c r="G1998" t="n">
        <x:v>7</x:v>
      </x:c>
      <x:c r="H1998" t="n">
        <x:v>7</x:v>
      </x:c>
      <x:c r="I1998" t="n">
        <x:f>G1998-H1998</x:f>
        <x:v>0</x:v>
      </x:c>
      <x:c r="J1998" s="20" t="n">
        <x:f>IFERROR(H1998/G1998,0)</x:f>
        <x:v>1</x:v>
      </x:c>
      <x:c r="K1998" t="n">
        <x:v>2296</x:v>
      </x:c>
      <x:c r="L1998" t="n">
        <x:v>2853.5</x:v>
      </x:c>
      <x:c r="M1998" t="n">
        <x:v>2985</x:v>
      </x:c>
      <x:c r="N1998" t="n">
        <x:v>3117.5</x:v>
      </x:c>
      <x:c r="O1998" t="n">
        <x:v>3239</x:v>
      </x:c>
    </x:row>
    <x:row r="1999">
      <x:c r="A1999" t="str">
        <x:v>Himachal Pradesh</x:v>
      </x:c>
      <x:c r="B1999" t="str">
        <x:v>All India except Central University</x:v>
      </x:c>
      <x:c r="C1999" t="str">
        <x:v>200154</x:v>
      </x:c>
      <x:c r="D1999" t="str">
        <x:v>Indira Gandhi Medical College, Shimla, IGMC SHIMLA NEAR LAKKAR BAZAR SHIMLA</x:v>
      </x:c>
      <x:c r="E1999" t="str">
        <x:v>All India</x:v>
      </x:c>
      <x:c r="F1999" t="str">
        <x:v>SC</x:v>
      </x:c>
      <x:c r="G1999" t="n">
        <x:v>3</x:v>
      </x:c>
      <x:c r="H1999" t="n">
        <x:v>3</x:v>
      </x:c>
      <x:c r="I1999" t="n">
        <x:f>G1999-H1999</x:f>
        <x:v>0</x:v>
      </x:c>
      <x:c r="J1999" s="20" t="n">
        <x:f>IFERROR(H1999/G1999,0)</x:f>
        <x:v>1</x:v>
      </x:c>
      <x:c r="K1999" t="n">
        <x:v>21124</x:v>
      </x:c>
      <x:c r="L1999" t="n">
        <x:v>21671.5</x:v>
      </x:c>
      <x:c r="M1999" t="n">
        <x:v>22219</x:v>
      </x:c>
      <x:c r="N1999" t="n">
        <x:v>25439.5</x:v>
      </x:c>
      <x:c r="O1999" t="n">
        <x:v>28660</x:v>
      </x:c>
    </x:row>
    <x:row r="2000">
      <x:c r="A2000" t="str">
        <x:v>Himachal Pradesh</x:v>
      </x:c>
      <x:c r="B2000" t="str">
        <x:v>All India except Central University</x:v>
      </x:c>
      <x:c r="C2000" t="str">
        <x:v>200154</x:v>
      </x:c>
      <x:c r="D2000" t="str">
        <x:v>Indira Gandhi Medical College, Shimla, IGMC SHIMLA NEAR LAKKAR BAZAR SHIMLA</x:v>
      </x:c>
      <x:c r="E2000" t="str">
        <x:v>All India</x:v>
      </x:c>
      <x:c r="F2000" t="str">
        <x:v>ST</x:v>
      </x:c>
      <x:c r="G2000" t="n">
        <x:v>1</x:v>
      </x:c>
      <x:c r="H2000" t="n">
        <x:v>1</x:v>
      </x:c>
      <x:c r="I2000" t="n">
        <x:f>G2000-H2000</x:f>
        <x:v>0</x:v>
      </x:c>
      <x:c r="J2000" s="20" t="n">
        <x:f>IFERROR(H2000/G2000,0)</x:f>
        <x:v>1</x:v>
      </x:c>
      <x:c r="K2000" t="n">
        <x:v>34744</x:v>
      </x:c>
      <x:c r="L2000" t="n">
        <x:v>34744</x:v>
      </x:c>
      <x:c r="M2000" t="n">
        <x:v>34744</x:v>
      </x:c>
      <x:c r="N2000" t="n">
        <x:v>34744</x:v>
      </x:c>
      <x:c r="O2000" t="n">
        <x:v>34744</x:v>
      </x:c>
    </x:row>
    <x:row r="2001">
      <x:c r="A2001" t="str">
        <x:v>Odisha</x:v>
      </x:c>
      <x:c r="B2001" t="str">
        <x:v>Deemed University</x:v>
      </x:c>
      <x:c r="C2001" t="str">
        <x:v>902806</x:v>
      </x:c>
      <x:c r="D2001" t="str">
        <x:v>Institute of Medical Sciences &amp; SUM Hospital, Campus-II, Phulnakhara Bhubaneswar, Odhisha, At-Nakhara, Po-Phulnakhara, Bhubaneswar, Khordha</x:v>
      </x:c>
      <x:c r="E2001" t="str">
        <x:v>NRI</x:v>
      </x:c>
      <x:c r="F2001" t="str">
        <x:v>Open</x:v>
      </x:c>
      <x:c r="G2001" t="n">
        <x:v>10</x:v>
      </x:c>
      <x:c r="H2001" t="n">
        <x:v>0</x:v>
      </x:c>
      <x:c r="I2001" t="n">
        <x:f>G2001-H2001</x:f>
        <x:v>10</x:v>
      </x:c>
      <x:c r="J2001" s="20" t="n">
        <x:f>IFERROR(H2001/G2001,0)</x:f>
        <x:v>0</x:v>
      </x:c>
      <x:c r="K2001"/>
      <x:c r="L2001"/>
      <x:c r="M2001"/>
      <x:c r="N2001"/>
      <x:c r="O2001"/>
    </x:row>
    <x:row r="2002">
      <x:c r="A2002" t="str">
        <x:v>Odisha</x:v>
      </x:c>
      <x:c r="B2002" t="str">
        <x:v>Deemed University</x:v>
      </x:c>
      <x:c r="C2002" t="str">
        <x:v>902806</x:v>
      </x:c>
      <x:c r="D2002" t="str">
        <x:v>Institute of Medical Sciences &amp; SUM Hospital, Campus-II, Phulnakhara Bhubaneswar, Odhisha, At-Nakhara, Po-Phulnakhara, Bhubaneswar, Khordha</x:v>
      </x:c>
      <x:c r="E2002" t="str">
        <x:v>Self-Financed Merit</x:v>
      </x:c>
      <x:c r="F2002" t="str">
        <x:v>Open</x:v>
      </x:c>
      <x:c r="G2002" t="n">
        <x:v>240</x:v>
      </x:c>
      <x:c r="H2002" t="n">
        <x:v>240</x:v>
      </x:c>
      <x:c r="I2002" t="n">
        <x:f>G2002-H2002</x:f>
        <x:v>0</x:v>
      </x:c>
      <x:c r="J2002" s="20" t="n">
        <x:f>IFERROR(H2002/G2002,0)</x:f>
        <x:v>1</x:v>
      </x:c>
      <x:c r="K2002" t="n">
        <x:v>49300</x:v>
      </x:c>
      <x:c r="L2002" t="n">
        <x:v>174474</x:v>
      </x:c>
      <x:c r="M2002" t="n">
        <x:v>229358</x:v>
      </x:c>
      <x:c r="N2002" t="n">
        <x:v>281233.75</x:v>
      </x:c>
      <x:c r="O2002" t="n">
        <x:v>332063</x:v>
      </x:c>
    </x:row>
    <x:row r="2003">
      <x:c r="A2003" t="str">
        <x:v>Uttar Pradesh</x:v>
      </x:c>
      <x:c r="B2003" t="str">
        <x:v>Central University</x:v>
      </x:c>
      <x:c r="C2003" t="str">
        <x:v>200405</x:v>
      </x:c>
      <x:c r="D2003" t="str">
        <x:v>Institute of Medical Sciences, BHU, Varansi, Institute of Medical Sciences, Banaras Hindu University</x:v>
      </x:c>
      <x:c r="E2003" t="str">
        <x:v>Open Seat Quota</x:v>
      </x:c>
      <x:c r="F2003" t="str">
        <x:v>EWS</x:v>
      </x:c>
      <x:c r="G2003" t="n">
        <x:v>9</x:v>
      </x:c>
      <x:c r="H2003" t="n">
        <x:v>9</x:v>
      </x:c>
      <x:c r="I2003" t="n">
        <x:f>G2003-H2003</x:f>
        <x:v>0</x:v>
      </x:c>
      <x:c r="J2003" s="20" t="n">
        <x:f>IFERROR(H2003/G2003,0)</x:f>
        <x:v>1</x:v>
      </x:c>
      <x:c r="K2003" t="n">
        <x:v>1202</x:v>
      </x:c>
      <x:c r="L2003" t="n">
        <x:v>1411</x:v>
      </x:c>
      <x:c r="M2003" t="n">
        <x:v>1616</x:v>
      </x:c>
      <x:c r="N2003" t="n">
        <x:v>1982</x:v>
      </x:c>
      <x:c r="O2003" t="n">
        <x:v>2017</x:v>
      </x:c>
    </x:row>
    <x:row r="2004">
      <x:c r="A2004" t="str">
        <x:v>Uttar Pradesh</x:v>
      </x:c>
      <x:c r="B2004" t="str">
        <x:v>Central University</x:v>
      </x:c>
      <x:c r="C2004" t="str">
        <x:v>200405</x:v>
      </x:c>
      <x:c r="D2004" t="str">
        <x:v>Institute of Medical Sciences, BHU, Varansi, Institute of Medical Sciences, Banaras Hindu University</x:v>
      </x:c>
      <x:c r="E2004" t="str">
        <x:v>Open Seat Quota</x:v>
      </x:c>
      <x:c r="F2004" t="str">
        <x:v>EWS PwD</x:v>
      </x:c>
      <x:c r="G2004" t="n">
        <x:v>1</x:v>
      </x:c>
      <x:c r="H2004" t="n">
        <x:v>1</x:v>
      </x:c>
      <x:c r="I2004" t="n">
        <x:f>G2004-H2004</x:f>
        <x:v>0</x:v>
      </x:c>
      <x:c r="J2004" s="20" t="n">
        <x:f>IFERROR(H2004/G2004,0)</x:f>
        <x:v>1</x:v>
      </x:c>
      <x:c r="K2004" t="n">
        <x:v>111295</x:v>
      </x:c>
      <x:c r="L2004" t="n">
        <x:v>111295</x:v>
      </x:c>
      <x:c r="M2004" t="n">
        <x:v>111295</x:v>
      </x:c>
      <x:c r="N2004" t="n">
        <x:v>111295</x:v>
      </x:c>
      <x:c r="O2004" t="n">
        <x:v>111295</x:v>
      </x:c>
    </x:row>
    <x:row r="2005">
      <x:c r="A2005" t="str">
        <x:v>Uttar Pradesh</x:v>
      </x:c>
      <x:c r="B2005" t="str">
        <x:v>Central University</x:v>
      </x:c>
      <x:c r="C2005" t="str">
        <x:v>200405</x:v>
      </x:c>
      <x:c r="D2005" t="str">
        <x:v>Institute of Medical Sciences, BHU, Varansi, Institute of Medical Sciences, Banaras Hindu University</x:v>
      </x:c>
      <x:c r="E2005" t="str">
        <x:v>Open Seat Quota</x:v>
      </x:c>
      <x:c r="F2005" t="str">
        <x:v>OBC</x:v>
      </x:c>
      <x:c r="G2005" t="n">
        <x:v>25</x:v>
      </x:c>
      <x:c r="H2005" t="n">
        <x:v>25</x:v>
      </x:c>
      <x:c r="I2005" t="n">
        <x:f>G2005-H2005</x:f>
        <x:v>0</x:v>
      </x:c>
      <x:c r="J2005" s="20" t="n">
        <x:f>IFERROR(H2005/G2005,0)</x:f>
        <x:v>1</x:v>
      </x:c>
      <x:c r="K2005" t="n">
        <x:v>1085</x:v>
      </x:c>
      <x:c r="L2005" t="n">
        <x:v>1209</x:v>
      </x:c>
      <x:c r="M2005" t="n">
        <x:v>1467</x:v>
      </x:c>
      <x:c r="N2005" t="n">
        <x:v>1526</x:v>
      </x:c>
      <x:c r="O2005" t="n">
        <x:v>1620</x:v>
      </x:c>
    </x:row>
    <x:row r="2006">
      <x:c r="A2006" t="str">
        <x:v>Uttar Pradesh</x:v>
      </x:c>
      <x:c r="B2006" t="str">
        <x:v>Central University</x:v>
      </x:c>
      <x:c r="C2006" t="str">
        <x:v>200405</x:v>
      </x:c>
      <x:c r="D2006" t="str">
        <x:v>Institute of Medical Sciences, BHU, Varansi, Institute of Medical Sciences, Banaras Hindu University</x:v>
      </x:c>
      <x:c r="E2006" t="str">
        <x:v>Open Seat Quota</x:v>
      </x:c>
      <x:c r="F2006" t="str">
        <x:v>OBC PwD</x:v>
      </x:c>
      <x:c r="G2006" t="n">
        <x:v>2</x:v>
      </x:c>
      <x:c r="H2006" t="n">
        <x:v>2</x:v>
      </x:c>
      <x:c r="I2006" t="n">
        <x:f>G2006-H2006</x:f>
        <x:v>0</x:v>
      </x:c>
      <x:c r="J2006" s="20" t="n">
        <x:f>IFERROR(H2006/G2006,0)</x:f>
        <x:v>1</x:v>
      </x:c>
      <x:c r="K2006" t="n">
        <x:v>133385</x:v>
      </x:c>
      <x:c r="L2006" t="n">
        <x:v>147141.25</x:v>
      </x:c>
      <x:c r="M2006" t="n">
        <x:v>160897.5</x:v>
      </x:c>
      <x:c r="N2006" t="n">
        <x:v>174653.75</x:v>
      </x:c>
      <x:c r="O2006" t="n">
        <x:v>188410</x:v>
      </x:c>
    </x:row>
    <x:row r="2007">
      <x:c r="A2007" t="str">
        <x:v>Uttar Pradesh</x:v>
      </x:c>
      <x:c r="B2007" t="str">
        <x:v>Central University</x:v>
      </x:c>
      <x:c r="C2007" t="str">
        <x:v>200405</x:v>
      </x:c>
      <x:c r="D2007" t="str">
        <x:v>Institute of Medical Sciences, BHU, Varansi, Institute of Medical Sciences, Banaras Hindu University</x:v>
      </x:c>
      <x:c r="E2007" t="str">
        <x:v>Open Seat Quota</x:v>
      </x:c>
      <x:c r="F2007" t="str">
        <x:v>Open</x:v>
      </x:c>
      <x:c r="G2007" t="n">
        <x:v>38</x:v>
      </x:c>
      <x:c r="H2007" t="n">
        <x:v>38</x:v>
      </x:c>
      <x:c r="I2007" t="n">
        <x:f>G2007-H2007</x:f>
        <x:v>0</x:v>
      </x:c>
      <x:c r="J2007" s="20" t="n">
        <x:f>IFERROR(H2007/G2007,0)</x:f>
        <x:v>1</x:v>
      </x:c>
      <x:c r="K2007" t="n">
        <x:v>203</x:v>
      </x:c>
      <x:c r="L2007" t="n">
        <x:v>717.75</x:v>
      </x:c>
      <x:c r="M2007" t="n">
        <x:v>845</x:v>
      </x:c>
      <x:c r="N2007" t="n">
        <x:v>974</x:v>
      </x:c>
      <x:c r="O2007" t="n">
        <x:v>1043</x:v>
      </x:c>
    </x:row>
    <x:row r="2008">
      <x:c r="A2008" t="str">
        <x:v>Uttar Pradesh</x:v>
      </x:c>
      <x:c r="B2008" t="str">
        <x:v>Central University</x:v>
      </x:c>
      <x:c r="C2008" t="str">
        <x:v>200405</x:v>
      </x:c>
      <x:c r="D2008" t="str">
        <x:v>Institute of Medical Sciences, BHU, Varansi, Institute of Medical Sciences, Banaras Hindu University</x:v>
      </x:c>
      <x:c r="E2008" t="str">
        <x:v>Open Seat Quota</x:v>
      </x:c>
      <x:c r="F2008" t="str">
        <x:v>Open PwD</x:v>
      </x:c>
      <x:c r="G2008" t="n">
        <x:v>2</x:v>
      </x:c>
      <x:c r="H2008" t="n">
        <x:v>2</x:v>
      </x:c>
      <x:c r="I2008" t="n">
        <x:f>G2008-H2008</x:f>
        <x:v>0</x:v>
      </x:c>
      <x:c r="J2008" s="20" t="n">
        <x:f>IFERROR(H2008/G2008,0)</x:f>
        <x:v>1</x:v>
      </x:c>
      <x:c r="K2008" t="n">
        <x:v>40902</x:v>
      </x:c>
      <x:c r="L2008" t="n">
        <x:v>55435.5</x:v>
      </x:c>
      <x:c r="M2008" t="n">
        <x:v>69969</x:v>
      </x:c>
      <x:c r="N2008" t="n">
        <x:v>84502.5</x:v>
      </x:c>
      <x:c r="O2008" t="n">
        <x:v>99036</x:v>
      </x:c>
    </x:row>
    <x:row r="2009">
      <x:c r="A2009" t="str">
        <x:v>Uttar Pradesh</x:v>
      </x:c>
      <x:c r="B2009" t="str">
        <x:v>Central University</x:v>
      </x:c>
      <x:c r="C2009" t="str">
        <x:v>200405</x:v>
      </x:c>
      <x:c r="D2009" t="str">
        <x:v>Institute of Medical Sciences, BHU, Varansi, Institute of Medical Sciences, Banaras Hindu University</x:v>
      </x:c>
      <x:c r="E2009" t="str">
        <x:v>Open Seat Quota</x:v>
      </x:c>
      <x:c r="F2009" t="str">
        <x:v>SC</x:v>
      </x:c>
      <x:c r="G2009" t="n">
        <x:v>14</x:v>
      </x:c>
      <x:c r="H2009" t="n">
        <x:v>14</x:v>
      </x:c>
      <x:c r="I2009" t="n">
        <x:f>G2009-H2009</x:f>
        <x:v>0</x:v>
      </x:c>
      <x:c r="J2009" s="20" t="n">
        <x:f>IFERROR(H2009/G2009,0)</x:f>
        <x:v>1</x:v>
      </x:c>
      <x:c r="K2009" t="n">
        <x:v>7958</x:v>
      </x:c>
      <x:c r="L2009" t="n">
        <x:v>9474.5</x:v>
      </x:c>
      <x:c r="M2009" t="n">
        <x:v>11625.5</x:v>
      </x:c>
      <x:c r="N2009" t="n">
        <x:v>12870.5</x:v>
      </x:c>
      <x:c r="O2009" t="n">
        <x:v>14522</x:v>
      </x:c>
    </x:row>
    <x:row r="2010">
      <x:c r="A2010" t="str">
        <x:v>Uttar Pradesh</x:v>
      </x:c>
      <x:c r="B2010" t="str">
        <x:v>Central University</x:v>
      </x:c>
      <x:c r="C2010" t="str">
        <x:v>200405</x:v>
      </x:c>
      <x:c r="D2010" t="str">
        <x:v>Institute of Medical Sciences, BHU, Varansi, Institute of Medical Sciences, Banaras Hindu University</x:v>
      </x:c>
      <x:c r="E2010" t="str">
        <x:v>Open Seat Quota</x:v>
      </x:c>
      <x:c r="F2010" t="str">
        <x:v>SC PwD</x:v>
      </x:c>
      <x:c r="G2010" t="n">
        <x:v>1</x:v>
      </x:c>
      <x:c r="H2010" t="n">
        <x:v>1</x:v>
      </x:c>
      <x:c r="I2010" t="n">
        <x:f>G2010-H2010</x:f>
        <x:v>0</x:v>
      </x:c>
      <x:c r="J2010" s="20" t="n">
        <x:f>IFERROR(H2010/G2010,0)</x:f>
        <x:v>1</x:v>
      </x:c>
      <x:c r="K2010" t="n">
        <x:v>172669</x:v>
      </x:c>
      <x:c r="L2010" t="n">
        <x:v>172669</x:v>
      </x:c>
      <x:c r="M2010" t="n">
        <x:v>172669</x:v>
      </x:c>
      <x:c r="N2010" t="n">
        <x:v>172669</x:v>
      </x:c>
      <x:c r="O2010" t="n">
        <x:v>172669</x:v>
      </x:c>
    </x:row>
    <x:row r="2011">
      <x:c r="A2011" t="str">
        <x:v>Uttar Pradesh</x:v>
      </x:c>
      <x:c r="B2011" t="str">
        <x:v>Central University</x:v>
      </x:c>
      <x:c r="C2011" t="str">
        <x:v>200405</x:v>
      </x:c>
      <x:c r="D2011" t="str">
        <x:v>Institute of Medical Sciences, BHU, Varansi, Institute of Medical Sciences, Banaras Hindu University</x:v>
      </x:c>
      <x:c r="E2011" t="str">
        <x:v>Open Seat Quota</x:v>
      </x:c>
      <x:c r="F2011" t="str">
        <x:v>ST</x:v>
      </x:c>
      <x:c r="G2011" t="n">
        <x:v>8</x:v>
      </x:c>
      <x:c r="H2011" t="n">
        <x:v>8</x:v>
      </x:c>
      <x:c r="I2011" t="n">
        <x:f>G2011-H2011</x:f>
        <x:v>0</x:v>
      </x:c>
      <x:c r="J2011" s="20" t="n">
        <x:f>IFERROR(H2011/G2011,0)</x:f>
        <x:v>1</x:v>
      </x:c>
      <x:c r="K2011" t="n">
        <x:v>10739</x:v>
      </x:c>
      <x:c r="L2011" t="n">
        <x:v>14151</x:v>
      </x:c>
      <x:c r="M2011" t="n">
        <x:v>17122</x:v>
      </x:c>
      <x:c r="N2011" t="n">
        <x:v>20201</x:v>
      </x:c>
      <x:c r="O2011" t="n">
        <x:v>21083</x:v>
      </x:c>
    </x:row>
    <x:row r="2012">
      <x:c r="A2012" t="str">
        <x:v>West Bengal</x:v>
      </x:c>
      <x:c r="B2012" t="str">
        <x:v>All India except Central University</x:v>
      </x:c>
      <x:c r="C2012" t="str">
        <x:v>200314</x:v>
      </x:c>
      <x:c r="D2012" t="str">
        <x:v>Institute of Postgraduate Medical Education &amp; Research, Kolkata, 244 AJC Bose Road, Kolkata</x:v>
      </x:c>
      <x:c r="E2012" t="str">
        <x:v>All India</x:v>
      </x:c>
      <x:c r="F2012" t="str">
        <x:v>EWS</x:v>
      </x:c>
      <x:c r="G2012" t="n">
        <x:v>3</x:v>
      </x:c>
      <x:c r="H2012" t="n">
        <x:v>3</x:v>
      </x:c>
      <x:c r="I2012" t="n">
        <x:f>G2012-H2012</x:f>
        <x:v>0</x:v>
      </x:c>
      <x:c r="J2012" s="20" t="n">
        <x:f>IFERROR(H2012/G2012,0)</x:f>
        <x:v>1</x:v>
      </x:c>
      <x:c r="K2012" t="n">
        <x:v>4590</x:v>
      </x:c>
      <x:c r="L2012" t="n">
        <x:v>4749</x:v>
      </x:c>
      <x:c r="M2012" t="n">
        <x:v>4908</x:v>
      </x:c>
      <x:c r="N2012" t="n">
        <x:v>4945.5</x:v>
      </x:c>
      <x:c r="O2012" t="n">
        <x:v>4983</x:v>
      </x:c>
    </x:row>
    <x:row r="2013">
      <x:c r="A2013" t="str">
        <x:v>West Bengal</x:v>
      </x:c>
      <x:c r="B2013" t="str">
        <x:v>All India except Central University</x:v>
      </x:c>
      <x:c r="C2013" t="str">
        <x:v>200314</x:v>
      </x:c>
      <x:c r="D2013" t="str">
        <x:v>Institute of Postgraduate Medical Education &amp; Research, Kolkata, 244 AJC Bose Road, Kolkata</x:v>
      </x:c>
      <x:c r="E2013" t="str">
        <x:v>All India</x:v>
      </x:c>
      <x:c r="F2013" t="str">
        <x:v>OBC</x:v>
      </x:c>
      <x:c r="G2013" t="n">
        <x:v>10</x:v>
      </x:c>
      <x:c r="H2013" t="n">
        <x:v>10</x:v>
      </x:c>
      <x:c r="I2013" t="n">
        <x:f>G2013-H2013</x:f>
        <x:v>0</x:v>
      </x:c>
      <x:c r="J2013" s="20" t="n">
        <x:f>IFERROR(H2013/G2013,0)</x:f>
        <x:v>1</x:v>
      </x:c>
      <x:c r="K2013" t="n">
        <x:v>4233</x:v>
      </x:c>
      <x:c r="L2013" t="n">
        <x:v>4517.75</x:v>
      </x:c>
      <x:c r="M2013" t="n">
        <x:v>4700.5</x:v>
      </x:c>
      <x:c r="N2013" t="n">
        <x:v>4876.5</x:v>
      </x:c>
      <x:c r="O2013" t="n">
        <x:v>4958</x:v>
      </x:c>
    </x:row>
    <x:row r="2014">
      <x:c r="A2014" t="str">
        <x:v>West Bengal</x:v>
      </x:c>
      <x:c r="B2014" t="str">
        <x:v>All India except Central University</x:v>
      </x:c>
      <x:c r="C2014" t="str">
        <x:v>200314</x:v>
      </x:c>
      <x:c r="D2014" t="str">
        <x:v>Institute of Postgraduate Medical Education &amp; Research, Kolkata, 244 AJC Bose Road, Kolkata</x:v>
      </x:c>
      <x:c r="E2014" t="str">
        <x:v>All India</x:v>
      </x:c>
      <x:c r="F2014" t="str">
        <x:v>Open</x:v>
      </x:c>
      <x:c r="G2014" t="n">
        <x:v>15</x:v>
      </x:c>
      <x:c r="H2014" t="n">
        <x:v>15</x:v>
      </x:c>
      <x:c r="I2014" t="n">
        <x:f>G2014-H2014</x:f>
        <x:v>0</x:v>
      </x:c>
      <x:c r="J2014" s="20" t="n">
        <x:f>IFERROR(H2014/G2014,0)</x:f>
        <x:v>1</x:v>
      </x:c>
      <x:c r="K2014" t="n">
        <x:v>1012</x:v>
      </x:c>
      <x:c r="L2014" t="n">
        <x:v>2293</x:v>
      </x:c>
      <x:c r="M2014" t="n">
        <x:v>3022</x:v>
      </x:c>
      <x:c r="N2014" t="n">
        <x:v>3226.5</x:v>
      </x:c>
      <x:c r="O2014" t="n">
        <x:v>3368</x:v>
      </x:c>
    </x:row>
    <x:row r="2015">
      <x:c r="A2015" t="str">
        <x:v>West Bengal</x:v>
      </x:c>
      <x:c r="B2015" t="str">
        <x:v>All India except Central University</x:v>
      </x:c>
      <x:c r="C2015" t="str">
        <x:v>200314</x:v>
      </x:c>
      <x:c r="D2015" t="str">
        <x:v>Institute of Postgraduate Medical Education &amp; Research, Kolkata, 244 AJC Bose Road, Kolkata</x:v>
      </x:c>
      <x:c r="E2015" t="str">
        <x:v>All India</x:v>
      </x:c>
      <x:c r="F2015" t="str">
        <x:v>Open PwD</x:v>
      </x:c>
      <x:c r="G2015" t="n">
        <x:v>1</x:v>
      </x:c>
      <x:c r="H2015" t="n">
        <x:v>1</x:v>
      </x:c>
      <x:c r="I2015" t="n">
        <x:f>G2015-H2015</x:f>
        <x:v>0</x:v>
      </x:c>
      <x:c r="J2015" s="20" t="n">
        <x:f>IFERROR(H2015/G2015,0)</x:f>
        <x:v>1</x:v>
      </x:c>
      <x:c r="K2015" t="n">
        <x:v>178899</x:v>
      </x:c>
      <x:c r="L2015" t="n">
        <x:v>178899</x:v>
      </x:c>
      <x:c r="M2015" t="n">
        <x:v>178899</x:v>
      </x:c>
      <x:c r="N2015" t="n">
        <x:v>178899</x:v>
      </x:c>
      <x:c r="O2015" t="n">
        <x:v>178899</x:v>
      </x:c>
    </x:row>
    <x:row r="2016">
      <x:c r="A2016" t="str">
        <x:v>West Bengal</x:v>
      </x:c>
      <x:c r="B2016" t="str">
        <x:v>All India except Central University</x:v>
      </x:c>
      <x:c r="C2016" t="str">
        <x:v>200314</x:v>
      </x:c>
      <x:c r="D2016" t="str">
        <x:v>Institute of Postgraduate Medical Education &amp; Research, Kolkata, 244 AJC Bose Road, Kolkata</x:v>
      </x:c>
      <x:c r="E2016" t="str">
        <x:v>All India</x:v>
      </x:c>
      <x:c r="F2016" t="str">
        <x:v>SC</x:v>
      </x:c>
      <x:c r="G2016" t="n">
        <x:v>6</x:v>
      </x:c>
      <x:c r="H2016" t="n">
        <x:v>6</x:v>
      </x:c>
      <x:c r="I2016" t="n">
        <x:f>G2016-H2016</x:f>
        <x:v>0</x:v>
      </x:c>
      <x:c r="J2016" s="20" t="n">
        <x:f>IFERROR(H2016/G2016,0)</x:f>
        <x:v>1</x:v>
      </x:c>
      <x:c r="K2016" t="n">
        <x:v>19200</x:v>
      </x:c>
      <x:c r="L2016" t="n">
        <x:v>22073</x:v>
      </x:c>
      <x:c r="M2016" t="n">
        <x:v>26227</x:v>
      </x:c>
      <x:c r="N2016" t="n">
        <x:v>26862</x:v>
      </x:c>
      <x:c r="O2016" t="n">
        <x:v>27126</x:v>
      </x:c>
    </x:row>
    <x:row r="2017">
      <x:c r="A2017" t="str">
        <x:v>West Bengal</x:v>
      </x:c>
      <x:c r="B2017" t="str">
        <x:v>All India except Central University</x:v>
      </x:c>
      <x:c r="C2017" t="str">
        <x:v>200314</x:v>
      </x:c>
      <x:c r="D2017" t="str">
        <x:v>Institute of Postgraduate Medical Education &amp; Research, Kolkata, 244 AJC Bose Road, Kolkata</x:v>
      </x:c>
      <x:c r="E2017" t="str">
        <x:v>All India</x:v>
      </x:c>
      <x:c r="F2017" t="str">
        <x:v>ST</x:v>
      </x:c>
      <x:c r="G2017" t="n">
        <x:v>3</x:v>
      </x:c>
      <x:c r="H2017" t="n">
        <x:v>3</x:v>
      </x:c>
      <x:c r="I2017" t="n">
        <x:f>G2017-H2017</x:f>
        <x:v>0</x:v>
      </x:c>
      <x:c r="J2017" s="20" t="n">
        <x:f>IFERROR(H2017/G2017,0)</x:f>
        <x:v>1</x:v>
      </x:c>
      <x:c r="K2017" t="n">
        <x:v>42425</x:v>
      </x:c>
      <x:c r="L2017" t="n">
        <x:v>46907</x:v>
      </x:c>
      <x:c r="M2017" t="n">
        <x:v>51389</x:v>
      </x:c>
      <x:c r="N2017" t="n">
        <x:v>52221.5</x:v>
      </x:c>
      <x:c r="O2017" t="n">
        <x:v>53054</x:v>
      </x:c>
    </x:row>
    <x:row r="2018">
      <x:c r="A2018" t="str">
        <x:v>Odisha</x:v>
      </x:c>
      <x:c r="B2018" t="str">
        <x:v>Deemed University</x:v>
      </x:c>
      <x:c r="C2018" t="str">
        <x:v>200374</x:v>
      </x:c>
      <x:c r="D2018" t="str">
        <x:v>Instt. Of Medical Sciences &amp; SUM Hospital, Bhubaneswar, K 8 Kalinga Nagar Po Mahalaxmi Vihar Bhubaneswar</x:v>
      </x:c>
      <x:c r="E2018" t="str">
        <x:v>NRI</x:v>
      </x:c>
      <x:c r="F2018" t="str">
        <x:v>Open</x:v>
      </x:c>
      <x:c r="G2018" t="n">
        <x:v>5</x:v>
      </x:c>
      <x:c r="H2018" t="n">
        <x:v>3</x:v>
      </x:c>
      <x:c r="I2018" t="n">
        <x:f>G2018-H2018</x:f>
        <x:v>2</x:v>
      </x:c>
      <x:c r="J2018" s="20" t="n">
        <x:f>IFERROR(H2018/G2018,0)</x:f>
        <x:v>0.6</x:v>
      </x:c>
      <x:c r="K2018" t="n">
        <x:v>633527</x:v>
      </x:c>
      <x:c r="L2018" t="n">
        <x:v>783520</x:v>
      </x:c>
      <x:c r="M2018" t="n">
        <x:v>933513</x:v>
      </x:c>
      <x:c r="N2018" t="n">
        <x:v>942623.5</x:v>
      </x:c>
      <x:c r="O2018" t="n">
        <x:v>951734</x:v>
      </x:c>
    </x:row>
    <x:row r="2019">
      <x:c r="A2019" t="str">
        <x:v>Odisha</x:v>
      </x:c>
      <x:c r="B2019" t="str">
        <x:v>Deemed University</x:v>
      </x:c>
      <x:c r="C2019" t="str">
        <x:v>200374</x:v>
      </x:c>
      <x:c r="D2019" t="str">
        <x:v>Instt. Of Medical Sciences &amp; SUM Hospital, Bhubaneswar, K 8 Kalinga Nagar Po Mahalaxmi Vihar Bhubaneswar</x:v>
      </x:c>
      <x:c r="E2019" t="str">
        <x:v>Self-Financed Merit</x:v>
      </x:c>
      <x:c r="F2019" t="str">
        <x:v>Open</x:v>
      </x:c>
      <x:c r="G2019" t="n">
        <x:v>245</x:v>
      </x:c>
      <x:c r="H2019" t="n">
        <x:v>245</x:v>
      </x:c>
      <x:c r="I2019" t="n">
        <x:f>G2019-H2019</x:f>
        <x:v>0</x:v>
      </x:c>
      <x:c r="J2019" s="20" t="n">
        <x:f>IFERROR(H2019/G2019,0)</x:f>
        <x:v>1</x:v>
      </x:c>
      <x:c r="K2019" t="n">
        <x:v>62270</x:v>
      </x:c>
      <x:c r="L2019" t="n">
        <x:v>226292</x:v>
      </x:c>
      <x:c r="M2019" t="n">
        <x:v>282944</x:v>
      </x:c>
      <x:c r="N2019" t="n">
        <x:v>326359</x:v>
      </x:c>
      <x:c r="O2019" t="n">
        <x:v>349173</x:v>
      </x:c>
    </x:row>
    <x:row r="2020">
      <x:c r="A2020" t="str">
        <x:v>Tamil Nadu</x:v>
      </x:c>
      <x:c r="B2020" t="str">
        <x:v>Deemed University</x:v>
      </x:c>
      <x:c r="C2020" t="str">
        <x:v>902804</x:v>
      </x:c>
      <x:c r="D2020" t="str">
        <x:v>J R Medical College and Hospital Villupuram District, Tamilnadu, Chennai-Trichy NH-45,Kiledaiyalam, Tindivanam Taluk,Villupuram District.</x:v>
      </x:c>
      <x:c r="E2020" t="str">
        <x:v>Self-Financed Merit</x:v>
      </x:c>
      <x:c r="F2020" t="str">
        <x:v>Open</x:v>
      </x:c>
      <x:c r="G2020" t="n">
        <x:v>200</x:v>
      </x:c>
      <x:c r="H2020" t="n">
        <x:v>77</x:v>
      </x:c>
      <x:c r="I2020" t="n">
        <x:f>G2020-H2020</x:f>
        <x:v>123</x:v>
      </x:c>
      <x:c r="J2020" s="20" t="n">
        <x:f>IFERROR(H2020/G2020,0)</x:f>
        <x:v>0.385</x:v>
      </x:c>
      <x:c r="K2020" t="n">
        <x:v>138955</x:v>
      </x:c>
      <x:c r="L2020" t="n">
        <x:v>701765</x:v>
      </x:c>
      <x:c r="M2020" t="n">
        <x:v>967140</x:v>
      </x:c>
      <x:c r="N2020" t="n">
        <x:v>1095221</x:v>
      </x:c>
      <x:c r="O2020" t="n">
        <x:v>1194131</x:v>
      </x:c>
    </x:row>
    <x:row r="2021">
      <x:c r="A2021" t="str">
        <x:v>Puducherry</x:v>
      </x:c>
      <x:c r="B2021" t="str">
        <x:v>Jawaharlal Institute of Postgraduate Medical Education and Research</x:v>
      </x:c>
      <x:c r="C2021" t="str">
        <x:v>200522</x:v>
      </x:c>
      <x:c r="D2021" t="str">
        <x:v>JIPMER KARAIKAL, JIPMER Academic Campus, FCI Link Road, Kovilpathu, Karaikal - 609602</x:v>
      </x:c>
      <x:c r="E2021" t="str">
        <x:v>Internal -Puducherry</x:v>
      </x:c>
      <x:c r="F2021" t="str">
        <x:v>EWS</x:v>
      </x:c>
      <x:c r="G2021" t="n">
        <x:v>1</x:v>
      </x:c>
      <x:c r="H2021" t="n">
        <x:v>1</x:v>
      </x:c>
      <x:c r="I2021" t="n">
        <x:f>G2021-H2021</x:f>
        <x:v>0</x:v>
      </x:c>
      <x:c r="J2021" s="20" t="n">
        <x:f>IFERROR(H2021/G2021,0)</x:f>
        <x:v>1</x:v>
      </x:c>
      <x:c r="K2021" t="n">
        <x:v>383009</x:v>
      </x:c>
      <x:c r="L2021" t="n">
        <x:v>383009</x:v>
      </x:c>
      <x:c r="M2021" t="n">
        <x:v>383009</x:v>
      </x:c>
      <x:c r="N2021" t="n">
        <x:v>383009</x:v>
      </x:c>
      <x:c r="O2021" t="n">
        <x:v>383009</x:v>
      </x:c>
    </x:row>
    <x:row r="2022">
      <x:c r="A2022" t="str">
        <x:v>Puducherry</x:v>
      </x:c>
      <x:c r="B2022" t="str">
        <x:v>Jawaharlal Institute of Postgraduate Medical Education and Research</x:v>
      </x:c>
      <x:c r="C2022" t="str">
        <x:v>200522</x:v>
      </x:c>
      <x:c r="D2022" t="str">
        <x:v>JIPMER KARAIKAL, JIPMER Academic Campus, FCI Link Road, Kovilpathu, Karaikal - 609602</x:v>
      </x:c>
      <x:c r="E2022" t="str">
        <x:v>Internal -Puducherry</x:v>
      </x:c>
      <x:c r="F2022" t="str">
        <x:v>EWS PwD</x:v>
      </x:c>
      <x:c r="G2022" t="n">
        <x:v>1</x:v>
      </x:c>
      <x:c r="H2022" t="n">
        <x:v>0</x:v>
      </x:c>
      <x:c r="I2022" t="n">
        <x:f>G2022-H2022</x:f>
        <x:v>1</x:v>
      </x:c>
      <x:c r="J2022" s="20" t="n">
        <x:f>IFERROR(H2022/G2022,0)</x:f>
        <x:v>0</x:v>
      </x:c>
      <x:c r="K2022"/>
      <x:c r="L2022"/>
      <x:c r="M2022"/>
      <x:c r="N2022"/>
      <x:c r="O2022"/>
    </x:row>
    <x:row r="2023">
      <x:c r="A2023" t="str">
        <x:v>Puducherry</x:v>
      </x:c>
      <x:c r="B2023" t="str">
        <x:v>Jawaharlal Institute of Postgraduate Medical Education and Research</x:v>
      </x:c>
      <x:c r="C2023" t="str">
        <x:v>200522</x:v>
      </x:c>
      <x:c r="D2023" t="str">
        <x:v>JIPMER KARAIKAL, JIPMER Academic Campus, FCI Link Road, Kovilpathu, Karaikal - 609602</x:v>
      </x:c>
      <x:c r="E2023" t="str">
        <x:v>Internal -Puducherry</x:v>
      </x:c>
      <x:c r="F2023" t="str">
        <x:v>OBC</x:v>
      </x:c>
      <x:c r="G2023" t="n">
        <x:v>5</x:v>
      </x:c>
      <x:c r="H2023" t="n">
        <x:v>5</x:v>
      </x:c>
      <x:c r="I2023" t="n">
        <x:f>G2023-H2023</x:f>
        <x:v>0</x:v>
      </x:c>
      <x:c r="J2023" s="20" t="n">
        <x:f>IFERROR(H2023/G2023,0)</x:f>
        <x:v>1</x:v>
      </x:c>
      <x:c r="K2023" t="n">
        <x:v>35325</x:v>
      </x:c>
      <x:c r="L2023" t="n">
        <x:v>37318</x:v>
      </x:c>
      <x:c r="M2023" t="n">
        <x:v>38819</x:v>
      </x:c>
      <x:c r="N2023" t="n">
        <x:v>43068</x:v>
      </x:c>
      <x:c r="O2023" t="n">
        <x:v>45261</x:v>
      </x:c>
    </x:row>
    <x:row r="2024">
      <x:c r="A2024" t="str">
        <x:v>Puducherry</x:v>
      </x:c>
      <x:c r="B2024" t="str">
        <x:v>Jawaharlal Institute of Postgraduate Medical Education and Research</x:v>
      </x:c>
      <x:c r="C2024" t="str">
        <x:v>200522</x:v>
      </x:c>
      <x:c r="D2024" t="str">
        <x:v>JIPMER KARAIKAL, JIPMER Academic Campus, FCI Link Road, Kovilpathu, Karaikal - 609602</x:v>
      </x:c>
      <x:c r="E2024" t="str">
        <x:v>Internal -Puducherry</x:v>
      </x:c>
      <x:c r="F2024" t="str">
        <x:v>Open</x:v>
      </x:c>
      <x:c r="G2024" t="n">
        <x:v>3</x:v>
      </x:c>
      <x:c r="H2024" t="n">
        <x:v>3</x:v>
      </x:c>
      <x:c r="I2024" t="n">
        <x:f>G2024-H2024</x:f>
        <x:v>0</x:v>
      </x:c>
      <x:c r="J2024" s="20" t="n">
        <x:f>IFERROR(H2024/G2024,0)</x:f>
        <x:v>1</x:v>
      </x:c>
      <x:c r="K2024" t="n">
        <x:v>24066</x:v>
      </x:c>
      <x:c r="L2024" t="n">
        <x:v>24787.5</x:v>
      </x:c>
      <x:c r="M2024" t="n">
        <x:v>25509</x:v>
      </x:c>
      <x:c r="N2024" t="n">
        <x:v>25525</x:v>
      </x:c>
      <x:c r="O2024" t="n">
        <x:v>25541</x:v>
      </x:c>
    </x:row>
    <x:row r="2025">
      <x:c r="A2025" t="str">
        <x:v>Puducherry</x:v>
      </x:c>
      <x:c r="B2025" t="str">
        <x:v>Jawaharlal Institute of Postgraduate Medical Education and Research</x:v>
      </x:c>
      <x:c r="C2025" t="str">
        <x:v>200522</x:v>
      </x:c>
      <x:c r="D2025" t="str">
        <x:v>JIPMER KARAIKAL, JIPMER Academic Campus, FCI Link Road, Kovilpathu, Karaikal - 609602</x:v>
      </x:c>
      <x:c r="E2025" t="str">
        <x:v>Internal -Puducherry</x:v>
      </x:c>
      <x:c r="F2025" t="str">
        <x:v>Open PwD</x:v>
      </x:c>
      <x:c r="G2025" t="n">
        <x:v>1</x:v>
      </x:c>
      <x:c r="H2025" t="n">
        <x:v>0</x:v>
      </x:c>
      <x:c r="I2025" t="n">
        <x:f>G2025-H2025</x:f>
        <x:v>1</x:v>
      </x:c>
      <x:c r="J2025" s="20" t="n">
        <x:f>IFERROR(H2025/G2025,0)</x:f>
        <x:v>0</x:v>
      </x:c>
      <x:c r="K2025"/>
      <x:c r="L2025"/>
      <x:c r="M2025"/>
      <x:c r="N2025"/>
      <x:c r="O2025"/>
    </x:row>
    <x:row r="2026">
      <x:c r="A2026" t="str">
        <x:v>Puducherry</x:v>
      </x:c>
      <x:c r="B2026" t="str">
        <x:v>Jawaharlal Institute of Postgraduate Medical Education and Research</x:v>
      </x:c>
      <x:c r="C2026" t="str">
        <x:v>200522</x:v>
      </x:c>
      <x:c r="D2026" t="str">
        <x:v>JIPMER KARAIKAL, JIPMER Academic Campus, FCI Link Road, Kovilpathu, Karaikal - 609602</x:v>
      </x:c>
      <x:c r="E2026" t="str">
        <x:v>Internal -Puducherry</x:v>
      </x:c>
      <x:c r="F2026" t="str">
        <x:v>SC</x:v>
      </x:c>
      <x:c r="G2026" t="n">
        <x:v>2</x:v>
      </x:c>
      <x:c r="H2026" t="n">
        <x:v>2</x:v>
      </x:c>
      <x:c r="I2026" t="n">
        <x:f>G2026-H2026</x:f>
        <x:v>0</x:v>
      </x:c>
      <x:c r="J2026" s="20" t="n">
        <x:f>IFERROR(H2026/G2026,0)</x:f>
        <x:v>1</x:v>
      </x:c>
      <x:c r="K2026" t="n">
        <x:v>178892</x:v>
      </x:c>
      <x:c r="L2026" t="n">
        <x:v>182401.25</x:v>
      </x:c>
      <x:c r="M2026" t="n">
        <x:v>185910.5</x:v>
      </x:c>
      <x:c r="N2026" t="n">
        <x:v>189419.75</x:v>
      </x:c>
      <x:c r="O2026" t="n">
        <x:v>192929</x:v>
      </x:c>
    </x:row>
    <x:row r="2027">
      <x:c r="A2027" t="str">
        <x:v>Puducherry</x:v>
      </x:c>
      <x:c r="B2027" t="str">
        <x:v>Jawaharlal Institute of Postgraduate Medical Education and Research</x:v>
      </x:c>
      <x:c r="C2027" t="str">
        <x:v>200522</x:v>
      </x:c>
      <x:c r="D2027" t="str">
        <x:v>JIPMER KARAIKAL, JIPMER Academic Campus, FCI Link Road, Kovilpathu, Karaikal - 609602</x:v>
      </x:c>
      <x:c r="E2027" t="str">
        <x:v>Internal -Puducherry</x:v>
      </x:c>
      <x:c r="F2027" t="str">
        <x:v>SC PwD</x:v>
      </x:c>
      <x:c r="G2027" t="n">
        <x:v>1</x:v>
      </x:c>
      <x:c r="H2027" t="n">
        <x:v>0</x:v>
      </x:c>
      <x:c r="I2027" t="n">
        <x:f>G2027-H2027</x:f>
        <x:v>1</x:v>
      </x:c>
      <x:c r="J2027" s="20" t="n">
        <x:f>IFERROR(H2027/G2027,0)</x:f>
        <x:v>0</x:v>
      </x:c>
      <x:c r="K2027"/>
      <x:c r="L2027"/>
      <x:c r="M2027"/>
      <x:c r="N2027"/>
      <x:c r="O2027"/>
    </x:row>
    <x:row r="2028">
      <x:c r="A2028" t="str">
        <x:v>Puducherry</x:v>
      </x:c>
      <x:c r="B2028" t="str">
        <x:v>Jawaharlal Institute of Postgraduate Medical Education and Research</x:v>
      </x:c>
      <x:c r="C2028" t="str">
        <x:v>200522</x:v>
      </x:c>
      <x:c r="D2028" t="str">
        <x:v>JIPMER KARAIKAL, JIPMER Academic Campus, FCI Link Road, Kovilpathu, Karaikal - 609602</x:v>
      </x:c>
      <x:c r="E2028" t="str">
        <x:v>Internal -Puducherry</x:v>
      </x:c>
      <x:c r="F2028" t="str">
        <x:v>ST</x:v>
      </x:c>
      <x:c r="G2028" t="n">
        <x:v>2</x:v>
      </x:c>
      <x:c r="H2028" t="n">
        <x:v>0</x:v>
      </x:c>
      <x:c r="I2028" t="n">
        <x:f>G2028-H2028</x:f>
        <x:v>2</x:v>
      </x:c>
      <x:c r="J2028" s="20" t="n">
        <x:f>IFERROR(H2028/G2028,0)</x:f>
        <x:v>0</x:v>
      </x:c>
      <x:c r="K2028"/>
      <x:c r="L2028"/>
      <x:c r="M2028"/>
      <x:c r="N2028"/>
      <x:c r="O2028"/>
    </x:row>
    <x:row r="2029">
      <x:c r="A2029" t="str">
        <x:v>Puducherry</x:v>
      </x:c>
      <x:c r="B2029" t="str">
        <x:v>Jawaharlal Institute of Postgraduate Medical Education and Research</x:v>
      </x:c>
      <x:c r="C2029" t="str">
        <x:v>200522</x:v>
      </x:c>
      <x:c r="D2029" t="str">
        <x:v>JIPMER KARAIKAL, JIPMER Academic Campus, FCI Link Road, Kovilpathu, Karaikal - 609602</x:v>
      </x:c>
      <x:c r="E2029" t="str">
        <x:v>Open Seat Quota</x:v>
      </x:c>
      <x:c r="F2029" t="str">
        <x:v>EWS</x:v>
      </x:c>
      <x:c r="G2029" t="n">
        <x:v>5</x:v>
      </x:c>
      <x:c r="H2029" t="n">
        <x:v>5</x:v>
      </x:c>
      <x:c r="I2029" t="n">
        <x:f>G2029-H2029</x:f>
        <x:v>0</x:v>
      </x:c>
      <x:c r="J2029" s="20" t="n">
        <x:f>IFERROR(H2029/G2029,0)</x:f>
        <x:v>1</x:v>
      </x:c>
      <x:c r="K2029" t="n">
        <x:v>4197</x:v>
      </x:c>
      <x:c r="L2029" t="n">
        <x:v>4726</x:v>
      </x:c>
      <x:c r="M2029" t="n">
        <x:v>4811</x:v>
      </x:c>
      <x:c r="N2029" t="n">
        <x:v>5000</x:v>
      </x:c>
      <x:c r="O2029" t="n">
        <x:v>5156</x:v>
      </x:c>
    </x:row>
    <x:row r="2030">
      <x:c r="A2030" t="str">
        <x:v>Puducherry</x:v>
      </x:c>
      <x:c r="B2030" t="str">
        <x:v>Jawaharlal Institute of Postgraduate Medical Education and Research</x:v>
      </x:c>
      <x:c r="C2030" t="str">
        <x:v>200522</x:v>
      </x:c>
      <x:c r="D2030" t="str">
        <x:v>JIPMER KARAIKAL, JIPMER Academic Campus, FCI Link Road, Kovilpathu, Karaikal - 609602</x:v>
      </x:c>
      <x:c r="E2030" t="str">
        <x:v>Open Seat Quota</x:v>
      </x:c>
      <x:c r="F2030" t="str">
        <x:v>OBC</x:v>
      </x:c>
      <x:c r="G2030" t="n">
        <x:v>12</x:v>
      </x:c>
      <x:c r="H2030" t="n">
        <x:v>12</x:v>
      </x:c>
      <x:c r="I2030" t="n">
        <x:f>G2030-H2030</x:f>
        <x:v>0</x:v>
      </x:c>
      <x:c r="J2030" s="20" t="n">
        <x:f>IFERROR(H2030/G2030,0)</x:f>
        <x:v>1</x:v>
      </x:c>
      <x:c r="K2030" t="n">
        <x:v>3173</x:v>
      </x:c>
      <x:c r="L2030" t="n">
        <x:v>3339.5</x:v>
      </x:c>
      <x:c r="M2030" t="n">
        <x:v>3408.5</x:v>
      </x:c>
      <x:c r="N2030" t="n">
        <x:v>3587.25</x:v>
      </x:c>
      <x:c r="O2030" t="n">
        <x:v>3976</x:v>
      </x:c>
    </x:row>
    <x:row r="2031">
      <x:c r="A2031" t="str">
        <x:v>Puducherry</x:v>
      </x:c>
      <x:c r="B2031" t="str">
        <x:v>Jawaharlal Institute of Postgraduate Medical Education and Research</x:v>
      </x:c>
      <x:c r="C2031" t="str">
        <x:v>200522</x:v>
      </x:c>
      <x:c r="D2031" t="str">
        <x:v>JIPMER KARAIKAL, JIPMER Academic Campus, FCI Link Road, Kovilpathu, Karaikal - 609602</x:v>
      </x:c>
      <x:c r="E2031" t="str">
        <x:v>Open Seat Quota</x:v>
      </x:c>
      <x:c r="F2031" t="str">
        <x:v>Open</x:v>
      </x:c>
      <x:c r="G2031" t="n">
        <x:v>17</x:v>
      </x:c>
      <x:c r="H2031" t="n">
        <x:v>17</x:v>
      </x:c>
      <x:c r="I2031" t="n">
        <x:f>G2031-H2031</x:f>
        <x:v>0</x:v>
      </x:c>
      <x:c r="J2031" s="20" t="n">
        <x:f>IFERROR(H2031/G2031,0)</x:f>
        <x:v>1</x:v>
      </x:c>
      <x:c r="K2031" t="n">
        <x:v>1442</x:v>
      </x:c>
      <x:c r="L2031" t="n">
        <x:v>2066</x:v>
      </x:c>
      <x:c r="M2031" t="n">
        <x:v>2346</x:v>
      </x:c>
      <x:c r="N2031" t="n">
        <x:v>2504</x:v>
      </x:c>
      <x:c r="O2031" t="n">
        <x:v>2638</x:v>
      </x:c>
    </x:row>
    <x:row r="2032">
      <x:c r="A2032" t="str">
        <x:v>Puducherry</x:v>
      </x:c>
      <x:c r="B2032" t="str">
        <x:v>Jawaharlal Institute of Postgraduate Medical Education and Research</x:v>
      </x:c>
      <x:c r="C2032" t="str">
        <x:v>200522</x:v>
      </x:c>
      <x:c r="D2032" t="str">
        <x:v>JIPMER KARAIKAL, JIPMER Academic Campus, FCI Link Road, Kovilpathu, Karaikal - 609602</x:v>
      </x:c>
      <x:c r="E2032" t="str">
        <x:v>Open Seat Quota</x:v>
      </x:c>
      <x:c r="F2032" t="str">
        <x:v>Open PwD</x:v>
      </x:c>
      <x:c r="G2032" t="n">
        <x:v>1</x:v>
      </x:c>
      <x:c r="H2032" t="n">
        <x:v>1</x:v>
      </x:c>
      <x:c r="I2032" t="n">
        <x:f>G2032-H2032</x:f>
        <x:v>0</x:v>
      </x:c>
      <x:c r="J2032" s="20" t="n">
        <x:f>IFERROR(H2032/G2032,0)</x:f>
        <x:v>1</x:v>
      </x:c>
      <x:c r="K2032" t="n">
        <x:v>180830</x:v>
      </x:c>
      <x:c r="L2032" t="n">
        <x:v>180830</x:v>
      </x:c>
      <x:c r="M2032" t="n">
        <x:v>180830</x:v>
      </x:c>
      <x:c r="N2032" t="n">
        <x:v>180830</x:v>
      </x:c>
      <x:c r="O2032" t="n">
        <x:v>180830</x:v>
      </x:c>
    </x:row>
    <x:row r="2033">
      <x:c r="A2033" t="str">
        <x:v>Puducherry</x:v>
      </x:c>
      <x:c r="B2033" t="str">
        <x:v>Jawaharlal Institute of Postgraduate Medical Education and Research</x:v>
      </x:c>
      <x:c r="C2033" t="str">
        <x:v>200522</x:v>
      </x:c>
      <x:c r="D2033" t="str">
        <x:v>JIPMER KARAIKAL, JIPMER Academic Campus, FCI Link Road, Kovilpathu, Karaikal - 609602</x:v>
      </x:c>
      <x:c r="E2033" t="str">
        <x:v>Open Seat Quota</x:v>
      </x:c>
      <x:c r="F2033" t="str">
        <x:v>SC</x:v>
      </x:c>
      <x:c r="G2033" t="n">
        <x:v>6</x:v>
      </x:c>
      <x:c r="H2033" t="n">
        <x:v>6</x:v>
      </x:c>
      <x:c r="I2033" t="n">
        <x:f>G2033-H2033</x:f>
        <x:v>0</x:v>
      </x:c>
      <x:c r="J2033" s="20" t="n">
        <x:f>IFERROR(H2033/G2033,0)</x:f>
        <x:v>1</x:v>
      </x:c>
      <x:c r="K2033" t="n">
        <x:v>4870</x:v>
      </x:c>
      <x:c r="L2033" t="n">
        <x:v>12830</x:v>
      </x:c>
      <x:c r="M2033" t="n">
        <x:v>15727.5</x:v>
      </x:c>
      <x:c r="N2033" t="n">
        <x:v>18648.25</x:v>
      </x:c>
      <x:c r="O2033" t="n">
        <x:v>20601</x:v>
      </x:c>
    </x:row>
    <x:row r="2034">
      <x:c r="A2034" t="str">
        <x:v>Puducherry</x:v>
      </x:c>
      <x:c r="B2034" t="str">
        <x:v>Jawaharlal Institute of Postgraduate Medical Education and Research</x:v>
      </x:c>
      <x:c r="C2034" t="str">
        <x:v>200522</x:v>
      </x:c>
      <x:c r="D2034" t="str">
        <x:v>JIPMER KARAIKAL, JIPMER Academic Campus, FCI Link Road, Kovilpathu, Karaikal - 609602</x:v>
      </x:c>
      <x:c r="E2034" t="str">
        <x:v>Open Seat Quota</x:v>
      </x:c>
      <x:c r="F2034" t="str">
        <x:v>SC PwD</x:v>
      </x:c>
      <x:c r="G2034" t="n">
        <x:v>1</x:v>
      </x:c>
      <x:c r="H2034" t="n">
        <x:v>1</x:v>
      </x:c>
      <x:c r="I2034" t="n">
        <x:f>G2034-H2034</x:f>
        <x:v>0</x:v>
      </x:c>
      <x:c r="J2034" s="20" t="n">
        <x:f>IFERROR(H2034/G2034,0)</x:f>
        <x:v>1</x:v>
      </x:c>
      <x:c r="K2034" t="n">
        <x:v>288944</x:v>
      </x:c>
      <x:c r="L2034" t="n">
        <x:v>288944</x:v>
      </x:c>
      <x:c r="M2034" t="n">
        <x:v>288944</x:v>
      </x:c>
      <x:c r="N2034" t="n">
        <x:v>288944</x:v>
      </x:c>
      <x:c r="O2034" t="n">
        <x:v>288944</x:v>
      </x:c>
    </x:row>
    <x:row r="2035">
      <x:c r="A2035" t="str">
        <x:v>Puducherry</x:v>
      </x:c>
      <x:c r="B2035" t="str">
        <x:v>Jawaharlal Institute of Postgraduate Medical Education and Research</x:v>
      </x:c>
      <x:c r="C2035" t="str">
        <x:v>200522</x:v>
      </x:c>
      <x:c r="D2035" t="str">
        <x:v>JIPMER KARAIKAL, JIPMER Academic Campus, FCI Link Road, Kovilpathu, Karaikal - 609602</x:v>
      </x:c>
      <x:c r="E2035" t="str">
        <x:v>Open Seat Quota</x:v>
      </x:c>
      <x:c r="F2035" t="str">
        <x:v>ST</x:v>
      </x:c>
      <x:c r="G2035" t="n">
        <x:v>2</x:v>
      </x:c>
      <x:c r="H2035" t="n">
        <x:v>2</x:v>
      </x:c>
      <x:c r="I2035" t="n">
        <x:f>G2035-H2035</x:f>
        <x:v>0</x:v>
      </x:c>
      <x:c r="J2035" s="20" t="n">
        <x:f>IFERROR(H2035/G2035,0)</x:f>
        <x:v>1</x:v>
      </x:c>
      <x:c r="K2035" t="n">
        <x:v>39474</x:v>
      </x:c>
      <x:c r="L2035" t="n">
        <x:v>39776.5</x:v>
      </x:c>
      <x:c r="M2035" t="n">
        <x:v>40079</x:v>
      </x:c>
      <x:c r="N2035" t="n">
        <x:v>40381.5</x:v>
      </x:c>
      <x:c r="O2035" t="n">
        <x:v>40684</x:v>
      </x:c>
    </x:row>
    <x:row r="2036">
      <x:c r="A2036" t="str">
        <x:v>Puducherry</x:v>
      </x:c>
      <x:c r="B2036" t="str">
        <x:v>Jawaharlal Institute of Postgraduate Medical Education and Research</x:v>
      </x:c>
      <x:c r="C2036" t="str">
        <x:v>200522</x:v>
      </x:c>
      <x:c r="D2036" t="str">
        <x:v>JIPMER KARAIKAL, JIPMER Academic Campus, FCI Link Road, Kovilpathu, Karaikal - 609602</x:v>
      </x:c>
      <x:c r="E2036" t="str">
        <x:v>Open Seat Quota</x:v>
      </x:c>
      <x:c r="F2036" t="str">
        <x:v>ST PwD</x:v>
      </x:c>
      <x:c r="G2036" t="n">
        <x:v>1</x:v>
      </x:c>
      <x:c r="H2036" t="n">
        <x:v>1</x:v>
      </x:c>
      <x:c r="I2036" t="n">
        <x:f>G2036-H2036</x:f>
        <x:v>0</x:v>
      </x:c>
      <x:c r="J2036" s="20" t="n">
        <x:f>IFERROR(H2036/G2036,0)</x:f>
        <x:v>1</x:v>
      </x:c>
      <x:c r="K2036" t="n">
        <x:v>213018</x:v>
      </x:c>
      <x:c r="L2036" t="n">
        <x:v>213018</x:v>
      </x:c>
      <x:c r="M2036" t="n">
        <x:v>213018</x:v>
      </x:c>
      <x:c r="N2036" t="n">
        <x:v>213018</x:v>
      </x:c>
      <x:c r="O2036" t="n">
        <x:v>213018</x:v>
      </x:c>
    </x:row>
    <x:row r="2037">
      <x:c r="A2037" t="str">
        <x:v>Puducherry</x:v>
      </x:c>
      <x:c r="B2037" t="str">
        <x:v>Jawaharlal Institute of Postgraduate Medical Education and Research</x:v>
      </x:c>
      <x:c r="C2037" t="str">
        <x:v>200521</x:v>
      </x:c>
      <x:c r="D2037" t="str">
        <x:v>JIPMER PUDUCHERRY, Dhanvantari Nagar Gorimedu Puducherry</x:v>
      </x:c>
      <x:c r="E2037" t="str">
        <x:v>Internal -Puducherry</x:v>
      </x:c>
      <x:c r="F2037" t="str">
        <x:v>EWS</x:v>
      </x:c>
      <x:c r="G2037" t="n">
        <x:v>4</x:v>
      </x:c>
      <x:c r="H2037" t="n">
        <x:v>4</x:v>
      </x:c>
      <x:c r="I2037" t="n">
        <x:f>G2037-H2037</x:f>
        <x:v>0</x:v>
      </x:c>
      <x:c r="J2037" s="20" t="n">
        <x:f>IFERROR(H2037/G2037,0)</x:f>
        <x:v>1</x:v>
      </x:c>
      <x:c r="K2037" t="n">
        <x:v>107365</x:v>
      </x:c>
      <x:c r="L2037" t="n">
        <x:v>230710</x:v>
      </x:c>
      <x:c r="M2037" t="n">
        <x:v>315114</x:v>
      </x:c>
      <x:c r="N2037" t="n">
        <x:v>360820</x:v>
      </x:c>
      <x:c r="O2037" t="n">
        <x:v>368071</x:v>
      </x:c>
    </x:row>
    <x:row r="2038">
      <x:c r="A2038" t="str">
        <x:v>Puducherry</x:v>
      </x:c>
      <x:c r="B2038" t="str">
        <x:v>Jawaharlal Institute of Postgraduate Medical Education and Research</x:v>
      </x:c>
      <x:c r="C2038" t="str">
        <x:v>200521</x:v>
      </x:c>
      <x:c r="D2038" t="str">
        <x:v>JIPMER PUDUCHERRY, Dhanvantari Nagar Gorimedu Puducherry</x:v>
      </x:c>
      <x:c r="E2038" t="str">
        <x:v>Internal -Puducherry</x:v>
      </x:c>
      <x:c r="F2038" t="str">
        <x:v>OBC</x:v>
      </x:c>
      <x:c r="G2038" t="n">
        <x:v>11</x:v>
      </x:c>
      <x:c r="H2038" t="n">
        <x:v>11</x:v>
      </x:c>
      <x:c r="I2038" t="n">
        <x:f>G2038-H2038</x:f>
        <x:v>0</x:v>
      </x:c>
      <x:c r="J2038" s="20" t="n">
        <x:f>IFERROR(H2038/G2038,0)</x:f>
        <x:v>1</x:v>
      </x:c>
      <x:c r="K2038" t="n">
        <x:v>23870</x:v>
      </x:c>
      <x:c r="L2038" t="n">
        <x:v>26758</x:v>
      </x:c>
      <x:c r="M2038" t="n">
        <x:v>31546</x:v>
      </x:c>
      <x:c r="N2038" t="n">
        <x:v>34136</x:v>
      </x:c>
      <x:c r="O2038" t="n">
        <x:v>34729</x:v>
      </x:c>
    </x:row>
    <x:row r="2039">
      <x:c r="A2039" t="str">
        <x:v>Puducherry</x:v>
      </x:c>
      <x:c r="B2039" t="str">
        <x:v>Jawaharlal Institute of Postgraduate Medical Education and Research</x:v>
      </x:c>
      <x:c r="C2039" t="str">
        <x:v>200521</x:v>
      </x:c>
      <x:c r="D2039" t="str">
        <x:v>JIPMER PUDUCHERRY, Dhanvantari Nagar Gorimedu Puducherry</x:v>
      </x:c>
      <x:c r="E2039" t="str">
        <x:v>Internal -Puducherry</x:v>
      </x:c>
      <x:c r="F2039" t="str">
        <x:v>OBC PwD</x:v>
      </x:c>
      <x:c r="G2039" t="n">
        <x:v>1</x:v>
      </x:c>
      <x:c r="H2039" t="n">
        <x:v>0</x:v>
      </x:c>
      <x:c r="I2039" t="n">
        <x:f>G2039-H2039</x:f>
        <x:v>1</x:v>
      </x:c>
      <x:c r="J2039" s="20" t="n">
        <x:f>IFERROR(H2039/G2039,0)</x:f>
        <x:v>0</x:v>
      </x:c>
      <x:c r="K2039"/>
      <x:c r="L2039"/>
      <x:c r="M2039"/>
      <x:c r="N2039"/>
      <x:c r="O2039"/>
    </x:row>
    <x:row r="2040">
      <x:c r="A2040" t="str">
        <x:v>Puducherry</x:v>
      </x:c>
      <x:c r="B2040" t="str">
        <x:v>Jawaharlal Institute of Postgraduate Medical Education and Research</x:v>
      </x:c>
      <x:c r="C2040" t="str">
        <x:v>200521</x:v>
      </x:c>
      <x:c r="D2040" t="str">
        <x:v>JIPMER PUDUCHERRY, Dhanvantari Nagar Gorimedu Puducherry</x:v>
      </x:c>
      <x:c r="E2040" t="str">
        <x:v>Internal -Puducherry</x:v>
      </x:c>
      <x:c r="F2040" t="str">
        <x:v>Open</x:v>
      </x:c>
      <x:c r="G2040" t="n">
        <x:v>21</x:v>
      </x:c>
      <x:c r="H2040" t="n">
        <x:v>21</x:v>
      </x:c>
      <x:c r="I2040" t="n">
        <x:f>G2040-H2040</x:f>
        <x:v>0</x:v>
      </x:c>
      <x:c r="J2040" s="20" t="n">
        <x:f>IFERROR(H2040/G2040,0)</x:f>
        <x:v>1</x:v>
      </x:c>
      <x:c r="K2040" t="n">
        <x:v>1721</x:v>
      </x:c>
      <x:c r="L2040" t="n">
        <x:v>4135</x:v>
      </x:c>
      <x:c r="M2040" t="n">
        <x:v>9371</x:v>
      </x:c>
      <x:c r="N2040" t="n">
        <x:v>15030</x:v>
      </x:c>
      <x:c r="O2040" t="n">
        <x:v>22477</x:v>
      </x:c>
    </x:row>
    <x:row r="2041">
      <x:c r="A2041" t="str">
        <x:v>Puducherry</x:v>
      </x:c>
      <x:c r="B2041" t="str">
        <x:v>Jawaharlal Institute of Postgraduate Medical Education and Research</x:v>
      </x:c>
      <x:c r="C2041" t="str">
        <x:v>200521</x:v>
      </x:c>
      <x:c r="D2041" t="str">
        <x:v>JIPMER PUDUCHERRY, Dhanvantari Nagar Gorimedu Puducherry</x:v>
      </x:c>
      <x:c r="E2041" t="str">
        <x:v>Internal -Puducherry</x:v>
      </x:c>
      <x:c r="F2041" t="str">
        <x:v>Open PwD</x:v>
      </x:c>
      <x:c r="G2041" t="n">
        <x:v>1</x:v>
      </x:c>
      <x:c r="H2041" t="n">
        <x:v>0</x:v>
      </x:c>
      <x:c r="I2041" t="n">
        <x:f>G2041-H2041</x:f>
        <x:v>1</x:v>
      </x:c>
      <x:c r="J2041" s="20" t="n">
        <x:f>IFERROR(H2041/G2041,0)</x:f>
        <x:v>0</x:v>
      </x:c>
      <x:c r="K2041"/>
      <x:c r="L2041"/>
      <x:c r="M2041"/>
      <x:c r="N2041"/>
      <x:c r="O2041"/>
    </x:row>
    <x:row r="2042">
      <x:c r="A2042" t="str">
        <x:v>Puducherry</x:v>
      </x:c>
      <x:c r="B2042" t="str">
        <x:v>Jawaharlal Institute of Postgraduate Medical Education and Research</x:v>
      </x:c>
      <x:c r="C2042" t="str">
        <x:v>200521</x:v>
      </x:c>
      <x:c r="D2042" t="str">
        <x:v>JIPMER PUDUCHERRY, Dhanvantari Nagar Gorimedu Puducherry</x:v>
      </x:c>
      <x:c r="E2042" t="str">
        <x:v>Internal -Puducherry</x:v>
      </x:c>
      <x:c r="F2042" t="str">
        <x:v>SC</x:v>
      </x:c>
      <x:c r="G2042" t="n">
        <x:v>7</x:v>
      </x:c>
      <x:c r="H2042" t="n">
        <x:v>7</x:v>
      </x:c>
      <x:c r="I2042" t="n">
        <x:f>G2042-H2042</x:f>
        <x:v>0</x:v>
      </x:c>
      <x:c r="J2042" s="20" t="n">
        <x:f>IFERROR(H2042/G2042,0)</x:f>
        <x:v>1</x:v>
      </x:c>
      <x:c r="K2042" t="n">
        <x:v>84736</x:v>
      </x:c>
      <x:c r="L2042" t="n">
        <x:v>133078.5</x:v>
      </x:c>
      <x:c r="M2042" t="n">
        <x:v>137769</x:v>
      </x:c>
      <x:c r="N2042" t="n">
        <x:v>155257</x:v>
      </x:c>
      <x:c r="O2042" t="n">
        <x:v>159608</x:v>
      </x:c>
    </x:row>
    <x:row r="2043">
      <x:c r="A2043" t="str">
        <x:v>Puducherry</x:v>
      </x:c>
      <x:c r="B2043" t="str">
        <x:v>Jawaharlal Institute of Postgraduate Medical Education and Research</x:v>
      </x:c>
      <x:c r="C2043" t="str">
        <x:v>200521</x:v>
      </x:c>
      <x:c r="D2043" t="str">
        <x:v>JIPMER PUDUCHERRY, Dhanvantari Nagar Gorimedu Puducherry</x:v>
      </x:c>
      <x:c r="E2043" t="str">
        <x:v>Internal -Puducherry</x:v>
      </x:c>
      <x:c r="F2043" t="str">
        <x:v>ST</x:v>
      </x:c>
      <x:c r="G2043" t="n">
        <x:v>3</x:v>
      </x:c>
      <x:c r="H2043" t="n">
        <x:v>1</x:v>
      </x:c>
      <x:c r="I2043" t="n">
        <x:f>G2043-H2043</x:f>
        <x:v>2</x:v>
      </x:c>
      <x:c r="J2043" s="20" t="n">
        <x:f>IFERROR(H2043/G2043,0)</x:f>
        <x:v>0.3333333333333333</x:v>
      </x:c>
      <x:c r="K2043" t="n">
        <x:v>866952</x:v>
      </x:c>
      <x:c r="L2043" t="n">
        <x:v>866952</x:v>
      </x:c>
      <x:c r="M2043" t="n">
        <x:v>866952</x:v>
      </x:c>
      <x:c r="N2043" t="n">
        <x:v>866952</x:v>
      </x:c>
      <x:c r="O2043" t="n">
        <x:v>866952</x:v>
      </x:c>
    </x:row>
    <x:row r="2044">
      <x:c r="A2044" t="str">
        <x:v>Puducherry</x:v>
      </x:c>
      <x:c r="B2044" t="str">
        <x:v>Jawaharlal Institute of Postgraduate Medical Education and Research</x:v>
      </x:c>
      <x:c r="C2044" t="str">
        <x:v>200521</x:v>
      </x:c>
      <x:c r="D2044" t="str">
        <x:v>JIPMER PUDUCHERRY, Dhanvantari Nagar Gorimedu Puducherry</x:v>
      </x:c>
      <x:c r="E2044" t="str">
        <x:v>Open Seat Quota</x:v>
      </x:c>
      <x:c r="F2044" t="str">
        <x:v>EWS</x:v>
      </x:c>
      <x:c r="G2044" t="n">
        <x:v>12</x:v>
      </x:c>
      <x:c r="H2044" t="n">
        <x:v>12</x:v>
      </x:c>
      <x:c r="I2044" t="n">
        <x:f>G2044-H2044</x:f>
        <x:v>0</x:v>
      </x:c>
      <x:c r="J2044" s="20" t="n">
        <x:f>IFERROR(H2044/G2044,0)</x:f>
        <x:v>1</x:v>
      </x:c>
      <x:c r="K2044" t="n">
        <x:v>533</x:v>
      </x:c>
      <x:c r="L2044" t="n">
        <x:v>873</x:v>
      </x:c>
      <x:c r="M2044" t="n">
        <x:v>1274</x:v>
      </x:c>
      <x:c r="N2044" t="n">
        <x:v>1415</x:v>
      </x:c>
      <x:c r="O2044" t="n">
        <x:v>1651</x:v>
      </x:c>
    </x:row>
    <x:row r="2045">
      <x:c r="A2045" t="str">
        <x:v>Puducherry</x:v>
      </x:c>
      <x:c r="B2045" t="str">
        <x:v>Jawaharlal Institute of Postgraduate Medical Education and Research</x:v>
      </x:c>
      <x:c r="C2045" t="str">
        <x:v>200521</x:v>
      </x:c>
      <x:c r="D2045" t="str">
        <x:v>JIPMER PUDUCHERRY, Dhanvantari Nagar Gorimedu Puducherry</x:v>
      </x:c>
      <x:c r="E2045" t="str">
        <x:v>Open Seat Quota</x:v>
      </x:c>
      <x:c r="F2045" t="str">
        <x:v>EWS PwD</x:v>
      </x:c>
      <x:c r="G2045" t="n">
        <x:v>1</x:v>
      </x:c>
      <x:c r="H2045" t="n">
        <x:v>1</x:v>
      </x:c>
      <x:c r="I2045" t="n">
        <x:f>G2045-H2045</x:f>
        <x:v>0</x:v>
      </x:c>
      <x:c r="J2045" s="20" t="n">
        <x:f>IFERROR(H2045/G2045,0)</x:f>
        <x:v>1</x:v>
      </x:c>
      <x:c r="K2045" t="n">
        <x:v>323905</x:v>
      </x:c>
      <x:c r="L2045" t="n">
        <x:v>323905</x:v>
      </x:c>
      <x:c r="M2045" t="n">
        <x:v>323905</x:v>
      </x:c>
      <x:c r="N2045" t="n">
        <x:v>323905</x:v>
      </x:c>
      <x:c r="O2045" t="n">
        <x:v>323905</x:v>
      </x:c>
    </x:row>
    <x:row r="2046">
      <x:c r="A2046" t="str">
        <x:v>Puducherry</x:v>
      </x:c>
      <x:c r="B2046" t="str">
        <x:v>Jawaharlal Institute of Postgraduate Medical Education and Research</x:v>
      </x:c>
      <x:c r="C2046" t="str">
        <x:v>200521</x:v>
      </x:c>
      <x:c r="D2046" t="str">
        <x:v>JIPMER PUDUCHERRY, Dhanvantari Nagar Gorimedu Puducherry</x:v>
      </x:c>
      <x:c r="E2046" t="str">
        <x:v>Open Seat Quota</x:v>
      </x:c>
      <x:c r="F2046" t="str">
        <x:v>OBC</x:v>
      </x:c>
      <x:c r="G2046" t="n">
        <x:v>34</x:v>
      </x:c>
      <x:c r="H2046" t="n">
        <x:v>34</x:v>
      </x:c>
      <x:c r="I2046" t="n">
        <x:f>G2046-H2046</x:f>
        <x:v>0</x:v>
      </x:c>
      <x:c r="J2046" s="20" t="n">
        <x:f>IFERROR(H2046/G2046,0)</x:f>
        <x:v>1</x:v>
      </x:c>
      <x:c r="K2046" t="n">
        <x:v>316</x:v>
      </x:c>
      <x:c r="L2046" t="n">
        <x:v>426.5</x:v>
      </x:c>
      <x:c r="M2046" t="n">
        <x:v>545.5</x:v>
      </x:c>
      <x:c r="N2046" t="n">
        <x:v>678.75</x:v>
      </x:c>
      <x:c r="O2046" t="n">
        <x:v>771</x:v>
      </x:c>
    </x:row>
    <x:row r="2047">
      <x:c r="A2047" t="str">
        <x:v>Puducherry</x:v>
      </x:c>
      <x:c r="B2047" t="str">
        <x:v>Jawaharlal Institute of Postgraduate Medical Education and Research</x:v>
      </x:c>
      <x:c r="C2047" t="str">
        <x:v>200521</x:v>
      </x:c>
      <x:c r="D2047" t="str">
        <x:v>JIPMER PUDUCHERRY, Dhanvantari Nagar Gorimedu Puducherry</x:v>
      </x:c>
      <x:c r="E2047" t="str">
        <x:v>Open Seat Quota</x:v>
      </x:c>
      <x:c r="F2047" t="str">
        <x:v>OBC PwD</x:v>
      </x:c>
      <x:c r="G2047" t="n">
        <x:v>2</x:v>
      </x:c>
      <x:c r="H2047" t="n">
        <x:v>2</x:v>
      </x:c>
      <x:c r="I2047" t="n">
        <x:f>G2047-H2047</x:f>
        <x:v>0</x:v>
      </x:c>
      <x:c r="J2047" s="20" t="n">
        <x:f>IFERROR(H2047/G2047,0)</x:f>
        <x:v>1</x:v>
      </x:c>
      <x:c r="K2047" t="n">
        <x:v>74511</x:v>
      </x:c>
      <x:c r="L2047" t="n">
        <x:v>89787</x:v>
      </x:c>
      <x:c r="M2047" t="n">
        <x:v>105063</x:v>
      </x:c>
      <x:c r="N2047" t="n">
        <x:v>120339</x:v>
      </x:c>
      <x:c r="O2047" t="n">
        <x:v>135615</x:v>
      </x:c>
    </x:row>
    <x:row r="2048">
      <x:c r="A2048" t="str">
        <x:v>Puducherry</x:v>
      </x:c>
      <x:c r="B2048" t="str">
        <x:v>Jawaharlal Institute of Postgraduate Medical Education and Research</x:v>
      </x:c>
      <x:c r="C2048" t="str">
        <x:v>200521</x:v>
      </x:c>
      <x:c r="D2048" t="str">
        <x:v>JIPMER PUDUCHERRY, Dhanvantari Nagar Gorimedu Puducherry</x:v>
      </x:c>
      <x:c r="E2048" t="str">
        <x:v>Open Seat Quota</x:v>
      </x:c>
      <x:c r="F2048" t="str">
        <x:v>Open</x:v>
      </x:c>
      <x:c r="G2048" t="n">
        <x:v>51</x:v>
      </x:c>
      <x:c r="H2048" t="n">
        <x:v>51</x:v>
      </x:c>
      <x:c r="I2048" t="n">
        <x:f>G2048-H2048</x:f>
        <x:v>0</x:v>
      </x:c>
      <x:c r="J2048" s="20" t="n">
        <x:f>IFERROR(H2048/G2048,0)</x:f>
        <x:v>1</x:v>
      </x:c>
      <x:c r="K2048" t="n">
        <x:v>12</x:v>
      </x:c>
      <x:c r="L2048" t="n">
        <x:v>107.5</x:v>
      </x:c>
      <x:c r="M2048" t="n">
        <x:v>178</x:v>
      </x:c>
      <x:c r="N2048" t="n">
        <x:v>272.5</x:v>
      </x:c>
      <x:c r="O2048" t="n">
        <x:v>309</x:v>
      </x:c>
    </x:row>
    <x:row r="2049">
      <x:c r="A2049" t="str">
        <x:v>Puducherry</x:v>
      </x:c>
      <x:c r="B2049" t="str">
        <x:v>Jawaharlal Institute of Postgraduate Medical Education and Research</x:v>
      </x:c>
      <x:c r="C2049" t="str">
        <x:v>200521</x:v>
      </x:c>
      <x:c r="D2049" t="str">
        <x:v>JIPMER PUDUCHERRY, Dhanvantari Nagar Gorimedu Puducherry</x:v>
      </x:c>
      <x:c r="E2049" t="str">
        <x:v>Open Seat Quota</x:v>
      </x:c>
      <x:c r="F2049" t="str">
        <x:v>Open PwD</x:v>
      </x:c>
      <x:c r="G2049" t="n">
        <x:v>3</x:v>
      </x:c>
      <x:c r="H2049" t="n">
        <x:v>3</x:v>
      </x:c>
      <x:c r="I2049" t="n">
        <x:f>G2049-H2049</x:f>
        <x:v>0</x:v>
      </x:c>
      <x:c r="J2049" s="20" t="n">
        <x:f>IFERROR(H2049/G2049,0)</x:f>
        <x:v>1</x:v>
      </x:c>
      <x:c r="K2049" t="n">
        <x:v>8186</x:v>
      </x:c>
      <x:c r="L2049" t="n">
        <x:v>21709.5</x:v>
      </x:c>
      <x:c r="M2049" t="n">
        <x:v>35233</x:v>
      </x:c>
      <x:c r="N2049" t="n">
        <x:v>44688.5</x:v>
      </x:c>
      <x:c r="O2049" t="n">
        <x:v>54144</x:v>
      </x:c>
    </x:row>
    <x:row r="2050">
      <x:c r="A2050" t="str">
        <x:v>Puducherry</x:v>
      </x:c>
      <x:c r="B2050" t="str">
        <x:v>Jawaharlal Institute of Postgraduate Medical Education and Research</x:v>
      </x:c>
      <x:c r="C2050" t="str">
        <x:v>200521</x:v>
      </x:c>
      <x:c r="D2050" t="str">
        <x:v>JIPMER PUDUCHERRY, Dhanvantari Nagar Gorimedu Puducherry</x:v>
      </x:c>
      <x:c r="E2050" t="str">
        <x:v>Open Seat Quota</x:v>
      </x:c>
      <x:c r="F2050" t="str">
        <x:v>SC</x:v>
      </x:c>
      <x:c r="G2050" t="n">
        <x:v>19</x:v>
      </x:c>
      <x:c r="H2050" t="n">
        <x:v>19</x:v>
      </x:c>
      <x:c r="I2050" t="n">
        <x:f>G2050-H2050</x:f>
        <x:v>0</x:v>
      </x:c>
      <x:c r="J2050" s="20" t="n">
        <x:f>IFERROR(H2050/G2050,0)</x:f>
        <x:v>1</x:v>
      </x:c>
      <x:c r="K2050" t="n">
        <x:v>905</x:v>
      </x:c>
      <x:c r="L2050" t="n">
        <x:v>1668.5</x:v>
      </x:c>
      <x:c r="M2050" t="n">
        <x:v>2031</x:v>
      </x:c>
      <x:c r="N2050" t="n">
        <x:v>2812.5</x:v>
      </x:c>
      <x:c r="O2050" t="n">
        <x:v>3910</x:v>
      </x:c>
    </x:row>
    <x:row r="2051">
      <x:c r="A2051" t="str">
        <x:v>Puducherry</x:v>
      </x:c>
      <x:c r="B2051" t="str">
        <x:v>Jawaharlal Institute of Postgraduate Medical Education and Research</x:v>
      </x:c>
      <x:c r="C2051" t="str">
        <x:v>200521</x:v>
      </x:c>
      <x:c r="D2051" t="str">
        <x:v>JIPMER PUDUCHERRY, Dhanvantari Nagar Gorimedu Puducherry</x:v>
      </x:c>
      <x:c r="E2051" t="str">
        <x:v>Open Seat Quota</x:v>
      </x:c>
      <x:c r="F2051" t="str">
        <x:v>SC PwD</x:v>
      </x:c>
      <x:c r="G2051" t="n">
        <x:v>1</x:v>
      </x:c>
      <x:c r="H2051" t="n">
        <x:v>1</x:v>
      </x:c>
      <x:c r="I2051" t="n">
        <x:f>G2051-H2051</x:f>
        <x:v>0</x:v>
      </x:c>
      <x:c r="J2051" s="20" t="n">
        <x:f>IFERROR(H2051/G2051,0)</x:f>
        <x:v>1</x:v>
      </x:c>
      <x:c r="K2051" t="n">
        <x:v>202765</x:v>
      </x:c>
      <x:c r="L2051" t="n">
        <x:v>202765</x:v>
      </x:c>
      <x:c r="M2051" t="n">
        <x:v>202765</x:v>
      </x:c>
      <x:c r="N2051" t="n">
        <x:v>202765</x:v>
      </x:c>
      <x:c r="O2051" t="n">
        <x:v>202765</x:v>
      </x:c>
    </x:row>
    <x:row r="2052">
      <x:c r="A2052" t="str">
        <x:v>Puducherry</x:v>
      </x:c>
      <x:c r="B2052" t="str">
        <x:v>Jawaharlal Institute of Postgraduate Medical Education and Research</x:v>
      </x:c>
      <x:c r="C2052" t="str">
        <x:v>200521</x:v>
      </x:c>
      <x:c r="D2052" t="str">
        <x:v>JIPMER PUDUCHERRY, Dhanvantari Nagar Gorimedu Puducherry</x:v>
      </x:c>
      <x:c r="E2052" t="str">
        <x:v>Open Seat Quota</x:v>
      </x:c>
      <x:c r="F2052" t="str">
        <x:v>ST</x:v>
      </x:c>
      <x:c r="G2052" t="n">
        <x:v>11</x:v>
      </x:c>
      <x:c r="H2052" t="n">
        <x:v>11</x:v>
      </x:c>
      <x:c r="I2052" t="n">
        <x:f>G2052-H2052</x:f>
        <x:v>0</x:v>
      </x:c>
      <x:c r="J2052" s="20" t="n">
        <x:f>IFERROR(H2052/G2052,0)</x:f>
        <x:v>1</x:v>
      </x:c>
      <x:c r="K2052" t="n">
        <x:v>1445</x:v>
      </x:c>
      <x:c r="L2052" t="n">
        <x:v>7785</x:v>
      </x:c>
      <x:c r="M2052" t="n">
        <x:v>10440</x:v>
      </x:c>
      <x:c r="N2052" t="n">
        <x:v>12629.5</x:v>
      </x:c>
      <x:c r="O2052" t="n">
        <x:v>13345</x:v>
      </x:c>
    </x:row>
    <x:row r="2053">
      <x:c r="A2053" t="str">
        <x:v>Karnataka</x:v>
      </x:c>
      <x:c r="B2053" t="str">
        <x:v>Deemed University</x:v>
      </x:c>
      <x:c r="C2053" t="str">
        <x:v>200337</x:v>
      </x:c>
      <x:c r="D2053" t="str">
        <x:v>JSS Medical College, Mysore, The Principal JSS Medical College and Hospital Medical Institutions Campus S S Nagar Mysuru</x:v>
      </x:c>
      <x:c r="E2053" t="str">
        <x:v>NRI</x:v>
      </x:c>
      <x:c r="F2053" t="str">
        <x:v>Open</x:v>
      </x:c>
      <x:c r="G2053" t="n">
        <x:v>38</x:v>
      </x:c>
      <x:c r="H2053" t="n">
        <x:v>14</x:v>
      </x:c>
      <x:c r="I2053" t="n">
        <x:f>G2053-H2053</x:f>
        <x:v>24</x:v>
      </x:c>
      <x:c r="J2053" s="20" t="n">
        <x:f>IFERROR(H2053/G2053,0)</x:f>
        <x:v>0.3684210526315789</x:v>
      </x:c>
      <x:c r="K2053" t="n">
        <x:v>243774</x:v>
      </x:c>
      <x:c r="L2053" t="n">
        <x:v>632940.5</x:v>
      </x:c>
      <x:c r="M2053" t="n">
        <x:v>705432.5</x:v>
      </x:c>
      <x:c r="N2053" t="n">
        <x:v>866457.5</x:v>
      </x:c>
      <x:c r="O2053" t="n">
        <x:v>949610</x:v>
      </x:c>
    </x:row>
    <x:row r="2054">
      <x:c r="A2054" t="str">
        <x:v>Karnataka</x:v>
      </x:c>
      <x:c r="B2054" t="str">
        <x:v>Deemed University</x:v>
      </x:c>
      <x:c r="C2054" t="str">
        <x:v>200337</x:v>
      </x:c>
      <x:c r="D2054" t="str">
        <x:v>JSS Medical College, Mysore, The Principal JSS Medical College and Hospital Medical Institutions Campus S S Nagar Mysuru</x:v>
      </x:c>
      <x:c r="E2054" t="str">
        <x:v>Self-Financed Merit</x:v>
      </x:c>
      <x:c r="F2054" t="str">
        <x:v>Open</x:v>
      </x:c>
      <x:c r="G2054" t="n">
        <x:v>199</x:v>
      </x:c>
      <x:c r="H2054" t="n">
        <x:v>199</x:v>
      </x:c>
      <x:c r="I2054" t="n">
        <x:f>G2054-H2054</x:f>
        <x:v>0</x:v>
      </x:c>
      <x:c r="J2054" s="20" t="n">
        <x:f>IFERROR(H2054/G2054,0)</x:f>
        <x:v>1</x:v>
      </x:c>
      <x:c r="K2054" t="n">
        <x:v>21625</x:v>
      </x:c>
      <x:c r="L2054" t="n">
        <x:v>90940.5</x:v>
      </x:c>
      <x:c r="M2054" t="n">
        <x:v>111416</x:v>
      </x:c>
      <x:c r="N2054" t="n">
        <x:v>131467</x:v>
      </x:c>
      <x:c r="O2054" t="n">
        <x:v>154521</x:v>
      </x:c>
    </x:row>
    <x:row r="2055">
      <x:c r="A2055" t="str">
        <x:v>Karnataka</x:v>
      </x:c>
      <x:c r="B2055" t="str">
        <x:v>Deemed University</x:v>
      </x:c>
      <x:c r="C2055" t="str">
        <x:v>200536</x:v>
      </x:c>
      <x:c r="D2055" t="str">
        <x:v>Jagadguru Gangadhar Mahaswamigalu Moorusavirmath Medical College JGMMMC, KLE Jagadguru Gangadhar Mahaswamigalu Moorusavirmath Medical College Gabbur Cross Hubballi</x:v>
      </x:c>
      <x:c r="E2055" t="str">
        <x:v>NRI</x:v>
      </x:c>
      <x:c r="F2055" t="str">
        <x:v>Open</x:v>
      </x:c>
      <x:c r="G2055" t="n">
        <x:v>37</x:v>
      </x:c>
      <x:c r="H2055" t="n">
        <x:v>0</x:v>
      </x:c>
      <x:c r="I2055" t="n">
        <x:f>G2055-H2055</x:f>
        <x:v>37</x:v>
      </x:c>
      <x:c r="J2055" s="20" t="n">
        <x:f>IFERROR(H2055/G2055,0)</x:f>
        <x:v>0</x:v>
      </x:c>
      <x:c r="K2055"/>
      <x:c r="L2055"/>
      <x:c r="M2055"/>
      <x:c r="N2055"/>
      <x:c r="O2055"/>
    </x:row>
    <x:row r="2056">
      <x:c r="A2056" t="str">
        <x:v>Karnataka</x:v>
      </x:c>
      <x:c r="B2056" t="str">
        <x:v>Deemed University</x:v>
      </x:c>
      <x:c r="C2056" t="str">
        <x:v>200536</x:v>
      </x:c>
      <x:c r="D2056" t="str">
        <x:v>Jagadguru Gangadhar Mahaswamigalu Moorusavirmath Medical College JGMMMC, KLE Jagadguru Gangadhar Mahaswamigalu Moorusavirmath Medical College Gabbur Cross Hubballi</x:v>
      </x:c>
      <x:c r="E2056" t="str">
        <x:v>Self-Financed Merit</x:v>
      </x:c>
      <x:c r="F2056" t="str">
        <x:v>Open</x:v>
      </x:c>
      <x:c r="G2056" t="n">
        <x:v>176</x:v>
      </x:c>
      <x:c r="H2056" t="n">
        <x:v>176</x:v>
      </x:c>
      <x:c r="I2056" t="n">
        <x:f>G2056-H2056</x:f>
        <x:v>0</x:v>
      </x:c>
      <x:c r="J2056" s="20" t="n">
        <x:f>IFERROR(H2056/G2056,0)</x:f>
        <x:v>1</x:v>
      </x:c>
      <x:c r="K2056" t="n">
        <x:v>143749</x:v>
      </x:c>
      <x:c r="L2056" t="n">
        <x:v>280949.25</x:v>
      </x:c>
      <x:c r="M2056" t="n">
        <x:v>332257</x:v>
      </x:c>
      <x:c r="N2056" t="n">
        <x:v>381201.25</x:v>
      </x:c>
      <x:c r="O2056" t="n">
        <x:v>419036</x:v>
      </x:c>
    </x:row>
    <x:row r="2057">
      <x:c r="A2057" t="str">
        <x:v>West Bengal</x:v>
      </x:c>
      <x:c r="B2057" t="str">
        <x:v>All India except Central University</x:v>
      </x:c>
      <x:c r="C2057" t="str">
        <x:v>200605</x:v>
      </x:c>
      <x:c r="D2057" t="str">
        <x:v>Jalpaiguri Government Medical College, Hospital Road, Jalpaiguri, West Bengal- 735101</x:v>
      </x:c>
      <x:c r="E2057" t="str">
        <x:v>All India</x:v>
      </x:c>
      <x:c r="F2057" t="str">
        <x:v>EWS</x:v>
      </x:c>
      <x:c r="G2057" t="n">
        <x:v>3</x:v>
      </x:c>
      <x:c r="H2057" t="n">
        <x:v>3</x:v>
      </x:c>
      <x:c r="I2057" t="n">
        <x:f>G2057-H2057</x:f>
        <x:v>0</x:v>
      </x:c>
      <x:c r="J2057" s="20" t="n">
        <x:f>IFERROR(H2057/G2057,0)</x:f>
        <x:v>1</x:v>
      </x:c>
      <x:c r="K2057" t="n">
        <x:v>19751</x:v>
      </x:c>
      <x:c r="L2057" t="n">
        <x:v>20935</x:v>
      </x:c>
      <x:c r="M2057" t="n">
        <x:v>22119</x:v>
      </x:c>
      <x:c r="N2057" t="n">
        <x:v>22258.5</x:v>
      </x:c>
      <x:c r="O2057" t="n">
        <x:v>22398</x:v>
      </x:c>
    </x:row>
    <x:row r="2058">
      <x:c r="A2058" t="str">
        <x:v>West Bengal</x:v>
      </x:c>
      <x:c r="B2058" t="str">
        <x:v>All India except Central University</x:v>
      </x:c>
      <x:c r="C2058" t="str">
        <x:v>200605</x:v>
      </x:c>
      <x:c r="D2058" t="str">
        <x:v>Jalpaiguri Government Medical College, Hospital Road, Jalpaiguri, West Bengal- 735101</x:v>
      </x:c>
      <x:c r="E2058" t="str">
        <x:v>All India</x:v>
      </x:c>
      <x:c r="F2058" t="str">
        <x:v>OBC</x:v>
      </x:c>
      <x:c r="G2058" t="n">
        <x:v>5</x:v>
      </x:c>
      <x:c r="H2058" t="n">
        <x:v>5</x:v>
      </x:c>
      <x:c r="I2058" t="n">
        <x:f>G2058-H2058</x:f>
        <x:v>0</x:v>
      </x:c>
      <x:c r="J2058" s="20" t="n">
        <x:f>IFERROR(H2058/G2058,0)</x:f>
        <x:v>1</x:v>
      </x:c>
      <x:c r="K2058" t="n">
        <x:v>17845</x:v>
      </x:c>
      <x:c r="L2058" t="n">
        <x:v>18271</x:v>
      </x:c>
      <x:c r="M2058" t="n">
        <x:v>19111</x:v>
      </x:c>
      <x:c r="N2058" t="n">
        <x:v>19647</x:v>
      </x:c>
      <x:c r="O2058" t="n">
        <x:v>19889</x:v>
      </x:c>
    </x:row>
    <x:row r="2059">
      <x:c r="A2059" t="str">
        <x:v>West Bengal</x:v>
      </x:c>
      <x:c r="B2059" t="str">
        <x:v>All India except Central University</x:v>
      </x:c>
      <x:c r="C2059" t="str">
        <x:v>200605</x:v>
      </x:c>
      <x:c r="D2059" t="str">
        <x:v>Jalpaiguri Government Medical College, Hospital Road, Jalpaiguri, West Bengal- 735101</x:v>
      </x:c>
      <x:c r="E2059" t="str">
        <x:v>All India</x:v>
      </x:c>
      <x:c r="F2059" t="str">
        <x:v>OBC PwD</x:v>
      </x:c>
      <x:c r="G2059" t="n">
        <x:v>1</x:v>
      </x:c>
      <x:c r="H2059" t="n">
        <x:v>1</x:v>
      </x:c>
      <x:c r="I2059" t="n">
        <x:f>G2059-H2059</x:f>
        <x:v>0</x:v>
      </x:c>
      <x:c r="J2059" s="20" t="n">
        <x:f>IFERROR(H2059/G2059,0)</x:f>
        <x:v>1</x:v>
      </x:c>
      <x:c r="K2059" t="n">
        <x:v>660446</x:v>
      </x:c>
      <x:c r="L2059" t="n">
        <x:v>660446</x:v>
      </x:c>
      <x:c r="M2059" t="n">
        <x:v>660446</x:v>
      </x:c>
      <x:c r="N2059" t="n">
        <x:v>660446</x:v>
      </x:c>
      <x:c r="O2059" t="n">
        <x:v>660446</x:v>
      </x:c>
    </x:row>
    <x:row r="2060">
      <x:c r="A2060" t="str">
        <x:v>West Bengal</x:v>
      </x:c>
      <x:c r="B2060" t="str">
        <x:v>All India except Central University</x:v>
      </x:c>
      <x:c r="C2060" t="str">
        <x:v>200605</x:v>
      </x:c>
      <x:c r="D2060" t="str">
        <x:v>Jalpaiguri Government Medical College, Hospital Road, Jalpaiguri, West Bengal- 735101</x:v>
      </x:c>
      <x:c r="E2060" t="str">
        <x:v>All India</x:v>
      </x:c>
      <x:c r="F2060" t="str">
        <x:v>Open</x:v>
      </x:c>
      <x:c r="G2060" t="n">
        <x:v>8</x:v>
      </x:c>
      <x:c r="H2060" t="n">
        <x:v>8</x:v>
      </x:c>
      <x:c r="I2060" t="n">
        <x:f>G2060-H2060</x:f>
        <x:v>0</x:v>
      </x:c>
      <x:c r="J2060" s="20" t="n">
        <x:f>IFERROR(H2060/G2060,0)</x:f>
        <x:v>1</x:v>
      </x:c>
      <x:c r="K2060" t="n">
        <x:v>12511</x:v>
      </x:c>
      <x:c r="L2060" t="n">
        <x:v>16285.25</x:v>
      </x:c>
      <x:c r="M2060" t="n">
        <x:v>17218.5</x:v>
      </x:c>
      <x:c r="N2060" t="n">
        <x:v>17497</x:v>
      </x:c>
      <x:c r="O2060" t="n">
        <x:v>17738</x:v>
      </x:c>
    </x:row>
    <x:row r="2061">
      <x:c r="A2061" t="str">
        <x:v>West Bengal</x:v>
      </x:c>
      <x:c r="B2061" t="str">
        <x:v>All India except Central University</x:v>
      </x:c>
      <x:c r="C2061" t="str">
        <x:v>200605</x:v>
      </x:c>
      <x:c r="D2061" t="str">
        <x:v>Jalpaiguri Government Medical College, Hospital Road, Jalpaiguri, West Bengal- 735101</x:v>
      </x:c>
      <x:c r="E2061" t="str">
        <x:v>All India</x:v>
      </x:c>
      <x:c r="F2061" t="str">
        <x:v>Open PwD</x:v>
      </x:c>
      <x:c r="G2061" t="n">
        <x:v>1</x:v>
      </x:c>
      <x:c r="H2061" t="n">
        <x:v>1</x:v>
      </x:c>
      <x:c r="I2061" t="n">
        <x:f>G2061-H2061</x:f>
        <x:v>0</x:v>
      </x:c>
      <x:c r="J2061" s="20" t="n">
        <x:f>IFERROR(H2061/G2061,0)</x:f>
        <x:v>1</x:v>
      </x:c>
      <x:c r="K2061" t="n">
        <x:v>491119</x:v>
      </x:c>
      <x:c r="L2061" t="n">
        <x:v>491119</x:v>
      </x:c>
      <x:c r="M2061" t="n">
        <x:v>491119</x:v>
      </x:c>
      <x:c r="N2061" t="n">
        <x:v>491119</x:v>
      </x:c>
      <x:c r="O2061" t="n">
        <x:v>491119</x:v>
      </x:c>
    </x:row>
    <x:row r="2062">
      <x:c r="A2062" t="str">
        <x:v>West Bengal</x:v>
      </x:c>
      <x:c r="B2062" t="str">
        <x:v>All India except Central University</x:v>
      </x:c>
      <x:c r="C2062" t="str">
        <x:v>200605</x:v>
      </x:c>
      <x:c r="D2062" t="str">
        <x:v>Jalpaiguri Government Medical College, Hospital Road, Jalpaiguri, West Bengal- 735101</x:v>
      </x:c>
      <x:c r="E2062" t="str">
        <x:v>All India</x:v>
      </x:c>
      <x:c r="F2062" t="str">
        <x:v>SC</x:v>
      </x:c>
      <x:c r="G2062" t="n">
        <x:v>2</x:v>
      </x:c>
      <x:c r="H2062" t="n">
        <x:v>2</x:v>
      </x:c>
      <x:c r="I2062" t="n">
        <x:f>G2062-H2062</x:f>
        <x:v>0</x:v>
      </x:c>
      <x:c r="J2062" s="20" t="n">
        <x:f>IFERROR(H2062/G2062,0)</x:f>
        <x:v>1</x:v>
      </x:c>
      <x:c r="K2062" t="n">
        <x:v>79386</x:v>
      </x:c>
      <x:c r="L2062" t="n">
        <x:v>82974.25</x:v>
      </x:c>
      <x:c r="M2062" t="n">
        <x:v>86562.5</x:v>
      </x:c>
      <x:c r="N2062" t="n">
        <x:v>90150.75</x:v>
      </x:c>
      <x:c r="O2062" t="n">
        <x:v>93739</x:v>
      </x:c>
    </x:row>
    <x:row r="2063">
      <x:c r="A2063" t="str">
        <x:v>West Bengal</x:v>
      </x:c>
      <x:c r="B2063" t="str">
        <x:v>All India except Central University</x:v>
      </x:c>
      <x:c r="C2063" t="str">
        <x:v>200605</x:v>
      </x:c>
      <x:c r="D2063" t="str">
        <x:v>Jalpaiguri Government Medical College, Hospital Road, Jalpaiguri, West Bengal- 735101</x:v>
      </x:c>
      <x:c r="E2063" t="str">
        <x:v>All India</x:v>
      </x:c>
      <x:c r="F2063" t="str">
        <x:v>SC PwD</x:v>
      </x:c>
      <x:c r="G2063" t="n">
        <x:v>1</x:v>
      </x:c>
      <x:c r="H2063" t="n">
        <x:v>1</x:v>
      </x:c>
      <x:c r="I2063" t="n">
        <x:f>G2063-H2063</x:f>
        <x:v>0</x:v>
      </x:c>
      <x:c r="J2063" s="20" t="n">
        <x:f>IFERROR(H2063/G2063,0)</x:f>
        <x:v>1</x:v>
      </x:c>
      <x:c r="K2063" t="n">
        <x:v>685112</x:v>
      </x:c>
      <x:c r="L2063" t="n">
        <x:v>685112</x:v>
      </x:c>
      <x:c r="M2063" t="n">
        <x:v>685112</x:v>
      </x:c>
      <x:c r="N2063" t="n">
        <x:v>685112</x:v>
      </x:c>
      <x:c r="O2063" t="n">
        <x:v>685112</x:v>
      </x:c>
    </x:row>
    <x:row r="2064">
      <x:c r="A2064" t="str">
        <x:v>West Bengal</x:v>
      </x:c>
      <x:c r="B2064" t="str">
        <x:v>All India except Central University</x:v>
      </x:c>
      <x:c r="C2064" t="str">
        <x:v>200605</x:v>
      </x:c>
      <x:c r="D2064" t="str">
        <x:v>Jalpaiguri Government Medical College, Hospital Road, Jalpaiguri, West Bengal- 735101</x:v>
      </x:c>
      <x:c r="E2064" t="str">
        <x:v>All India</x:v>
      </x:c>
      <x:c r="F2064" t="str">
        <x:v>ST</x:v>
      </x:c>
      <x:c r="G2064" t="n">
        <x:v>2</x:v>
      </x:c>
      <x:c r="H2064" t="n">
        <x:v>2</x:v>
      </x:c>
      <x:c r="I2064" t="n">
        <x:f>G2064-H2064</x:f>
        <x:v>0</x:v>
      </x:c>
      <x:c r="J2064" s="20" t="n">
        <x:f>IFERROR(H2064/G2064,0)</x:f>
        <x:v>1</x:v>
      </x:c>
      <x:c r="K2064" t="n">
        <x:v>113057</x:v>
      </x:c>
      <x:c r="L2064" t="n">
        <x:v>113519</x:v>
      </x:c>
      <x:c r="M2064" t="n">
        <x:v>113981</x:v>
      </x:c>
      <x:c r="N2064" t="n">
        <x:v>114443</x:v>
      </x:c>
      <x:c r="O2064" t="n">
        <x:v>114905</x:v>
      </x:c>
    </x:row>
    <x:row r="2065">
      <x:c r="A2065" t="str">
        <x:v>Bihar</x:v>
      </x:c>
      <x:c r="B2065" t="str">
        <x:v>All India except Central University</x:v>
      </x:c>
      <x:c r="C2065" t="str">
        <x:v>200589</x:v>
      </x:c>
      <x:c r="D2065" t="str">
        <x:v>Jannayak Karpoori Thakur Medical College &amp; Hospital, Madhepura, Bihar, JAJHAT SABAILA SINGHESHWAR ROAD DISTRICT MADHEPURA</x:v>
      </x:c>
      <x:c r="E2065" t="str">
        <x:v>All India</x:v>
      </x:c>
      <x:c r="F2065" t="str">
        <x:v>EWS</x:v>
      </x:c>
      <x:c r="G2065" t="n">
        <x:v>1</x:v>
      </x:c>
      <x:c r="H2065" t="n">
        <x:v>1</x:v>
      </x:c>
      <x:c r="I2065" t="n">
        <x:f>G2065-H2065</x:f>
        <x:v>0</x:v>
      </x:c>
      <x:c r="J2065" s="20" t="n">
        <x:f>IFERROR(H2065/G2065,0)</x:f>
        <x:v>1</x:v>
      </x:c>
      <x:c r="K2065" t="n">
        <x:v>14440</x:v>
      </x:c>
      <x:c r="L2065" t="n">
        <x:v>14440</x:v>
      </x:c>
      <x:c r="M2065" t="n">
        <x:v>14440</x:v>
      </x:c>
      <x:c r="N2065" t="n">
        <x:v>14440</x:v>
      </x:c>
      <x:c r="O2065" t="n">
        <x:v>14440</x:v>
      </x:c>
    </x:row>
    <x:row r="2066">
      <x:c r="A2066" t="str">
        <x:v>Bihar</x:v>
      </x:c>
      <x:c r="B2066" t="str">
        <x:v>All India except Central University</x:v>
      </x:c>
      <x:c r="C2066" t="str">
        <x:v>200589</x:v>
      </x:c>
      <x:c r="D2066" t="str">
        <x:v>Jannayak Karpoori Thakur Medical College &amp; Hospital, Madhepura, Bihar, JAJHAT SABAILA SINGHESHWAR ROAD DISTRICT MADHEPURA</x:v>
      </x:c>
      <x:c r="E2066" t="str">
        <x:v>All India</x:v>
      </x:c>
      <x:c r="F2066" t="str">
        <x:v>OBC</x:v>
      </x:c>
      <x:c r="G2066" t="n">
        <x:v>5</x:v>
      </x:c>
      <x:c r="H2066" t="n">
        <x:v>5</x:v>
      </x:c>
      <x:c r="I2066" t="n">
        <x:f>G2066-H2066</x:f>
        <x:v>0</x:v>
      </x:c>
      <x:c r="J2066" s="20" t="n">
        <x:f>IFERROR(H2066/G2066,0)</x:f>
        <x:v>1</x:v>
      </x:c>
      <x:c r="K2066" t="n">
        <x:v>14844</x:v>
      </x:c>
      <x:c r="L2066" t="n">
        <x:v>15017</x:v>
      </x:c>
      <x:c r="M2066" t="n">
        <x:v>15188</x:v>
      </x:c>
      <x:c r="N2066" t="n">
        <x:v>15238</x:v>
      </x:c>
      <x:c r="O2066" t="n">
        <x:v>15285</x:v>
      </x:c>
    </x:row>
    <x:row r="2067">
      <x:c r="A2067" t="str">
        <x:v>Bihar</x:v>
      </x:c>
      <x:c r="B2067" t="str">
        <x:v>All India except Central University</x:v>
      </x:c>
      <x:c r="C2067" t="str">
        <x:v>200589</x:v>
      </x:c>
      <x:c r="D2067" t="str">
        <x:v>Jannayak Karpoori Thakur Medical College &amp; Hospital, Madhepura, Bihar, JAJHAT SABAILA SINGHESHWAR ROAD DISTRICT MADHEPURA</x:v>
      </x:c>
      <x:c r="E2067" t="str">
        <x:v>All India</x:v>
      </x:c>
      <x:c r="F2067" t="str">
        <x:v>Open</x:v>
      </x:c>
      <x:c r="G2067" t="n">
        <x:v>6</x:v>
      </x:c>
      <x:c r="H2067" t="n">
        <x:v>6</x:v>
      </x:c>
      <x:c r="I2067" t="n">
        <x:f>G2067-H2067</x:f>
        <x:v>0</x:v>
      </x:c>
      <x:c r="J2067" s="20" t="n">
        <x:f>IFERROR(H2067/G2067,0)</x:f>
        <x:v>1</x:v>
      </x:c>
      <x:c r="K2067" t="n">
        <x:v>10331</x:v>
      </x:c>
      <x:c r="L2067" t="n">
        <x:v>13140</x:v>
      </x:c>
      <x:c r="M2067" t="n">
        <x:v>13410</x:v>
      </x:c>
      <x:c r="N2067" t="n">
        <x:v>13963.5</x:v>
      </x:c>
      <x:c r="O2067" t="n">
        <x:v>14260</x:v>
      </x:c>
    </x:row>
    <x:row r="2068">
      <x:c r="A2068" t="str">
        <x:v>Bihar</x:v>
      </x:c>
      <x:c r="B2068" t="str">
        <x:v>All India except Central University</x:v>
      </x:c>
      <x:c r="C2068" t="str">
        <x:v>200589</x:v>
      </x:c>
      <x:c r="D2068" t="str">
        <x:v>Jannayak Karpoori Thakur Medical College &amp; Hospital, Madhepura, Bihar, JAJHAT SABAILA SINGHESHWAR ROAD DISTRICT MADHEPURA</x:v>
      </x:c>
      <x:c r="E2068" t="str">
        <x:v>All India</x:v>
      </x:c>
      <x:c r="F2068" t="str">
        <x:v>SC</x:v>
      </x:c>
      <x:c r="G2068" t="n">
        <x:v>2</x:v>
      </x:c>
      <x:c r="H2068" t="n">
        <x:v>2</x:v>
      </x:c>
      <x:c r="I2068" t="n">
        <x:f>G2068-H2068</x:f>
        <x:v>0</x:v>
      </x:c>
      <x:c r="J2068" s="20" t="n">
        <x:f>IFERROR(H2068/G2068,0)</x:f>
        <x:v>1</x:v>
      </x:c>
      <x:c r="K2068" t="n">
        <x:v>75801</x:v>
      </x:c>
      <x:c r="L2068" t="n">
        <x:v>76056.25</x:v>
      </x:c>
      <x:c r="M2068" t="n">
        <x:v>76311.5</x:v>
      </x:c>
      <x:c r="N2068" t="n">
        <x:v>76566.75</x:v>
      </x:c>
      <x:c r="O2068" t="n">
        <x:v>76822</x:v>
      </x:c>
    </x:row>
    <x:row r="2069">
      <x:c r="A2069" t="str">
        <x:v>Bihar</x:v>
      </x:c>
      <x:c r="B2069" t="str">
        <x:v>All India except Central University</x:v>
      </x:c>
      <x:c r="C2069" t="str">
        <x:v>200589</x:v>
      </x:c>
      <x:c r="D2069" t="str">
        <x:v>Jannayak Karpoori Thakur Medical College &amp; Hospital, Madhepura, Bihar, JAJHAT SABAILA SINGHESHWAR ROAD DISTRICT MADHEPURA</x:v>
      </x:c>
      <x:c r="E2069" t="str">
        <x:v>All India</x:v>
      </x:c>
      <x:c r="F2069" t="str">
        <x:v>ST</x:v>
      </x:c>
      <x:c r="G2069" t="n">
        <x:v>1</x:v>
      </x:c>
      <x:c r="H2069" t="n">
        <x:v>1</x:v>
      </x:c>
      <x:c r="I2069" t="n">
        <x:f>G2069-H2069</x:f>
        <x:v>0</x:v>
      </x:c>
      <x:c r="J2069" s="20" t="n">
        <x:f>IFERROR(H2069/G2069,0)</x:f>
        <x:v>1</x:v>
      </x:c>
      <x:c r="K2069" t="n">
        <x:v>113168</x:v>
      </x:c>
      <x:c r="L2069" t="n">
        <x:v>113168</x:v>
      </x:c>
      <x:c r="M2069" t="n">
        <x:v>113168</x:v>
      </x:c>
      <x:c r="N2069" t="n">
        <x:v>113168</x:v>
      </x:c>
      <x:c r="O2069" t="n">
        <x:v>113168</x:v>
      </x:c>
    </x:row>
    <x:row r="2070">
      <x:c r="A2070" t="str">
        <x:v>Manipur</x:v>
      </x:c>
      <x:c r="B2070" t="str">
        <x:v>All India except Central University</x:v>
      </x:c>
      <x:c r="C2070" t="str">
        <x:v>200232</x:v>
      </x:c>
      <x:c r="D2070" t="str">
        <x:v>Jawaharlal Nehru Institute of Medical Sciences, Porompet, Imphal, POROMPAT, IMPHAL - EAST, MANIPUR - 795005</x:v>
      </x:c>
      <x:c r="E2070" t="str">
        <x:v>All India</x:v>
      </x:c>
      <x:c r="F2070" t="str">
        <x:v>EWS</x:v>
      </x:c>
      <x:c r="G2070" t="n">
        <x:v>2</x:v>
      </x:c>
      <x:c r="H2070" t="n">
        <x:v>2</x:v>
      </x:c>
      <x:c r="I2070" t="n">
        <x:f>G2070-H2070</x:f>
        <x:v>0</x:v>
      </x:c>
      <x:c r="J2070" s="20" t="n">
        <x:f>IFERROR(H2070/G2070,0)</x:f>
        <x:v>1</x:v>
      </x:c>
      <x:c r="K2070" t="n">
        <x:v>24277</x:v>
      </x:c>
      <x:c r="L2070" t="n">
        <x:v>24375.5</x:v>
      </x:c>
      <x:c r="M2070" t="n">
        <x:v>24474</x:v>
      </x:c>
      <x:c r="N2070" t="n">
        <x:v>24572.5</x:v>
      </x:c>
      <x:c r="O2070" t="n">
        <x:v>24671</x:v>
      </x:c>
    </x:row>
    <x:row r="2071">
      <x:c r="A2071" t="str">
        <x:v>Manipur</x:v>
      </x:c>
      <x:c r="B2071" t="str">
        <x:v>All India except Central University</x:v>
      </x:c>
      <x:c r="C2071" t="str">
        <x:v>200232</x:v>
      </x:c>
      <x:c r="D2071" t="str">
        <x:v>Jawaharlal Nehru Institute of Medical Sciences, Porompet, Imphal, POROMPAT, IMPHAL - EAST, MANIPUR - 795005</x:v>
      </x:c>
      <x:c r="E2071" t="str">
        <x:v>All India</x:v>
      </x:c>
      <x:c r="F2071" t="str">
        <x:v>OBC</x:v>
      </x:c>
      <x:c r="G2071" t="n">
        <x:v>5</x:v>
      </x:c>
      <x:c r="H2071" t="n">
        <x:v>5</x:v>
      </x:c>
      <x:c r="I2071" t="n">
        <x:f>G2071-H2071</x:f>
        <x:v>0</x:v>
      </x:c>
      <x:c r="J2071" s="20" t="n">
        <x:f>IFERROR(H2071/G2071,0)</x:f>
        <x:v>1</x:v>
      </x:c>
      <x:c r="K2071" t="n">
        <x:v>19901</x:v>
      </x:c>
      <x:c r="L2071" t="n">
        <x:v>20187</x:v>
      </x:c>
      <x:c r="M2071" t="n">
        <x:v>20211</x:v>
      </x:c>
      <x:c r="N2071" t="n">
        <x:v>20775</x:v>
      </x:c>
      <x:c r="O2071" t="n">
        <x:v>20804</x:v>
      </x:c>
    </x:row>
    <x:row r="2072">
      <x:c r="A2072" t="str">
        <x:v>Manipur</x:v>
      </x:c>
      <x:c r="B2072" t="str">
        <x:v>All India except Central University</x:v>
      </x:c>
      <x:c r="C2072" t="str">
        <x:v>200232</x:v>
      </x:c>
      <x:c r="D2072" t="str">
        <x:v>Jawaharlal Nehru Institute of Medical Sciences, Porompet, Imphal, POROMPAT, IMPHAL - EAST, MANIPUR - 795005</x:v>
      </x:c>
      <x:c r="E2072" t="str">
        <x:v>All India</x:v>
      </x:c>
      <x:c r="F2072" t="str">
        <x:v>OBC PwD</x:v>
      </x:c>
      <x:c r="G2072" t="n">
        <x:v>1</x:v>
      </x:c>
      <x:c r="H2072" t="n">
        <x:v>1</x:v>
      </x:c>
      <x:c r="I2072" t="n">
        <x:f>G2072-H2072</x:f>
        <x:v>0</x:v>
      </x:c>
      <x:c r="J2072" s="20" t="n">
        <x:f>IFERROR(H2072/G2072,0)</x:f>
        <x:v>1</x:v>
      </x:c>
      <x:c r="K2072" t="n">
        <x:v>601858</x:v>
      </x:c>
      <x:c r="L2072" t="n">
        <x:v>601858</x:v>
      </x:c>
      <x:c r="M2072" t="n">
        <x:v>601858</x:v>
      </x:c>
      <x:c r="N2072" t="n">
        <x:v>601858</x:v>
      </x:c>
      <x:c r="O2072" t="n">
        <x:v>601858</x:v>
      </x:c>
    </x:row>
    <x:row r="2073">
      <x:c r="A2073" t="str">
        <x:v>Manipur</x:v>
      </x:c>
      <x:c r="B2073" t="str">
        <x:v>All India except Central University</x:v>
      </x:c>
      <x:c r="C2073" t="str">
        <x:v>200232</x:v>
      </x:c>
      <x:c r="D2073" t="str">
        <x:v>Jawaharlal Nehru Institute of Medical Sciences, Porompet, Imphal, POROMPAT, IMPHAL - EAST, MANIPUR - 795005</x:v>
      </x:c>
      <x:c r="E2073" t="str">
        <x:v>All India</x:v>
      </x:c>
      <x:c r="F2073" t="str">
        <x:v>Open</x:v>
      </x:c>
      <x:c r="G2073" t="n">
        <x:v>9</x:v>
      </x:c>
      <x:c r="H2073" t="n">
        <x:v>9</x:v>
      </x:c>
      <x:c r="I2073" t="n">
        <x:f>G2073-H2073</x:f>
        <x:v>0</x:v>
      </x:c>
      <x:c r="J2073" s="20" t="n">
        <x:f>IFERROR(H2073/G2073,0)</x:f>
        <x:v>1</x:v>
      </x:c>
      <x:c r="K2073" t="n">
        <x:v>15490</x:v>
      </x:c>
      <x:c r="L2073" t="n">
        <x:v>16883</x:v>
      </x:c>
      <x:c r="M2073" t="n">
        <x:v>17579</x:v>
      </x:c>
      <x:c r="N2073" t="n">
        <x:v>17739</x:v>
      </x:c>
      <x:c r="O2073" t="n">
        <x:v>19181</x:v>
      </x:c>
    </x:row>
    <x:row r="2074">
      <x:c r="A2074" t="str">
        <x:v>Manipur</x:v>
      </x:c>
      <x:c r="B2074" t="str">
        <x:v>All India except Central University</x:v>
      </x:c>
      <x:c r="C2074" t="str">
        <x:v>200232</x:v>
      </x:c>
      <x:c r="D2074" t="str">
        <x:v>Jawaharlal Nehru Institute of Medical Sciences, Porompet, Imphal, POROMPAT, IMPHAL - EAST, MANIPUR - 795005</x:v>
      </x:c>
      <x:c r="E2074" t="str">
        <x:v>All India</x:v>
      </x:c>
      <x:c r="F2074" t="str">
        <x:v>SC</x:v>
      </x:c>
      <x:c r="G2074" t="n">
        <x:v>3</x:v>
      </x:c>
      <x:c r="H2074" t="n">
        <x:v>3</x:v>
      </x:c>
      <x:c r="I2074" t="n">
        <x:f>G2074-H2074</x:f>
        <x:v>0</x:v>
      </x:c>
      <x:c r="J2074" s="20" t="n">
        <x:f>IFERROR(H2074/G2074,0)</x:f>
        <x:v>1</x:v>
      </x:c>
      <x:c r="K2074" t="n">
        <x:v>71497</x:v>
      </x:c>
      <x:c r="L2074" t="n">
        <x:v>72027</x:v>
      </x:c>
      <x:c r="M2074" t="n">
        <x:v>72557</x:v>
      </x:c>
      <x:c r="N2074" t="n">
        <x:v>77205.5</x:v>
      </x:c>
      <x:c r="O2074" t="n">
        <x:v>81854</x:v>
      </x:c>
    </x:row>
    <x:row r="2075">
      <x:c r="A2075" t="str">
        <x:v>Manipur</x:v>
      </x:c>
      <x:c r="B2075" t="str">
        <x:v>All India except Central University</x:v>
      </x:c>
      <x:c r="C2075" t="str">
        <x:v>200232</x:v>
      </x:c>
      <x:c r="D2075" t="str">
        <x:v>Jawaharlal Nehru Institute of Medical Sciences, Porompet, Imphal, POROMPAT, IMPHAL - EAST, MANIPUR - 795005</x:v>
      </x:c>
      <x:c r="E2075" t="str">
        <x:v>All India</x:v>
      </x:c>
      <x:c r="F2075" t="str">
        <x:v>ST</x:v>
      </x:c>
      <x:c r="G2075" t="n">
        <x:v>2</x:v>
      </x:c>
      <x:c r="H2075" t="n">
        <x:v>2</x:v>
      </x:c>
      <x:c r="I2075" t="n">
        <x:f>G2075-H2075</x:f>
        <x:v>0</x:v>
      </x:c>
      <x:c r="J2075" s="20" t="n">
        <x:f>IFERROR(H2075/G2075,0)</x:f>
        <x:v>1</x:v>
      </x:c>
      <x:c r="K2075" t="n">
        <x:v>99206</x:v>
      </x:c>
      <x:c r="L2075" t="n">
        <x:v>99319</x:v>
      </x:c>
      <x:c r="M2075" t="n">
        <x:v>99432</x:v>
      </x:c>
      <x:c r="N2075" t="n">
        <x:v>99545</x:v>
      </x:c>
      <x:c r="O2075" t="n">
        <x:v>99658</x:v>
      </x:c>
    </x:row>
    <x:row r="2076">
      <x:c r="A2076" t="str">
        <x:v>Rajasthan</x:v>
      </x:c>
      <x:c r="B2076" t="str">
        <x:v>All India except Central University</x:v>
      </x:c>
      <x:c r="C2076" t="str">
        <x:v>200251</x:v>
      </x:c>
      <x:c r="D2076" t="str">
        <x:v>Jawaharlal Nehru Medical College, Ajmer, NEAR PATEL STADIUM AJMER</x:v>
      </x:c>
      <x:c r="E2076" t="str">
        <x:v>All India</x:v>
      </x:c>
      <x:c r="F2076" t="str">
        <x:v>EWS</x:v>
      </x:c>
      <x:c r="G2076" t="n">
        <x:v>3</x:v>
      </x:c>
      <x:c r="H2076" t="n">
        <x:v>3</x:v>
      </x:c>
      <x:c r="I2076" t="n">
        <x:f>G2076-H2076</x:f>
        <x:v>0</x:v>
      </x:c>
      <x:c r="J2076" s="20" t="n">
        <x:f>IFERROR(H2076/G2076,0)</x:f>
        <x:v>1</x:v>
      </x:c>
      <x:c r="K2076" t="n">
        <x:v>5422</x:v>
      </x:c>
      <x:c r="L2076" t="n">
        <x:v>5447</x:v>
      </x:c>
      <x:c r="M2076" t="n">
        <x:v>5472</x:v>
      </x:c>
      <x:c r="N2076" t="n">
        <x:v>5512.5</x:v>
      </x:c>
      <x:c r="O2076" t="n">
        <x:v>5553</x:v>
      </x:c>
    </x:row>
    <x:row r="2077">
      <x:c r="A2077" t="str">
        <x:v>Rajasthan</x:v>
      </x:c>
      <x:c r="B2077" t="str">
        <x:v>All India except Central University</x:v>
      </x:c>
      <x:c r="C2077" t="str">
        <x:v>200251</x:v>
      </x:c>
      <x:c r="D2077" t="str">
        <x:v>Jawaharlal Nehru Medical College, Ajmer, NEAR PATEL STADIUM AJMER</x:v>
      </x:c>
      <x:c r="E2077" t="str">
        <x:v>All India</x:v>
      </x:c>
      <x:c r="F2077" t="str">
        <x:v>EWS PwD</x:v>
      </x:c>
      <x:c r="G2077" t="n">
        <x:v>1</x:v>
      </x:c>
      <x:c r="H2077" t="n">
        <x:v>1</x:v>
      </x:c>
      <x:c r="I2077" t="n">
        <x:f>G2077-H2077</x:f>
        <x:v>0</x:v>
      </x:c>
      <x:c r="J2077" s="20" t="n">
        <x:f>IFERROR(H2077/G2077,0)</x:f>
        <x:v>1</x:v>
      </x:c>
      <x:c r="K2077" t="n">
        <x:v>358936</x:v>
      </x:c>
      <x:c r="L2077" t="n">
        <x:v>358936</x:v>
      </x:c>
      <x:c r="M2077" t="n">
        <x:v>358936</x:v>
      </x:c>
      <x:c r="N2077" t="n">
        <x:v>358936</x:v>
      </x:c>
      <x:c r="O2077" t="n">
        <x:v>358936</x:v>
      </x:c>
    </x:row>
    <x:row r="2078">
      <x:c r="A2078" t="str">
        <x:v>Rajasthan</x:v>
      </x:c>
      <x:c r="B2078" t="str">
        <x:v>All India except Central University</x:v>
      </x:c>
      <x:c r="C2078" t="str">
        <x:v>200251</x:v>
      </x:c>
      <x:c r="D2078" t="str">
        <x:v>Jawaharlal Nehru Medical College, Ajmer, NEAR PATEL STADIUM AJMER</x:v>
      </x:c>
      <x:c r="E2078" t="str">
        <x:v>All India</x:v>
      </x:c>
      <x:c r="F2078" t="str">
        <x:v>OBC</x:v>
      </x:c>
      <x:c r="G2078" t="n">
        <x:v>10</x:v>
      </x:c>
      <x:c r="H2078" t="n">
        <x:v>10</x:v>
      </x:c>
      <x:c r="I2078" t="n">
        <x:f>G2078-H2078</x:f>
        <x:v>0</x:v>
      </x:c>
      <x:c r="J2078" s="20" t="n">
        <x:f>IFERROR(H2078/G2078,0)</x:f>
        <x:v>1</x:v>
      </x:c>
      <x:c r="K2078" t="n">
        <x:v>4546</x:v>
      </x:c>
      <x:c r="L2078" t="n">
        <x:v>4631.75</x:v>
      </x:c>
      <x:c r="M2078" t="n">
        <x:v>4716</x:v>
      </x:c>
      <x:c r="N2078" t="n">
        <x:v>4786.25</x:v>
      </x:c>
      <x:c r="O2078" t="n">
        <x:v>4861</x:v>
      </x:c>
    </x:row>
    <x:row r="2079">
      <x:c r="A2079" t="str">
        <x:v>Rajasthan</x:v>
      </x:c>
      <x:c r="B2079" t="str">
        <x:v>All India except Central University</x:v>
      </x:c>
      <x:c r="C2079" t="str">
        <x:v>200251</x:v>
      </x:c>
      <x:c r="D2079" t="str">
        <x:v>Jawaharlal Nehru Medical College, Ajmer, NEAR PATEL STADIUM AJMER</x:v>
      </x:c>
      <x:c r="E2079" t="str">
        <x:v>All India</x:v>
      </x:c>
      <x:c r="F2079" t="str">
        <x:v>Open</x:v>
      </x:c>
      <x:c r="G2079" t="n">
        <x:v>15</x:v>
      </x:c>
      <x:c r="H2079" t="n">
        <x:v>15</x:v>
      </x:c>
      <x:c r="I2079" t="n">
        <x:f>G2079-H2079</x:f>
        <x:v>0</x:v>
      </x:c>
      <x:c r="J2079" s="20" t="n">
        <x:f>IFERROR(H2079/G2079,0)</x:f>
        <x:v>1</x:v>
      </x:c>
      <x:c r="K2079" t="n">
        <x:v>3965</x:v>
      </x:c>
      <x:c r="L2079" t="n">
        <x:v>4179.5</x:v>
      </x:c>
      <x:c r="M2079" t="n">
        <x:v>4361</x:v>
      </x:c>
      <x:c r="N2079" t="n">
        <x:v>4465.5</x:v>
      </x:c>
      <x:c r="O2079" t="n">
        <x:v>4540</x:v>
      </x:c>
    </x:row>
    <x:row r="2080">
      <x:c r="A2080" t="str">
        <x:v>Rajasthan</x:v>
      </x:c>
      <x:c r="B2080" t="str">
        <x:v>All India except Central University</x:v>
      </x:c>
      <x:c r="C2080" t="str">
        <x:v>200251</x:v>
      </x:c>
      <x:c r="D2080" t="str">
        <x:v>Jawaharlal Nehru Medical College, Ajmer, NEAR PATEL STADIUM AJMER</x:v>
      </x:c>
      <x:c r="E2080" t="str">
        <x:v>All India</x:v>
      </x:c>
      <x:c r="F2080" t="str">
        <x:v>SC</x:v>
      </x:c>
      <x:c r="G2080" t="n">
        <x:v>6</x:v>
      </x:c>
      <x:c r="H2080" t="n">
        <x:v>6</x:v>
      </x:c>
      <x:c r="I2080" t="n">
        <x:f>G2080-H2080</x:f>
        <x:v>0</x:v>
      </x:c>
      <x:c r="J2080" s="20" t="n">
        <x:f>IFERROR(H2080/G2080,0)</x:f>
        <x:v>1</x:v>
      </x:c>
      <x:c r="K2080" t="n">
        <x:v>22752</x:v>
      </x:c>
      <x:c r="L2080" t="n">
        <x:v>27744</x:v>
      </x:c>
      <x:c r="M2080" t="n">
        <x:v>28399</x:v>
      </x:c>
      <x:c r="N2080" t="n">
        <x:v>29085.5</x:v>
      </x:c>
      <x:c r="O2080" t="n">
        <x:v>29205</x:v>
      </x:c>
    </x:row>
    <x:row r="2081">
      <x:c r="A2081" t="str">
        <x:v>Rajasthan</x:v>
      </x:c>
      <x:c r="B2081" t="str">
        <x:v>All India except Central University</x:v>
      </x:c>
      <x:c r="C2081" t="str">
        <x:v>200251</x:v>
      </x:c>
      <x:c r="D2081" t="str">
        <x:v>Jawaharlal Nehru Medical College, Ajmer, NEAR PATEL STADIUM AJMER</x:v>
      </x:c>
      <x:c r="E2081" t="str">
        <x:v>All India</x:v>
      </x:c>
      <x:c r="F2081" t="str">
        <x:v>ST</x:v>
      </x:c>
      <x:c r="G2081" t="n">
        <x:v>3</x:v>
      </x:c>
      <x:c r="H2081" t="n">
        <x:v>3</x:v>
      </x:c>
      <x:c r="I2081" t="n">
        <x:f>G2081-H2081</x:f>
        <x:v>0</x:v>
      </x:c>
      <x:c r="J2081" s="20" t="n">
        <x:f>IFERROR(H2081/G2081,0)</x:f>
        <x:v>1</x:v>
      </x:c>
      <x:c r="K2081" t="n">
        <x:v>37560</x:v>
      </x:c>
      <x:c r="L2081" t="n">
        <x:v>38515.5</x:v>
      </x:c>
      <x:c r="M2081" t="n">
        <x:v>39471</x:v>
      </x:c>
      <x:c r="N2081" t="n">
        <x:v>39758.5</x:v>
      </x:c>
      <x:c r="O2081" t="n">
        <x:v>40046</x:v>
      </x:c>
    </x:row>
    <x:row r="2082">
      <x:c r="A2082" t="str">
        <x:v>Uttar Pradesh</x:v>
      </x:c>
      <x:c r="B2082" t="str">
        <x:v>Central University</x:v>
      </x:c>
      <x:c r="C2082" t="str">
        <x:v>200406</x:v>
      </x:c>
      <x:c r="D2082" t="str">
        <x:v>Jawaharlal Nehru Medical College, Aligarh, ALIGARH MUSLIM UNIVERSITY, ALIGARH</x:v>
      </x:c>
      <x:c r="E2082" t="str">
        <x:v>AMU Quota</x:v>
      </x:c>
      <x:c r="F2082" t="str">
        <x:v>Open</x:v>
      </x:c>
      <x:c r="G2082" t="n">
        <x:v>69</x:v>
      </x:c>
      <x:c r="H2082" t="n">
        <x:v>69</x:v>
      </x:c>
      <x:c r="I2082" t="n">
        <x:f>G2082-H2082</x:f>
        <x:v>0</x:v>
      </x:c>
      <x:c r="J2082" s="20" t="n">
        <x:f>IFERROR(H2082/G2082,0)</x:f>
        <x:v>1</x:v>
      </x:c>
      <x:c r="K2082" t="n">
        <x:v>4575</x:v>
      </x:c>
      <x:c r="L2082" t="n">
        <x:v>9552</x:v>
      </x:c>
      <x:c r="M2082" t="n">
        <x:v>12937</x:v>
      </x:c>
      <x:c r="N2082" t="n">
        <x:v>16835</x:v>
      </x:c>
      <x:c r="O2082" t="n">
        <x:v>19636</x:v>
      </x:c>
    </x:row>
    <x:row r="2083">
      <x:c r="A2083" t="str">
        <x:v>Uttar Pradesh</x:v>
      </x:c>
      <x:c r="B2083" t="str">
        <x:v>Central University</x:v>
      </x:c>
      <x:c r="C2083" t="str">
        <x:v>200406</x:v>
      </x:c>
      <x:c r="D2083" t="str">
        <x:v>Jawaharlal Nehru Medical College, Aligarh, ALIGARH MUSLIM UNIVERSITY, ALIGARH</x:v>
      </x:c>
      <x:c r="E2083" t="str">
        <x:v>AMU Quota</x:v>
      </x:c>
      <x:c r="F2083" t="str">
        <x:v>Open PwD</x:v>
      </x:c>
      <x:c r="G2083" t="n">
        <x:v>4</x:v>
      </x:c>
      <x:c r="H2083" t="n">
        <x:v>4</x:v>
      </x:c>
      <x:c r="I2083" t="n">
        <x:f>G2083-H2083</x:f>
        <x:v>0</x:v>
      </x:c>
      <x:c r="J2083" s="20" t="n">
        <x:f>IFERROR(H2083/G2083,0)</x:f>
        <x:v>1</x:v>
      </x:c>
      <x:c r="K2083" t="n">
        <x:v>261214</x:v>
      </x:c>
      <x:c r="L2083" t="n">
        <x:v>381355.75</x:v>
      </x:c>
      <x:c r="M2083" t="n">
        <x:v>458030</x:v>
      </x:c>
      <x:c r="N2083" t="n">
        <x:v>499006.5</x:v>
      </x:c>
      <x:c r="O2083" t="n">
        <x:v>512055</x:v>
      </x:c>
    </x:row>
    <x:row r="2084">
      <x:c r="A2084" t="str">
        <x:v>Uttar Pradesh</x:v>
      </x:c>
      <x:c r="B2084" t="str">
        <x:v>Central University</x:v>
      </x:c>
      <x:c r="C2084" t="str">
        <x:v>200406</x:v>
      </x:c>
      <x:c r="D2084" t="str">
        <x:v>Jawaharlal Nehru Medical College, Aligarh, ALIGARH MUSLIM UNIVERSITY, ALIGARH</x:v>
      </x:c>
      <x:c r="E2084" t="str">
        <x:v>NRI-AMU</x:v>
      </x:c>
      <x:c r="F2084" t="str">
        <x:v>Open</x:v>
      </x:c>
      <x:c r="G2084" t="n">
        <x:v>5</x:v>
      </x:c>
      <x:c r="H2084" t="n">
        <x:v>5</x:v>
      </x:c>
      <x:c r="I2084" t="n">
        <x:f>G2084-H2084</x:f>
        <x:v>0</x:v>
      </x:c>
      <x:c r="J2084" s="20" t="n">
        <x:f>IFERROR(H2084/G2084,0)</x:f>
        <x:v>1</x:v>
      </x:c>
      <x:c r="K2084" t="n">
        <x:v>46500</x:v>
      </x:c>
      <x:c r="L2084" t="n">
        <x:v>68466</x:v>
      </x:c>
      <x:c r="M2084" t="n">
        <x:v>70726</x:v>
      </x:c>
      <x:c r="N2084" t="n">
        <x:v>76178</x:v>
      </x:c>
      <x:c r="O2084" t="n">
        <x:v>110281</x:v>
      </x:c>
    </x:row>
    <x:row r="2085">
      <x:c r="A2085" t="str">
        <x:v>Uttar Pradesh</x:v>
      </x:c>
      <x:c r="B2085" t="str">
        <x:v>Central University</x:v>
      </x:c>
      <x:c r="C2085" t="str">
        <x:v>200406</x:v>
      </x:c>
      <x:c r="D2085" t="str">
        <x:v>Jawaharlal Nehru Medical College, Aligarh, ALIGARH MUSLIM UNIVERSITY, ALIGARH</x:v>
      </x:c>
      <x:c r="E2085" t="str">
        <x:v>Open Seat Quota</x:v>
      </x:c>
      <x:c r="F2085" t="str">
        <x:v>Open</x:v>
      </x:c>
      <x:c r="G2085" t="n">
        <x:v>68</x:v>
      </x:c>
      <x:c r="H2085" t="n">
        <x:v>68</x:v>
      </x:c>
      <x:c r="I2085" t="n">
        <x:f>G2085-H2085</x:f>
        <x:v>0</x:v>
      </x:c>
      <x:c r="J2085" s="20" t="n">
        <x:f>IFERROR(H2085/G2085,0)</x:f>
        <x:v>1</x:v>
      </x:c>
      <x:c r="K2085" t="n">
        <x:v>1261</x:v>
      </x:c>
      <x:c r="L2085" t="n">
        <x:v>3112.25</x:v>
      </x:c>
      <x:c r="M2085" t="n">
        <x:v>3576.5</x:v>
      </x:c>
      <x:c r="N2085" t="n">
        <x:v>4029.5</x:v>
      </x:c>
      <x:c r="O2085" t="n">
        <x:v>4310</x:v>
      </x:c>
    </x:row>
    <x:row r="2086">
      <x:c r="A2086" t="str">
        <x:v>Uttar Pradesh</x:v>
      </x:c>
      <x:c r="B2086" t="str">
        <x:v>Central University</x:v>
      </x:c>
      <x:c r="C2086" t="str">
        <x:v>200406</x:v>
      </x:c>
      <x:c r="D2086" t="str">
        <x:v>Jawaharlal Nehru Medical College, Aligarh, ALIGARH MUSLIM UNIVERSITY, ALIGARH</x:v>
      </x:c>
      <x:c r="E2086" t="str">
        <x:v>Open Seat Quota</x:v>
      </x:c>
      <x:c r="F2086" t="str">
        <x:v>Open PwD</x:v>
      </x:c>
      <x:c r="G2086" t="n">
        <x:v>4</x:v>
      </x:c>
      <x:c r="H2086" t="n">
        <x:v>4</x:v>
      </x:c>
      <x:c r="I2086" t="n">
        <x:f>G2086-H2086</x:f>
        <x:v>0</x:v>
      </x:c>
      <x:c r="J2086" s="20" t="n">
        <x:f>IFERROR(H2086/G2086,0)</x:f>
        <x:v>1</x:v>
      </x:c>
      <x:c r="K2086" t="n">
        <x:v>131953</x:v>
      </x:c>
      <x:c r="L2086" t="n">
        <x:v>162070</x:v>
      </x:c>
      <x:c r="M2086" t="n">
        <x:v>180527</x:v>
      </x:c>
      <x:c r="N2086" t="n">
        <x:v>196861.75</x:v>
      </x:c>
      <x:c r="O2086" t="n">
        <x:v>220612</x:v>
      </x:c>
    </x:row>
    <x:row r="2087">
      <x:c r="A2087" t="str">
        <x:v>Karnataka</x:v>
      </x:c>
      <x:c r="B2087" t="str">
        <x:v>Deemed University</x:v>
      </x:c>
      <x:c r="C2087" t="str">
        <x:v>200335</x:v>
      </x:c>
      <x:c r="D2087" t="str">
        <x:v>Jawaharlal Nehru Medical College, Belgaum, J.N. Medical College Campus, Nehru Nagar, Belagavi-590010. Karnataka, India.</x:v>
      </x:c>
      <x:c r="E2087" t="str">
        <x:v>NRI</x:v>
      </x:c>
      <x:c r="F2087" t="str">
        <x:v>Open</x:v>
      </x:c>
      <x:c r="G2087" t="n">
        <x:v>37</x:v>
      </x:c>
      <x:c r="H2087" t="n">
        <x:v>8</x:v>
      </x:c>
      <x:c r="I2087" t="n">
        <x:f>G2087-H2087</x:f>
        <x:v>29</x:v>
      </x:c>
      <x:c r="J2087" s="20" t="n">
        <x:f>IFERROR(H2087/G2087,0)</x:f>
        <x:v>0.21621621621621623</x:v>
      </x:c>
      <x:c r="K2087" t="n">
        <x:v>305783</x:v>
      </x:c>
      <x:c r="L2087" t="n">
        <x:v>545910.25</x:v>
      </x:c>
      <x:c r="M2087" t="n">
        <x:v>612903</x:v>
      </x:c>
      <x:c r="N2087" t="n">
        <x:v>682517.75</x:v>
      </x:c>
      <x:c r="O2087" t="n">
        <x:v>773030</x:v>
      </x:c>
    </x:row>
    <x:row r="2088">
      <x:c r="A2088" t="str">
        <x:v>Karnataka</x:v>
      </x:c>
      <x:c r="B2088" t="str">
        <x:v>Deemed University</x:v>
      </x:c>
      <x:c r="C2088" t="str">
        <x:v>200335</x:v>
      </x:c>
      <x:c r="D2088" t="str">
        <x:v>Jawaharlal Nehru Medical College, Belgaum, J.N. Medical College Campus, Nehru Nagar, Belagavi-590010. Karnataka, India.</x:v>
      </x:c>
      <x:c r="E2088" t="str">
        <x:v>Self-Financed Merit</x:v>
      </x:c>
      <x:c r="F2088" t="str">
        <x:v>Open</x:v>
      </x:c>
      <x:c r="G2088" t="n">
        <x:v>201</x:v>
      </x:c>
      <x:c r="H2088" t="n">
        <x:v>201</x:v>
      </x:c>
      <x:c r="I2088" t="n">
        <x:f>G2088-H2088</x:f>
        <x:v>0</x:v>
      </x:c>
      <x:c r="J2088" s="20" t="n">
        <x:f>IFERROR(H2088/G2088,0)</x:f>
        <x:v>1</x:v>
      </x:c>
      <x:c r="K2088" t="n">
        <x:v>26904</x:v>
      </x:c>
      <x:c r="L2088" t="n">
        <x:v>120227</x:v>
      </x:c>
      <x:c r="M2088" t="n">
        <x:v>145756</x:v>
      </x:c>
      <x:c r="N2088" t="n">
        <x:v>168119</x:v>
      </x:c>
      <x:c r="O2088" t="n">
        <x:v>181223</x:v>
      </x:c>
    </x:row>
    <x:row r="2089">
      <x:c r="A2089" t="str">
        <x:v>Bihar</x:v>
      </x:c>
      <x:c r="B2089" t="str">
        <x:v>All India except Central University</x:v>
      </x:c>
      <x:c r="C2089" t="str">
        <x:v>200113</x:v>
      </x:c>
      <x:c r="D2089" t="str">
        <x:v>Jawaharlal Nehru Medical College, Bhagalpur, SUKHRAJ RAI PATH, BHAGALPUR</x:v>
      </x:c>
      <x:c r="E2089" t="str">
        <x:v>All India</x:v>
      </x:c>
      <x:c r="F2089" t="str">
        <x:v>EWS</x:v>
      </x:c>
      <x:c r="G2089" t="n">
        <x:v>3</x:v>
      </x:c>
      <x:c r="H2089" t="n">
        <x:v>3</x:v>
      </x:c>
      <x:c r="I2089" t="n">
        <x:f>G2089-H2089</x:f>
        <x:v>0</x:v>
      </x:c>
      <x:c r="J2089" s="20" t="n">
        <x:f>IFERROR(H2089/G2089,0)</x:f>
        <x:v>1</x:v>
      </x:c>
      <x:c r="K2089" t="n">
        <x:v>11183</x:v>
      </x:c>
      <x:c r="L2089" t="n">
        <x:v>11274</x:v>
      </x:c>
      <x:c r="M2089" t="n">
        <x:v>11365</x:v>
      </x:c>
      <x:c r="N2089" t="n">
        <x:v>11806</x:v>
      </x:c>
      <x:c r="O2089" t="n">
        <x:v>12247</x:v>
      </x:c>
    </x:row>
    <x:row r="2090">
      <x:c r="A2090" t="str">
        <x:v>Bihar</x:v>
      </x:c>
      <x:c r="B2090" t="str">
        <x:v>All India except Central University</x:v>
      </x:c>
      <x:c r="C2090" t="str">
        <x:v>200113</x:v>
      </x:c>
      <x:c r="D2090" t="str">
        <x:v>Jawaharlal Nehru Medical College, Bhagalpur, SUKHRAJ RAI PATH, BHAGALPUR</x:v>
      </x:c>
      <x:c r="E2090" t="str">
        <x:v>All India</x:v>
      </x:c>
      <x:c r="F2090" t="str">
        <x:v>OBC</x:v>
      </x:c>
      <x:c r="G2090" t="n">
        <x:v>6</x:v>
      </x:c>
      <x:c r="H2090" t="n">
        <x:v>6</x:v>
      </x:c>
      <x:c r="I2090" t="n">
        <x:f>G2090-H2090</x:f>
        <x:v>0</x:v>
      </x:c>
      <x:c r="J2090" s="20" t="n">
        <x:f>IFERROR(H2090/G2090,0)</x:f>
        <x:v>1</x:v>
      </x:c>
      <x:c r="K2090" t="n">
        <x:v>10483</x:v>
      </x:c>
      <x:c r="L2090" t="n">
        <x:v>10834.5</x:v>
      </x:c>
      <x:c r="M2090" t="n">
        <x:v>11231.5</x:v>
      </x:c>
      <x:c r="N2090" t="n">
        <x:v>11486.75</x:v>
      </x:c>
      <x:c r="O2090" t="n">
        <x:v>11653</x:v>
      </x:c>
    </x:row>
    <x:row r="2091">
      <x:c r="A2091" t="str">
        <x:v>Bihar</x:v>
      </x:c>
      <x:c r="B2091" t="str">
        <x:v>All India except Central University</x:v>
      </x:c>
      <x:c r="C2091" t="str">
        <x:v>200113</x:v>
      </x:c>
      <x:c r="D2091" t="str">
        <x:v>Jawaharlal Nehru Medical College, Bhagalpur, SUKHRAJ RAI PATH, BHAGALPUR</x:v>
      </x:c>
      <x:c r="E2091" t="str">
        <x:v>All India</x:v>
      </x:c>
      <x:c r="F2091" t="str">
        <x:v>Open</x:v>
      </x:c>
      <x:c r="G2091" t="n">
        <x:v>8</x:v>
      </x:c>
      <x:c r="H2091" t="n">
        <x:v>8</x:v>
      </x:c>
      <x:c r="I2091" t="n">
        <x:f>G2091-H2091</x:f>
        <x:v>0</x:v>
      </x:c>
      <x:c r="J2091" s="20" t="n">
        <x:f>IFERROR(H2091/G2091,0)</x:f>
        <x:v>1</x:v>
      </x:c>
      <x:c r="K2091" t="n">
        <x:v>9145</x:v>
      </x:c>
      <x:c r="L2091" t="n">
        <x:v>9389.75</x:v>
      </x:c>
      <x:c r="M2091" t="n">
        <x:v>9732</x:v>
      </x:c>
      <x:c r="N2091" t="n">
        <x:v>10203.25</x:v>
      </x:c>
      <x:c r="O2091" t="n">
        <x:v>10357</x:v>
      </x:c>
    </x:row>
    <x:row r="2092">
      <x:c r="A2092" t="str">
        <x:v>Bihar</x:v>
      </x:c>
      <x:c r="B2092" t="str">
        <x:v>All India except Central University</x:v>
      </x:c>
      <x:c r="C2092" t="str">
        <x:v>200113</x:v>
      </x:c>
      <x:c r="D2092" t="str">
        <x:v>Jawaharlal Nehru Medical College, Bhagalpur, SUKHRAJ RAI PATH, BHAGALPUR</x:v>
      </x:c>
      <x:c r="E2092" t="str">
        <x:v>All India</x:v>
      </x:c>
      <x:c r="F2092" t="str">
        <x:v>Open PwD</x:v>
      </x:c>
      <x:c r="G2092" t="n">
        <x:v>1</x:v>
      </x:c>
      <x:c r="H2092" t="n">
        <x:v>1</x:v>
      </x:c>
      <x:c r="I2092" t="n">
        <x:f>G2092-H2092</x:f>
        <x:v>0</x:v>
      </x:c>
      <x:c r="J2092" s="20" t="n">
        <x:f>IFERROR(H2092/G2092,0)</x:f>
        <x:v>1</x:v>
      </x:c>
      <x:c r="K2092" t="n">
        <x:v>491625</x:v>
      </x:c>
      <x:c r="L2092" t="n">
        <x:v>491625</x:v>
      </x:c>
      <x:c r="M2092" t="n">
        <x:v>491625</x:v>
      </x:c>
      <x:c r="N2092" t="n">
        <x:v>491625</x:v>
      </x:c>
      <x:c r="O2092" t="n">
        <x:v>491625</x:v>
      </x:c>
    </x:row>
    <x:row r="2093">
      <x:c r="A2093" t="str">
        <x:v>Bihar</x:v>
      </x:c>
      <x:c r="B2093" t="str">
        <x:v>All India except Central University</x:v>
      </x:c>
      <x:c r="C2093" t="str">
        <x:v>200113</x:v>
      </x:c>
      <x:c r="D2093" t="str">
        <x:v>Jawaharlal Nehru Medical College, Bhagalpur, SUKHRAJ RAI PATH, BHAGALPUR</x:v>
      </x:c>
      <x:c r="E2093" t="str">
        <x:v>All India</x:v>
      </x:c>
      <x:c r="F2093" t="str">
        <x:v>SC</x:v>
      </x:c>
      <x:c r="G2093" t="n">
        <x:v>3</x:v>
      </x:c>
      <x:c r="H2093" t="n">
        <x:v>3</x:v>
      </x:c>
      <x:c r="I2093" t="n">
        <x:f>G2093-H2093</x:f>
        <x:v>0</x:v>
      </x:c>
      <x:c r="J2093" s="20" t="n">
        <x:f>IFERROR(H2093/G2093,0)</x:f>
        <x:v>1</x:v>
      </x:c>
      <x:c r="K2093" t="n">
        <x:v>48716</x:v>
      </x:c>
      <x:c r="L2093" t="n">
        <x:v>59168</x:v>
      </x:c>
      <x:c r="M2093" t="n">
        <x:v>69620</x:v>
      </x:c>
      <x:c r="N2093" t="n">
        <x:v>69711</x:v>
      </x:c>
      <x:c r="O2093" t="n">
        <x:v>69802</x:v>
      </x:c>
    </x:row>
    <x:row r="2094">
      <x:c r="A2094" t="str">
        <x:v>Bihar</x:v>
      </x:c>
      <x:c r="B2094" t="str">
        <x:v>All India except Central University</x:v>
      </x:c>
      <x:c r="C2094" t="str">
        <x:v>200113</x:v>
      </x:c>
      <x:c r="D2094" t="str">
        <x:v>Jawaharlal Nehru Medical College, Bhagalpur, SUKHRAJ RAI PATH, BHAGALPUR</x:v>
      </x:c>
      <x:c r="E2094" t="str">
        <x:v>All India</x:v>
      </x:c>
      <x:c r="F2094" t="str">
        <x:v>ST</x:v>
      </x:c>
      <x:c r="G2094" t="n">
        <x:v>1</x:v>
      </x:c>
      <x:c r="H2094" t="n">
        <x:v>1</x:v>
      </x:c>
      <x:c r="I2094" t="n">
        <x:f>G2094-H2094</x:f>
        <x:v>0</x:v>
      </x:c>
      <x:c r="J2094" s="20" t="n">
        <x:f>IFERROR(H2094/G2094,0)</x:f>
        <x:v>1</x:v>
      </x:c>
      <x:c r="K2094" t="n">
        <x:v>87140</x:v>
      </x:c>
      <x:c r="L2094" t="n">
        <x:v>87140</x:v>
      </x:c>
      <x:c r="M2094" t="n">
        <x:v>87140</x:v>
      </x:c>
      <x:c r="N2094" t="n">
        <x:v>87140</x:v>
      </x:c>
      <x:c r="O2094" t="n">
        <x:v>87140</x:v>
      </x:c>
    </x:row>
    <x:row r="2095">
      <x:c r="A2095" t="str">
        <x:v>Maharashtra</x:v>
      </x:c>
      <x:c r="B2095" t="str">
        <x:v>Deemed University</x:v>
      </x:c>
      <x:c r="C2095" t="str">
        <x:v>200364</x:v>
      </x:c>
      <x:c r="D2095" t="str">
        <x:v>Jawaharlal Nehru Medical College, Sawangi (Meghe), Wardha, Sawangi (Meghe), Wardha, Maharashtra State, India</x:v>
      </x:c>
      <x:c r="E2095" t="str">
        <x:v>NRI</x:v>
      </x:c>
      <x:c r="F2095" t="str">
        <x:v>Open</x:v>
      </x:c>
      <x:c r="G2095" t="n">
        <x:v>38</x:v>
      </x:c>
      <x:c r="H2095" t="n">
        <x:v>0</x:v>
      </x:c>
      <x:c r="I2095" t="n">
        <x:f>G2095-H2095</x:f>
        <x:v>38</x:v>
      </x:c>
      <x:c r="J2095" s="20" t="n">
        <x:f>IFERROR(H2095/G2095,0)</x:f>
        <x:v>0</x:v>
      </x:c>
      <x:c r="K2095"/>
      <x:c r="L2095"/>
      <x:c r="M2095"/>
      <x:c r="N2095"/>
      <x:c r="O2095"/>
    </x:row>
    <x:row r="2096">
      <x:c r="A2096" t="str">
        <x:v>Maharashtra</x:v>
      </x:c>
      <x:c r="B2096" t="str">
        <x:v>Deemed University</x:v>
      </x:c>
      <x:c r="C2096" t="str">
        <x:v>200364</x:v>
      </x:c>
      <x:c r="D2096" t="str">
        <x:v>Jawaharlal Nehru Medical College, Sawangi (Meghe), Wardha, Sawangi (Meghe), Wardha, Maharashtra State, India</x:v>
      </x:c>
      <x:c r="E2096" t="str">
        <x:v>Self-Financed Merit</x:v>
      </x:c>
      <x:c r="F2096" t="str">
        <x:v>Open</x:v>
      </x:c>
      <x:c r="G2096" t="n">
        <x:v>212</x:v>
      </x:c>
      <x:c r="H2096" t="n">
        <x:v>212</x:v>
      </x:c>
      <x:c r="I2096" t="n">
        <x:f>G2096-H2096</x:f>
        <x:v>0</x:v>
      </x:c>
      <x:c r="J2096" s="20" t="n">
        <x:f>IFERROR(H2096/G2096,0)</x:f>
        <x:v>1</x:v>
      </x:c>
      <x:c r="K2096" t="n">
        <x:v>129412</x:v>
      </x:c>
      <x:c r="L2096" t="n">
        <x:v>490674.25</x:v>
      </x:c>
      <x:c r="M2096" t="n">
        <x:v>574386</x:v>
      </x:c>
      <x:c r="N2096" t="n">
        <x:v>617790.5</x:v>
      </x:c>
      <x:c r="O2096" t="n">
        <x:v>645866</x:v>
      </x:c>
    </x:row>
    <x:row r="2097">
      <x:c r="A2097" t="str">
        <x:v>Rajasthan</x:v>
      </x:c>
      <x:c r="B2097" t="str">
        <x:v>All India except Central University</x:v>
      </x:c>
      <x:c r="C2097" t="str">
        <x:v>200252</x:v>
      </x:c>
      <x:c r="D2097" t="str">
        <x:v>Jhalawar Medical College, Jhalawar, NH-52, KOTA ROAD,JHALAWAR,RAJASTHAN</x:v>
      </x:c>
      <x:c r="E2097" t="str">
        <x:v>All India</x:v>
      </x:c>
      <x:c r="F2097" t="str">
        <x:v>EWS</x:v>
      </x:c>
      <x:c r="G2097" t="n">
        <x:v>3</x:v>
      </x:c>
      <x:c r="H2097" t="n">
        <x:v>3</x:v>
      </x:c>
      <x:c r="I2097" t="n">
        <x:f>G2097-H2097</x:f>
        <x:v>0</x:v>
      </x:c>
      <x:c r="J2097" s="20" t="n">
        <x:f>IFERROR(H2097/G2097,0)</x:f>
        <x:v>1</x:v>
      </x:c>
      <x:c r="K2097" t="n">
        <x:v>7207</x:v>
      </x:c>
      <x:c r="L2097" t="n">
        <x:v>7219.5</x:v>
      </x:c>
      <x:c r="M2097" t="n">
        <x:v>7232</x:v>
      </x:c>
      <x:c r="N2097" t="n">
        <x:v>7335.5</x:v>
      </x:c>
      <x:c r="O2097" t="n">
        <x:v>7439</x:v>
      </x:c>
    </x:row>
    <x:row r="2098">
      <x:c r="A2098" t="str">
        <x:v>Rajasthan</x:v>
      </x:c>
      <x:c r="B2098" t="str">
        <x:v>All India except Central University</x:v>
      </x:c>
      <x:c r="C2098" t="str">
        <x:v>200252</x:v>
      </x:c>
      <x:c r="D2098" t="str">
        <x:v>Jhalawar Medical College, Jhalawar, NH-52, KOTA ROAD,JHALAWAR,RAJASTHAN</x:v>
      </x:c>
      <x:c r="E2098" t="str">
        <x:v>All India</x:v>
      </x:c>
      <x:c r="F2098" t="str">
        <x:v>OBC</x:v>
      </x:c>
      <x:c r="G2098" t="n">
        <x:v>9</x:v>
      </x:c>
      <x:c r="H2098" t="n">
        <x:v>9</x:v>
      </x:c>
      <x:c r="I2098" t="n">
        <x:f>G2098-H2098</x:f>
        <x:v>0</x:v>
      </x:c>
      <x:c r="J2098" s="20" t="n">
        <x:f>IFERROR(H2098/G2098,0)</x:f>
        <x:v>1</x:v>
      </x:c>
      <x:c r="K2098" t="n">
        <x:v>6904</x:v>
      </x:c>
      <x:c r="L2098" t="n">
        <x:v>7077</x:v>
      </x:c>
      <x:c r="M2098" t="n">
        <x:v>7194</x:v>
      </x:c>
      <x:c r="N2098" t="n">
        <x:v>7244</x:v>
      </x:c>
      <x:c r="O2098" t="n">
        <x:v>7299</x:v>
      </x:c>
    </x:row>
    <x:row r="2099">
      <x:c r="A2099" t="str">
        <x:v>Rajasthan</x:v>
      </x:c>
      <x:c r="B2099" t="str">
        <x:v>All India except Central University</x:v>
      </x:c>
      <x:c r="C2099" t="str">
        <x:v>200252</x:v>
      </x:c>
      <x:c r="D2099" t="str">
        <x:v>Jhalawar Medical College, Jhalawar, NH-52, KOTA ROAD,JHALAWAR,RAJASTHAN</x:v>
      </x:c>
      <x:c r="E2099" t="str">
        <x:v>All India</x:v>
      </x:c>
      <x:c r="F2099" t="str">
        <x:v>Open</x:v>
      </x:c>
      <x:c r="G2099" t="n">
        <x:v>11</x:v>
      </x:c>
      <x:c r="H2099" t="n">
        <x:v>11</x:v>
      </x:c>
      <x:c r="I2099" t="n">
        <x:f>G2099-H2099</x:f>
        <x:v>0</x:v>
      </x:c>
      <x:c r="J2099" s="20" t="n">
        <x:f>IFERROR(H2099/G2099,0)</x:f>
        <x:v>1</x:v>
      </x:c>
      <x:c r="K2099" t="n">
        <x:v>5328</x:v>
      </x:c>
      <x:c r="L2099" t="n">
        <x:v>5749</x:v>
      </x:c>
      <x:c r="M2099" t="n">
        <x:v>6360</x:v>
      </x:c>
      <x:c r="N2099" t="n">
        <x:v>6577</x:v>
      </x:c>
      <x:c r="O2099" t="n">
        <x:v>6653</x:v>
      </x:c>
    </x:row>
    <x:row r="2100">
      <x:c r="A2100" t="str">
        <x:v>Rajasthan</x:v>
      </x:c>
      <x:c r="B2100" t="str">
        <x:v>All India except Central University</x:v>
      </x:c>
      <x:c r="C2100" t="str">
        <x:v>200252</x:v>
      </x:c>
      <x:c r="D2100" t="str">
        <x:v>Jhalawar Medical College, Jhalawar, NH-52, KOTA ROAD,JHALAWAR,RAJASTHAN</x:v>
      </x:c>
      <x:c r="E2100" t="str">
        <x:v>All India</x:v>
      </x:c>
      <x:c r="F2100" t="str">
        <x:v>Open PwD</x:v>
      </x:c>
      <x:c r="G2100" t="n">
        <x:v>1</x:v>
      </x:c>
      <x:c r="H2100" t="n">
        <x:v>1</x:v>
      </x:c>
      <x:c r="I2100" t="n">
        <x:f>G2100-H2100</x:f>
        <x:v>0</x:v>
      </x:c>
      <x:c r="J2100" s="20" t="n">
        <x:f>IFERROR(H2100/G2100,0)</x:f>
        <x:v>1</x:v>
      </x:c>
      <x:c r="K2100" t="n">
        <x:v>406374</x:v>
      </x:c>
      <x:c r="L2100" t="n">
        <x:v>406374</x:v>
      </x:c>
      <x:c r="M2100" t="n">
        <x:v>406374</x:v>
      </x:c>
      <x:c r="N2100" t="n">
        <x:v>406374</x:v>
      </x:c>
      <x:c r="O2100" t="n">
        <x:v>406374</x:v>
      </x:c>
    </x:row>
    <x:row r="2101">
      <x:c r="A2101" t="str">
        <x:v>Rajasthan</x:v>
      </x:c>
      <x:c r="B2101" t="str">
        <x:v>All India except Central University</x:v>
      </x:c>
      <x:c r="C2101" t="str">
        <x:v>200252</x:v>
      </x:c>
      <x:c r="D2101" t="str">
        <x:v>Jhalawar Medical College, Jhalawar, NH-52, KOTA ROAD,JHALAWAR,RAJASTHAN</x:v>
      </x:c>
      <x:c r="E2101" t="str">
        <x:v>All India</x:v>
      </x:c>
      <x:c r="F2101" t="str">
        <x:v>SC</x:v>
      </x:c>
      <x:c r="G2101" t="n">
        <x:v>4</x:v>
      </x:c>
      <x:c r="H2101" t="n">
        <x:v>4</x:v>
      </x:c>
      <x:c r="I2101" t="n">
        <x:f>G2101-H2101</x:f>
        <x:v>0</x:v>
      </x:c>
      <x:c r="J2101" s="20" t="n">
        <x:f>IFERROR(H2101/G2101,0)</x:f>
        <x:v>1</x:v>
      </x:c>
      <x:c r="K2101" t="n">
        <x:v>35631</x:v>
      </x:c>
      <x:c r="L2101" t="n">
        <x:v>37802.25</x:v>
      </x:c>
      <x:c r="M2101" t="n">
        <x:v>40167.5</x:v>
      </x:c>
      <x:c r="N2101" t="n">
        <x:v>41827.25</x:v>
      </x:c>
      <x:c r="O2101" t="n">
        <x:v>41882</x:v>
      </x:c>
    </x:row>
    <x:row r="2102">
      <x:c r="A2102" t="str">
        <x:v>Rajasthan</x:v>
      </x:c>
      <x:c r="B2102" t="str">
        <x:v>All India except Central University</x:v>
      </x:c>
      <x:c r="C2102" t="str">
        <x:v>200252</x:v>
      </x:c>
      <x:c r="D2102" t="str">
        <x:v>Jhalawar Medical College, Jhalawar, NH-52, KOTA ROAD,JHALAWAR,RAJASTHAN</x:v>
      </x:c>
      <x:c r="E2102" t="str">
        <x:v>All India</x:v>
      </x:c>
      <x:c r="F2102" t="str">
        <x:v>ST</x:v>
      </x:c>
      <x:c r="G2102" t="n">
        <x:v>2</x:v>
      </x:c>
      <x:c r="H2102" t="n">
        <x:v>2</x:v>
      </x:c>
      <x:c r="I2102" t="n">
        <x:f>G2102-H2102</x:f>
        <x:v>0</x:v>
      </x:c>
      <x:c r="J2102" s="20" t="n">
        <x:f>IFERROR(H2102/G2102,0)</x:f>
        <x:v>1</x:v>
      </x:c>
      <x:c r="K2102" t="n">
        <x:v>41194</x:v>
      </x:c>
      <x:c r="L2102" t="n">
        <x:v>41270.75</x:v>
      </x:c>
      <x:c r="M2102" t="n">
        <x:v>41347.5</x:v>
      </x:c>
      <x:c r="N2102" t="n">
        <x:v>41424.25</x:v>
      </x:c>
      <x:c r="O2102" t="n">
        <x:v>41501</x:v>
      </x:c>
    </x:row>
    <x:row r="2103">
      <x:c r="A2103" t="str">
        <x:v>West Bengal</x:v>
      </x:c>
      <x:c r="B2103" t="str">
        <x:v>All India except Central University</x:v>
      </x:c>
      <x:c r="C2103" t="str">
        <x:v>200641</x:v>
      </x:c>
      <x:c r="D2103" t="str">
        <x:v>Jhargram Government Medical College &amp; Hospital, Jhargram, Jhargram Government Medical College and Hospital, Vidyasagarpally, Jhargram, West Bengal.</x:v>
      </x:c>
      <x:c r="E2103" t="str">
        <x:v>All India</x:v>
      </x:c>
      <x:c r="F2103" t="str">
        <x:v>EWS</x:v>
      </x:c>
      <x:c r="G2103" t="n">
        <x:v>2</x:v>
      </x:c>
      <x:c r="H2103" t="n">
        <x:v>2</x:v>
      </x:c>
      <x:c r="I2103" t="n">
        <x:f>G2103-H2103</x:f>
        <x:v>0</x:v>
      </x:c>
      <x:c r="J2103" s="20" t="n">
        <x:f>IFERROR(H2103/G2103,0)</x:f>
        <x:v>1</x:v>
      </x:c>
      <x:c r="K2103" t="n">
        <x:v>22475</x:v>
      </x:c>
      <x:c r="L2103" t="n">
        <x:v>22488.75</x:v>
      </x:c>
      <x:c r="M2103" t="n">
        <x:v>22502.5</x:v>
      </x:c>
      <x:c r="N2103" t="n">
        <x:v>22516.25</x:v>
      </x:c>
      <x:c r="O2103" t="n">
        <x:v>22530</x:v>
      </x:c>
    </x:row>
    <x:row r="2104">
      <x:c r="A2104" t="str">
        <x:v>West Bengal</x:v>
      </x:c>
      <x:c r="B2104" t="str">
        <x:v>All India except Central University</x:v>
      </x:c>
      <x:c r="C2104" t="str">
        <x:v>200641</x:v>
      </x:c>
      <x:c r="D2104" t="str">
        <x:v>Jhargram Government Medical College &amp; Hospital, Jhargram, Jhargram Government Medical College and Hospital, Vidyasagarpally, Jhargram, West Bengal.</x:v>
      </x:c>
      <x:c r="E2104" t="str">
        <x:v>All India</x:v>
      </x:c>
      <x:c r="F2104" t="str">
        <x:v>OBC</x:v>
      </x:c>
      <x:c r="G2104" t="n">
        <x:v>6</x:v>
      </x:c>
      <x:c r="H2104" t="n">
        <x:v>6</x:v>
      </x:c>
      <x:c r="I2104" t="n">
        <x:f>G2104-H2104</x:f>
        <x:v>0</x:v>
      </x:c>
      <x:c r="J2104" s="20" t="n">
        <x:f>IFERROR(H2104/G2104,0)</x:f>
        <x:v>1</x:v>
      </x:c>
      <x:c r="K2104" t="n">
        <x:v>20149</x:v>
      </x:c>
      <x:c r="L2104" t="n">
        <x:v>20631.75</x:v>
      </x:c>
      <x:c r="M2104" t="n">
        <x:v>20814</x:v>
      </x:c>
      <x:c r="N2104" t="n">
        <x:v>20875.5</x:v>
      </x:c>
      <x:c r="O2104" t="n">
        <x:v>21069</x:v>
      </x:c>
    </x:row>
    <x:row r="2105">
      <x:c r="A2105" t="str">
        <x:v>West Bengal</x:v>
      </x:c>
      <x:c r="B2105" t="str">
        <x:v>All India except Central University</x:v>
      </x:c>
      <x:c r="C2105" t="str">
        <x:v>200641</x:v>
      </x:c>
      <x:c r="D2105" t="str">
        <x:v>Jhargram Government Medical College &amp; Hospital, Jhargram, Jhargram Government Medical College and Hospital, Vidyasagarpally, Jhargram, West Bengal.</x:v>
      </x:c>
      <x:c r="E2105" t="str">
        <x:v>All India</x:v>
      </x:c>
      <x:c r="F2105" t="str">
        <x:v>Open</x:v>
      </x:c>
      <x:c r="G2105" t="n">
        <x:v>10</x:v>
      </x:c>
      <x:c r="H2105" t="n">
        <x:v>10</x:v>
      </x:c>
      <x:c r="I2105" t="n">
        <x:f>G2105-H2105</x:f>
        <x:v>0</x:v>
      </x:c>
      <x:c r="J2105" s="20" t="n">
        <x:f>IFERROR(H2105/G2105,0)</x:f>
        <x:v>1</x:v>
      </x:c>
      <x:c r="K2105" t="n">
        <x:v>10426</x:v>
      </x:c>
      <x:c r="L2105" t="n">
        <x:v>18440.25</x:v>
      </x:c>
      <x:c r="M2105" t="n">
        <x:v>18979</x:v>
      </x:c>
      <x:c r="N2105" t="n">
        <x:v>19212.25</x:v>
      </x:c>
      <x:c r="O2105" t="n">
        <x:v>19762</x:v>
      </x:c>
    </x:row>
    <x:row r="2106">
      <x:c r="A2106" t="str">
        <x:v>West Bengal</x:v>
      </x:c>
      <x:c r="B2106" t="str">
        <x:v>All India except Central University</x:v>
      </x:c>
      <x:c r="C2106" t="str">
        <x:v>200641</x:v>
      </x:c>
      <x:c r="D2106" t="str">
        <x:v>Jhargram Government Medical College &amp; Hospital, Jhargram, Jhargram Government Medical College and Hospital, Vidyasagarpally, Jhargram, West Bengal.</x:v>
      </x:c>
      <x:c r="E2106" t="str">
        <x:v>All India</x:v>
      </x:c>
      <x:c r="F2106" t="str">
        <x:v>SC</x:v>
      </x:c>
      <x:c r="G2106" t="n">
        <x:v>4</x:v>
      </x:c>
      <x:c r="H2106" t="n">
        <x:v>4</x:v>
      </x:c>
      <x:c r="I2106" t="n">
        <x:f>G2106-H2106</x:f>
        <x:v>0</x:v>
      </x:c>
      <x:c r="J2106" s="20" t="n">
        <x:f>IFERROR(H2106/G2106,0)</x:f>
        <x:v>1</x:v>
      </x:c>
      <x:c r="K2106" t="n">
        <x:v>100105</x:v>
      </x:c>
      <x:c r="L2106" t="n">
        <x:v>100282.75</x:v>
      </x:c>
      <x:c r="M2106" t="n">
        <x:v>100479.5</x:v>
      </x:c>
      <x:c r="N2106" t="n">
        <x:v>100817.25</x:v>
      </x:c>
      <x:c r="O2106" t="n">
        <x:v>101418</x:v>
      </x:c>
    </x:row>
    <x:row r="2107">
      <x:c r="A2107" t="str">
        <x:v>West Bengal</x:v>
      </x:c>
      <x:c r="B2107" t="str">
        <x:v>All India except Central University</x:v>
      </x:c>
      <x:c r="C2107" t="str">
        <x:v>200641</x:v>
      </x:c>
      <x:c r="D2107" t="str">
        <x:v>Jhargram Government Medical College &amp; Hospital, Jhargram, Jhargram Government Medical College and Hospital, Vidyasagarpally, Jhargram, West Bengal.</x:v>
      </x:c>
      <x:c r="E2107" t="str">
        <x:v>All India</x:v>
      </x:c>
      <x:c r="F2107" t="str">
        <x:v>ST</x:v>
      </x:c>
      <x:c r="G2107" t="n">
        <x:v>1</x:v>
      </x:c>
      <x:c r="H2107" t="n">
        <x:v>1</x:v>
      </x:c>
      <x:c r="I2107" t="n">
        <x:f>G2107-H2107</x:f>
        <x:v>0</x:v>
      </x:c>
      <x:c r="J2107" s="20" t="n">
        <x:f>IFERROR(H2107/G2107,0)</x:f>
        <x:v>1</x:v>
      </x:c>
      <x:c r="K2107" t="n">
        <x:v>119021</x:v>
      </x:c>
      <x:c r="L2107" t="n">
        <x:v>119021</x:v>
      </x:c>
      <x:c r="M2107" t="n">
        <x:v>119021</x:v>
      </x:c>
      <x:c r="N2107" t="n">
        <x:v>119021</x:v>
      </x:c>
      <x:c r="O2107" t="n">
        <x:v>119021</x:v>
      </x:c>
    </x:row>
    <x:row r="2108">
      <x:c r="A2108" t="str">
        <x:v>Assam</x:v>
      </x:c>
      <x:c r="B2108" t="str">
        <x:v>All India except Central University</x:v>
      </x:c>
      <x:c r="C2108" t="str">
        <x:v>200105</x:v>
      </x:c>
      <x:c r="D2108" t="str">
        <x:v>Jorhat Medical College &amp; Hospital , Jorhat, Kushal Konwar Path, Barbheta, Jorhat, Assam, 785001</x:v>
      </x:c>
      <x:c r="E2108" t="str">
        <x:v>All India</x:v>
      </x:c>
      <x:c r="F2108" t="str">
        <x:v>EWS</x:v>
      </x:c>
      <x:c r="G2108" t="n">
        <x:v>2</x:v>
      </x:c>
      <x:c r="H2108" t="n">
        <x:v>2</x:v>
      </x:c>
      <x:c r="I2108" t="n">
        <x:f>G2108-H2108</x:f>
        <x:v>0</x:v>
      </x:c>
      <x:c r="J2108" s="20" t="n">
        <x:f>IFERROR(H2108/G2108,0)</x:f>
        <x:v>1</x:v>
      </x:c>
      <x:c r="K2108" t="n">
        <x:v>22647</x:v>
      </x:c>
      <x:c r="L2108" t="n">
        <x:v>22685.5</x:v>
      </x:c>
      <x:c r="M2108" t="n">
        <x:v>22724</x:v>
      </x:c>
      <x:c r="N2108" t="n">
        <x:v>22762.5</x:v>
      </x:c>
      <x:c r="O2108" t="n">
        <x:v>22801</x:v>
      </x:c>
    </x:row>
    <x:row r="2109">
      <x:c r="A2109" t="str">
        <x:v>Assam</x:v>
      </x:c>
      <x:c r="B2109" t="str">
        <x:v>All India except Central University</x:v>
      </x:c>
      <x:c r="C2109" t="str">
        <x:v>200105</x:v>
      </x:c>
      <x:c r="D2109" t="str">
        <x:v>Jorhat Medical College &amp; Hospital , Jorhat, Kushal Konwar Path, Barbheta, Jorhat, Assam, 785001</x:v>
      </x:c>
      <x:c r="E2109" t="str">
        <x:v>All India</x:v>
      </x:c>
      <x:c r="F2109" t="str">
        <x:v>OBC</x:v>
      </x:c>
      <x:c r="G2109" t="n">
        <x:v>4</x:v>
      </x:c>
      <x:c r="H2109" t="n">
        <x:v>4</x:v>
      </x:c>
      <x:c r="I2109" t="n">
        <x:f>G2109-H2109</x:f>
        <x:v>0</x:v>
      </x:c>
      <x:c r="J2109" s="20" t="n">
        <x:f>IFERROR(H2109/G2109,0)</x:f>
        <x:v>1</x:v>
      </x:c>
      <x:c r="K2109" t="n">
        <x:v>18263</x:v>
      </x:c>
      <x:c r="L2109" t="n">
        <x:v>18749</x:v>
      </x:c>
      <x:c r="M2109" t="n">
        <x:v>18958.5</x:v>
      </x:c>
      <x:c r="N2109" t="n">
        <x:v>19149.75</x:v>
      </x:c>
      <x:c r="O2109" t="n">
        <x:v>19581</x:v>
      </x:c>
    </x:row>
    <x:row r="2110">
      <x:c r="A2110" t="str">
        <x:v>Assam</x:v>
      </x:c>
      <x:c r="B2110" t="str">
        <x:v>All India except Central University</x:v>
      </x:c>
      <x:c r="C2110" t="str">
        <x:v>200105</x:v>
      </x:c>
      <x:c r="D2110" t="str">
        <x:v>Jorhat Medical College &amp; Hospital , Jorhat, Kushal Konwar Path, Barbheta, Jorhat, Assam, 785001</x:v>
      </x:c>
      <x:c r="E2110" t="str">
        <x:v>All India</x:v>
      </x:c>
      <x:c r="F2110" t="str">
        <x:v>OBC PwD</x:v>
      </x:c>
      <x:c r="G2110" t="n">
        <x:v>1</x:v>
      </x:c>
      <x:c r="H2110" t="n">
        <x:v>1</x:v>
      </x:c>
      <x:c r="I2110" t="n">
        <x:f>G2110-H2110</x:f>
        <x:v>0</x:v>
      </x:c>
      <x:c r="J2110" s="20" t="n">
        <x:f>IFERROR(H2110/G2110,0)</x:f>
        <x:v>1</x:v>
      </x:c>
      <x:c r="K2110" t="n">
        <x:v>468428</x:v>
      </x:c>
      <x:c r="L2110" t="n">
        <x:v>468428</x:v>
      </x:c>
      <x:c r="M2110" t="n">
        <x:v>468428</x:v>
      </x:c>
      <x:c r="N2110" t="n">
        <x:v>468428</x:v>
      </x:c>
      <x:c r="O2110" t="n">
        <x:v>468428</x:v>
      </x:c>
    </x:row>
    <x:row r="2111">
      <x:c r="A2111" t="str">
        <x:v>Assam</x:v>
      </x:c>
      <x:c r="B2111" t="str">
        <x:v>All India except Central University</x:v>
      </x:c>
      <x:c r="C2111" t="str">
        <x:v>200105</x:v>
      </x:c>
      <x:c r="D2111" t="str">
        <x:v>Jorhat Medical College &amp; Hospital , Jorhat, Kushal Konwar Path, Barbheta, Jorhat, Assam, 785001</x:v>
      </x:c>
      <x:c r="E2111" t="str">
        <x:v>All India</x:v>
      </x:c>
      <x:c r="F2111" t="str">
        <x:v>Open</x:v>
      </x:c>
      <x:c r="G2111" t="n">
        <x:v>7</x:v>
      </x:c>
      <x:c r="H2111" t="n">
        <x:v>7</x:v>
      </x:c>
      <x:c r="I2111" t="n">
        <x:f>G2111-H2111</x:f>
        <x:v>0</x:v>
      </x:c>
      <x:c r="J2111" s="20" t="n">
        <x:f>IFERROR(H2111/G2111,0)</x:f>
        <x:v>1</x:v>
      </x:c>
      <x:c r="K2111" t="n">
        <x:v>13033</x:v>
      </x:c>
      <x:c r="L2111" t="n">
        <x:v>14152</x:v>
      </x:c>
      <x:c r="M2111" t="n">
        <x:v>16813</x:v>
      </x:c>
      <x:c r="N2111" t="n">
        <x:v>17199.5</x:v>
      </x:c>
      <x:c r="O2111" t="n">
        <x:v>17646</x:v>
      </x:c>
    </x:row>
    <x:row r="2112">
      <x:c r="A2112" t="str">
        <x:v>Assam</x:v>
      </x:c>
      <x:c r="B2112" t="str">
        <x:v>All India except Central University</x:v>
      </x:c>
      <x:c r="C2112" t="str">
        <x:v>200105</x:v>
      </x:c>
      <x:c r="D2112" t="str">
        <x:v>Jorhat Medical College &amp; Hospital , Jorhat, Kushal Konwar Path, Barbheta, Jorhat, Assam, 785001</x:v>
      </x:c>
      <x:c r="E2112" t="str">
        <x:v>All India</x:v>
      </x:c>
      <x:c r="F2112" t="str">
        <x:v>Open PwD</x:v>
      </x:c>
      <x:c r="G2112" t="n">
        <x:v>1</x:v>
      </x:c>
      <x:c r="H2112" t="n">
        <x:v>1</x:v>
      </x:c>
      <x:c r="I2112" t="n">
        <x:f>G2112-H2112</x:f>
        <x:v>0</x:v>
      </x:c>
      <x:c r="J2112" s="20" t="n">
        <x:f>IFERROR(H2112/G2112,0)</x:f>
        <x:v>1</x:v>
      </x:c>
      <x:c r="K2112" t="n">
        <x:v>434002</x:v>
      </x:c>
      <x:c r="L2112" t="n">
        <x:v>434002</x:v>
      </x:c>
      <x:c r="M2112" t="n">
        <x:v>434002</x:v>
      </x:c>
      <x:c r="N2112" t="n">
        <x:v>434002</x:v>
      </x:c>
      <x:c r="O2112" t="n">
        <x:v>434002</x:v>
      </x:c>
    </x:row>
    <x:row r="2113">
      <x:c r="A2113" t="str">
        <x:v>Assam</x:v>
      </x:c>
      <x:c r="B2113" t="str">
        <x:v>All India except Central University</x:v>
      </x:c>
      <x:c r="C2113" t="str">
        <x:v>200105</x:v>
      </x:c>
      <x:c r="D2113" t="str">
        <x:v>Jorhat Medical College &amp; Hospital , Jorhat, Kushal Konwar Path, Barbheta, Jorhat, Assam, 785001</x:v>
      </x:c>
      <x:c r="E2113" t="str">
        <x:v>All India</x:v>
      </x:c>
      <x:c r="F2113" t="str">
        <x:v>SC</x:v>
      </x:c>
      <x:c r="G2113" t="n">
        <x:v>3</x:v>
      </x:c>
      <x:c r="H2113" t="n">
        <x:v>3</x:v>
      </x:c>
      <x:c r="I2113" t="n">
        <x:f>G2113-H2113</x:f>
        <x:v>0</x:v>
      </x:c>
      <x:c r="J2113" s="20" t="n">
        <x:f>IFERROR(H2113/G2113,0)</x:f>
        <x:v>1</x:v>
      </x:c>
      <x:c r="K2113" t="n">
        <x:v>77477</x:v>
      </x:c>
      <x:c r="L2113" t="n">
        <x:v>80827</x:v>
      </x:c>
      <x:c r="M2113" t="n">
        <x:v>84177</x:v>
      </x:c>
      <x:c r="N2113" t="n">
        <x:v>86391</x:v>
      </x:c>
      <x:c r="O2113" t="n">
        <x:v>88605</x:v>
      </x:c>
    </x:row>
    <x:row r="2114">
      <x:c r="A2114" t="str">
        <x:v>Assam</x:v>
      </x:c>
      <x:c r="B2114" t="str">
        <x:v>All India except Central University</x:v>
      </x:c>
      <x:c r="C2114" t="str">
        <x:v>200105</x:v>
      </x:c>
      <x:c r="D2114" t="str">
        <x:v>Jorhat Medical College &amp; Hospital , Jorhat, Kushal Konwar Path, Barbheta, Jorhat, Assam, 785001</x:v>
      </x:c>
      <x:c r="E2114" t="str">
        <x:v>All India</x:v>
      </x:c>
      <x:c r="F2114" t="str">
        <x:v>ST</x:v>
      </x:c>
      <x:c r="G2114" t="n">
        <x:v>1</x:v>
      </x:c>
      <x:c r="H2114" t="n">
        <x:v>1</x:v>
      </x:c>
      <x:c r="I2114" t="n">
        <x:f>G2114-H2114</x:f>
        <x:v>0</x:v>
      </x:c>
      <x:c r="J2114" s="20" t="n">
        <x:f>IFERROR(H2114/G2114,0)</x:f>
        <x:v>1</x:v>
      </x:c>
      <x:c r="K2114" t="n">
        <x:v>77281</x:v>
      </x:c>
      <x:c r="L2114" t="n">
        <x:v>77281</x:v>
      </x:c>
      <x:c r="M2114" t="n">
        <x:v>77281</x:v>
      </x:c>
      <x:c r="N2114" t="n">
        <x:v>77281</x:v>
      </x:c>
      <x:c r="O2114" t="n">
        <x:v>77281</x:v>
      </x:c>
    </x:row>
    <x:row r="2115">
      <x:c r="A2115" t="str">
        <x:v>Tamil Nadu</x:v>
      </x:c>
      <x:c r="B2115" t="str">
        <x:v>All India except Central University</x:v>
      </x:c>
      <x:c r="C2115" t="str">
        <x:v>200273</x:v>
      </x:c>
      <x:c r="D2115" t="str">
        <x:v>K A P Viswanathan Government Medical College, Trichy, PERIYAMILAGUPARAI, TIRUCHIRAPALLI-620001</x:v>
      </x:c>
      <x:c r="E2115" t="str">
        <x:v>All India</x:v>
      </x:c>
      <x:c r="F2115" t="str">
        <x:v>EWS</x:v>
      </x:c>
      <x:c r="G2115" t="n">
        <x:v>3</x:v>
      </x:c>
      <x:c r="H2115" t="n">
        <x:v>3</x:v>
      </x:c>
      <x:c r="I2115" t="n">
        <x:f>G2115-H2115</x:f>
        <x:v>0</x:v>
      </x:c>
      <x:c r="J2115" s="20" t="n">
        <x:f>IFERROR(H2115/G2115,0)</x:f>
        <x:v>1</x:v>
      </x:c>
      <x:c r="K2115" t="n">
        <x:v>20395</x:v>
      </x:c>
      <x:c r="L2115" t="n">
        <x:v>20586.5</x:v>
      </x:c>
      <x:c r="M2115" t="n">
        <x:v>20778</x:v>
      </x:c>
      <x:c r="N2115" t="n">
        <x:v>20811.5</x:v>
      </x:c>
      <x:c r="O2115" t="n">
        <x:v>20845</x:v>
      </x:c>
    </x:row>
    <x:row r="2116">
      <x:c r="A2116" t="str">
        <x:v>Tamil Nadu</x:v>
      </x:c>
      <x:c r="B2116" t="str">
        <x:v>All India except Central University</x:v>
      </x:c>
      <x:c r="C2116" t="str">
        <x:v>200273</x:v>
      </x:c>
      <x:c r="D2116" t="str">
        <x:v>K A P Viswanathan Government Medical College, Trichy, PERIYAMILAGUPARAI, TIRUCHIRAPALLI-620001</x:v>
      </x:c>
      <x:c r="E2116" t="str">
        <x:v>All India</x:v>
      </x:c>
      <x:c r="F2116" t="str">
        <x:v>OBC</x:v>
      </x:c>
      <x:c r="G2116" t="n">
        <x:v>5</x:v>
      </x:c>
      <x:c r="H2116" t="n">
        <x:v>5</x:v>
      </x:c>
      <x:c r="I2116" t="n">
        <x:f>G2116-H2116</x:f>
        <x:v>0</x:v>
      </x:c>
      <x:c r="J2116" s="20" t="n">
        <x:f>IFERROR(H2116/G2116,0)</x:f>
        <x:v>1</x:v>
      </x:c>
      <x:c r="K2116" t="n">
        <x:v>6350</x:v>
      </x:c>
      <x:c r="L2116" t="n">
        <x:v>6573</x:v>
      </x:c>
      <x:c r="M2116" t="n">
        <x:v>6714</x:v>
      </x:c>
      <x:c r="N2116" t="n">
        <x:v>6735</x:v>
      </x:c>
      <x:c r="O2116" t="n">
        <x:v>6828</x:v>
      </x:c>
    </x:row>
    <x:row r="2117">
      <x:c r="A2117" t="str">
        <x:v>Tamil Nadu</x:v>
      </x:c>
      <x:c r="B2117" t="str">
        <x:v>All India except Central University</x:v>
      </x:c>
      <x:c r="C2117" t="str">
        <x:v>200273</x:v>
      </x:c>
      <x:c r="D2117" t="str">
        <x:v>K A P Viswanathan Government Medical College, Trichy, PERIYAMILAGUPARAI, TIRUCHIRAPALLI-620001</x:v>
      </x:c>
      <x:c r="E2117" t="str">
        <x:v>All India</x:v>
      </x:c>
      <x:c r="F2117" t="str">
        <x:v>OBC PwD</x:v>
      </x:c>
      <x:c r="G2117" t="n">
        <x:v>1</x:v>
      </x:c>
      <x:c r="H2117" t="n">
        <x:v>1</x:v>
      </x:c>
      <x:c r="I2117" t="n">
        <x:f>G2117-H2117</x:f>
        <x:v>0</x:v>
      </x:c>
      <x:c r="J2117" s="20" t="n">
        <x:f>IFERROR(H2117/G2117,0)</x:f>
        <x:v>1</x:v>
      </x:c>
      <x:c r="K2117" t="n">
        <x:v>501606</x:v>
      </x:c>
      <x:c r="L2117" t="n">
        <x:v>501606</x:v>
      </x:c>
      <x:c r="M2117" t="n">
        <x:v>501606</x:v>
      </x:c>
      <x:c r="N2117" t="n">
        <x:v>501606</x:v>
      </x:c>
      <x:c r="O2117" t="n">
        <x:v>501606</x:v>
      </x:c>
    </x:row>
    <x:row r="2118">
      <x:c r="A2118" t="str">
        <x:v>Tamil Nadu</x:v>
      </x:c>
      <x:c r="B2118" t="str">
        <x:v>All India except Central University</x:v>
      </x:c>
      <x:c r="C2118" t="str">
        <x:v>200273</x:v>
      </x:c>
      <x:c r="D2118" t="str">
        <x:v>K A P Viswanathan Government Medical College, Trichy, PERIYAMILAGUPARAI, TIRUCHIRAPALLI-620001</x:v>
      </x:c>
      <x:c r="E2118" t="str">
        <x:v>All India</x:v>
      </x:c>
      <x:c r="F2118" t="str">
        <x:v>Open</x:v>
      </x:c>
      <x:c r="G2118" t="n">
        <x:v>10</x:v>
      </x:c>
      <x:c r="H2118" t="n">
        <x:v>10</x:v>
      </x:c>
      <x:c r="I2118" t="n">
        <x:f>G2118-H2118</x:f>
        <x:v>0</x:v>
      </x:c>
      <x:c r="J2118" s="20" t="n">
        <x:f>IFERROR(H2118/G2118,0)</x:f>
        <x:v>1</x:v>
      </x:c>
      <x:c r="K2118" t="n">
        <x:v>5107</x:v>
      </x:c>
      <x:c r="L2118" t="n">
        <x:v>5633</x:v>
      </x:c>
      <x:c r="M2118" t="n">
        <x:v>6031</x:v>
      </x:c>
      <x:c r="N2118" t="n">
        <x:v>6106</x:v>
      </x:c>
      <x:c r="O2118" t="n">
        <x:v>6167</x:v>
      </x:c>
    </x:row>
    <x:row r="2119">
      <x:c r="A2119" t="str">
        <x:v>Tamil Nadu</x:v>
      </x:c>
      <x:c r="B2119" t="str">
        <x:v>All India except Central University</x:v>
      </x:c>
      <x:c r="C2119" t="str">
        <x:v>200273</x:v>
      </x:c>
      <x:c r="D2119" t="str">
        <x:v>K A P Viswanathan Government Medical College, Trichy, PERIYAMILAGUPARAI, TIRUCHIRAPALLI-620001</x:v>
      </x:c>
      <x:c r="E2119" t="str">
        <x:v>All India</x:v>
      </x:c>
      <x:c r="F2119" t="str">
        <x:v>SC</x:v>
      </x:c>
      <x:c r="G2119" t="n">
        <x:v>2</x:v>
      </x:c>
      <x:c r="H2119" t="n">
        <x:v>2</x:v>
      </x:c>
      <x:c r="I2119" t="n">
        <x:f>G2119-H2119</x:f>
        <x:v>0</x:v>
      </x:c>
      <x:c r="J2119" s="20" t="n">
        <x:f>IFERROR(H2119/G2119,0)</x:f>
        <x:v>1</x:v>
      </x:c>
      <x:c r="K2119" t="n">
        <x:v>36116</x:v>
      </x:c>
      <x:c r="L2119" t="n">
        <x:v>36635.25</x:v>
      </x:c>
      <x:c r="M2119" t="n">
        <x:v>37154.5</x:v>
      </x:c>
      <x:c r="N2119" t="n">
        <x:v>37673.75</x:v>
      </x:c>
      <x:c r="O2119" t="n">
        <x:v>38193</x:v>
      </x:c>
    </x:row>
    <x:row r="2120">
      <x:c r="A2120" t="str">
        <x:v>Tamil Nadu</x:v>
      </x:c>
      <x:c r="B2120" t="str">
        <x:v>All India except Central University</x:v>
      </x:c>
      <x:c r="C2120" t="str">
        <x:v>200273</x:v>
      </x:c>
      <x:c r="D2120" t="str">
        <x:v>K A P Viswanathan Government Medical College, Trichy, PERIYAMILAGUPARAI, TIRUCHIRAPALLI-620001</x:v>
      </x:c>
      <x:c r="E2120" t="str">
        <x:v>All India</x:v>
      </x:c>
      <x:c r="F2120" t="str">
        <x:v>SC PwD</x:v>
      </x:c>
      <x:c r="G2120" t="n">
        <x:v>1</x:v>
      </x:c>
      <x:c r="H2120" t="n">
        <x:v>1</x:v>
      </x:c>
      <x:c r="I2120" t="n">
        <x:f>G2120-H2120</x:f>
        <x:v>0</x:v>
      </x:c>
      <x:c r="J2120" s="20" t="n">
        <x:f>IFERROR(H2120/G2120,0)</x:f>
        <x:v>1</x:v>
      </x:c>
      <x:c r="K2120" t="n">
        <x:v>993364</x:v>
      </x:c>
      <x:c r="L2120" t="n">
        <x:v>993364</x:v>
      </x:c>
      <x:c r="M2120" t="n">
        <x:v>993364</x:v>
      </x:c>
      <x:c r="N2120" t="n">
        <x:v>993364</x:v>
      </x:c>
      <x:c r="O2120" t="n">
        <x:v>993364</x:v>
      </x:c>
    </x:row>
    <x:row r="2121">
      <x:c r="A2121" t="str">
        <x:v>Tamil Nadu</x:v>
      </x:c>
      <x:c r="B2121" t="str">
        <x:v>All India except Central University</x:v>
      </x:c>
      <x:c r="C2121" t="str">
        <x:v>200273</x:v>
      </x:c>
      <x:c r="D2121" t="str">
        <x:v>K A P Viswanathan Government Medical College, Trichy, PERIYAMILAGUPARAI, TIRUCHIRAPALLI-620001</x:v>
      </x:c>
      <x:c r="E2121" t="str">
        <x:v>All India</x:v>
      </x:c>
      <x:c r="F2121" t="str">
        <x:v>ST</x:v>
      </x:c>
      <x:c r="G2121" t="n">
        <x:v>1</x:v>
      </x:c>
      <x:c r="H2121" t="n">
        <x:v>1</x:v>
      </x:c>
      <x:c r="I2121" t="n">
        <x:f>G2121-H2121</x:f>
        <x:v>0</x:v>
      </x:c>
      <x:c r="J2121" s="20" t="n">
        <x:f>IFERROR(H2121/G2121,0)</x:f>
        <x:v>1</x:v>
      </x:c>
      <x:c r="K2121" t="n">
        <x:v>116307</x:v>
      </x:c>
      <x:c r="L2121" t="n">
        <x:v>116307</x:v>
      </x:c>
      <x:c r="M2121" t="n">
        <x:v>116307</x:v>
      </x:c>
      <x:c r="N2121" t="n">
        <x:v>116307</x:v>
      </x:c>
      <x:c r="O2121" t="n">
        <x:v>116307</x:v>
      </x:c>
    </x:row>
    <x:row r="2122">
      <x:c r="A2122" t="str">
        <x:v>Karnataka</x:v>
      </x:c>
      <x:c r="B2122" t="str">
        <x:v>Deemed University</x:v>
      </x:c>
      <x:c r="C2122" t="str">
        <x:v>200338</x:v>
      </x:c>
      <x:c r="D2122" t="str">
        <x:v>K S Hegde Medical Academy, Mangalore, Deralakatte, Mangaluru, Dakshina Kannada Dist, Karnataka</x:v>
      </x:c>
      <x:c r="E2122" t="str">
        <x:v>NRI</x:v>
      </x:c>
      <x:c r="F2122" t="str">
        <x:v>Open</x:v>
      </x:c>
      <x:c r="G2122" t="n">
        <x:v>38</x:v>
      </x:c>
      <x:c r="H2122" t="n">
        <x:v>36</x:v>
      </x:c>
      <x:c r="I2122" t="n">
        <x:f>G2122-H2122</x:f>
        <x:v>2</x:v>
      </x:c>
      <x:c r="J2122" s="20" t="n">
        <x:f>IFERROR(H2122/G2122,0)</x:f>
        <x:v>0.9473684210526315</x:v>
      </x:c>
      <x:c r="K2122" t="n">
        <x:v>223040</x:v>
      </x:c>
      <x:c r="L2122" t="n">
        <x:v>641274.75</x:v>
      </x:c>
      <x:c r="M2122" t="n">
        <x:v>780082</x:v>
      </x:c>
      <x:c r="N2122" t="n">
        <x:v>907852.25</x:v>
      </x:c>
      <x:c r="O2122" t="n">
        <x:v>994983</x:v>
      </x:c>
    </x:row>
    <x:row r="2123">
      <x:c r="A2123" t="str">
        <x:v>Karnataka</x:v>
      </x:c>
      <x:c r="B2123" t="str">
        <x:v>Deemed University</x:v>
      </x:c>
      <x:c r="C2123" t="str">
        <x:v>200338</x:v>
      </x:c>
      <x:c r="D2123" t="str">
        <x:v>K S Hegde Medical Academy, Mangalore, Deralakatte, Mangaluru, Dakshina Kannada Dist, Karnataka</x:v>
      </x:c>
      <x:c r="E2123" t="str">
        <x:v>Self-Financed Merit</x:v>
      </x:c>
      <x:c r="F2123" t="str">
        <x:v>Open</x:v>
      </x:c>
      <x:c r="G2123" t="n">
        <x:v>174</x:v>
      </x:c>
      <x:c r="H2123" t="n">
        <x:v>174</x:v>
      </x:c>
      <x:c r="I2123" t="n">
        <x:f>G2123-H2123</x:f>
        <x:v>0</x:v>
      </x:c>
      <x:c r="J2123" s="20" t="n">
        <x:f>IFERROR(H2123/G2123,0)</x:f>
        <x:v>1</x:v>
      </x:c>
      <x:c r="K2123" t="n">
        <x:v>59901</x:v>
      </x:c>
      <x:c r="L2123" t="n">
        <x:v>110745.75</x:v>
      </x:c>
      <x:c r="M2123" t="n">
        <x:v>137935</x:v>
      </x:c>
      <x:c r="N2123" t="n">
        <x:v>153020.25</x:v>
      </x:c>
      <x:c r="O2123" t="n">
        <x:v>165856</x:v>
      </x:c>
    </x:row>
    <x:row r="2124">
      <x:c r="A2124" t="str">
        <x:v>Karnataka</x:v>
      </x:c>
      <x:c r="B2124" t="str">
        <x:v>All India except Central University</x:v>
      </x:c>
      <x:c r="C2124" t="str">
        <x:v>200168</x:v>
      </x:c>
      <x:c r="D2124" t="str">
        <x:v>K.H. Patil Institute of Medical Sciences (previously Gadag Institute of Medical Sciences, Mallasamudra, Mulgund Road, Gadag), GADAG INSTITUTE OF MEDICAL SCIENCES GADAG Mallasamudra,Gadag-582103</x:v>
      </x:c>
      <x:c r="E2124" t="str">
        <x:v>All India</x:v>
      </x:c>
      <x:c r="F2124" t="str">
        <x:v>EWS</x:v>
      </x:c>
      <x:c r="G2124" t="n">
        <x:v>3</x:v>
      </x:c>
      <x:c r="H2124" t="n">
        <x:v>3</x:v>
      </x:c>
      <x:c r="I2124" t="n">
        <x:f>G2124-H2124</x:f>
        <x:v>0</x:v>
      </x:c>
      <x:c r="J2124" s="20" t="n">
        <x:f>IFERROR(H2124/G2124,0)</x:f>
        <x:v>1</x:v>
      </x:c>
      <x:c r="K2124" t="n">
        <x:v>21820</x:v>
      </x:c>
      <x:c r="L2124" t="n">
        <x:v>22369</x:v>
      </x:c>
      <x:c r="M2124" t="n">
        <x:v>22918</x:v>
      </x:c>
      <x:c r="N2124" t="n">
        <x:v>23032</x:v>
      </x:c>
      <x:c r="O2124" t="n">
        <x:v>23146</x:v>
      </x:c>
    </x:row>
    <x:row r="2125">
      <x:c r="A2125" t="str">
        <x:v>Karnataka</x:v>
      </x:c>
      <x:c r="B2125" t="str">
        <x:v>All India except Central University</x:v>
      </x:c>
      <x:c r="C2125" t="str">
        <x:v>200168</x:v>
      </x:c>
      <x:c r="D2125" t="str">
        <x:v>K.H. Patil Institute of Medical Sciences (previously Gadag Institute of Medical Sciences, Mallasamudra, Mulgund Road, Gadag), GADAG INSTITUTE OF MEDICAL SCIENCES GADAG Mallasamudra,Gadag-582103</x:v>
      </x:c>
      <x:c r="E2125" t="str">
        <x:v>All India</x:v>
      </x:c>
      <x:c r="F2125" t="str">
        <x:v>OBC</x:v>
      </x:c>
      <x:c r="G2125" t="n">
        <x:v>9</x:v>
      </x:c>
      <x:c r="H2125" t="n">
        <x:v>9</x:v>
      </x:c>
      <x:c r="I2125" t="n">
        <x:f>G2125-H2125</x:f>
        <x:v>0</x:v>
      </x:c>
      <x:c r="J2125" s="20" t="n">
        <x:f>IFERROR(H2125/G2125,0)</x:f>
        <x:v>1</x:v>
      </x:c>
      <x:c r="K2125" t="n">
        <x:v>17453</x:v>
      </x:c>
      <x:c r="L2125" t="n">
        <x:v>18025</x:v>
      </x:c>
      <x:c r="M2125" t="n">
        <x:v>18406</x:v>
      </x:c>
      <x:c r="N2125" t="n">
        <x:v>18592</x:v>
      </x:c>
      <x:c r="O2125" t="n">
        <x:v>18762</x:v>
      </x:c>
    </x:row>
    <x:row r="2126">
      <x:c r="A2126" t="str">
        <x:v>Karnataka</x:v>
      </x:c>
      <x:c r="B2126" t="str">
        <x:v>All India except Central University</x:v>
      </x:c>
      <x:c r="C2126" t="str">
        <x:v>200168</x:v>
      </x:c>
      <x:c r="D2126" t="str">
        <x:v>K.H. Patil Institute of Medical Sciences (previously Gadag Institute of Medical Sciences, Mallasamudra, Mulgund Road, Gadag), GADAG INSTITUTE OF MEDICAL SCIENCES GADAG Mallasamudra,Gadag-582103</x:v>
      </x:c>
      <x:c r="E2126" t="str">
        <x:v>All India</x:v>
      </x:c>
      <x:c r="F2126" t="str">
        <x:v>Open</x:v>
      </x:c>
      <x:c r="G2126" t="n">
        <x:v>9</x:v>
      </x:c>
      <x:c r="H2126" t="n">
        <x:v>9</x:v>
      </x:c>
      <x:c r="I2126" t="n">
        <x:f>G2126-H2126</x:f>
        <x:v>0</x:v>
      </x:c>
      <x:c r="J2126" s="20" t="n">
        <x:f>IFERROR(H2126/G2126,0)</x:f>
        <x:v>1</x:v>
      </x:c>
      <x:c r="K2126" t="n">
        <x:v>13860</x:v>
      </x:c>
      <x:c r="L2126" t="n">
        <x:v>15166</x:v>
      </x:c>
      <x:c r="M2126" t="n">
        <x:v>15793</x:v>
      </x:c>
      <x:c r="N2126" t="n">
        <x:v>16410</x:v>
      </x:c>
      <x:c r="O2126" t="n">
        <x:v>16892</x:v>
      </x:c>
    </x:row>
    <x:row r="2127">
      <x:c r="A2127" t="str">
        <x:v>Karnataka</x:v>
      </x:c>
      <x:c r="B2127" t="str">
        <x:v>All India except Central University</x:v>
      </x:c>
      <x:c r="C2127" t="str">
        <x:v>200168</x:v>
      </x:c>
      <x:c r="D2127" t="str">
        <x:v>K.H. Patil Institute of Medical Sciences (previously Gadag Institute of Medical Sciences, Mallasamudra, Mulgund Road, Gadag), GADAG INSTITUTE OF MEDICAL SCIENCES GADAG Mallasamudra,Gadag-582103</x:v>
      </x:c>
      <x:c r="E2127" t="str">
        <x:v>All India</x:v>
      </x:c>
      <x:c r="F2127" t="str">
        <x:v>Open PwD</x:v>
      </x:c>
      <x:c r="G2127" t="n">
        <x:v>1</x:v>
      </x:c>
      <x:c r="H2127" t="n">
        <x:v>1</x:v>
      </x:c>
      <x:c r="I2127" t="n">
        <x:f>G2127-H2127</x:f>
        <x:v>0</x:v>
      </x:c>
      <x:c r="J2127" s="20" t="n">
        <x:f>IFERROR(H2127/G2127,0)</x:f>
        <x:v>1</x:v>
      </x:c>
      <x:c r="K2127" t="n">
        <x:v>634714</x:v>
      </x:c>
      <x:c r="L2127" t="n">
        <x:v>634714</x:v>
      </x:c>
      <x:c r="M2127" t="n">
        <x:v>634714</x:v>
      </x:c>
      <x:c r="N2127" t="n">
        <x:v>634714</x:v>
      </x:c>
      <x:c r="O2127" t="n">
        <x:v>634714</x:v>
      </x:c>
    </x:row>
    <x:row r="2128">
      <x:c r="A2128" t="str">
        <x:v>Karnataka</x:v>
      </x:c>
      <x:c r="B2128" t="str">
        <x:v>All India except Central University</x:v>
      </x:c>
      <x:c r="C2128" t="str">
        <x:v>200168</x:v>
      </x:c>
      <x:c r="D2128" t="str">
        <x:v>K.H. Patil Institute of Medical Sciences (previously Gadag Institute of Medical Sciences, Mallasamudra, Mulgund Road, Gadag), GADAG INSTITUTE OF MEDICAL SCIENCES GADAG Mallasamudra,Gadag-582103</x:v>
      </x:c>
      <x:c r="E2128" t="str">
        <x:v>All India</x:v>
      </x:c>
      <x:c r="F2128" t="str">
        <x:v>SC</x:v>
      </x:c>
      <x:c r="G2128" t="n">
        <x:v>5</x:v>
      </x:c>
      <x:c r="H2128" t="n">
        <x:v>5</x:v>
      </x:c>
      <x:c r="I2128" t="n">
        <x:f>G2128-H2128</x:f>
        <x:v>0</x:v>
      </x:c>
      <x:c r="J2128" s="20" t="n">
        <x:f>IFERROR(H2128/G2128,0)</x:f>
        <x:v>1</x:v>
      </x:c>
      <x:c r="K2128" t="n">
        <x:v>69746</x:v>
      </x:c>
      <x:c r="L2128" t="n">
        <x:v>79789</x:v>
      </x:c>
      <x:c r="M2128" t="n">
        <x:v>80167</x:v>
      </x:c>
      <x:c r="N2128" t="n">
        <x:v>81308</x:v>
      </x:c>
      <x:c r="O2128" t="n">
        <x:v>86109</x:v>
      </x:c>
    </x:row>
    <x:row r="2129">
      <x:c r="A2129" t="str">
        <x:v>Karnataka</x:v>
      </x:c>
      <x:c r="B2129" t="str">
        <x:v>All India except Central University</x:v>
      </x:c>
      <x:c r="C2129" t="str">
        <x:v>200168</x:v>
      </x:c>
      <x:c r="D2129" t="str">
        <x:v>K.H. Patil Institute of Medical Sciences (previously Gadag Institute of Medical Sciences, Mallasamudra, Mulgund Road, Gadag), GADAG INSTITUTE OF MEDICAL SCIENCES GADAG Mallasamudra,Gadag-582103</x:v>
      </x:c>
      <x:c r="E2129" t="str">
        <x:v>All India</x:v>
      </x:c>
      <x:c r="F2129" t="str">
        <x:v>ST</x:v>
      </x:c>
      <x:c r="G2129" t="n">
        <x:v>3</x:v>
      </x:c>
      <x:c r="H2129" t="n">
        <x:v>3</x:v>
      </x:c>
      <x:c r="I2129" t="n">
        <x:f>G2129-H2129</x:f>
        <x:v>0</x:v>
      </x:c>
      <x:c r="J2129" s="20" t="n">
        <x:f>IFERROR(H2129/G2129,0)</x:f>
        <x:v>1</x:v>
      </x:c>
      <x:c r="K2129" t="n">
        <x:v>92618</x:v>
      </x:c>
      <x:c r="L2129" t="n">
        <x:v>95490</x:v>
      </x:c>
      <x:c r="M2129" t="n">
        <x:v>98362</x:v>
      </x:c>
      <x:c r="N2129" t="n">
        <x:v>102523</x:v>
      </x:c>
      <x:c r="O2129" t="n">
        <x:v>106684</x:v>
      </x:c>
    </x:row>
    <x:row r="2130">
      <x:c r="A2130" t="str">
        <x:v>Telangana</x:v>
      </x:c>
      <x:c r="B2130" t="str">
        <x:v>All India except Central University</x:v>
      </x:c>
      <x:c r="C2130" t="str">
        <x:v>200453</x:v>
      </x:c>
      <x:c r="D2130" t="str">
        <x:v>Kakatiya Medical College, Warangal, SVP Road, Warangal</x:v>
      </x:c>
      <x:c r="E2130" t="str">
        <x:v>All India</x:v>
      </x:c>
      <x:c r="F2130" t="str">
        <x:v>EWS</x:v>
      </x:c>
      <x:c r="G2130" t="n">
        <x:v>3</x:v>
      </x:c>
      <x:c r="H2130" t="n">
        <x:v>3</x:v>
      </x:c>
      <x:c r="I2130" t="n">
        <x:f>G2130-H2130</x:f>
        <x:v>0</x:v>
      </x:c>
      <x:c r="J2130" s="20" t="n">
        <x:f>IFERROR(H2130/G2130,0)</x:f>
        <x:v>1</x:v>
      </x:c>
      <x:c r="K2130" t="n">
        <x:v>9960</x:v>
      </x:c>
      <x:c r="L2130" t="n">
        <x:v>11548.5</x:v>
      </x:c>
      <x:c r="M2130" t="n">
        <x:v>13137</x:v>
      </x:c>
      <x:c r="N2130" t="n">
        <x:v>14126</x:v>
      </x:c>
      <x:c r="O2130" t="n">
        <x:v>15115</x:v>
      </x:c>
    </x:row>
    <x:row r="2131">
      <x:c r="A2131" t="str">
        <x:v>Telangana</x:v>
      </x:c>
      <x:c r="B2131" t="str">
        <x:v>All India except Central University</x:v>
      </x:c>
      <x:c r="C2131" t="str">
        <x:v>200453</x:v>
      </x:c>
      <x:c r="D2131" t="str">
        <x:v>Kakatiya Medical College, Warangal, SVP Road, Warangal</x:v>
      </x:c>
      <x:c r="E2131" t="str">
        <x:v>All India</x:v>
      </x:c>
      <x:c r="F2131" t="str">
        <x:v>OBC</x:v>
      </x:c>
      <x:c r="G2131" t="n">
        <x:v>8</x:v>
      </x:c>
      <x:c r="H2131" t="n">
        <x:v>8</x:v>
      </x:c>
      <x:c r="I2131" t="n">
        <x:f>G2131-H2131</x:f>
        <x:v>0</x:v>
      </x:c>
      <x:c r="J2131" s="20" t="n">
        <x:f>IFERROR(H2131/G2131,0)</x:f>
        <x:v>1</x:v>
      </x:c>
      <x:c r="K2131" t="n">
        <x:v>10111</x:v>
      </x:c>
      <x:c r="L2131" t="n">
        <x:v>11358.5</x:v>
      </x:c>
      <x:c r="M2131" t="n">
        <x:v>11484.5</x:v>
      </x:c>
      <x:c r="N2131" t="n">
        <x:v>11561.25</x:v>
      </x:c>
      <x:c r="O2131" t="n">
        <x:v>11971</x:v>
      </x:c>
    </x:row>
    <x:row r="2132">
      <x:c r="A2132" t="str">
        <x:v>Telangana</x:v>
      </x:c>
      <x:c r="B2132" t="str">
        <x:v>All India except Central University</x:v>
      </x:c>
      <x:c r="C2132" t="str">
        <x:v>200453</x:v>
      </x:c>
      <x:c r="D2132" t="str">
        <x:v>Kakatiya Medical College, Warangal, SVP Road, Warangal</x:v>
      </x:c>
      <x:c r="E2132" t="str">
        <x:v>All India</x:v>
      </x:c>
      <x:c r="F2132" t="str">
        <x:v>Open</x:v>
      </x:c>
      <x:c r="G2132" t="n">
        <x:v>12</x:v>
      </x:c>
      <x:c r="H2132" t="n">
        <x:v>12</x:v>
      </x:c>
      <x:c r="I2132" t="n">
        <x:f>G2132-H2132</x:f>
        <x:v>0</x:v>
      </x:c>
      <x:c r="J2132" s="20" t="n">
        <x:f>IFERROR(H2132/G2132,0)</x:f>
        <x:v>1</x:v>
      </x:c>
      <x:c r="K2132" t="n">
        <x:v>5254</x:v>
      </x:c>
      <x:c r="L2132" t="n">
        <x:v>6015.5</x:v>
      </x:c>
      <x:c r="M2132" t="n">
        <x:v>7103.5</x:v>
      </x:c>
      <x:c r="N2132" t="n">
        <x:v>8469.25</x:v>
      </x:c>
      <x:c r="O2132" t="n">
        <x:v>9122</x:v>
      </x:c>
    </x:row>
    <x:row r="2133">
      <x:c r="A2133" t="str">
        <x:v>Telangana</x:v>
      </x:c>
      <x:c r="B2133" t="str">
        <x:v>All India except Central University</x:v>
      </x:c>
      <x:c r="C2133" t="str">
        <x:v>200453</x:v>
      </x:c>
      <x:c r="D2133" t="str">
        <x:v>Kakatiya Medical College, Warangal, SVP Road, Warangal</x:v>
      </x:c>
      <x:c r="E2133" t="str">
        <x:v>All India</x:v>
      </x:c>
      <x:c r="F2133" t="str">
        <x:v>SC</x:v>
      </x:c>
      <x:c r="G2133" t="n">
        <x:v>5</x:v>
      </x:c>
      <x:c r="H2133" t="n">
        <x:v>5</x:v>
      </x:c>
      <x:c r="I2133" t="n">
        <x:f>G2133-H2133</x:f>
        <x:v>0</x:v>
      </x:c>
      <x:c r="J2133" s="20" t="n">
        <x:f>IFERROR(H2133/G2133,0)</x:f>
        <x:v>1</x:v>
      </x:c>
      <x:c r="K2133" t="n">
        <x:v>36902</x:v>
      </x:c>
      <x:c r="L2133" t="n">
        <x:v>36970</x:v>
      </x:c>
      <x:c r="M2133" t="n">
        <x:v>48491</x:v>
      </x:c>
      <x:c r="N2133" t="n">
        <x:v>50213</x:v>
      </x:c>
      <x:c r="O2133" t="n">
        <x:v>51547</x:v>
      </x:c>
    </x:row>
    <x:row r="2134">
      <x:c r="A2134" t="str">
        <x:v>Telangana</x:v>
      </x:c>
      <x:c r="B2134" t="str">
        <x:v>All India except Central University</x:v>
      </x:c>
      <x:c r="C2134" t="str">
        <x:v>200453</x:v>
      </x:c>
      <x:c r="D2134" t="str">
        <x:v>Kakatiya Medical College, Warangal, SVP Road, Warangal</x:v>
      </x:c>
      <x:c r="E2134" t="str">
        <x:v>All India</x:v>
      </x:c>
      <x:c r="F2134" t="str">
        <x:v>ST</x:v>
      </x:c>
      <x:c r="G2134" t="n">
        <x:v>2</x:v>
      </x:c>
      <x:c r="H2134" t="n">
        <x:v>2</x:v>
      </x:c>
      <x:c r="I2134" t="n">
        <x:f>G2134-H2134</x:f>
        <x:v>0</x:v>
      </x:c>
      <x:c r="J2134" s="20" t="n">
        <x:f>IFERROR(H2134/G2134,0)</x:f>
        <x:v>1</x:v>
      </x:c>
      <x:c r="K2134" t="n">
        <x:v>47215</x:v>
      </x:c>
      <x:c r="L2134" t="n">
        <x:v>49346.75</x:v>
      </x:c>
      <x:c r="M2134" t="n">
        <x:v>51478.5</x:v>
      </x:c>
      <x:c r="N2134" t="n">
        <x:v>53610.25</x:v>
      </x:c>
      <x:c r="O2134" t="n">
        <x:v>55742</x:v>
      </x:c>
    </x:row>
    <x:row r="2135">
      <x:c r="A2135" t="str">
        <x:v>Odisha</x:v>
      </x:c>
      <x:c r="B2135" t="str">
        <x:v>Deemed University</x:v>
      </x:c>
      <x:c r="C2135" t="str">
        <x:v>200376</x:v>
      </x:c>
      <x:c r="D2135" t="str">
        <x:v>Kalinga Institute of Medical Sciences, Bhubaneswar, CAMPUS-5 KUSHABHADRA CAMPUS P.O-KIIT BHUBANESWAR</x:v>
      </x:c>
      <x:c r="E2135" t="str">
        <x:v>NRI</x:v>
      </x:c>
      <x:c r="F2135" t="str">
        <x:v>Open</x:v>
      </x:c>
      <x:c r="G2135" t="n">
        <x:v>37</x:v>
      </x:c>
      <x:c r="H2135" t="n">
        <x:v>4</x:v>
      </x:c>
      <x:c r="I2135" t="n">
        <x:f>G2135-H2135</x:f>
        <x:v>33</x:v>
      </x:c>
      <x:c r="J2135" s="20" t="n">
        <x:f>IFERROR(H2135/G2135,0)</x:f>
        <x:v>0.10810810810810811</x:v>
      </x:c>
      <x:c r="K2135" t="n">
        <x:v>612238</x:v>
      </x:c>
      <x:c r="L2135" t="n">
        <x:v>747896.5</x:v>
      </x:c>
      <x:c r="M2135" t="n">
        <x:v>851909</x:v>
      </x:c>
      <x:c r="N2135" t="n">
        <x:v>918118.5</x:v>
      </x:c>
      <x:c r="O2135" t="n">
        <x:v>940368</x:v>
      </x:c>
    </x:row>
    <x:row r="2136">
      <x:c r="A2136" t="str">
        <x:v>Odisha</x:v>
      </x:c>
      <x:c r="B2136" t="str">
        <x:v>Deemed University</x:v>
      </x:c>
      <x:c r="C2136" t="str">
        <x:v>200376</x:v>
      </x:c>
      <x:c r="D2136" t="str">
        <x:v>Kalinga Institute of Medical Sciences, Bhubaneswar, CAMPUS-5 KUSHABHADRA CAMPUS P.O-KIIT BHUBANESWAR</x:v>
      </x:c>
      <x:c r="E2136" t="str">
        <x:v>Self-Financed Merit</x:v>
      </x:c>
      <x:c r="F2136" t="str">
        <x:v>Open</x:v>
      </x:c>
      <x:c r="G2136" t="n">
        <x:v>213</x:v>
      </x:c>
      <x:c r="H2136" t="n">
        <x:v>213</x:v>
      </x:c>
      <x:c r="I2136" t="n">
        <x:f>G2136-H2136</x:f>
        <x:v>0</x:v>
      </x:c>
      <x:c r="J2136" s="20" t="n">
        <x:f>IFERROR(H2136/G2136,0)</x:f>
        <x:v>1</x:v>
      </x:c>
      <x:c r="K2136" t="n">
        <x:v>42891</x:v>
      </x:c>
      <x:c r="L2136" t="n">
        <x:v>139448</x:v>
      </x:c>
      <x:c r="M2136" t="n">
        <x:v>188235</x:v>
      </x:c>
      <x:c r="N2136" t="n">
        <x:v>224730</x:v>
      </x:c>
      <x:c r="O2136" t="n">
        <x:v>257176</x:v>
      </x:c>
    </x:row>
    <x:row r="2137">
      <x:c r="A2137" t="str">
        <x:v>Haryana</x:v>
      </x:c>
      <x:c r="B2137" t="str">
        <x:v>All India except Central University</x:v>
      </x:c>
      <x:c r="C2137" t="str">
        <x:v>200148</x:v>
      </x:c>
      <x:c r="D2137" t="str">
        <x:v>Kalpana Chawala Govt. Medical College, Karnal, Haryana, Kalpana Chawla Govt. Medical College,Karnal, Haryana</x:v>
      </x:c>
      <x:c r="E2137" t="str">
        <x:v>All India</x:v>
      </x:c>
      <x:c r="F2137" t="str">
        <x:v>EWS</x:v>
      </x:c>
      <x:c r="G2137" t="n">
        <x:v>2</x:v>
      </x:c>
      <x:c r="H2137" t="n">
        <x:v>2</x:v>
      </x:c>
      <x:c r="I2137" t="n">
        <x:f>G2137-H2137</x:f>
        <x:v>0</x:v>
      </x:c>
      <x:c r="J2137" s="20" t="n">
        <x:f>IFERROR(H2137/G2137,0)</x:f>
        <x:v>1</x:v>
      </x:c>
      <x:c r="K2137" t="n">
        <x:v>6627</x:v>
      </x:c>
      <x:c r="L2137" t="n">
        <x:v>7261.75</x:v>
      </x:c>
      <x:c r="M2137" t="n">
        <x:v>7896.5</x:v>
      </x:c>
      <x:c r="N2137" t="n">
        <x:v>8531.25</x:v>
      </x:c>
      <x:c r="O2137" t="n">
        <x:v>9166</x:v>
      </x:c>
    </x:row>
    <x:row r="2138">
      <x:c r="A2138" t="str">
        <x:v>Haryana</x:v>
      </x:c>
      <x:c r="B2138" t="str">
        <x:v>All India except Central University</x:v>
      </x:c>
      <x:c r="C2138" t="str">
        <x:v>200148</x:v>
      </x:c>
      <x:c r="D2138" t="str">
        <x:v>Kalpana Chawala Govt. Medical College, Karnal, Haryana, Kalpana Chawla Govt. Medical College,Karnal, Haryana</x:v>
      </x:c>
      <x:c r="E2138" t="str">
        <x:v>All India</x:v>
      </x:c>
      <x:c r="F2138" t="str">
        <x:v>OBC</x:v>
      </x:c>
      <x:c r="G2138" t="n">
        <x:v>5</x:v>
      </x:c>
      <x:c r="H2138" t="n">
        <x:v>5</x:v>
      </x:c>
      <x:c r="I2138" t="n">
        <x:f>G2138-H2138</x:f>
        <x:v>0</x:v>
      </x:c>
      <x:c r="J2138" s="20" t="n">
        <x:f>IFERROR(H2138/G2138,0)</x:f>
        <x:v>1</x:v>
      </x:c>
      <x:c r="K2138" t="n">
        <x:v>5606</x:v>
      </x:c>
      <x:c r="L2138" t="n">
        <x:v>6351</x:v>
      </x:c>
      <x:c r="M2138" t="n">
        <x:v>6962</x:v>
      </x:c>
      <x:c r="N2138" t="n">
        <x:v>7406</x:v>
      </x:c>
      <x:c r="O2138" t="n">
        <x:v>7544</x:v>
      </x:c>
    </x:row>
    <x:row r="2139">
      <x:c r="A2139" t="str">
        <x:v>Haryana</x:v>
      </x:c>
      <x:c r="B2139" t="str">
        <x:v>All India except Central University</x:v>
      </x:c>
      <x:c r="C2139" t="str">
        <x:v>200148</x:v>
      </x:c>
      <x:c r="D2139" t="str">
        <x:v>Kalpana Chawala Govt. Medical College, Karnal, Haryana, Kalpana Chawla Govt. Medical College,Karnal, Haryana</x:v>
      </x:c>
      <x:c r="E2139" t="str">
        <x:v>All India</x:v>
      </x:c>
      <x:c r="F2139" t="str">
        <x:v>Open</x:v>
      </x:c>
      <x:c r="G2139" t="n">
        <x:v>6</x:v>
      </x:c>
      <x:c r="H2139" t="n">
        <x:v>6</x:v>
      </x:c>
      <x:c r="I2139" t="n">
        <x:f>G2139-H2139</x:f>
        <x:v>0</x:v>
      </x:c>
      <x:c r="J2139" s="20" t="n">
        <x:f>IFERROR(H2139/G2139,0)</x:f>
        <x:v>1</x:v>
      </x:c>
      <x:c r="K2139" t="n">
        <x:v>4794</x:v>
      </x:c>
      <x:c r="L2139" t="n">
        <x:v>4971.75</x:v>
      </x:c>
      <x:c r="M2139" t="n">
        <x:v>5100.5</x:v>
      </x:c>
      <x:c r="N2139" t="n">
        <x:v>5201.5</x:v>
      </x:c>
      <x:c r="O2139" t="n">
        <x:v>5274</x:v>
      </x:c>
    </x:row>
    <x:row r="2140">
      <x:c r="A2140" t="str">
        <x:v>Haryana</x:v>
      </x:c>
      <x:c r="B2140" t="str">
        <x:v>All India except Central University</x:v>
      </x:c>
      <x:c r="C2140" t="str">
        <x:v>200148</x:v>
      </x:c>
      <x:c r="D2140" t="str">
        <x:v>Kalpana Chawala Govt. Medical College, Karnal, Haryana, Kalpana Chawla Govt. Medical College,Karnal, Haryana</x:v>
      </x:c>
      <x:c r="E2140" t="str">
        <x:v>All India</x:v>
      </x:c>
      <x:c r="F2140" t="str">
        <x:v>Open PwD</x:v>
      </x:c>
      <x:c r="G2140" t="n">
        <x:v>1</x:v>
      </x:c>
      <x:c r="H2140" t="n">
        <x:v>1</x:v>
      </x:c>
      <x:c r="I2140" t="n">
        <x:f>G2140-H2140</x:f>
        <x:v>0</x:v>
      </x:c>
      <x:c r="J2140" s="20" t="n">
        <x:f>IFERROR(H2140/G2140,0)</x:f>
        <x:v>1</x:v>
      </x:c>
      <x:c r="K2140" t="n">
        <x:v>354572</x:v>
      </x:c>
      <x:c r="L2140" t="n">
        <x:v>354572</x:v>
      </x:c>
      <x:c r="M2140" t="n">
        <x:v>354572</x:v>
      </x:c>
      <x:c r="N2140" t="n">
        <x:v>354572</x:v>
      </x:c>
      <x:c r="O2140" t="n">
        <x:v>354572</x:v>
      </x:c>
    </x:row>
    <x:row r="2141">
      <x:c r="A2141" t="str">
        <x:v>Haryana</x:v>
      </x:c>
      <x:c r="B2141" t="str">
        <x:v>All India except Central University</x:v>
      </x:c>
      <x:c r="C2141" t="str">
        <x:v>200148</x:v>
      </x:c>
      <x:c r="D2141" t="str">
        <x:v>Kalpana Chawala Govt. Medical College, Karnal, Haryana, Kalpana Chawla Govt. Medical College,Karnal, Haryana</x:v>
      </x:c>
      <x:c r="E2141" t="str">
        <x:v>All India</x:v>
      </x:c>
      <x:c r="F2141" t="str">
        <x:v>SC</x:v>
      </x:c>
      <x:c r="G2141" t="n">
        <x:v>3</x:v>
      </x:c>
      <x:c r="H2141" t="n">
        <x:v>3</x:v>
      </x:c>
      <x:c r="I2141" t="n">
        <x:f>G2141-H2141</x:f>
        <x:v>0</x:v>
      </x:c>
      <x:c r="J2141" s="20" t="n">
        <x:f>IFERROR(H2141/G2141,0)</x:f>
        <x:v>1</x:v>
      </x:c>
      <x:c r="K2141" t="n">
        <x:v>35504</x:v>
      </x:c>
      <x:c r="L2141" t="n">
        <x:v>35830.5</x:v>
      </x:c>
      <x:c r="M2141" t="n">
        <x:v>36157</x:v>
      </x:c>
      <x:c r="N2141" t="n">
        <x:v>36871.5</x:v>
      </x:c>
      <x:c r="O2141" t="n">
        <x:v>37586</x:v>
      </x:c>
    </x:row>
    <x:row r="2142">
      <x:c r="A2142" t="str">
        <x:v>Haryana</x:v>
      </x:c>
      <x:c r="B2142" t="str">
        <x:v>All India except Central University</x:v>
      </x:c>
      <x:c r="C2142" t="str">
        <x:v>200148</x:v>
      </x:c>
      <x:c r="D2142" t="str">
        <x:v>Kalpana Chawala Govt. Medical College, Karnal, Haryana, Kalpana Chawla Govt. Medical College,Karnal, Haryana</x:v>
      </x:c>
      <x:c r="E2142" t="str">
        <x:v>All India</x:v>
      </x:c>
      <x:c r="F2142" t="str">
        <x:v>ST</x:v>
      </x:c>
      <x:c r="G2142" t="n">
        <x:v>1</x:v>
      </x:c>
      <x:c r="H2142" t="n">
        <x:v>1</x:v>
      </x:c>
      <x:c r="I2142" t="n">
        <x:f>G2142-H2142</x:f>
        <x:v>0</x:v>
      </x:c>
      <x:c r="J2142" s="20" t="n">
        <x:f>IFERROR(H2142/G2142,0)</x:f>
        <x:v>1</x:v>
      </x:c>
      <x:c r="K2142" t="n">
        <x:v>70980</x:v>
      </x:c>
      <x:c r="L2142" t="n">
        <x:v>70980</x:v>
      </x:c>
      <x:c r="M2142" t="n">
        <x:v>70980</x:v>
      </x:c>
      <x:c r="N2142" t="n">
        <x:v>70980</x:v>
      </x:c>
      <x:c r="O2142" t="n">
        <x:v>70980</x:v>
      </x:c>
    </x:row>
    <x:row r="2143">
      <x:c r="A2143" t="str">
        <x:v>Uttar Pradesh</x:v>
      </x:c>
      <x:c r="B2143" t="str">
        <x:v>All India except Central University</x:v>
      </x:c>
      <x:c r="C2143" t="str">
        <x:v>902815</x:v>
      </x:c>
      <x:c r="D2143" t="str">
        <x:v>Kalyan Singh Government Medical College, 339, CHANDPUR ROAD, NEAR SADAR TEHSIL, BULANDSHAHR</x:v>
      </x:c>
      <x:c r="E2143" t="str">
        <x:v>All India</x:v>
      </x:c>
      <x:c r="F2143" t="str">
        <x:v>EWS</x:v>
      </x:c>
      <x:c r="G2143" t="n">
        <x:v>1</x:v>
      </x:c>
      <x:c r="H2143" t="n">
        <x:v>1</x:v>
      </x:c>
      <x:c r="I2143" t="n">
        <x:f>G2143-H2143</x:f>
        <x:v>0</x:v>
      </x:c>
      <x:c r="J2143" s="20" t="n">
        <x:f>IFERROR(H2143/G2143,0)</x:f>
        <x:v>1</x:v>
      </x:c>
      <x:c r="K2143" t="n">
        <x:v>14013</x:v>
      </x:c>
      <x:c r="L2143" t="n">
        <x:v>14013</x:v>
      </x:c>
      <x:c r="M2143" t="n">
        <x:v>14013</x:v>
      </x:c>
      <x:c r="N2143" t="n">
        <x:v>14013</x:v>
      </x:c>
      <x:c r="O2143" t="n">
        <x:v>14013</x:v>
      </x:c>
    </x:row>
    <x:row r="2144">
      <x:c r="A2144" t="str">
        <x:v>Uttar Pradesh</x:v>
      </x:c>
      <x:c r="B2144" t="str">
        <x:v>All India except Central University</x:v>
      </x:c>
      <x:c r="C2144" t="str">
        <x:v>902815</x:v>
      </x:c>
      <x:c r="D2144" t="str">
        <x:v>Kalyan Singh Government Medical College, 339, CHANDPUR ROAD, NEAR SADAR TEHSIL, BULANDSHAHR</x:v>
      </x:c>
      <x:c r="E2144" t="str">
        <x:v>All India</x:v>
      </x:c>
      <x:c r="F2144" t="str">
        <x:v>EWS PwD</x:v>
      </x:c>
      <x:c r="G2144" t="n">
        <x:v>1</x:v>
      </x:c>
      <x:c r="H2144" t="n">
        <x:v>1</x:v>
      </x:c>
      <x:c r="I2144" t="n">
        <x:f>G2144-H2144</x:f>
        <x:v>0</x:v>
      </x:c>
      <x:c r="J2144" s="20" t="n">
        <x:f>IFERROR(H2144/G2144,0)</x:f>
        <x:v>1</x:v>
      </x:c>
      <x:c r="K2144" t="n">
        <x:v>582322</x:v>
      </x:c>
      <x:c r="L2144" t="n">
        <x:v>582322</x:v>
      </x:c>
      <x:c r="M2144" t="n">
        <x:v>582322</x:v>
      </x:c>
      <x:c r="N2144" t="n">
        <x:v>582322</x:v>
      </x:c>
      <x:c r="O2144" t="n">
        <x:v>582322</x:v>
      </x:c>
    </x:row>
    <x:row r="2145">
      <x:c r="A2145" t="str">
        <x:v>Uttar Pradesh</x:v>
      </x:c>
      <x:c r="B2145" t="str">
        <x:v>All India except Central University</x:v>
      </x:c>
      <x:c r="C2145" t="str">
        <x:v>902815</x:v>
      </x:c>
      <x:c r="D2145" t="str">
        <x:v>Kalyan Singh Government Medical College, 339, CHANDPUR ROAD, NEAR SADAR TEHSIL, BULANDSHAHR</x:v>
      </x:c>
      <x:c r="E2145" t="str">
        <x:v>All India</x:v>
      </x:c>
      <x:c r="F2145" t="str">
        <x:v>OBC</x:v>
      </x:c>
      <x:c r="G2145" t="n">
        <x:v>4</x:v>
      </x:c>
      <x:c r="H2145" t="n">
        <x:v>4</x:v>
      </x:c>
      <x:c r="I2145" t="n">
        <x:f>G2145-H2145</x:f>
        <x:v>0</x:v>
      </x:c>
      <x:c r="J2145" s="20" t="n">
        <x:f>IFERROR(H2145/G2145,0)</x:f>
        <x:v>1</x:v>
      </x:c>
      <x:c r="K2145" t="n">
        <x:v>9953</x:v>
      </x:c>
      <x:c r="L2145" t="n">
        <x:v>10122.5</x:v>
      </x:c>
      <x:c r="M2145" t="n">
        <x:v>10423.5</x:v>
      </x:c>
      <x:c r="N2145" t="n">
        <x:v>10748</x:v>
      </x:c>
      <x:c r="O2145" t="n">
        <x:v>10988</x:v>
      </x:c>
    </x:row>
    <x:row r="2146">
      <x:c r="A2146" t="str">
        <x:v>Uttar Pradesh</x:v>
      </x:c>
      <x:c r="B2146" t="str">
        <x:v>All India except Central University</x:v>
      </x:c>
      <x:c r="C2146" t="str">
        <x:v>902815</x:v>
      </x:c>
      <x:c r="D2146" t="str">
        <x:v>Kalyan Singh Government Medical College, 339, CHANDPUR ROAD, NEAR SADAR TEHSIL, BULANDSHAHR</x:v>
      </x:c>
      <x:c r="E2146" t="str">
        <x:v>All India</x:v>
      </x:c>
      <x:c r="F2146" t="str">
        <x:v>Open</x:v>
      </x:c>
      <x:c r="G2146" t="n">
        <x:v>4</x:v>
      </x:c>
      <x:c r="H2146" t="n">
        <x:v>4</x:v>
      </x:c>
      <x:c r="I2146" t="n">
        <x:f>G2146-H2146</x:f>
        <x:v>0</x:v>
      </x:c>
      <x:c r="J2146" s="20" t="n">
        <x:f>IFERROR(H2146/G2146,0)</x:f>
        <x:v>1</x:v>
      </x:c>
      <x:c r="K2146" t="n">
        <x:v>8717</x:v>
      </x:c>
      <x:c r="L2146" t="n">
        <x:v>9239.75</x:v>
      </x:c>
      <x:c r="M2146" t="n">
        <x:v>9493.5</x:v>
      </x:c>
      <x:c r="N2146" t="n">
        <x:v>9628.25</x:v>
      </x:c>
      <x:c r="O2146" t="n">
        <x:v>9794</x:v>
      </x:c>
    </x:row>
    <x:row r="2147">
      <x:c r="A2147" t="str">
        <x:v>Uttar Pradesh</x:v>
      </x:c>
      <x:c r="B2147" t="str">
        <x:v>All India except Central University</x:v>
      </x:c>
      <x:c r="C2147" t="str">
        <x:v>902815</x:v>
      </x:c>
      <x:c r="D2147" t="str">
        <x:v>Kalyan Singh Government Medical College, 339, CHANDPUR ROAD, NEAR SADAR TEHSIL, BULANDSHAHR</x:v>
      </x:c>
      <x:c r="E2147" t="str">
        <x:v>All India</x:v>
      </x:c>
      <x:c r="F2147" t="str">
        <x:v>Open PwD</x:v>
      </x:c>
      <x:c r="G2147" t="n">
        <x:v>1</x:v>
      </x:c>
      <x:c r="H2147" t="n">
        <x:v>1</x:v>
      </x:c>
      <x:c r="I2147" t="n">
        <x:f>G2147-H2147</x:f>
        <x:v>0</x:v>
      </x:c>
      <x:c r="J2147" s="20" t="n">
        <x:f>IFERROR(H2147/G2147,0)</x:f>
        <x:v>1</x:v>
      </x:c>
      <x:c r="K2147" t="n">
        <x:v>343864</x:v>
      </x:c>
      <x:c r="L2147" t="n">
        <x:v>343864</x:v>
      </x:c>
      <x:c r="M2147" t="n">
        <x:v>343864</x:v>
      </x:c>
      <x:c r="N2147" t="n">
        <x:v>343864</x:v>
      </x:c>
      <x:c r="O2147" t="n">
        <x:v>343864</x:v>
      </x:c>
    </x:row>
    <x:row r="2148">
      <x:c r="A2148" t="str">
        <x:v>Uttar Pradesh</x:v>
      </x:c>
      <x:c r="B2148" t="str">
        <x:v>All India except Central University</x:v>
      </x:c>
      <x:c r="C2148" t="str">
        <x:v>902815</x:v>
      </x:c>
      <x:c r="D2148" t="str">
        <x:v>Kalyan Singh Government Medical College, 339, CHANDPUR ROAD, NEAR SADAR TEHSIL, BULANDSHAHR</x:v>
      </x:c>
      <x:c r="E2148" t="str">
        <x:v>All India</x:v>
      </x:c>
      <x:c r="F2148" t="str">
        <x:v>SC</x:v>
      </x:c>
      <x:c r="G2148" t="n">
        <x:v>1</x:v>
      </x:c>
      <x:c r="H2148" t="n">
        <x:v>1</x:v>
      </x:c>
      <x:c r="I2148" t="n">
        <x:f>G2148-H2148</x:f>
        <x:v>0</x:v>
      </x:c>
      <x:c r="J2148" s="20" t="n">
        <x:f>IFERROR(H2148/G2148,0)</x:f>
        <x:v>1</x:v>
      </x:c>
      <x:c r="K2148" t="n">
        <x:v>67784</x:v>
      </x:c>
      <x:c r="L2148" t="n">
        <x:v>67784</x:v>
      </x:c>
      <x:c r="M2148" t="n">
        <x:v>67784</x:v>
      </x:c>
      <x:c r="N2148" t="n">
        <x:v>67784</x:v>
      </x:c>
      <x:c r="O2148" t="n">
        <x:v>67784</x:v>
      </x:c>
    </x:row>
    <x:row r="2149">
      <x:c r="A2149" t="str">
        <x:v>Uttar Pradesh</x:v>
      </x:c>
      <x:c r="B2149" t="str">
        <x:v>All India except Central University</x:v>
      </x:c>
      <x:c r="C2149" t="str">
        <x:v>902815</x:v>
      </x:c>
      <x:c r="D2149" t="str">
        <x:v>Kalyan Singh Government Medical College, 339, CHANDPUR ROAD, NEAR SADAR TEHSIL, BULANDSHAHR</x:v>
      </x:c>
      <x:c r="E2149" t="str">
        <x:v>All India</x:v>
      </x:c>
      <x:c r="F2149" t="str">
        <x:v>SC PwD</x:v>
      </x:c>
      <x:c r="G2149" t="n">
        <x:v>1</x:v>
      </x:c>
      <x:c r="H2149" t="n">
        <x:v>1</x:v>
      </x:c>
      <x:c r="I2149" t="n">
        <x:f>G2149-H2149</x:f>
        <x:v>0</x:v>
      </x:c>
      <x:c r="J2149" s="20" t="n">
        <x:f>IFERROR(H2149/G2149,0)</x:f>
        <x:v>1</x:v>
      </x:c>
      <x:c r="K2149" t="n">
        <x:v>937420</x:v>
      </x:c>
      <x:c r="L2149" t="n">
        <x:v>937420</x:v>
      </x:c>
      <x:c r="M2149" t="n">
        <x:v>937420</x:v>
      </x:c>
      <x:c r="N2149" t="n">
        <x:v>937420</x:v>
      </x:c>
      <x:c r="O2149" t="n">
        <x:v>937420</x:v>
      </x:c>
    </x:row>
    <x:row r="2150">
      <x:c r="A2150" t="str">
        <x:v>Uttar Pradesh</x:v>
      </x:c>
      <x:c r="B2150" t="str">
        <x:v>All India except Central University</x:v>
      </x:c>
      <x:c r="C2150" t="str">
        <x:v>902815</x:v>
      </x:c>
      <x:c r="D2150" t="str">
        <x:v>Kalyan Singh Government Medical College, 339, CHANDPUR ROAD, NEAR SADAR TEHSIL, BULANDSHAHR</x:v>
      </x:c>
      <x:c r="E2150" t="str">
        <x:v>All India</x:v>
      </x:c>
      <x:c r="F2150" t="str">
        <x:v>ST</x:v>
      </x:c>
      <x:c r="G2150" t="n">
        <x:v>1</x:v>
      </x:c>
      <x:c r="H2150" t="n">
        <x:v>1</x:v>
      </x:c>
      <x:c r="I2150" t="n">
        <x:f>G2150-H2150</x:f>
        <x:v>0</x:v>
      </x:c>
      <x:c r="J2150" s="20" t="n">
        <x:f>IFERROR(H2150/G2150,0)</x:f>
        <x:v>1</x:v>
      </x:c>
      <x:c r="K2150" t="n">
        <x:v>82640</x:v>
      </x:c>
      <x:c r="L2150" t="n">
        <x:v>82640</x:v>
      </x:c>
      <x:c r="M2150" t="n">
        <x:v>82640</x:v>
      </x:c>
      <x:c r="N2150" t="n">
        <x:v>82640</x:v>
      </x:c>
      <x:c r="O2150" t="n">
        <x:v>82640</x:v>
      </x:c>
    </x:row>
    <x:row r="2151">
      <x:c r="A2151" t="str">
        <x:v>Uttar Pradesh</x:v>
      </x:c>
      <x:c r="B2151" t="str">
        <x:v>All India except Central University</x:v>
      </x:c>
      <x:c r="C2151" t="str">
        <x:v>902815</x:v>
      </x:c>
      <x:c r="D2151" t="str">
        <x:v>Kalyan Singh Government Medical College, 339, CHANDPUR ROAD, NEAR SADAR TEHSIL, BULANDSHAHR</x:v>
      </x:c>
      <x:c r="E2151" t="str">
        <x:v>All India</x:v>
      </x:c>
      <x:c r="F2151" t="str">
        <x:v>ST PwD</x:v>
      </x:c>
      <x:c r="G2151" t="n">
        <x:v>1</x:v>
      </x:c>
      <x:c r="H2151" t="n">
        <x:v>0</x:v>
      </x:c>
      <x:c r="I2151" t="n">
        <x:f>G2151-H2151</x:f>
        <x:v>1</x:v>
      </x:c>
      <x:c r="J2151" s="20" t="n">
        <x:f>IFERROR(H2151/G2151,0)</x:f>
        <x:v>0</x:v>
      </x:c>
      <x:c r="K2151"/>
      <x:c r="L2151"/>
      <x:c r="M2151"/>
      <x:c r="N2151"/>
      <x:c r="O2151"/>
    </x:row>
    <x:row r="2152">
      <x:c r="A2152" t="str">
        <x:v>Tamil Nadu</x:v>
      </x:c>
      <x:c r="B2152" t="str">
        <x:v>All India except Central University</x:v>
      </x:c>
      <x:c r="C2152" t="str">
        <x:v>200274</x:v>
      </x:c>
      <x:c r="D2152" t="str">
        <x:v>KanyaKumari Government Medical College, Asaripallam, ASARIPALLAM, KANYAKUMARI DISTRICT-629201</x:v>
      </x:c>
      <x:c r="E2152" t="str">
        <x:v>All India</x:v>
      </x:c>
      <x:c r="F2152" t="str">
        <x:v>EWS</x:v>
      </x:c>
      <x:c r="G2152" t="n">
        <x:v>2</x:v>
      </x:c>
      <x:c r="H2152" t="n">
        <x:v>2</x:v>
      </x:c>
      <x:c r="I2152" t="n">
        <x:f>G2152-H2152</x:f>
        <x:v>0</x:v>
      </x:c>
      <x:c r="J2152" s="20" t="n">
        <x:f>IFERROR(H2152/G2152,0)</x:f>
        <x:v>1</x:v>
      </x:c>
      <x:c r="K2152" t="n">
        <x:v>21619</x:v>
      </x:c>
      <x:c r="L2152" t="n">
        <x:v>22087.25</x:v>
      </x:c>
      <x:c r="M2152" t="n">
        <x:v>22555.5</x:v>
      </x:c>
      <x:c r="N2152" t="n">
        <x:v>23023.75</x:v>
      </x:c>
      <x:c r="O2152" t="n">
        <x:v>23492</x:v>
      </x:c>
    </x:row>
    <x:row r="2153">
      <x:c r="A2153" t="str">
        <x:v>Tamil Nadu</x:v>
      </x:c>
      <x:c r="B2153" t="str">
        <x:v>All India except Central University</x:v>
      </x:c>
      <x:c r="C2153" t="str">
        <x:v>200274</x:v>
      </x:c>
      <x:c r="D2153" t="str">
        <x:v>KanyaKumari Government Medical College, Asaripallam, ASARIPALLAM, KANYAKUMARI DISTRICT-629201</x:v>
      </x:c>
      <x:c r="E2153" t="str">
        <x:v>All India</x:v>
      </x:c>
      <x:c r="F2153" t="str">
        <x:v>OBC</x:v>
      </x:c>
      <x:c r="G2153" t="n">
        <x:v>6</x:v>
      </x:c>
      <x:c r="H2153" t="n">
        <x:v>6</x:v>
      </x:c>
      <x:c r="I2153" t="n">
        <x:f>G2153-H2153</x:f>
        <x:v>0</x:v>
      </x:c>
      <x:c r="J2153" s="20" t="n">
        <x:f>IFERROR(H2153/G2153,0)</x:f>
        <x:v>1</x:v>
      </x:c>
      <x:c r="K2153" t="n">
        <x:v>8790</x:v>
      </x:c>
      <x:c r="L2153" t="n">
        <x:v>8834.25</x:v>
      </x:c>
      <x:c r="M2153" t="n">
        <x:v>8976</x:v>
      </x:c>
      <x:c r="N2153" t="n">
        <x:v>9080.25</x:v>
      </x:c>
      <x:c r="O2153" t="n">
        <x:v>9317</x:v>
      </x:c>
    </x:row>
    <x:row r="2154">
      <x:c r="A2154" t="str">
        <x:v>Tamil Nadu</x:v>
      </x:c>
      <x:c r="B2154" t="str">
        <x:v>All India except Central University</x:v>
      </x:c>
      <x:c r="C2154" t="str">
        <x:v>200274</x:v>
      </x:c>
      <x:c r="D2154" t="str">
        <x:v>KanyaKumari Government Medical College, Asaripallam, ASARIPALLAM, KANYAKUMARI DISTRICT-629201</x:v>
      </x:c>
      <x:c r="E2154" t="str">
        <x:v>All India</x:v>
      </x:c>
      <x:c r="F2154" t="str">
        <x:v>Open</x:v>
      </x:c>
      <x:c r="G2154" t="n">
        <x:v>8</x:v>
      </x:c>
      <x:c r="H2154" t="n">
        <x:v>8</x:v>
      </x:c>
      <x:c r="I2154" t="n">
        <x:f>G2154-H2154</x:f>
        <x:v>0</x:v>
      </x:c>
      <x:c r="J2154" s="20" t="n">
        <x:f>IFERROR(H2154/G2154,0)</x:f>
        <x:v>1</x:v>
      </x:c>
      <x:c r="K2154" t="n">
        <x:v>6040</x:v>
      </x:c>
      <x:c r="L2154" t="n">
        <x:v>7684</x:v>
      </x:c>
      <x:c r="M2154" t="n">
        <x:v>8104.5</x:v>
      </x:c>
      <x:c r="N2154" t="n">
        <x:v>8356.5</x:v>
      </x:c>
      <x:c r="O2154" t="n">
        <x:v>8759</x:v>
      </x:c>
    </x:row>
    <x:row r="2155">
      <x:c r="A2155" t="str">
        <x:v>Tamil Nadu</x:v>
      </x:c>
      <x:c r="B2155" t="str">
        <x:v>All India except Central University</x:v>
      </x:c>
      <x:c r="C2155" t="str">
        <x:v>200274</x:v>
      </x:c>
      <x:c r="D2155" t="str">
        <x:v>KanyaKumari Government Medical College, Asaripallam, ASARIPALLAM, KANYAKUMARI DISTRICT-629201</x:v>
      </x:c>
      <x:c r="E2155" t="str">
        <x:v>All India</x:v>
      </x:c>
      <x:c r="F2155" t="str">
        <x:v>Open PwD</x:v>
      </x:c>
      <x:c r="G2155" t="n">
        <x:v>1</x:v>
      </x:c>
      <x:c r="H2155" t="n">
        <x:v>1</x:v>
      </x:c>
      <x:c r="I2155" t="n">
        <x:f>G2155-H2155</x:f>
        <x:v>0</x:v>
      </x:c>
      <x:c r="J2155" s="20" t="n">
        <x:f>IFERROR(H2155/G2155,0)</x:f>
        <x:v>1</x:v>
      </x:c>
      <x:c r="K2155" t="n">
        <x:v>607031</x:v>
      </x:c>
      <x:c r="L2155" t="n">
        <x:v>607031</x:v>
      </x:c>
      <x:c r="M2155" t="n">
        <x:v>607031</x:v>
      </x:c>
      <x:c r="N2155" t="n">
        <x:v>607031</x:v>
      </x:c>
      <x:c r="O2155" t="n">
        <x:v>607031</x:v>
      </x:c>
    </x:row>
    <x:row r="2156">
      <x:c r="A2156" t="str">
        <x:v>Tamil Nadu</x:v>
      </x:c>
      <x:c r="B2156" t="str">
        <x:v>All India except Central University</x:v>
      </x:c>
      <x:c r="C2156" t="str">
        <x:v>200274</x:v>
      </x:c>
      <x:c r="D2156" t="str">
        <x:v>KanyaKumari Government Medical College, Asaripallam, ASARIPALLAM, KANYAKUMARI DISTRICT-629201</x:v>
      </x:c>
      <x:c r="E2156" t="str">
        <x:v>All India</x:v>
      </x:c>
      <x:c r="F2156" t="str">
        <x:v>SC</x:v>
      </x:c>
      <x:c r="G2156" t="n">
        <x:v>3</x:v>
      </x:c>
      <x:c r="H2156" t="n">
        <x:v>3</x:v>
      </x:c>
      <x:c r="I2156" t="n">
        <x:f>G2156-H2156</x:f>
        <x:v>0</x:v>
      </x:c>
      <x:c r="J2156" s="20" t="n">
        <x:f>IFERROR(H2156/G2156,0)</x:f>
        <x:v>1</x:v>
      </x:c>
      <x:c r="K2156" t="n">
        <x:v>50230</x:v>
      </x:c>
      <x:c r="L2156" t="n">
        <x:v>51535</x:v>
      </x:c>
      <x:c r="M2156" t="n">
        <x:v>52840</x:v>
      </x:c>
      <x:c r="N2156" t="n">
        <x:v>54818</x:v>
      </x:c>
      <x:c r="O2156" t="n">
        <x:v>56796</x:v>
      </x:c>
    </x:row>
    <x:row r="2157">
      <x:c r="A2157" t="str">
        <x:v>Tamil Nadu</x:v>
      </x:c>
      <x:c r="B2157" t="str">
        <x:v>All India except Central University</x:v>
      </x:c>
      <x:c r="C2157" t="str">
        <x:v>200274</x:v>
      </x:c>
      <x:c r="D2157" t="str">
        <x:v>KanyaKumari Government Medical College, Asaripallam, ASARIPALLAM, KANYAKUMARI DISTRICT-629201</x:v>
      </x:c>
      <x:c r="E2157" t="str">
        <x:v>All India</x:v>
      </x:c>
      <x:c r="F2157" t="str">
        <x:v>ST</x:v>
      </x:c>
      <x:c r="G2157" t="n">
        <x:v>2</x:v>
      </x:c>
      <x:c r="H2157" t="n">
        <x:v>2</x:v>
      </x:c>
      <x:c r="I2157" t="n">
        <x:f>G2157-H2157</x:f>
        <x:v>0</x:v>
      </x:c>
      <x:c r="J2157" s="20" t="n">
        <x:f>IFERROR(H2157/G2157,0)</x:f>
        <x:v>1</x:v>
      </x:c>
      <x:c r="K2157" t="n">
        <x:v>123636</x:v>
      </x:c>
      <x:c r="L2157" t="n">
        <x:v>123867.25</x:v>
      </x:c>
      <x:c r="M2157" t="n">
        <x:v>124098.5</x:v>
      </x:c>
      <x:c r="N2157" t="n">
        <x:v>124329.75</x:v>
      </x:c>
      <x:c r="O2157" t="n">
        <x:v>124561</x:v>
      </x:c>
    </x:row>
    <x:row r="2158">
      <x:c r="A2158" t="str">
        <x:v>Karnataka</x:v>
      </x:c>
      <x:c r="B2158" t="str">
        <x:v>All India except Central University</x:v>
      </x:c>
      <x:c r="C2158" t="str">
        <x:v>200173</x:v>
      </x:c>
      <x:c r="D2158" t="str">
        <x:v>Karnataka Medical College &amp; Research Institute, Hubballi, P B ROAD VIDYANAGAR HUBBALLI</x:v>
      </x:c>
      <x:c r="E2158" t="str">
        <x:v>All India</x:v>
      </x:c>
      <x:c r="F2158" t="str">
        <x:v>EWS</x:v>
      </x:c>
      <x:c r="G2158" t="n">
        <x:v>3</x:v>
      </x:c>
      <x:c r="H2158" t="n">
        <x:v>3</x:v>
      </x:c>
      <x:c r="I2158" t="n">
        <x:f>G2158-H2158</x:f>
        <x:v>0</x:v>
      </x:c>
      <x:c r="J2158" s="20" t="n">
        <x:f>IFERROR(H2158/G2158,0)</x:f>
        <x:v>1</x:v>
      </x:c>
      <x:c r="K2158" t="n">
        <x:v>7908</x:v>
      </x:c>
      <x:c r="L2158" t="n">
        <x:v>8367</x:v>
      </x:c>
      <x:c r="M2158" t="n">
        <x:v>8826</x:v>
      </x:c>
      <x:c r="N2158" t="n">
        <x:v>9142</x:v>
      </x:c>
      <x:c r="O2158" t="n">
        <x:v>9458</x:v>
      </x:c>
    </x:row>
    <x:row r="2159">
      <x:c r="A2159" t="str">
        <x:v>Karnataka</x:v>
      </x:c>
      <x:c r="B2159" t="str">
        <x:v>All India except Central University</x:v>
      </x:c>
      <x:c r="C2159" t="str">
        <x:v>200173</x:v>
      </x:c>
      <x:c r="D2159" t="str">
        <x:v>Karnataka Medical College &amp; Research Institute, Hubballi, P B ROAD VIDYANAGAR HUBBALLI</x:v>
      </x:c>
      <x:c r="E2159" t="str">
        <x:v>All India</x:v>
      </x:c>
      <x:c r="F2159" t="str">
        <x:v>EWS PwD</x:v>
      </x:c>
      <x:c r="G2159" t="n">
        <x:v>1</x:v>
      </x:c>
      <x:c r="H2159" t="n">
        <x:v>1</x:v>
      </x:c>
      <x:c r="I2159" t="n">
        <x:f>G2159-H2159</x:f>
        <x:v>0</x:v>
      </x:c>
      <x:c r="J2159" s="20" t="n">
        <x:f>IFERROR(H2159/G2159,0)</x:f>
        <x:v>1</x:v>
      </x:c>
      <x:c r="K2159" t="n">
        <x:v>394580</x:v>
      </x:c>
      <x:c r="L2159" t="n">
        <x:v>394580</x:v>
      </x:c>
      <x:c r="M2159" t="n">
        <x:v>394580</x:v>
      </x:c>
      <x:c r="N2159" t="n">
        <x:v>394580</x:v>
      </x:c>
      <x:c r="O2159" t="n">
        <x:v>394580</x:v>
      </x:c>
    </x:row>
    <x:row r="2160">
      <x:c r="A2160" t="str">
        <x:v>Karnataka</x:v>
      </x:c>
      <x:c r="B2160" t="str">
        <x:v>All India except Central University</x:v>
      </x:c>
      <x:c r="C2160" t="str">
        <x:v>200173</x:v>
      </x:c>
      <x:c r="D2160" t="str">
        <x:v>Karnataka Medical College &amp; Research Institute, Hubballi, P B ROAD VIDYANAGAR HUBBALLI</x:v>
      </x:c>
      <x:c r="E2160" t="str">
        <x:v>All India</x:v>
      </x:c>
      <x:c r="F2160" t="str">
        <x:v>OBC</x:v>
      </x:c>
      <x:c r="G2160" t="n">
        <x:v>9</x:v>
      </x:c>
      <x:c r="H2160" t="n">
        <x:v>9</x:v>
      </x:c>
      <x:c r="I2160" t="n">
        <x:f>G2160-H2160</x:f>
        <x:v>0</x:v>
      </x:c>
      <x:c r="J2160" s="20" t="n">
        <x:f>IFERROR(H2160/G2160,0)</x:f>
        <x:v>1</x:v>
      </x:c>
      <x:c r="K2160" t="n">
        <x:v>6329</x:v>
      </x:c>
      <x:c r="L2160" t="n">
        <x:v>8088</x:v>
      </x:c>
      <x:c r="M2160" t="n">
        <x:v>8154</x:v>
      </x:c>
      <x:c r="N2160" t="n">
        <x:v>8658</x:v>
      </x:c>
      <x:c r="O2160" t="n">
        <x:v>9055</x:v>
      </x:c>
    </x:row>
    <x:row r="2161">
      <x:c r="A2161" t="str">
        <x:v>Karnataka</x:v>
      </x:c>
      <x:c r="B2161" t="str">
        <x:v>All India except Central University</x:v>
      </x:c>
      <x:c r="C2161" t="str">
        <x:v>200173</x:v>
      </x:c>
      <x:c r="D2161" t="str">
        <x:v>Karnataka Medical College &amp; Research Institute, Hubballi, P B ROAD VIDYANAGAR HUBBALLI</x:v>
      </x:c>
      <x:c r="E2161" t="str">
        <x:v>All India</x:v>
      </x:c>
      <x:c r="F2161" t="str">
        <x:v>OBC PwD</x:v>
      </x:c>
      <x:c r="G2161" t="n">
        <x:v>1</x:v>
      </x:c>
      <x:c r="H2161" t="n">
        <x:v>1</x:v>
      </x:c>
      <x:c r="I2161" t="n">
        <x:f>G2161-H2161</x:f>
        <x:v>0</x:v>
      </x:c>
      <x:c r="J2161" s="20" t="n">
        <x:f>IFERROR(H2161/G2161,0)</x:f>
        <x:v>1</x:v>
      </x:c>
      <x:c r="K2161" t="n">
        <x:v>430353</x:v>
      </x:c>
      <x:c r="L2161" t="n">
        <x:v>430353</x:v>
      </x:c>
      <x:c r="M2161" t="n">
        <x:v>430353</x:v>
      </x:c>
      <x:c r="N2161" t="n">
        <x:v>430353</x:v>
      </x:c>
      <x:c r="O2161" t="n">
        <x:v>430353</x:v>
      </x:c>
    </x:row>
    <x:row r="2162">
      <x:c r="A2162" t="str">
        <x:v>Karnataka</x:v>
      </x:c>
      <x:c r="B2162" t="str">
        <x:v>All India except Central University</x:v>
      </x:c>
      <x:c r="C2162" t="str">
        <x:v>200173</x:v>
      </x:c>
      <x:c r="D2162" t="str">
        <x:v>Karnataka Medical College &amp; Research Institute, Hubballi, P B ROAD VIDYANAGAR HUBBALLI</x:v>
      </x:c>
      <x:c r="E2162" t="str">
        <x:v>All India</x:v>
      </x:c>
      <x:c r="F2162" t="str">
        <x:v>Open</x:v>
      </x:c>
      <x:c r="G2162" t="n">
        <x:v>15</x:v>
      </x:c>
      <x:c r="H2162" t="n">
        <x:v>15</x:v>
      </x:c>
      <x:c r="I2162" t="n">
        <x:f>G2162-H2162</x:f>
        <x:v>0</x:v>
      </x:c>
      <x:c r="J2162" s="20" t="n">
        <x:f>IFERROR(H2162/G2162,0)</x:f>
        <x:v>1</x:v>
      </x:c>
      <x:c r="K2162" t="n">
        <x:v>3282</x:v>
      </x:c>
      <x:c r="L2162" t="n">
        <x:v>5025.5</x:v>
      </x:c>
      <x:c r="M2162" t="n">
        <x:v>5593</x:v>
      </x:c>
      <x:c r="N2162" t="n">
        <x:v>5954.5</x:v>
      </x:c>
      <x:c r="O2162" t="n">
        <x:v>6256</x:v>
      </x:c>
    </x:row>
    <x:row r="2163">
      <x:c r="A2163" t="str">
        <x:v>Karnataka</x:v>
      </x:c>
      <x:c r="B2163" t="str">
        <x:v>All India except Central University</x:v>
      </x:c>
      <x:c r="C2163" t="str">
        <x:v>200173</x:v>
      </x:c>
      <x:c r="D2163" t="str">
        <x:v>Karnataka Medical College &amp; Research Institute, Hubballi, P B ROAD VIDYANAGAR HUBBALLI</x:v>
      </x:c>
      <x:c r="E2163" t="str">
        <x:v>All India</x:v>
      </x:c>
      <x:c r="F2163" t="str">
        <x:v>Open PwD</x:v>
      </x:c>
      <x:c r="G2163" t="n">
        <x:v>1</x:v>
      </x:c>
      <x:c r="H2163" t="n">
        <x:v>1</x:v>
      </x:c>
      <x:c r="I2163" t="n">
        <x:f>G2163-H2163</x:f>
        <x:v>0</x:v>
      </x:c>
      <x:c r="J2163" s="20" t="n">
        <x:f>IFERROR(H2163/G2163,0)</x:f>
        <x:v>1</x:v>
      </x:c>
      <x:c r="K2163" t="n">
        <x:v>350859</x:v>
      </x:c>
      <x:c r="L2163" t="n">
        <x:v>350859</x:v>
      </x:c>
      <x:c r="M2163" t="n">
        <x:v>350859</x:v>
      </x:c>
      <x:c r="N2163" t="n">
        <x:v>350859</x:v>
      </x:c>
      <x:c r="O2163" t="n">
        <x:v>350859</x:v>
      </x:c>
    </x:row>
    <x:row r="2164">
      <x:c r="A2164" t="str">
        <x:v>Karnataka</x:v>
      </x:c>
      <x:c r="B2164" t="str">
        <x:v>All India except Central University</x:v>
      </x:c>
      <x:c r="C2164" t="str">
        <x:v>200173</x:v>
      </x:c>
      <x:c r="D2164" t="str">
        <x:v>Karnataka Medical College &amp; Research Institute, Hubballi, P B ROAD VIDYANAGAR HUBBALLI</x:v>
      </x:c>
      <x:c r="E2164" t="str">
        <x:v>All India</x:v>
      </x:c>
      <x:c r="F2164" t="str">
        <x:v>SC</x:v>
      </x:c>
      <x:c r="G2164" t="n">
        <x:v>5</x:v>
      </x:c>
      <x:c r="H2164" t="n">
        <x:v>5</x:v>
      </x:c>
      <x:c r="I2164" t="n">
        <x:f>G2164-H2164</x:f>
        <x:v>0</x:v>
      </x:c>
      <x:c r="J2164" s="20" t="n">
        <x:f>IFERROR(H2164/G2164,0)</x:f>
        <x:v>1</x:v>
      </x:c>
      <x:c r="K2164" t="n">
        <x:v>35346</x:v>
      </x:c>
      <x:c r="L2164" t="n">
        <x:v>38229</x:v>
      </x:c>
      <x:c r="M2164" t="n">
        <x:v>39622</x:v>
      </x:c>
      <x:c r="N2164" t="n">
        <x:v>48034</x:v>
      </x:c>
      <x:c r="O2164" t="n">
        <x:v>49966</x:v>
      </x:c>
    </x:row>
    <x:row r="2165">
      <x:c r="A2165" t="str">
        <x:v>Karnataka</x:v>
      </x:c>
      <x:c r="B2165" t="str">
        <x:v>All India except Central University</x:v>
      </x:c>
      <x:c r="C2165" t="str">
        <x:v>200173</x:v>
      </x:c>
      <x:c r="D2165" t="str">
        <x:v>Karnataka Medical College &amp; Research Institute, Hubballi, P B ROAD VIDYANAGAR HUBBALLI</x:v>
      </x:c>
      <x:c r="E2165" t="str">
        <x:v>All India</x:v>
      </x:c>
      <x:c r="F2165" t="str">
        <x:v>SC PwD</x:v>
      </x:c>
      <x:c r="G2165" t="n">
        <x:v>1</x:v>
      </x:c>
      <x:c r="H2165" t="n">
        <x:v>1</x:v>
      </x:c>
      <x:c r="I2165" t="n">
        <x:f>G2165-H2165</x:f>
        <x:v>0</x:v>
      </x:c>
      <x:c r="J2165" s="20" t="n">
        <x:f>IFERROR(H2165/G2165,0)</x:f>
        <x:v>1</x:v>
      </x:c>
      <x:c r="K2165" t="n">
        <x:v>570771</x:v>
      </x:c>
      <x:c r="L2165" t="n">
        <x:v>570771</x:v>
      </x:c>
      <x:c r="M2165" t="n">
        <x:v>570771</x:v>
      </x:c>
      <x:c r="N2165" t="n">
        <x:v>570771</x:v>
      </x:c>
      <x:c r="O2165" t="n">
        <x:v>570771</x:v>
      </x:c>
    </x:row>
    <x:row r="2166">
      <x:c r="A2166" t="str">
        <x:v>Karnataka</x:v>
      </x:c>
      <x:c r="B2166" t="str">
        <x:v>All India except Central University</x:v>
      </x:c>
      <x:c r="C2166" t="str">
        <x:v>200173</x:v>
      </x:c>
      <x:c r="D2166" t="str">
        <x:v>Karnataka Medical College &amp; Research Institute, Hubballi, P B ROAD VIDYANAGAR HUBBALLI</x:v>
      </x:c>
      <x:c r="E2166" t="str">
        <x:v>All India</x:v>
      </x:c>
      <x:c r="F2166" t="str">
        <x:v>ST</x:v>
      </x:c>
      <x:c r="G2166" t="n">
        <x:v>2</x:v>
      </x:c>
      <x:c r="H2166" t="n">
        <x:v>2</x:v>
      </x:c>
      <x:c r="I2166" t="n">
        <x:f>G2166-H2166</x:f>
        <x:v>0</x:v>
      </x:c>
      <x:c r="J2166" s="20" t="n">
        <x:f>IFERROR(H2166/G2166,0)</x:f>
        <x:v>1</x:v>
      </x:c>
      <x:c r="K2166" t="n">
        <x:v>52991</x:v>
      </x:c>
      <x:c r="L2166" t="n">
        <x:v>53251.75</x:v>
      </x:c>
      <x:c r="M2166" t="n">
        <x:v>53512.5</x:v>
      </x:c>
      <x:c r="N2166" t="n">
        <x:v>53773.25</x:v>
      </x:c>
      <x:c r="O2166" t="n">
        <x:v>54034</x:v>
      </x:c>
    </x:row>
    <x:row r="2167">
      <x:c r="A2167" t="str">
        <x:v>Karnataka</x:v>
      </x:c>
      <x:c r="B2167" t="str">
        <x:v>All India except Central University</x:v>
      </x:c>
      <x:c r="C2167" t="str">
        <x:v>200174</x:v>
      </x:c>
      <x:c r="D2167" t="str">
        <x:v>Karwar Institute of Medical Sciences, Karwar, DISTRICT HOSPITAL PREMISES, MG ROAD, KARWAR</x:v>
      </x:c>
      <x:c r="E2167" t="str">
        <x:v>All India</x:v>
      </x:c>
      <x:c r="F2167" t="str">
        <x:v>EWS</x:v>
      </x:c>
      <x:c r="G2167" t="n">
        <x:v>3</x:v>
      </x:c>
      <x:c r="H2167" t="n">
        <x:v>3</x:v>
      </x:c>
      <x:c r="I2167" t="n">
        <x:f>G2167-H2167</x:f>
        <x:v>0</x:v>
      </x:c>
      <x:c r="J2167" s="20" t="n">
        <x:f>IFERROR(H2167/G2167,0)</x:f>
        <x:v>1</x:v>
      </x:c>
      <x:c r="K2167" t="n">
        <x:v>21675</x:v>
      </x:c>
      <x:c r="L2167" t="n">
        <x:v>22127</x:v>
      </x:c>
      <x:c r="M2167" t="n">
        <x:v>22579</x:v>
      </x:c>
      <x:c r="N2167" t="n">
        <x:v>23250</x:v>
      </x:c>
      <x:c r="O2167" t="n">
        <x:v>23921</x:v>
      </x:c>
    </x:row>
    <x:row r="2168">
      <x:c r="A2168" t="str">
        <x:v>Karnataka</x:v>
      </x:c>
      <x:c r="B2168" t="str">
        <x:v>All India except Central University</x:v>
      </x:c>
      <x:c r="C2168" t="str">
        <x:v>200174</x:v>
      </x:c>
      <x:c r="D2168" t="str">
        <x:v>Karwar Institute of Medical Sciences, Karwar, DISTRICT HOSPITAL PREMISES, MG ROAD, KARWAR</x:v>
      </x:c>
      <x:c r="E2168" t="str">
        <x:v>All India</x:v>
      </x:c>
      <x:c r="F2168" t="str">
        <x:v>OBC</x:v>
      </x:c>
      <x:c r="G2168" t="n">
        <x:v>8</x:v>
      </x:c>
      <x:c r="H2168" t="n">
        <x:v>8</x:v>
      </x:c>
      <x:c r="I2168" t="n">
        <x:f>G2168-H2168</x:f>
        <x:v>0</x:v>
      </x:c>
      <x:c r="J2168" s="20" t="n">
        <x:f>IFERROR(H2168/G2168,0)</x:f>
        <x:v>1</x:v>
      </x:c>
      <x:c r="K2168" t="n">
        <x:v>17427</x:v>
      </x:c>
      <x:c r="L2168" t="n">
        <x:v>18020.25</x:v>
      </x:c>
      <x:c r="M2168" t="n">
        <x:v>18165</x:v>
      </x:c>
      <x:c r="N2168" t="n">
        <x:v>18380.5</x:v>
      </x:c>
      <x:c r="O2168" t="n">
        <x:v>18533</x:v>
      </x:c>
    </x:row>
    <x:row r="2169">
      <x:c r="A2169" t="str">
        <x:v>Karnataka</x:v>
      </x:c>
      <x:c r="B2169" t="str">
        <x:v>All India except Central University</x:v>
      </x:c>
      <x:c r="C2169" t="str">
        <x:v>200174</x:v>
      </x:c>
      <x:c r="D2169" t="str">
        <x:v>Karwar Institute of Medical Sciences, Karwar, DISTRICT HOSPITAL PREMISES, MG ROAD, KARWAR</x:v>
      </x:c>
      <x:c r="E2169" t="str">
        <x:v>All India</x:v>
      </x:c>
      <x:c r="F2169" t="str">
        <x:v>Open</x:v>
      </x:c>
      <x:c r="G2169" t="n">
        <x:v>12</x:v>
      </x:c>
      <x:c r="H2169" t="n">
        <x:v>12</x:v>
      </x:c>
      <x:c r="I2169" t="n">
        <x:f>G2169-H2169</x:f>
        <x:v>0</x:v>
      </x:c>
      <x:c r="J2169" s="20" t="n">
        <x:f>IFERROR(H2169/G2169,0)</x:f>
        <x:v>1</x:v>
      </x:c>
      <x:c r="K2169" t="n">
        <x:v>14351</x:v>
      </x:c>
      <x:c r="L2169" t="n">
        <x:v>15743.5</x:v>
      </x:c>
      <x:c r="M2169" t="n">
        <x:v>16526.5</x:v>
      </x:c>
      <x:c r="N2169" t="n">
        <x:v>16825.5</x:v>
      </x:c>
      <x:c r="O2169" t="n">
        <x:v>17372</x:v>
      </x:c>
    </x:row>
    <x:row r="2170">
      <x:c r="A2170" t="str">
        <x:v>Karnataka</x:v>
      </x:c>
      <x:c r="B2170" t="str">
        <x:v>All India except Central University</x:v>
      </x:c>
      <x:c r="C2170" t="str">
        <x:v>200174</x:v>
      </x:c>
      <x:c r="D2170" t="str">
        <x:v>Karwar Institute of Medical Sciences, Karwar, DISTRICT HOSPITAL PREMISES, MG ROAD, KARWAR</x:v>
      </x:c>
      <x:c r="E2170" t="str">
        <x:v>All India</x:v>
      </x:c>
      <x:c r="F2170" t="str">
        <x:v>SC</x:v>
      </x:c>
      <x:c r="G2170" t="n">
        <x:v>4</x:v>
      </x:c>
      <x:c r="H2170" t="n">
        <x:v>4</x:v>
      </x:c>
      <x:c r="I2170" t="n">
        <x:f>G2170-H2170</x:f>
        <x:v>0</x:v>
      </x:c>
      <x:c r="J2170" s="20" t="n">
        <x:f>IFERROR(H2170/G2170,0)</x:f>
        <x:v>1</x:v>
      </x:c>
      <x:c r="K2170" t="n">
        <x:v>85441</x:v>
      </x:c>
      <x:c r="L2170" t="n">
        <x:v>86570.5</x:v>
      </x:c>
      <x:c r="M2170" t="n">
        <x:v>88002.5</x:v>
      </x:c>
      <x:c r="N2170" t="n">
        <x:v>89065</x:v>
      </x:c>
      <x:c r="O2170" t="n">
        <x:v>89086</x:v>
      </x:c>
    </x:row>
    <x:row r="2171">
      <x:c r="A2171" t="str">
        <x:v>Karnataka</x:v>
      </x:c>
      <x:c r="B2171" t="str">
        <x:v>All India except Central University</x:v>
      </x:c>
      <x:c r="C2171" t="str">
        <x:v>200174</x:v>
      </x:c>
      <x:c r="D2171" t="str">
        <x:v>Karwar Institute of Medical Sciences, Karwar, DISTRICT HOSPITAL PREMISES, MG ROAD, KARWAR</x:v>
      </x:c>
      <x:c r="E2171" t="str">
        <x:v>All India</x:v>
      </x:c>
      <x:c r="F2171" t="str">
        <x:v>ST</x:v>
      </x:c>
      <x:c r="G2171" t="n">
        <x:v>3</x:v>
      </x:c>
      <x:c r="H2171" t="n">
        <x:v>3</x:v>
      </x:c>
      <x:c r="I2171" t="n">
        <x:f>G2171-H2171</x:f>
        <x:v>0</x:v>
      </x:c>
      <x:c r="J2171" s="20" t="n">
        <x:f>IFERROR(H2171/G2171,0)</x:f>
        <x:v>1</x:v>
      </x:c>
      <x:c r="K2171" t="n">
        <x:v>91149</x:v>
      </x:c>
      <x:c r="L2171" t="n">
        <x:v>91607</x:v>
      </x:c>
      <x:c r="M2171" t="n">
        <x:v>92065</x:v>
      </x:c>
      <x:c r="N2171" t="n">
        <x:v>97519.5</x:v>
      </x:c>
      <x:c r="O2171" t="n">
        <x:v>102974</x:v>
      </x:c>
    </x:row>
    <x:row r="2172">
      <x:c r="A2172" t="str">
        <x:v>Karnataka</x:v>
      </x:c>
      <x:c r="B2172" t="str">
        <x:v>Deemed University</x:v>
      </x:c>
      <x:c r="C2172" t="str">
        <x:v>200339</x:v>
      </x:c>
      <x:c r="D2172" t="str">
        <x:v>Kasturba Medical College, Mangalore, Light house Hill Road, Mangalore, India</x:v>
      </x:c>
      <x:c r="E2172" t="str">
        <x:v>NRI</x:v>
      </x:c>
      <x:c r="F2172" t="str">
        <x:v>Open</x:v>
      </x:c>
      <x:c r="G2172" t="n">
        <x:v>38</x:v>
      </x:c>
      <x:c r="H2172" t="n">
        <x:v>38</x:v>
      </x:c>
      <x:c r="I2172" t="n">
        <x:f>G2172-H2172</x:f>
        <x:v>0</x:v>
      </x:c>
      <x:c r="J2172" s="20" t="n">
        <x:f>IFERROR(H2172/G2172,0)</x:f>
        <x:v>1</x:v>
      </x:c>
      <x:c r="K2172" t="n">
        <x:v>99454</x:v>
      </x:c>
      <x:c r="L2172" t="n">
        <x:v>247597.5</x:v>
      </x:c>
      <x:c r="M2172" t="n">
        <x:v>384442</x:v>
      </x:c>
      <x:c r="N2172" t="n">
        <x:v>546513</x:v>
      </x:c>
      <x:c r="O2172" t="n">
        <x:v>613252</x:v>
      </x:c>
    </x:row>
    <x:row r="2173">
      <x:c r="A2173" t="str">
        <x:v>Karnataka</x:v>
      </x:c>
      <x:c r="B2173" t="str">
        <x:v>Deemed University</x:v>
      </x:c>
      <x:c r="C2173" t="str">
        <x:v>200339</x:v>
      </x:c>
      <x:c r="D2173" t="str">
        <x:v>Kasturba Medical College, Mangalore, Light house Hill Road, Mangalore, India</x:v>
      </x:c>
      <x:c r="E2173" t="str">
        <x:v>Self-Financed Merit</x:v>
      </x:c>
      <x:c r="F2173" t="str">
        <x:v>Open</x:v>
      </x:c>
      <x:c r="G2173" t="n">
        <x:v>160</x:v>
      </x:c>
      <x:c r="H2173" t="n">
        <x:v>160</x:v>
      </x:c>
      <x:c r="I2173" t="n">
        <x:f>G2173-H2173</x:f>
        <x:v>0</x:v>
      </x:c>
      <x:c r="J2173" s="20" t="n">
        <x:f>IFERROR(H2173/G2173,0)</x:f>
        <x:v>1</x:v>
      </x:c>
      <x:c r="K2173" t="n">
        <x:v>4778</x:v>
      </x:c>
      <x:c r="L2173" t="n">
        <x:v>46073.75</x:v>
      </x:c>
      <x:c r="M2173" t="n">
        <x:v>49966.5</x:v>
      </x:c>
      <x:c r="N2173" t="n">
        <x:v>54616.25</x:v>
      </x:c>
      <x:c r="O2173" t="n">
        <x:v>59030</x:v>
      </x:c>
    </x:row>
    <x:row r="2174">
      <x:c r="A2174" t="str">
        <x:v>Karnataka</x:v>
      </x:c>
      <x:c r="B2174" t="str">
        <x:v>Deemed University</x:v>
      </x:c>
      <x:c r="C2174" t="str">
        <x:v>200340</x:v>
      </x:c>
      <x:c r="D2174" t="str">
        <x:v>Kasturba Medical College, Manipal, Madhav Nagar, Manipal, Karnataka State India</x:v>
      </x:c>
      <x:c r="E2174" t="str">
        <x:v>NRI</x:v>
      </x:c>
      <x:c r="F2174" t="str">
        <x:v>Open</x:v>
      </x:c>
      <x:c r="G2174" t="n">
        <x:v>37</x:v>
      </x:c>
      <x:c r="H2174" t="n">
        <x:v>37</x:v>
      </x:c>
      <x:c r="I2174" t="n">
        <x:f>G2174-H2174</x:f>
        <x:v>0</x:v>
      </x:c>
      <x:c r="J2174" s="20" t="n">
        <x:f>IFERROR(H2174/G2174,0)</x:f>
        <x:v>1</x:v>
      </x:c>
      <x:c r="K2174" t="n">
        <x:v>59464</x:v>
      </x:c>
      <x:c r="L2174" t="n">
        <x:v>259772</x:v>
      </x:c>
      <x:c r="M2174" t="n">
        <x:v>430022</x:v>
      </x:c>
      <x:c r="N2174" t="n">
        <x:v>515907</x:v>
      </x:c>
      <x:c r="O2174" t="n">
        <x:v>598830</x:v>
      </x:c>
    </x:row>
    <x:row r="2175">
      <x:c r="A2175" t="str">
        <x:v>Karnataka</x:v>
      </x:c>
      <x:c r="B2175" t="str">
        <x:v>Deemed University</x:v>
      </x:c>
      <x:c r="C2175" t="str">
        <x:v>200340</x:v>
      </x:c>
      <x:c r="D2175" t="str">
        <x:v>Kasturba Medical College, Manipal, Madhav Nagar, Manipal, Karnataka State India</x:v>
      </x:c>
      <x:c r="E2175" t="str">
        <x:v>Self-Financed Merit</x:v>
      </x:c>
      <x:c r="F2175" t="str">
        <x:v>Open</x:v>
      </x:c>
      <x:c r="G2175" t="n">
        <x:v>213</x:v>
      </x:c>
      <x:c r="H2175" t="n">
        <x:v>213</x:v>
      </x:c>
      <x:c r="I2175" t="n">
        <x:f>G2175-H2175</x:f>
        <x:v>0</x:v>
      </x:c>
      <x:c r="J2175" s="20" t="n">
        <x:f>IFERROR(H2175/G2175,0)</x:f>
        <x:v>1</x:v>
      </x:c>
      <x:c r="K2175" t="n">
        <x:v>267</x:v>
      </x:c>
      <x:c r="L2175" t="n">
        <x:v>24836</x:v>
      </x:c>
      <x:c r="M2175" t="n">
        <x:v>33398</x:v>
      </x:c>
      <x:c r="N2175" t="n">
        <x:v>38444</x:v>
      </x:c>
      <x:c r="O2175" t="n">
        <x:v>42815</x:v>
      </x:c>
    </x:row>
    <x:row r="2176">
      <x:c r="A2176" t="str">
        <x:v>Tamil Nadu</x:v>
      </x:c>
      <x:c r="B2176" t="str">
        <x:v>All India except Central University</x:v>
      </x:c>
      <x:c r="C2176" t="str">
        <x:v>200263</x:v>
      </x:c>
      <x:c r="D2176" t="str">
        <x:v>Kilpauk Medical College, Chennai, No. 822, EVR Periyar salai, Kilpauk,Chennai</x:v>
      </x:c>
      <x:c r="E2176" t="str">
        <x:v>All India</x:v>
      </x:c>
      <x:c r="F2176" t="str">
        <x:v>EWS</x:v>
      </x:c>
      <x:c r="G2176" t="n">
        <x:v>2</x:v>
      </x:c>
      <x:c r="H2176" t="n">
        <x:v>2</x:v>
      </x:c>
      <x:c r="I2176" t="n">
        <x:f>G2176-H2176</x:f>
        <x:v>0</x:v>
      </x:c>
      <x:c r="J2176" s="20" t="n">
        <x:f>IFERROR(H2176/G2176,0)</x:f>
        <x:v>1</x:v>
      </x:c>
      <x:c r="K2176" t="n">
        <x:v>9920</x:v>
      </x:c>
      <x:c r="L2176" t="n">
        <x:v>10950</x:v>
      </x:c>
      <x:c r="M2176" t="n">
        <x:v>11980</x:v>
      </x:c>
      <x:c r="N2176" t="n">
        <x:v>13010</x:v>
      </x:c>
      <x:c r="O2176" t="n">
        <x:v>14040</x:v>
      </x:c>
    </x:row>
    <x:row r="2177">
      <x:c r="A2177" t="str">
        <x:v>Tamil Nadu</x:v>
      </x:c>
      <x:c r="B2177" t="str">
        <x:v>All India except Central University</x:v>
      </x:c>
      <x:c r="C2177" t="str">
        <x:v>200263</x:v>
      </x:c>
      <x:c r="D2177" t="str">
        <x:v>Kilpauk Medical College, Chennai, No. 822, EVR Periyar salai, Kilpauk,Chennai</x:v>
      </x:c>
      <x:c r="E2177" t="str">
        <x:v>All India</x:v>
      </x:c>
      <x:c r="F2177" t="str">
        <x:v>OBC</x:v>
      </x:c>
      <x:c r="G2177" t="n">
        <x:v>6</x:v>
      </x:c>
      <x:c r="H2177" t="n">
        <x:v>6</x:v>
      </x:c>
      <x:c r="I2177" t="n">
        <x:f>G2177-H2177</x:f>
        <x:v>0</x:v>
      </x:c>
      <x:c r="J2177" s="20" t="n">
        <x:f>IFERROR(H2177/G2177,0)</x:f>
        <x:v>1</x:v>
      </x:c>
      <x:c r="K2177" t="n">
        <x:v>1971</x:v>
      </x:c>
      <x:c r="L2177" t="n">
        <x:v>2011</x:v>
      </x:c>
      <x:c r="M2177" t="n">
        <x:v>2024.5</x:v>
      </x:c>
      <x:c r="N2177" t="n">
        <x:v>2120.5</x:v>
      </x:c>
      <x:c r="O2177" t="n">
        <x:v>2165</x:v>
      </x:c>
    </x:row>
    <x:row r="2178">
      <x:c r="A2178" t="str">
        <x:v>Tamil Nadu</x:v>
      </x:c>
      <x:c r="B2178" t="str">
        <x:v>All India except Central University</x:v>
      </x:c>
      <x:c r="C2178" t="str">
        <x:v>200263</x:v>
      </x:c>
      <x:c r="D2178" t="str">
        <x:v>Kilpauk Medical College, Chennai, No. 822, EVR Periyar salai, Kilpauk,Chennai</x:v>
      </x:c>
      <x:c r="E2178" t="str">
        <x:v>All India</x:v>
      </x:c>
      <x:c r="F2178" t="str">
        <x:v>Open</x:v>
      </x:c>
      <x:c r="G2178" t="n">
        <x:v>8</x:v>
      </x:c>
      <x:c r="H2178" t="n">
        <x:v>8</x:v>
      </x:c>
      <x:c r="I2178" t="n">
        <x:f>G2178-H2178</x:f>
        <x:v>0</x:v>
      </x:c>
      <x:c r="J2178" s="20" t="n">
        <x:f>IFERROR(H2178/G2178,0)</x:f>
        <x:v>1</x:v>
      </x:c>
      <x:c r="K2178" t="n">
        <x:v>1199</x:v>
      </x:c>
      <x:c r="L2178" t="n">
        <x:v>1422.75</x:v>
      </x:c>
      <x:c r="M2178" t="n">
        <x:v>1635.5</x:v>
      </x:c>
      <x:c r="N2178" t="n">
        <x:v>1809.75</x:v>
      </x:c>
      <x:c r="O2178" t="n">
        <x:v>1942</x:v>
      </x:c>
    </x:row>
    <x:row r="2179">
      <x:c r="A2179" t="str">
        <x:v>Tamil Nadu</x:v>
      </x:c>
      <x:c r="B2179" t="str">
        <x:v>All India except Central University</x:v>
      </x:c>
      <x:c r="C2179" t="str">
        <x:v>200263</x:v>
      </x:c>
      <x:c r="D2179" t="str">
        <x:v>Kilpauk Medical College, Chennai, No. 822, EVR Periyar salai, Kilpauk,Chennai</x:v>
      </x:c>
      <x:c r="E2179" t="str">
        <x:v>All India</x:v>
      </x:c>
      <x:c r="F2179" t="str">
        <x:v>SC</x:v>
      </x:c>
      <x:c r="G2179" t="n">
        <x:v>4</x:v>
      </x:c>
      <x:c r="H2179" t="n">
        <x:v>4</x:v>
      </x:c>
      <x:c r="I2179" t="n">
        <x:f>G2179-H2179</x:f>
        <x:v>0</x:v>
      </x:c>
      <x:c r="J2179" s="20" t="n">
        <x:f>IFERROR(H2179/G2179,0)</x:f>
        <x:v>1</x:v>
      </x:c>
      <x:c r="K2179" t="n">
        <x:v>6464</x:v>
      </x:c>
      <x:c r="L2179" t="n">
        <x:v>8840</x:v>
      </x:c>
      <x:c r="M2179" t="n">
        <x:v>9718</x:v>
      </x:c>
      <x:c r="N2179" t="n">
        <x:v>10797</x:v>
      </x:c>
      <x:c r="O2179" t="n">
        <x:v>13776</x:v>
      </x:c>
    </x:row>
    <x:row r="2180">
      <x:c r="A2180" t="str">
        <x:v>Tamil Nadu</x:v>
      </x:c>
      <x:c r="B2180" t="str">
        <x:v>All India except Central University</x:v>
      </x:c>
      <x:c r="C2180" t="str">
        <x:v>200263</x:v>
      </x:c>
      <x:c r="D2180" t="str">
        <x:v>Kilpauk Medical College, Chennai, No. 822, EVR Periyar salai, Kilpauk,Chennai</x:v>
      </x:c>
      <x:c r="E2180" t="str">
        <x:v>All India</x:v>
      </x:c>
      <x:c r="F2180" t="str">
        <x:v>ST</x:v>
      </x:c>
      <x:c r="G2180" t="n">
        <x:v>2</x:v>
      </x:c>
      <x:c r="H2180" t="n">
        <x:v>2</x:v>
      </x:c>
      <x:c r="I2180" t="n">
        <x:f>G2180-H2180</x:f>
        <x:v>0</x:v>
      </x:c>
      <x:c r="J2180" s="20" t="n">
        <x:f>IFERROR(H2180/G2180,0)</x:f>
        <x:v>1</x:v>
      </x:c>
      <x:c r="K2180" t="n">
        <x:v>56504</x:v>
      </x:c>
      <x:c r="L2180" t="n">
        <x:v>57765.75</x:v>
      </x:c>
      <x:c r="M2180" t="n">
        <x:v>59027.5</x:v>
      </x:c>
      <x:c r="N2180" t="n">
        <x:v>60289.25</x:v>
      </x:c>
      <x:c r="O2180" t="n">
        <x:v>61551</x:v>
      </x:c>
    </x:row>
    <x:row r="2181">
      <x:c r="A2181" t="str">
        <x:v>Uttar Pradesh</x:v>
      </x:c>
      <x:c r="B2181" t="str">
        <x:v>All India except Central University</x:v>
      </x:c>
      <x:c r="C2181" t="str">
        <x:v>200296</x:v>
      </x:c>
      <x:c r="D2181" t="str">
        <x:v>King George Medical University, Lucknow, SHAHMINA ROAD, CHOWK, LUCKNOW, Uttar Pradesh, 226003</x:v>
      </x:c>
      <x:c r="E2181" t="str">
        <x:v>All India</x:v>
      </x:c>
      <x:c r="F2181" t="str">
        <x:v>EWS</x:v>
      </x:c>
      <x:c r="G2181" t="n">
        <x:v>3</x:v>
      </x:c>
      <x:c r="H2181" t="n">
        <x:v>3</x:v>
      </x:c>
      <x:c r="I2181" t="n">
        <x:f>G2181-H2181</x:f>
        <x:v>0</x:v>
      </x:c>
      <x:c r="J2181" s="20" t="n">
        <x:f>IFERROR(H2181/G2181,0)</x:f>
        <x:v>1</x:v>
      </x:c>
      <x:c r="K2181" t="n">
        <x:v>2187</x:v>
      </x:c>
      <x:c r="L2181" t="n">
        <x:v>2317.5</x:v>
      </x:c>
      <x:c r="M2181" t="n">
        <x:v>2448</x:v>
      </x:c>
      <x:c r="N2181" t="n">
        <x:v>2477.5</x:v>
      </x:c>
      <x:c r="O2181" t="n">
        <x:v>2507</x:v>
      </x:c>
    </x:row>
    <x:row r="2182">
      <x:c r="A2182" t="str">
        <x:v>Uttar Pradesh</x:v>
      </x:c>
      <x:c r="B2182" t="str">
        <x:v>All India except Central University</x:v>
      </x:c>
      <x:c r="C2182" t="str">
        <x:v>200296</x:v>
      </x:c>
      <x:c r="D2182" t="str">
        <x:v>King George Medical University, Lucknow, SHAHMINA ROAD, CHOWK, LUCKNOW, Uttar Pradesh, 226003</x:v>
      </x:c>
      <x:c r="E2182" t="str">
        <x:v>All India</x:v>
      </x:c>
      <x:c r="F2182" t="str">
        <x:v>OBC</x:v>
      </x:c>
      <x:c r="G2182" t="n">
        <x:v>9</x:v>
      </x:c>
      <x:c r="H2182" t="n">
        <x:v>9</x:v>
      </x:c>
      <x:c r="I2182" t="n">
        <x:f>G2182-H2182</x:f>
        <x:v>0</x:v>
      </x:c>
      <x:c r="J2182" s="20" t="n">
        <x:f>IFERROR(H2182/G2182,0)</x:f>
        <x:v>1</x:v>
      </x:c>
      <x:c r="K2182" t="n">
        <x:v>1545</x:v>
      </x:c>
      <x:c r="L2182" t="n">
        <x:v>1781</x:v>
      </x:c>
      <x:c r="M2182" t="n">
        <x:v>1955</x:v>
      </x:c>
      <x:c r="N2182" t="n">
        <x:v>2012</x:v>
      </x:c>
      <x:c r="O2182" t="n">
        <x:v>2087</x:v>
      </x:c>
    </x:row>
    <x:row r="2183">
      <x:c r="A2183" t="str">
        <x:v>Uttar Pradesh</x:v>
      </x:c>
      <x:c r="B2183" t="str">
        <x:v>All India except Central University</x:v>
      </x:c>
      <x:c r="C2183" t="str">
        <x:v>200296</x:v>
      </x:c>
      <x:c r="D2183" t="str">
        <x:v>King George Medical University, Lucknow, SHAHMINA ROAD, CHOWK, LUCKNOW, Uttar Pradesh, 226003</x:v>
      </x:c>
      <x:c r="E2183" t="str">
        <x:v>All India</x:v>
      </x:c>
      <x:c r="F2183" t="str">
        <x:v>OBC PwD</x:v>
      </x:c>
      <x:c r="G2183" t="n">
        <x:v>1</x:v>
      </x:c>
      <x:c r="H2183" t="n">
        <x:v>1</x:v>
      </x:c>
      <x:c r="I2183" t="n">
        <x:f>G2183-H2183</x:f>
        <x:v>0</x:v>
      </x:c>
      <x:c r="J2183" s="20" t="n">
        <x:f>IFERROR(H2183/G2183,0)</x:f>
        <x:v>1</x:v>
      </x:c>
      <x:c r="K2183" t="n">
        <x:v>127800</x:v>
      </x:c>
      <x:c r="L2183" t="n">
        <x:v>127800</x:v>
      </x:c>
      <x:c r="M2183" t="n">
        <x:v>127800</x:v>
      </x:c>
      <x:c r="N2183" t="n">
        <x:v>127800</x:v>
      </x:c>
      <x:c r="O2183" t="n">
        <x:v>127800</x:v>
      </x:c>
    </x:row>
    <x:row r="2184">
      <x:c r="A2184" t="str">
        <x:v>Uttar Pradesh</x:v>
      </x:c>
      <x:c r="B2184" t="str">
        <x:v>All India except Central University</x:v>
      </x:c>
      <x:c r="C2184" t="str">
        <x:v>200296</x:v>
      </x:c>
      <x:c r="D2184" t="str">
        <x:v>King George Medical University, Lucknow, SHAHMINA ROAD, CHOWK, LUCKNOW, Uttar Pradesh, 226003</x:v>
      </x:c>
      <x:c r="E2184" t="str">
        <x:v>All India</x:v>
      </x:c>
      <x:c r="F2184" t="str">
        <x:v>Open</x:v>
      </x:c>
      <x:c r="G2184" t="n">
        <x:v>16</x:v>
      </x:c>
      <x:c r="H2184" t="n">
        <x:v>16</x:v>
      </x:c>
      <x:c r="I2184" t="n">
        <x:f>G2184-H2184</x:f>
        <x:v>0</x:v>
      </x:c>
      <x:c r="J2184" s="20" t="n">
        <x:f>IFERROR(H2184/G2184,0)</x:f>
        <x:v>1</x:v>
      </x:c>
      <x:c r="K2184" t="n">
        <x:v>308</x:v>
      </x:c>
      <x:c r="L2184" t="n">
        <x:v>1139.75</x:v>
      </x:c>
      <x:c r="M2184" t="n">
        <x:v>1194.5</x:v>
      </x:c>
      <x:c r="N2184" t="n">
        <x:v>1249</x:v>
      </x:c>
      <x:c r="O2184" t="n">
        <x:v>1349</x:v>
      </x:c>
    </x:row>
    <x:row r="2185">
      <x:c r="A2185" t="str">
        <x:v>Uttar Pradesh</x:v>
      </x:c>
      <x:c r="B2185" t="str">
        <x:v>All India except Central University</x:v>
      </x:c>
      <x:c r="C2185" t="str">
        <x:v>200296</x:v>
      </x:c>
      <x:c r="D2185" t="str">
        <x:v>King George Medical University, Lucknow, SHAHMINA ROAD, CHOWK, LUCKNOW, Uttar Pradesh, 226003</x:v>
      </x:c>
      <x:c r="E2185" t="str">
        <x:v>All India</x:v>
      </x:c>
      <x:c r="F2185" t="str">
        <x:v>Open PwD</x:v>
      </x:c>
      <x:c r="G2185" t="n">
        <x:v>1</x:v>
      </x:c>
      <x:c r="H2185" t="n">
        <x:v>1</x:v>
      </x:c>
      <x:c r="I2185" t="n">
        <x:f>G2185-H2185</x:f>
        <x:v>0</x:v>
      </x:c>
      <x:c r="J2185" s="20" t="n">
        <x:f>IFERROR(H2185/G2185,0)</x:f>
        <x:v>1</x:v>
      </x:c>
      <x:c r="K2185" t="n">
        <x:v>12492</x:v>
      </x:c>
      <x:c r="L2185" t="n">
        <x:v>12492</x:v>
      </x:c>
      <x:c r="M2185" t="n">
        <x:v>12492</x:v>
      </x:c>
      <x:c r="N2185" t="n">
        <x:v>12492</x:v>
      </x:c>
      <x:c r="O2185" t="n">
        <x:v>12492</x:v>
      </x:c>
    </x:row>
    <x:row r="2186">
      <x:c r="A2186" t="str">
        <x:v>Uttar Pradesh</x:v>
      </x:c>
      <x:c r="B2186" t="str">
        <x:v>All India except Central University</x:v>
      </x:c>
      <x:c r="C2186" t="str">
        <x:v>200296</x:v>
      </x:c>
      <x:c r="D2186" t="str">
        <x:v>King George Medical University, Lucknow, SHAHMINA ROAD, CHOWK, LUCKNOW, Uttar Pradesh, 226003</x:v>
      </x:c>
      <x:c r="E2186" t="str">
        <x:v>All India</x:v>
      </x:c>
      <x:c r="F2186" t="str">
        <x:v>SC</x:v>
      </x:c>
      <x:c r="G2186" t="n">
        <x:v>5</x:v>
      </x:c>
      <x:c r="H2186" t="n">
        <x:v>5</x:v>
      </x:c>
      <x:c r="I2186" t="n">
        <x:f>G2186-H2186</x:f>
        <x:v>0</x:v>
      </x:c>
      <x:c r="J2186" s="20" t="n">
        <x:f>IFERROR(H2186/G2186,0)</x:f>
        <x:v>1</x:v>
      </x:c>
      <x:c r="K2186" t="n">
        <x:v>14642</x:v>
      </x:c>
      <x:c r="L2186" t="n">
        <x:v>15635</x:v>
      </x:c>
      <x:c r="M2186" t="n">
        <x:v>16102</x:v>
      </x:c>
      <x:c r="N2186" t="n">
        <x:v>16509</x:v>
      </x:c>
      <x:c r="O2186" t="n">
        <x:v>17539</x:v>
      </x:c>
    </x:row>
    <x:row r="2187">
      <x:c r="A2187" t="str">
        <x:v>Uttar Pradesh</x:v>
      </x:c>
      <x:c r="B2187" t="str">
        <x:v>All India except Central University</x:v>
      </x:c>
      <x:c r="C2187" t="str">
        <x:v>200296</x:v>
      </x:c>
      <x:c r="D2187" t="str">
        <x:v>King George Medical University, Lucknow, SHAHMINA ROAD, CHOWK, LUCKNOW, Uttar Pradesh, 226003</x:v>
      </x:c>
      <x:c r="E2187" t="str">
        <x:v>All India</x:v>
      </x:c>
      <x:c r="F2187" t="str">
        <x:v>ST</x:v>
      </x:c>
      <x:c r="G2187" t="n">
        <x:v>2</x:v>
      </x:c>
      <x:c r="H2187" t="n">
        <x:v>2</x:v>
      </x:c>
      <x:c r="I2187" t="n">
        <x:f>G2187-H2187</x:f>
        <x:v>0</x:v>
      </x:c>
      <x:c r="J2187" s="20" t="n">
        <x:f>IFERROR(H2187/G2187,0)</x:f>
        <x:v>1</x:v>
      </x:c>
      <x:c r="K2187" t="n">
        <x:v>14777</x:v>
      </x:c>
      <x:c r="L2187" t="n">
        <x:v>17234.25</x:v>
      </x:c>
      <x:c r="M2187" t="n">
        <x:v>19691.5</x:v>
      </x:c>
      <x:c r="N2187" t="n">
        <x:v>22148.75</x:v>
      </x:c>
      <x:c r="O2187" t="n">
        <x:v>24606</x:v>
      </x:c>
    </x:row>
    <x:row r="2188">
      <x:c r="A2188" t="str">
        <x:v>Karnataka</x:v>
      </x:c>
      <x:c r="B2188" t="str">
        <x:v>All India except Central University</x:v>
      </x:c>
      <x:c r="C2188" t="str">
        <x:v>200175</x:v>
      </x:c>
      <x:c r="D2188" t="str">
        <x:v>Kodagu Institute of Medical Sciences, Kodagu, Kodagu Institute of Medical Sciences, Madikeri.</x:v>
      </x:c>
      <x:c r="E2188" t="str">
        <x:v>All India</x:v>
      </x:c>
      <x:c r="F2188" t="str">
        <x:v>EWS</x:v>
      </x:c>
      <x:c r="G2188" t="n">
        <x:v>2</x:v>
      </x:c>
      <x:c r="H2188" t="n">
        <x:v>2</x:v>
      </x:c>
      <x:c r="I2188" t="n">
        <x:f>G2188-H2188</x:f>
        <x:v>0</x:v>
      </x:c>
      <x:c r="J2188" s="20" t="n">
        <x:f>IFERROR(H2188/G2188,0)</x:f>
        <x:v>1</x:v>
      </x:c>
      <x:c r="K2188" t="n">
        <x:v>23872</x:v>
      </x:c>
      <x:c r="L2188" t="n">
        <x:v>23972</x:v>
      </x:c>
      <x:c r="M2188" t="n">
        <x:v>24072</x:v>
      </x:c>
      <x:c r="N2188" t="n">
        <x:v>24172</x:v>
      </x:c>
      <x:c r="O2188" t="n">
        <x:v>24272</x:v>
      </x:c>
    </x:row>
    <x:row r="2189">
      <x:c r="A2189" t="str">
        <x:v>Karnataka</x:v>
      </x:c>
      <x:c r="B2189" t="str">
        <x:v>All India except Central University</x:v>
      </x:c>
      <x:c r="C2189" t="str">
        <x:v>200175</x:v>
      </x:c>
      <x:c r="D2189" t="str">
        <x:v>Kodagu Institute of Medical Sciences, Kodagu, Kodagu Institute of Medical Sciences, Madikeri.</x:v>
      </x:c>
      <x:c r="E2189" t="str">
        <x:v>All India</x:v>
      </x:c>
      <x:c r="F2189" t="str">
        <x:v>OBC</x:v>
      </x:c>
      <x:c r="G2189" t="n">
        <x:v>5</x:v>
      </x:c>
      <x:c r="H2189" t="n">
        <x:v>5</x:v>
      </x:c>
      <x:c r="I2189" t="n">
        <x:f>G2189-H2189</x:f>
        <x:v>0</x:v>
      </x:c>
      <x:c r="J2189" s="20" t="n">
        <x:f>IFERROR(H2189/G2189,0)</x:f>
        <x:v>1</x:v>
      </x:c>
      <x:c r="K2189" t="n">
        <x:v>13582</x:v>
      </x:c>
      <x:c r="L2189" t="n">
        <x:v>14141</x:v>
      </x:c>
      <x:c r="M2189" t="n">
        <x:v>14871</x:v>
      </x:c>
      <x:c r="N2189" t="n">
        <x:v>14939</x:v>
      </x:c>
      <x:c r="O2189" t="n">
        <x:v>15124</x:v>
      </x:c>
    </x:row>
    <x:row r="2190">
      <x:c r="A2190" t="str">
        <x:v>Karnataka</x:v>
      </x:c>
      <x:c r="B2190" t="str">
        <x:v>All India except Central University</x:v>
      </x:c>
      <x:c r="C2190" t="str">
        <x:v>200175</x:v>
      </x:c>
      <x:c r="D2190" t="str">
        <x:v>Kodagu Institute of Medical Sciences, Kodagu, Kodagu Institute of Medical Sciences, Madikeri.</x:v>
      </x:c>
      <x:c r="E2190" t="str">
        <x:v>All India</x:v>
      </x:c>
      <x:c r="F2190" t="str">
        <x:v>OBC PwD</x:v>
      </x:c>
      <x:c r="G2190" t="n">
        <x:v>1</x:v>
      </x:c>
      <x:c r="H2190" t="n">
        <x:v>1</x:v>
      </x:c>
      <x:c r="I2190" t="n">
        <x:f>G2190-H2190</x:f>
        <x:v>0</x:v>
      </x:c>
      <x:c r="J2190" s="20" t="n">
        <x:f>IFERROR(H2190/G2190,0)</x:f>
        <x:v>1</x:v>
      </x:c>
      <x:c r="K2190" t="n">
        <x:v>798747</x:v>
      </x:c>
      <x:c r="L2190" t="n">
        <x:v>798747</x:v>
      </x:c>
      <x:c r="M2190" t="n">
        <x:v>798747</x:v>
      </x:c>
      <x:c r="N2190" t="n">
        <x:v>798747</x:v>
      </x:c>
      <x:c r="O2190" t="n">
        <x:v>798747</x:v>
      </x:c>
    </x:row>
    <x:row r="2191">
      <x:c r="A2191" t="str">
        <x:v>Karnataka</x:v>
      </x:c>
      <x:c r="B2191" t="str">
        <x:v>All India except Central University</x:v>
      </x:c>
      <x:c r="C2191" t="str">
        <x:v>200175</x:v>
      </x:c>
      <x:c r="D2191" t="str">
        <x:v>Kodagu Institute of Medical Sciences, Kodagu, Kodagu Institute of Medical Sciences, Madikeri.</x:v>
      </x:c>
      <x:c r="E2191" t="str">
        <x:v>All India</x:v>
      </x:c>
      <x:c r="F2191" t="str">
        <x:v>Open</x:v>
      </x:c>
      <x:c r="G2191" t="n">
        <x:v>9</x:v>
      </x:c>
      <x:c r="H2191" t="n">
        <x:v>9</x:v>
      </x:c>
      <x:c r="I2191" t="n">
        <x:f>G2191-H2191</x:f>
        <x:v>0</x:v>
      </x:c>
      <x:c r="J2191" s="20" t="n">
        <x:f>IFERROR(H2191/G2191,0)</x:f>
        <x:v>1</x:v>
      </x:c>
      <x:c r="K2191" t="n">
        <x:v>11097</x:v>
      </x:c>
      <x:c r="L2191" t="n">
        <x:v>11887</x:v>
      </x:c>
      <x:c r="M2191" t="n">
        <x:v>12490</x:v>
      </x:c>
      <x:c r="N2191" t="n">
        <x:v>13251</x:v>
      </x:c>
      <x:c r="O2191" t="n">
        <x:v>13482</x:v>
      </x:c>
    </x:row>
    <x:row r="2192">
      <x:c r="A2192" t="str">
        <x:v>Karnataka</x:v>
      </x:c>
      <x:c r="B2192" t="str">
        <x:v>All India except Central University</x:v>
      </x:c>
      <x:c r="C2192" t="str">
        <x:v>200175</x:v>
      </x:c>
      <x:c r="D2192" t="str">
        <x:v>Kodagu Institute of Medical Sciences, Kodagu, Kodagu Institute of Medical Sciences, Madikeri.</x:v>
      </x:c>
      <x:c r="E2192" t="str">
        <x:v>All India</x:v>
      </x:c>
      <x:c r="F2192" t="str">
        <x:v>Open PwD</x:v>
      </x:c>
      <x:c r="G2192" t="n">
        <x:v>1</x:v>
      </x:c>
      <x:c r="H2192" t="n">
        <x:v>1</x:v>
      </x:c>
      <x:c r="I2192" t="n">
        <x:f>G2192-H2192</x:f>
        <x:v>0</x:v>
      </x:c>
      <x:c r="J2192" s="20" t="n">
        <x:f>IFERROR(H2192/G2192,0)</x:f>
        <x:v>1</x:v>
      </x:c>
      <x:c r="K2192" t="n">
        <x:v>603058</x:v>
      </x:c>
      <x:c r="L2192" t="n">
        <x:v>603058</x:v>
      </x:c>
      <x:c r="M2192" t="n">
        <x:v>603058</x:v>
      </x:c>
      <x:c r="N2192" t="n">
        <x:v>603058</x:v>
      </x:c>
      <x:c r="O2192" t="n">
        <x:v>603058</x:v>
      </x:c>
    </x:row>
    <x:row r="2193">
      <x:c r="A2193" t="str">
        <x:v>Karnataka</x:v>
      </x:c>
      <x:c r="B2193" t="str">
        <x:v>All India except Central University</x:v>
      </x:c>
      <x:c r="C2193" t="str">
        <x:v>200175</x:v>
      </x:c>
      <x:c r="D2193" t="str">
        <x:v>Kodagu Institute of Medical Sciences, Kodagu, Kodagu Institute of Medical Sciences, Madikeri.</x:v>
      </x:c>
      <x:c r="E2193" t="str">
        <x:v>All India</x:v>
      </x:c>
      <x:c r="F2193" t="str">
        <x:v>SC</x:v>
      </x:c>
      <x:c r="G2193" t="n">
        <x:v>3</x:v>
      </x:c>
      <x:c r="H2193" t="n">
        <x:v>3</x:v>
      </x:c>
      <x:c r="I2193" t="n">
        <x:f>G2193-H2193</x:f>
        <x:v>0</x:v>
      </x:c>
      <x:c r="J2193" s="20" t="n">
        <x:f>IFERROR(H2193/G2193,0)</x:f>
        <x:v>1</x:v>
      </x:c>
      <x:c r="K2193" t="n">
        <x:v>74470</x:v>
      </x:c>
      <x:c r="L2193" t="n">
        <x:v>75093.5</x:v>
      </x:c>
      <x:c r="M2193" t="n">
        <x:v>75717</x:v>
      </x:c>
      <x:c r="N2193" t="n">
        <x:v>80988</x:v>
      </x:c>
      <x:c r="O2193" t="n">
        <x:v>86259</x:v>
      </x:c>
    </x:row>
    <x:row r="2194">
      <x:c r="A2194" t="str">
        <x:v>Karnataka</x:v>
      </x:c>
      <x:c r="B2194" t="str">
        <x:v>All India except Central University</x:v>
      </x:c>
      <x:c r="C2194" t="str">
        <x:v>200175</x:v>
      </x:c>
      <x:c r="D2194" t="str">
        <x:v>Kodagu Institute of Medical Sciences, Kodagu, Kodagu Institute of Medical Sciences, Madikeri.</x:v>
      </x:c>
      <x:c r="E2194" t="str">
        <x:v>All India</x:v>
      </x:c>
      <x:c r="F2194" t="str">
        <x:v>ST</x:v>
      </x:c>
      <x:c r="G2194" t="n">
        <x:v>1</x:v>
      </x:c>
      <x:c r="H2194" t="n">
        <x:v>1</x:v>
      </x:c>
      <x:c r="I2194" t="n">
        <x:f>G2194-H2194</x:f>
        <x:v>0</x:v>
      </x:c>
      <x:c r="J2194" s="20" t="n">
        <x:f>IFERROR(H2194/G2194,0)</x:f>
        <x:v>1</x:v>
      </x:c>
      <x:c r="K2194" t="n">
        <x:v>103065</x:v>
      </x:c>
      <x:c r="L2194" t="n">
        <x:v>103065</x:v>
      </x:c>
      <x:c r="M2194" t="n">
        <x:v>103065</x:v>
      </x:c>
      <x:c r="N2194" t="n">
        <x:v>103065</x:v>
      </x:c>
      <x:c r="O2194" t="n">
        <x:v>103065</x:v>
      </x:c>
    </x:row>
    <x:row r="2195">
      <x:c r="A2195" t="str">
        <x:v>Assam</x:v>
      </x:c>
      <x:c r="B2195" t="str">
        <x:v>All India except Central University</x:v>
      </x:c>
      <x:c r="C2195" t="str">
        <x:v>200652</x:v>
      </x:c>
      <x:c r="D2195" t="str">
        <x:v>Kokrajhar Medical College, Rangalikhata Pt.-1, Kokrajhar</x:v>
      </x:c>
      <x:c r="E2195" t="str">
        <x:v>All India</x:v>
      </x:c>
      <x:c r="F2195" t="str">
        <x:v>EWS</x:v>
      </x:c>
      <x:c r="G2195" t="n">
        <x:v>1</x:v>
      </x:c>
      <x:c r="H2195" t="n">
        <x:v>1</x:v>
      </x:c>
      <x:c r="I2195" t="n">
        <x:f>G2195-H2195</x:f>
        <x:v>0</x:v>
      </x:c>
      <x:c r="J2195" s="20" t="n">
        <x:f>IFERROR(H2195/G2195,0)</x:f>
        <x:v>1</x:v>
      </x:c>
      <x:c r="K2195" t="n">
        <x:v>25203</x:v>
      </x:c>
      <x:c r="L2195" t="n">
        <x:v>25203</x:v>
      </x:c>
      <x:c r="M2195" t="n">
        <x:v>25203</x:v>
      </x:c>
      <x:c r="N2195" t="n">
        <x:v>25203</x:v>
      </x:c>
      <x:c r="O2195" t="n">
        <x:v>25203</x:v>
      </x:c>
    </x:row>
    <x:row r="2196">
      <x:c r="A2196" t="str">
        <x:v>Assam</x:v>
      </x:c>
      <x:c r="B2196" t="str">
        <x:v>All India except Central University</x:v>
      </x:c>
      <x:c r="C2196" t="str">
        <x:v>200652</x:v>
      </x:c>
      <x:c r="D2196" t="str">
        <x:v>Kokrajhar Medical College, Rangalikhata Pt.-1, Kokrajhar</x:v>
      </x:c>
      <x:c r="E2196" t="str">
        <x:v>All India</x:v>
      </x:c>
      <x:c r="F2196" t="str">
        <x:v>OBC</x:v>
      </x:c>
      <x:c r="G2196" t="n">
        <x:v>4</x:v>
      </x:c>
      <x:c r="H2196" t="n">
        <x:v>4</x:v>
      </x:c>
      <x:c r="I2196" t="n">
        <x:f>G2196-H2196</x:f>
        <x:v>0</x:v>
      </x:c>
      <x:c r="J2196" s="20" t="n">
        <x:f>IFERROR(H2196/G2196,0)</x:f>
        <x:v>1</x:v>
      </x:c>
      <x:c r="K2196" t="n">
        <x:v>22586</x:v>
      </x:c>
      <x:c r="L2196" t="n">
        <x:v>22675.25</x:v>
      </x:c>
      <x:c r="M2196" t="n">
        <x:v>22779</x:v>
      </x:c>
      <x:c r="N2196" t="n">
        <x:v>22873.5</x:v>
      </x:c>
      <x:c r="O2196" t="n">
        <x:v>22935</x:v>
      </x:c>
    </x:row>
    <x:row r="2197">
      <x:c r="A2197" t="str">
        <x:v>Assam</x:v>
      </x:c>
      <x:c r="B2197" t="str">
        <x:v>All India except Central University</x:v>
      </x:c>
      <x:c r="C2197" t="str">
        <x:v>200652</x:v>
      </x:c>
      <x:c r="D2197" t="str">
        <x:v>Kokrajhar Medical College, Rangalikhata Pt.-1, Kokrajhar</x:v>
      </x:c>
      <x:c r="E2197" t="str">
        <x:v>All India</x:v>
      </x:c>
      <x:c r="F2197" t="str">
        <x:v>Open</x:v>
      </x:c>
      <x:c r="G2197" t="n">
        <x:v>6</x:v>
      </x:c>
      <x:c r="H2197" t="n">
        <x:v>6</x:v>
      </x:c>
      <x:c r="I2197" t="n">
        <x:f>G2197-H2197</x:f>
        <x:v>0</x:v>
      </x:c>
      <x:c r="J2197" s="20" t="n">
        <x:f>IFERROR(H2197/G2197,0)</x:f>
        <x:v>1</x:v>
      </x:c>
      <x:c r="K2197" t="n">
        <x:v>20581</x:v>
      </x:c>
      <x:c r="L2197" t="n">
        <x:v>21183</x:v>
      </x:c>
      <x:c r="M2197" t="n">
        <x:v>21540.5</x:v>
      </x:c>
      <x:c r="N2197" t="n">
        <x:v>21819.25</x:v>
      </x:c>
      <x:c r="O2197" t="n">
        <x:v>21929</x:v>
      </x:c>
    </x:row>
    <x:row r="2198">
      <x:c r="A2198" t="str">
        <x:v>Assam</x:v>
      </x:c>
      <x:c r="B2198" t="str">
        <x:v>All India except Central University</x:v>
      </x:c>
      <x:c r="C2198" t="str">
        <x:v>200652</x:v>
      </x:c>
      <x:c r="D2198" t="str">
        <x:v>Kokrajhar Medical College, Rangalikhata Pt.-1, Kokrajhar</x:v>
      </x:c>
      <x:c r="E2198" t="str">
        <x:v>All India</x:v>
      </x:c>
      <x:c r="F2198" t="str">
        <x:v>SC</x:v>
      </x:c>
      <x:c r="G2198" t="n">
        <x:v>3</x:v>
      </x:c>
      <x:c r="H2198" t="n">
        <x:v>3</x:v>
      </x:c>
      <x:c r="I2198" t="n">
        <x:f>G2198-H2198</x:f>
        <x:v>0</x:v>
      </x:c>
      <x:c r="J2198" s="20" t="n">
        <x:f>IFERROR(H2198/G2198,0)</x:f>
        <x:v>1</x:v>
      </x:c>
      <x:c r="K2198" t="n">
        <x:v>103660</x:v>
      </x:c>
      <x:c r="L2198" t="n">
        <x:v>104173.5</x:v>
      </x:c>
      <x:c r="M2198" t="n">
        <x:v>104687</x:v>
      </x:c>
      <x:c r="N2198" t="n">
        <x:v>104737</x:v>
      </x:c>
      <x:c r="O2198" t="n">
        <x:v>104787</x:v>
      </x:c>
    </x:row>
    <x:row r="2199">
      <x:c r="A2199" t="str">
        <x:v>Assam</x:v>
      </x:c>
      <x:c r="B2199" t="str">
        <x:v>All India except Central University</x:v>
      </x:c>
      <x:c r="C2199" t="str">
        <x:v>200652</x:v>
      </x:c>
      <x:c r="D2199" t="str">
        <x:v>Kokrajhar Medical College, Rangalikhata Pt.-1, Kokrajhar</x:v>
      </x:c>
      <x:c r="E2199" t="str">
        <x:v>All India</x:v>
      </x:c>
      <x:c r="F2199" t="str">
        <x:v>ST</x:v>
      </x:c>
      <x:c r="G2199" t="n">
        <x:v>1</x:v>
      </x:c>
      <x:c r="H2199" t="n">
        <x:v>1</x:v>
      </x:c>
      <x:c r="I2199" t="n">
        <x:f>G2199-H2199</x:f>
        <x:v>0</x:v>
      </x:c>
      <x:c r="J2199" s="20" t="n">
        <x:f>IFERROR(H2199/G2199,0)</x:f>
        <x:v>1</x:v>
      </x:c>
      <x:c r="K2199" t="n">
        <x:v>117339</x:v>
      </x:c>
      <x:c r="L2199" t="n">
        <x:v>117339</x:v>
      </x:c>
      <x:c r="M2199" t="n">
        <x:v>117339</x:v>
      </x:c>
      <x:c r="N2199" t="n">
        <x:v>117339</x:v>
      </x:c>
      <x:c r="O2199" t="n">
        <x:v>117339</x:v>
      </x:c>
    </x:row>
    <x:row r="2200">
      <x:c r="A2200" t="str">
        <x:v>Karnataka</x:v>
      </x:c>
      <x:c r="B2200" t="str">
        <x:v>All India except Central University</x:v>
      </x:c>
      <x:c r="C2200" t="str">
        <x:v>200176</x:v>
      </x:c>
      <x:c r="D2200" t="str">
        <x:v>Koppal Institute of Medical Sciences, Koppal, DIRECTOR, KIMS,KOPPAL. GAGNAVATI ROAD, KIDDIDAL GATE,KOPPAL- 583231</x:v>
      </x:c>
      <x:c r="E2200" t="str">
        <x:v>All India</x:v>
      </x:c>
      <x:c r="F2200" t="str">
        <x:v>EWS</x:v>
      </x:c>
      <x:c r="G2200" t="n">
        <x:v>3</x:v>
      </x:c>
      <x:c r="H2200" t="n">
        <x:v>3</x:v>
      </x:c>
      <x:c r="I2200" t="n">
        <x:f>G2200-H2200</x:f>
        <x:v>0</x:v>
      </x:c>
      <x:c r="J2200" s="20" t="n">
        <x:f>IFERROR(H2200/G2200,0)</x:f>
        <x:v>1</x:v>
      </x:c>
      <x:c r="K2200" t="n">
        <x:v>23931</x:v>
      </x:c>
      <x:c r="L2200" t="n">
        <x:v>23973.5</x:v>
      </x:c>
      <x:c r="M2200" t="n">
        <x:v>24016</x:v>
      </x:c>
      <x:c r="N2200" t="n">
        <x:v>24167.5</x:v>
      </x:c>
      <x:c r="O2200" t="n">
        <x:v>24319</x:v>
      </x:c>
    </x:row>
    <x:row r="2201">
      <x:c r="A2201" t="str">
        <x:v>Karnataka</x:v>
      </x:c>
      <x:c r="B2201" t="str">
        <x:v>All India except Central University</x:v>
      </x:c>
      <x:c r="C2201" t="str">
        <x:v>200176</x:v>
      </x:c>
      <x:c r="D2201" t="str">
        <x:v>Koppal Institute of Medical Sciences, Koppal, DIRECTOR, KIMS,KOPPAL. GAGNAVATI ROAD, KIDDIDAL GATE,KOPPAL- 583231</x:v>
      </x:c>
      <x:c r="E2201" t="str">
        <x:v>All India</x:v>
      </x:c>
      <x:c r="F2201" t="str">
        <x:v>OBC</x:v>
      </x:c>
      <x:c r="G2201" t="n">
        <x:v>8</x:v>
      </x:c>
      <x:c r="H2201" t="n">
        <x:v>8</x:v>
      </x:c>
      <x:c r="I2201" t="n">
        <x:f>G2201-H2201</x:f>
        <x:v>0</x:v>
      </x:c>
      <x:c r="J2201" s="20" t="n">
        <x:f>IFERROR(H2201/G2201,0)</x:f>
        <x:v>1</x:v>
      </x:c>
      <x:c r="K2201" t="n">
        <x:v>18313</x:v>
      </x:c>
      <x:c r="L2201" t="n">
        <x:v>18431.25</x:v>
      </x:c>
      <x:c r="M2201" t="n">
        <x:v>18685.5</x:v>
      </x:c>
      <x:c r="N2201" t="n">
        <x:v>18845</x:v>
      </x:c>
      <x:c r="O2201" t="n">
        <x:v>19017</x:v>
      </x:c>
    </x:row>
    <x:row r="2202">
      <x:c r="A2202" t="str">
        <x:v>Karnataka</x:v>
      </x:c>
      <x:c r="B2202" t="str">
        <x:v>All India except Central University</x:v>
      </x:c>
      <x:c r="C2202" t="str">
        <x:v>200176</x:v>
      </x:c>
      <x:c r="D2202" t="str">
        <x:v>Koppal Institute of Medical Sciences, Koppal, DIRECTOR, KIMS,KOPPAL. GAGNAVATI ROAD, KIDDIDAL GATE,KOPPAL- 583231</x:v>
      </x:c>
      <x:c r="E2202" t="str">
        <x:v>All India</x:v>
      </x:c>
      <x:c r="F2202" t="str">
        <x:v>Open</x:v>
      </x:c>
      <x:c r="G2202" t="n">
        <x:v>11</x:v>
      </x:c>
      <x:c r="H2202" t="n">
        <x:v>11</x:v>
      </x:c>
      <x:c r="I2202" t="n">
        <x:f>G2202-H2202</x:f>
        <x:v>0</x:v>
      </x:c>
      <x:c r="J2202" s="20" t="n">
        <x:f>IFERROR(H2202/G2202,0)</x:f>
        <x:v>1</x:v>
      </x:c>
      <x:c r="K2202" t="n">
        <x:v>14317</x:v>
      </x:c>
      <x:c r="L2202" t="n">
        <x:v>16532</x:v>
      </x:c>
      <x:c r="M2202" t="n">
        <x:v>17316</x:v>
      </x:c>
      <x:c r="N2202" t="n">
        <x:v>17549</x:v>
      </x:c>
      <x:c r="O2202" t="n">
        <x:v>17689</x:v>
      </x:c>
    </x:row>
    <x:row r="2203">
      <x:c r="A2203" t="str">
        <x:v>Karnataka</x:v>
      </x:c>
      <x:c r="B2203" t="str">
        <x:v>All India except Central University</x:v>
      </x:c>
      <x:c r="C2203" t="str">
        <x:v>200176</x:v>
      </x:c>
      <x:c r="D2203" t="str">
        <x:v>Koppal Institute of Medical Sciences, Koppal, DIRECTOR, KIMS,KOPPAL. GAGNAVATI ROAD, KIDDIDAL GATE,KOPPAL- 583231</x:v>
      </x:c>
      <x:c r="E2203" t="str">
        <x:v>All India</x:v>
      </x:c>
      <x:c r="F2203" t="str">
        <x:v>SC</x:v>
      </x:c>
      <x:c r="G2203" t="n">
        <x:v>5</x:v>
      </x:c>
      <x:c r="H2203" t="n">
        <x:v>5</x:v>
      </x:c>
      <x:c r="I2203" t="n">
        <x:f>G2203-H2203</x:f>
        <x:v>0</x:v>
      </x:c>
      <x:c r="J2203" s="20" t="n">
        <x:f>IFERROR(H2203/G2203,0)</x:f>
        <x:v>1</x:v>
      </x:c>
      <x:c r="K2203" t="n">
        <x:v>90246</x:v>
      </x:c>
      <x:c r="L2203" t="n">
        <x:v>90422</x:v>
      </x:c>
      <x:c r="M2203" t="n">
        <x:v>91137</x:v>
      </x:c>
      <x:c r="N2203" t="n">
        <x:v>95262</x:v>
      </x:c>
      <x:c r="O2203" t="n">
        <x:v>95646</x:v>
      </x:c>
    </x:row>
    <x:row r="2204">
      <x:c r="A2204" t="str">
        <x:v>Karnataka</x:v>
      </x:c>
      <x:c r="B2204" t="str">
        <x:v>All India except Central University</x:v>
      </x:c>
      <x:c r="C2204" t="str">
        <x:v>200176</x:v>
      </x:c>
      <x:c r="D2204" t="str">
        <x:v>Koppal Institute of Medical Sciences, Koppal, DIRECTOR, KIMS,KOPPAL. GAGNAVATI ROAD, KIDDIDAL GATE,KOPPAL- 583231</x:v>
      </x:c>
      <x:c r="E2204" t="str">
        <x:v>All India</x:v>
      </x:c>
      <x:c r="F2204" t="str">
        <x:v>ST</x:v>
      </x:c>
      <x:c r="G2204" t="n">
        <x:v>3</x:v>
      </x:c>
      <x:c r="H2204" t="n">
        <x:v>3</x:v>
      </x:c>
      <x:c r="I2204" t="n">
        <x:f>G2204-H2204</x:f>
        <x:v>0</x:v>
      </x:c>
      <x:c r="J2204" s="20" t="n">
        <x:f>IFERROR(H2204/G2204,0)</x:f>
        <x:v>1</x:v>
      </x:c>
      <x:c r="K2204" t="n">
        <x:v>86116</x:v>
      </x:c>
      <x:c r="L2204" t="n">
        <x:v>93871.5</x:v>
      </x:c>
      <x:c r="M2204" t="n">
        <x:v>101627</x:v>
      </x:c>
      <x:c r="N2204" t="n">
        <x:v>106979</x:v>
      </x:c>
      <x:c r="O2204" t="n">
        <x:v>112331</x:v>
      </x:c>
    </x:row>
    <x:row r="2205">
      <x:c r="A2205" t="str">
        <x:v>Maharashtra</x:v>
      </x:c>
      <x:c r="B2205" t="str">
        <x:v>Deemed University</x:v>
      </x:c>
      <x:c r="C2205" t="str">
        <x:v>200365</x:v>
      </x:c>
      <x:c r="D2205" t="str">
        <x:v>Krishna Institute of Medical Sciences, Karad, KARAD, DIST. SATARA (MAHARASHTRA STATE).</x:v>
      </x:c>
      <x:c r="E2205" t="str">
        <x:v>NRI</x:v>
      </x:c>
      <x:c r="F2205" t="str">
        <x:v>Open</x:v>
      </x:c>
      <x:c r="G2205" t="n">
        <x:v>38</x:v>
      </x:c>
      <x:c r="H2205" t="n">
        <x:v>1</x:v>
      </x:c>
      <x:c r="I2205" t="n">
        <x:f>G2205-H2205</x:f>
        <x:v>37</x:v>
      </x:c>
      <x:c r="J2205" s="20" t="n">
        <x:f>IFERROR(H2205/G2205,0)</x:f>
        <x:v>0.02631578947368421</x:v>
      </x:c>
      <x:c r="K2205" t="n">
        <x:v>800909</x:v>
      </x:c>
      <x:c r="L2205" t="n">
        <x:v>800909</x:v>
      </x:c>
      <x:c r="M2205" t="n">
        <x:v>800909</x:v>
      </x:c>
      <x:c r="N2205" t="n">
        <x:v>800909</x:v>
      </x:c>
      <x:c r="O2205" t="n">
        <x:v>800909</x:v>
      </x:c>
    </x:row>
    <x:row r="2206">
      <x:c r="A2206" t="str">
        <x:v>Maharashtra</x:v>
      </x:c>
      <x:c r="B2206" t="str">
        <x:v>Deemed University</x:v>
      </x:c>
      <x:c r="C2206" t="str">
        <x:v>200365</x:v>
      </x:c>
      <x:c r="D2206" t="str">
        <x:v>Krishna Institute of Medical Sciences, Karad, KARAD, DIST. SATARA (MAHARASHTRA STATE).</x:v>
      </x:c>
      <x:c r="E2206" t="str">
        <x:v>Self-Financed Merit</x:v>
      </x:c>
      <x:c r="F2206" t="str">
        <x:v>Open</x:v>
      </x:c>
      <x:c r="G2206" t="n">
        <x:v>212</x:v>
      </x:c>
      <x:c r="H2206" t="n">
        <x:v>212</x:v>
      </x:c>
      <x:c r="I2206" t="n">
        <x:f>G2206-H2206</x:f>
        <x:v>0</x:v>
      </x:c>
      <x:c r="J2206" s="20" t="n">
        <x:f>IFERROR(H2206/G2206,0)</x:f>
        <x:v>1</x:v>
      </x:c>
      <x:c r="K2206" t="n">
        <x:v>97126</x:v>
      </x:c>
      <x:c r="L2206" t="n">
        <x:v>367162.25</x:v>
      </x:c>
      <x:c r="M2206" t="n">
        <x:v>462767</x:v>
      </x:c>
      <x:c r="N2206" t="n">
        <x:v>512805.25</x:v>
      </x:c>
      <x:c r="O2206" t="n">
        <x:v>555690</x:v>
      </x:c>
    </x:row>
    <x:row r="2207">
      <x:c r="A2207" t="str">
        <x:v>Andhra Pradesh</x:v>
      </x:c>
      <x:c r="B2207" t="str">
        <x:v>All India except Central University</x:v>
      </x:c>
      <x:c r="C2207" t="str">
        <x:v>200424</x:v>
      </x:c>
      <x:c r="D2207" t="str">
        <x:v>Kurnool Medical College, Kurnool, BUDHAWARPET, KURNOOL.</x:v>
      </x:c>
      <x:c r="E2207" t="str">
        <x:v>All India</x:v>
      </x:c>
      <x:c r="F2207" t="str">
        <x:v>EWS</x:v>
      </x:c>
      <x:c r="G2207" t="n">
        <x:v>4</x:v>
      </x:c>
      <x:c r="H2207" t="n">
        <x:v>4</x:v>
      </x:c>
      <x:c r="I2207" t="n">
        <x:f>G2207-H2207</x:f>
        <x:v>0</x:v>
      </x:c>
      <x:c r="J2207" s="20" t="n">
        <x:f>IFERROR(H2207/G2207,0)</x:f>
        <x:v>1</x:v>
      </x:c>
      <x:c r="K2207" t="n">
        <x:v>10166</x:v>
      </x:c>
      <x:c r="L2207" t="n">
        <x:v>11289.5</x:v>
      </x:c>
      <x:c r="M2207" t="n">
        <x:v>12582</x:v>
      </x:c>
      <x:c r="N2207" t="n">
        <x:v>13579.25</x:v>
      </x:c>
      <x:c r="O2207" t="n">
        <x:v>13817</x:v>
      </x:c>
    </x:row>
    <x:row r="2208">
      <x:c r="A2208" t="str">
        <x:v>Andhra Pradesh</x:v>
      </x:c>
      <x:c r="B2208" t="str">
        <x:v>All India except Central University</x:v>
      </x:c>
      <x:c r="C2208" t="str">
        <x:v>200424</x:v>
      </x:c>
      <x:c r="D2208" t="str">
        <x:v>Kurnool Medical College, Kurnool, BUDHAWARPET, KURNOOL.</x:v>
      </x:c>
      <x:c r="E2208" t="str">
        <x:v>All India</x:v>
      </x:c>
      <x:c r="F2208" t="str">
        <x:v>OBC</x:v>
      </x:c>
      <x:c r="G2208" t="n">
        <x:v>9</x:v>
      </x:c>
      <x:c r="H2208" t="n">
        <x:v>9</x:v>
      </x:c>
      <x:c r="I2208" t="n">
        <x:f>G2208-H2208</x:f>
        <x:v>0</x:v>
      </x:c>
      <x:c r="J2208" s="20" t="n">
        <x:f>IFERROR(H2208/G2208,0)</x:f>
        <x:v>1</x:v>
      </x:c>
      <x:c r="K2208" t="n">
        <x:v>8701</x:v>
      </x:c>
      <x:c r="L2208" t="n">
        <x:v>9416</x:v>
      </x:c>
      <x:c r="M2208" t="n">
        <x:v>9561</x:v>
      </x:c>
      <x:c r="N2208" t="n">
        <x:v>10879</x:v>
      </x:c>
      <x:c r="O2208" t="n">
        <x:v>11197</x:v>
      </x:c>
    </x:row>
    <x:row r="2209">
      <x:c r="A2209" t="str">
        <x:v>Andhra Pradesh</x:v>
      </x:c>
      <x:c r="B2209" t="str">
        <x:v>All India except Central University</x:v>
      </x:c>
      <x:c r="C2209" t="str">
        <x:v>200424</x:v>
      </x:c>
      <x:c r="D2209" t="str">
        <x:v>Kurnool Medical College, Kurnool, BUDHAWARPET, KURNOOL.</x:v>
      </x:c>
      <x:c r="E2209" t="str">
        <x:v>All India</x:v>
      </x:c>
      <x:c r="F2209" t="str">
        <x:v>OBC PwD</x:v>
      </x:c>
      <x:c r="G2209" t="n">
        <x:v>1</x:v>
      </x:c>
      <x:c r="H2209" t="n">
        <x:v>1</x:v>
      </x:c>
      <x:c r="I2209" t="n">
        <x:f>G2209-H2209</x:f>
        <x:v>0</x:v>
      </x:c>
      <x:c r="J2209" s="20" t="n">
        <x:f>IFERROR(H2209/G2209,0)</x:f>
        <x:v>1</x:v>
      </x:c>
      <x:c r="K2209" t="n">
        <x:v>507338</x:v>
      </x:c>
      <x:c r="L2209" t="n">
        <x:v>507338</x:v>
      </x:c>
      <x:c r="M2209" t="n">
        <x:v>507338</x:v>
      </x:c>
      <x:c r="N2209" t="n">
        <x:v>507338</x:v>
      </x:c>
      <x:c r="O2209" t="n">
        <x:v>507338</x:v>
      </x:c>
    </x:row>
    <x:row r="2210">
      <x:c r="A2210" t="str">
        <x:v>Andhra Pradesh</x:v>
      </x:c>
      <x:c r="B2210" t="str">
        <x:v>All India except Central University</x:v>
      </x:c>
      <x:c r="C2210" t="str">
        <x:v>200424</x:v>
      </x:c>
      <x:c r="D2210" t="str">
        <x:v>Kurnool Medical College, Kurnool, BUDHAWARPET, KURNOOL.</x:v>
      </x:c>
      <x:c r="E2210" t="str">
        <x:v>All India</x:v>
      </x:c>
      <x:c r="F2210" t="str">
        <x:v>Open</x:v>
      </x:c>
      <x:c r="G2210" t="n">
        <x:v>15</x:v>
      </x:c>
      <x:c r="H2210" t="n">
        <x:v>15</x:v>
      </x:c>
      <x:c r="I2210" t="n">
        <x:f>G2210-H2210</x:f>
        <x:v>0</x:v>
      </x:c>
      <x:c r="J2210" s="20" t="n">
        <x:f>IFERROR(H2210/G2210,0)</x:f>
        <x:v>1</x:v>
      </x:c>
      <x:c r="K2210" t="n">
        <x:v>4189</x:v>
      </x:c>
      <x:c r="L2210" t="n">
        <x:v>6475</x:v>
      </x:c>
      <x:c r="M2210" t="n">
        <x:v>6730</x:v>
      </x:c>
      <x:c r="N2210" t="n">
        <x:v>7199.5</x:v>
      </x:c>
      <x:c r="O2210" t="n">
        <x:v>8311</x:v>
      </x:c>
    </x:row>
    <x:row r="2211">
      <x:c r="A2211" t="str">
        <x:v>Andhra Pradesh</x:v>
      </x:c>
      <x:c r="B2211" t="str">
        <x:v>All India except Central University</x:v>
      </x:c>
      <x:c r="C2211" t="str">
        <x:v>200424</x:v>
      </x:c>
      <x:c r="D2211" t="str">
        <x:v>Kurnool Medical College, Kurnool, BUDHAWARPET, KURNOOL.</x:v>
      </x:c>
      <x:c r="E2211" t="str">
        <x:v>All India</x:v>
      </x:c>
      <x:c r="F2211" t="str">
        <x:v>Open PwD</x:v>
      </x:c>
      <x:c r="G2211" t="n">
        <x:v>1</x:v>
      </x:c>
      <x:c r="H2211" t="n">
        <x:v>1</x:v>
      </x:c>
      <x:c r="I2211" t="n">
        <x:f>G2211-H2211</x:f>
        <x:v>0</x:v>
      </x:c>
      <x:c r="J2211" s="20" t="n">
        <x:f>IFERROR(H2211/G2211,0)</x:f>
        <x:v>1</x:v>
      </x:c>
      <x:c r="K2211" t="n">
        <x:v>335216</x:v>
      </x:c>
      <x:c r="L2211" t="n">
        <x:v>335216</x:v>
      </x:c>
      <x:c r="M2211" t="n">
        <x:v>335216</x:v>
      </x:c>
      <x:c r="N2211" t="n">
        <x:v>335216</x:v>
      </x:c>
      <x:c r="O2211" t="n">
        <x:v>335216</x:v>
      </x:c>
    </x:row>
    <x:row r="2212">
      <x:c r="A2212" t="str">
        <x:v>Andhra Pradesh</x:v>
      </x:c>
      <x:c r="B2212" t="str">
        <x:v>All India except Central University</x:v>
      </x:c>
      <x:c r="C2212" t="str">
        <x:v>200424</x:v>
      </x:c>
      <x:c r="D2212" t="str">
        <x:v>Kurnool Medical College, Kurnool, BUDHAWARPET, KURNOOL.</x:v>
      </x:c>
      <x:c r="E2212" t="str">
        <x:v>All India</x:v>
      </x:c>
      <x:c r="F2212" t="str">
        <x:v>SC</x:v>
      </x:c>
      <x:c r="G2212" t="n">
        <x:v>4</x:v>
      </x:c>
      <x:c r="H2212" t="n">
        <x:v>4</x:v>
      </x:c>
      <x:c r="I2212" t="n">
        <x:f>G2212-H2212</x:f>
        <x:v>0</x:v>
      </x:c>
      <x:c r="J2212" s="20" t="n">
        <x:f>IFERROR(H2212/G2212,0)</x:f>
        <x:v>1</x:v>
      </x:c>
      <x:c r="K2212" t="n">
        <x:v>36263</x:v>
      </x:c>
      <x:c r="L2212" t="n">
        <x:v>37514.75</x:v>
      </x:c>
      <x:c r="M2212" t="n">
        <x:v>40758</x:v>
      </x:c>
      <x:c r="N2212" t="n">
        <x:v>44256.75</x:v>
      </x:c>
      <x:c r="O2212" t="n">
        <x:v>46275</x:v>
      </x:c>
    </x:row>
    <x:row r="2213">
      <x:c r="A2213" t="str">
        <x:v>Andhra Pradesh</x:v>
      </x:c>
      <x:c r="B2213" t="str">
        <x:v>All India except Central University</x:v>
      </x:c>
      <x:c r="C2213" t="str">
        <x:v>200424</x:v>
      </x:c>
      <x:c r="D2213" t="str">
        <x:v>Kurnool Medical College, Kurnool, BUDHAWARPET, KURNOOL.</x:v>
      </x:c>
      <x:c r="E2213" t="str">
        <x:v>All India</x:v>
      </x:c>
      <x:c r="F2213" t="str">
        <x:v>SC PwD</x:v>
      </x:c>
      <x:c r="G2213" t="n">
        <x:v>1</x:v>
      </x:c>
      <x:c r="H2213" t="n">
        <x:v>1</x:v>
      </x:c>
      <x:c r="I2213" t="n">
        <x:f>G2213-H2213</x:f>
        <x:v>0</x:v>
      </x:c>
      <x:c r="J2213" s="20" t="n">
        <x:f>IFERROR(H2213/G2213,0)</x:f>
        <x:v>1</x:v>
      </x:c>
      <x:c r="K2213" t="n">
        <x:v>1011103</x:v>
      </x:c>
      <x:c r="L2213" t="n">
        <x:v>1011103</x:v>
      </x:c>
      <x:c r="M2213" t="n">
        <x:v>1011103</x:v>
      </x:c>
      <x:c r="N2213" t="n">
        <x:v>1011103</x:v>
      </x:c>
      <x:c r="O2213" t="n">
        <x:v>1011103</x:v>
      </x:c>
    </x:row>
    <x:row r="2214">
      <x:c r="A2214" t="str">
        <x:v>Andhra Pradesh</x:v>
      </x:c>
      <x:c r="B2214" t="str">
        <x:v>All India except Central University</x:v>
      </x:c>
      <x:c r="C2214" t="str">
        <x:v>200424</x:v>
      </x:c>
      <x:c r="D2214" t="str">
        <x:v>Kurnool Medical College, Kurnool, BUDHAWARPET, KURNOOL.</x:v>
      </x:c>
      <x:c r="E2214" t="str">
        <x:v>All India</x:v>
      </x:c>
      <x:c r="F2214" t="str">
        <x:v>ST</x:v>
      </x:c>
      <x:c r="G2214" t="n">
        <x:v>1</x:v>
      </x:c>
      <x:c r="H2214" t="n">
        <x:v>1</x:v>
      </x:c>
      <x:c r="I2214" t="n">
        <x:f>G2214-H2214</x:f>
        <x:v>0</x:v>
      </x:c>
      <x:c r="J2214" s="20" t="n">
        <x:f>IFERROR(H2214/G2214,0)</x:f>
        <x:v>1</x:v>
      </x:c>
      <x:c r="K2214" t="n">
        <x:v>46474</x:v>
      </x:c>
      <x:c r="L2214" t="n">
        <x:v>46474</x:v>
      </x:c>
      <x:c r="M2214" t="n">
        <x:v>46474</x:v>
      </x:c>
      <x:c r="N2214" t="n">
        <x:v>46474</x:v>
      </x:c>
      <x:c r="O2214" t="n">
        <x:v>46474</x:v>
      </x:c>
    </x:row>
    <x:row r="2215">
      <x:c r="A2215" t="str">
        <x:v>Andhra Pradesh</x:v>
      </x:c>
      <x:c r="B2215" t="str">
        <x:v>All India except Central University</x:v>
      </x:c>
      <x:c r="C2215" t="str">
        <x:v>200424</x:v>
      </x:c>
      <x:c r="D2215" t="str">
        <x:v>Kurnool Medical College, Kurnool, BUDHAWARPET, KURNOOL.</x:v>
      </x:c>
      <x:c r="E2215" t="str">
        <x:v>All India</x:v>
      </x:c>
      <x:c r="F2215" t="str">
        <x:v>ST PwD</x:v>
      </x:c>
      <x:c r="G2215" t="n">
        <x:v>1</x:v>
      </x:c>
      <x:c r="H2215" t="n">
        <x:v>1</x:v>
      </x:c>
      <x:c r="I2215" t="n">
        <x:f>G2215-H2215</x:f>
        <x:v>0</x:v>
      </x:c>
      <x:c r="J2215" s="20" t="n">
        <x:f>IFERROR(H2215/G2215,0)</x:f>
        <x:v>1</x:v>
      </x:c>
      <x:c r="K2215" t="n">
        <x:v>701520</x:v>
      </x:c>
      <x:c r="L2215" t="n">
        <x:v>701520</x:v>
      </x:c>
      <x:c r="M2215" t="n">
        <x:v>701520</x:v>
      </x:c>
      <x:c r="N2215" t="n">
        <x:v>701520</x:v>
      </x:c>
      <x:c r="O2215" t="n">
        <x:v>701520</x:v>
      </x:c>
    </x:row>
    <x:row r="2216">
      <x:c r="A2216" t="str">
        <x:v>Uttar Pradesh</x:v>
      </x:c>
      <x:c r="B2216" t="str">
        <x:v>All India except Central University</x:v>
      </x:c>
      <x:c r="C2216" t="str">
        <x:v>200297</x:v>
      </x:c>
      <x:c r="D2216" t="str">
        <x:v>LLRM Medical College, Meerut, LALA LAJPAT RAI MEMORIAL, MEDICAL COLLEGE, GARH ROAD, MEERUT</x:v>
      </x:c>
      <x:c r="E2216" t="str">
        <x:v>All India</x:v>
      </x:c>
      <x:c r="F2216" t="str">
        <x:v>EWS</x:v>
      </x:c>
      <x:c r="G2216" t="n">
        <x:v>2</x:v>
      </x:c>
      <x:c r="H2216" t="n">
        <x:v>2</x:v>
      </x:c>
      <x:c r="I2216" t="n">
        <x:f>G2216-H2216</x:f>
        <x:v>0</x:v>
      </x:c>
      <x:c r="J2216" s="20" t="n">
        <x:f>IFERROR(H2216/G2216,0)</x:f>
        <x:v>1</x:v>
      </x:c>
      <x:c r="K2216" t="n">
        <x:v>5399</x:v>
      </x:c>
      <x:c r="L2216" t="n">
        <x:v>5666.25</x:v>
      </x:c>
      <x:c r="M2216" t="n">
        <x:v>5933.5</x:v>
      </x:c>
      <x:c r="N2216" t="n">
        <x:v>6200.75</x:v>
      </x:c>
      <x:c r="O2216" t="n">
        <x:v>6468</x:v>
      </x:c>
    </x:row>
    <x:row r="2217">
      <x:c r="A2217" t="str">
        <x:v>Uttar Pradesh</x:v>
      </x:c>
      <x:c r="B2217" t="str">
        <x:v>All India except Central University</x:v>
      </x:c>
      <x:c r="C2217" t="str">
        <x:v>200297</x:v>
      </x:c>
      <x:c r="D2217" t="str">
        <x:v>LLRM Medical College, Meerut, LALA LAJPAT RAI MEMORIAL, MEDICAL COLLEGE, GARH ROAD, MEERUT</x:v>
      </x:c>
      <x:c r="E2217" t="str">
        <x:v>All India</x:v>
      </x:c>
      <x:c r="F2217" t="str">
        <x:v>OBC</x:v>
      </x:c>
      <x:c r="G2217" t="n">
        <x:v>6</x:v>
      </x:c>
      <x:c r="H2217" t="n">
        <x:v>6</x:v>
      </x:c>
      <x:c r="I2217" t="n">
        <x:f>G2217-H2217</x:f>
        <x:v>0</x:v>
      </x:c>
      <x:c r="J2217" s="20" t="n">
        <x:f>IFERROR(H2217/G2217,0)</x:f>
        <x:v>1</x:v>
      </x:c>
      <x:c r="K2217" t="n">
        <x:v>5802</x:v>
      </x:c>
      <x:c r="L2217" t="n">
        <x:v>5964.5</x:v>
      </x:c>
      <x:c r="M2217" t="n">
        <x:v>6021.5</x:v>
      </x:c>
      <x:c r="N2217" t="n">
        <x:v>6107</x:v>
      </x:c>
      <x:c r="O2217" t="n">
        <x:v>6242</x:v>
      </x:c>
    </x:row>
    <x:row r="2218">
      <x:c r="A2218" t="str">
        <x:v>Uttar Pradesh</x:v>
      </x:c>
      <x:c r="B2218" t="str">
        <x:v>All India except Central University</x:v>
      </x:c>
      <x:c r="C2218" t="str">
        <x:v>200297</x:v>
      </x:c>
      <x:c r="D2218" t="str">
        <x:v>LLRM Medical College, Meerut, LALA LAJPAT RAI MEMORIAL, MEDICAL COLLEGE, GARH ROAD, MEERUT</x:v>
      </x:c>
      <x:c r="E2218" t="str">
        <x:v>All India</x:v>
      </x:c>
      <x:c r="F2218" t="str">
        <x:v>Open</x:v>
      </x:c>
      <x:c r="G2218" t="n">
        <x:v>8</x:v>
      </x:c>
      <x:c r="H2218" t="n">
        <x:v>8</x:v>
      </x:c>
      <x:c r="I2218" t="n">
        <x:f>G2218-H2218</x:f>
        <x:v>0</x:v>
      </x:c>
      <x:c r="J2218" s="20" t="n">
        <x:f>IFERROR(H2218/G2218,0)</x:f>
        <x:v>1</x:v>
      </x:c>
      <x:c r="K2218" t="n">
        <x:v>3182</x:v>
      </x:c>
      <x:c r="L2218" t="n">
        <x:v>3304.5</x:v>
      </x:c>
      <x:c r="M2218" t="n">
        <x:v>4080.5</x:v>
      </x:c>
      <x:c r="N2218" t="n">
        <x:v>4797</x:v>
      </x:c>
      <x:c r="O2218" t="n">
        <x:v>4942</x:v>
      </x:c>
    </x:row>
    <x:row r="2219">
      <x:c r="A2219" t="str">
        <x:v>Uttar Pradesh</x:v>
      </x:c>
      <x:c r="B2219" t="str">
        <x:v>All India except Central University</x:v>
      </x:c>
      <x:c r="C2219" t="str">
        <x:v>200297</x:v>
      </x:c>
      <x:c r="D2219" t="str">
        <x:v>LLRM Medical College, Meerut, LALA LAJPAT RAI MEMORIAL, MEDICAL COLLEGE, GARH ROAD, MEERUT</x:v>
      </x:c>
      <x:c r="E2219" t="str">
        <x:v>All India</x:v>
      </x:c>
      <x:c r="F2219" t="str">
        <x:v>SC</x:v>
      </x:c>
      <x:c r="G2219" t="n">
        <x:v>4</x:v>
      </x:c>
      <x:c r="H2219" t="n">
        <x:v>4</x:v>
      </x:c>
      <x:c r="I2219" t="n">
        <x:f>G2219-H2219</x:f>
        <x:v>0</x:v>
      </x:c>
      <x:c r="J2219" s="20" t="n">
        <x:f>IFERROR(H2219/G2219,0)</x:f>
        <x:v>1</x:v>
      </x:c>
      <x:c r="K2219" t="n">
        <x:v>31387</x:v>
      </x:c>
      <x:c r="L2219" t="n">
        <x:v>34501.75</x:v>
      </x:c>
      <x:c r="M2219" t="n">
        <x:v>38289.5</x:v>
      </x:c>
      <x:c r="N2219" t="n">
        <x:v>41397</x:v>
      </x:c>
      <x:c r="O2219" t="n">
        <x:v>42471</x:v>
      </x:c>
    </x:row>
    <x:row r="2220">
      <x:c r="A2220" t="str">
        <x:v>Uttar Pradesh</x:v>
      </x:c>
      <x:c r="B2220" t="str">
        <x:v>All India except Central University</x:v>
      </x:c>
      <x:c r="C2220" t="str">
        <x:v>200297</x:v>
      </x:c>
      <x:c r="D2220" t="str">
        <x:v>LLRM Medical College, Meerut, LALA LAJPAT RAI MEMORIAL, MEDICAL COLLEGE, GARH ROAD, MEERUT</x:v>
      </x:c>
      <x:c r="E2220" t="str">
        <x:v>All India</x:v>
      </x:c>
      <x:c r="F2220" t="str">
        <x:v>ST</x:v>
      </x:c>
      <x:c r="G2220" t="n">
        <x:v>2</x:v>
      </x:c>
      <x:c r="H2220" t="n">
        <x:v>2</x:v>
      </x:c>
      <x:c r="I2220" t="n">
        <x:f>G2220-H2220</x:f>
        <x:v>0</x:v>
      </x:c>
      <x:c r="J2220" s="20" t="n">
        <x:f>IFERROR(H2220/G2220,0)</x:f>
        <x:v>1</x:v>
      </x:c>
      <x:c r="K2220" t="n">
        <x:v>41125</x:v>
      </x:c>
      <x:c r="L2220" t="n">
        <x:v>45959</x:v>
      </x:c>
      <x:c r="M2220" t="n">
        <x:v>50793</x:v>
      </x:c>
      <x:c r="N2220" t="n">
        <x:v>55627</x:v>
      </x:c>
      <x:c r="O2220" t="n">
        <x:v>60461</x:v>
      </x:c>
    </x:row>
    <x:row r="2221">
      <x:c r="A2221" t="str">
        <x:v>Delhi</x:v>
      </x:c>
      <x:c r="B2221" t="str">
        <x:v>Central University</x:v>
      </x:c>
      <x:c r="C2221" t="str">
        <x:v>200448</x:v>
      </x:c>
      <x:c r="D2221" t="str">
        <x:v>Lady Hardinge Medical College, New Delhi, Lady Hardinge Medical College, Shaheed Bhagat Singh Marg, New Delhi</x:v>
      </x:c>
      <x:c r="E2221" t="str">
        <x:v>All India</x:v>
      </x:c>
      <x:c r="F2221" t="str">
        <x:v>EWS</x:v>
      </x:c>
      <x:c r="G2221" t="n">
        <x:v>2</x:v>
      </x:c>
      <x:c r="H2221" t="n">
        <x:v>2</x:v>
      </x:c>
      <x:c r="I2221" t="n">
        <x:f>G2221-H2221</x:f>
        <x:v>0</x:v>
      </x:c>
      <x:c r="J2221" s="20" t="n">
        <x:f>IFERROR(H2221/G2221,0)</x:f>
        <x:v>1</x:v>
      </x:c>
      <x:c r="K2221" t="n">
        <x:v>1010</x:v>
      </x:c>
      <x:c r="L2221" t="n">
        <x:v>1262.75</x:v>
      </x:c>
      <x:c r="M2221" t="n">
        <x:v>1515.5</x:v>
      </x:c>
      <x:c r="N2221" t="n">
        <x:v>1768.25</x:v>
      </x:c>
      <x:c r="O2221" t="n">
        <x:v>2021</x:v>
      </x:c>
    </x:row>
    <x:row r="2222">
      <x:c r="A2222" t="str">
        <x:v>Delhi</x:v>
      </x:c>
      <x:c r="B2222" t="str">
        <x:v>Central University</x:v>
      </x:c>
      <x:c r="C2222" t="str">
        <x:v>200448</x:v>
      </x:c>
      <x:c r="D2222" t="str">
        <x:v>Lady Hardinge Medical College, New Delhi, Lady Hardinge Medical College, Shaheed Bhagat Singh Marg, New Delhi</x:v>
      </x:c>
      <x:c r="E2222" t="str">
        <x:v>All India</x:v>
      </x:c>
      <x:c r="F2222" t="str">
        <x:v>EWS PwD</x:v>
      </x:c>
      <x:c r="G2222" t="n">
        <x:v>1</x:v>
      </x:c>
      <x:c r="H2222" t="n">
        <x:v>1</x:v>
      </x:c>
      <x:c r="I2222" t="n">
        <x:f>G2222-H2222</x:f>
        <x:v>0</x:v>
      </x:c>
      <x:c r="J2222" s="20" t="n">
        <x:f>IFERROR(H2222/G2222,0)</x:f>
        <x:v>1</x:v>
      </x:c>
      <x:c r="K2222" t="n">
        <x:v>232718</x:v>
      </x:c>
      <x:c r="L2222" t="n">
        <x:v>232718</x:v>
      </x:c>
      <x:c r="M2222" t="n">
        <x:v>232718</x:v>
      </x:c>
      <x:c r="N2222" t="n">
        <x:v>232718</x:v>
      </x:c>
      <x:c r="O2222" t="n">
        <x:v>232718</x:v>
      </x:c>
    </x:row>
    <x:row r="2223">
      <x:c r="A2223" t="str">
        <x:v>Delhi</x:v>
      </x:c>
      <x:c r="B2223" t="str">
        <x:v>Central University</x:v>
      </x:c>
      <x:c r="C2223" t="str">
        <x:v>200448</x:v>
      </x:c>
      <x:c r="D2223" t="str">
        <x:v>Lady Hardinge Medical College, New Delhi, Lady Hardinge Medical College, Shaheed Bhagat Singh Marg, New Delhi</x:v>
      </x:c>
      <x:c r="E2223" t="str">
        <x:v>All India</x:v>
      </x:c>
      <x:c r="F2223" t="str">
        <x:v>OBC</x:v>
      </x:c>
      <x:c r="G2223" t="n">
        <x:v>9</x:v>
      </x:c>
      <x:c r="H2223" t="n">
        <x:v>9</x:v>
      </x:c>
      <x:c r="I2223" t="n">
        <x:f>G2223-H2223</x:f>
        <x:v>0</x:v>
      </x:c>
      <x:c r="J2223" s="20" t="n">
        <x:f>IFERROR(H2223/G2223,0)</x:f>
        <x:v>1</x:v>
      </x:c>
      <x:c r="K2223" t="n">
        <x:v>1065</x:v>
      </x:c>
      <x:c r="L2223" t="n">
        <x:v>1113</x:v>
      </x:c>
      <x:c r="M2223" t="n">
        <x:v>1484</x:v>
      </x:c>
      <x:c r="N2223" t="n">
        <x:v>1640</x:v>
      </x:c>
      <x:c r="O2223" t="n">
        <x:v>1776</x:v>
      </x:c>
    </x:row>
    <x:row r="2224">
      <x:c r="A2224" t="str">
        <x:v>Delhi</x:v>
      </x:c>
      <x:c r="B2224" t="str">
        <x:v>Central University</x:v>
      </x:c>
      <x:c r="C2224" t="str">
        <x:v>200448</x:v>
      </x:c>
      <x:c r="D2224" t="str">
        <x:v>Lady Hardinge Medical College, New Delhi, Lady Hardinge Medical College, Shaheed Bhagat Singh Marg, New Delhi</x:v>
      </x:c>
      <x:c r="E2224" t="str">
        <x:v>All India</x:v>
      </x:c>
      <x:c r="F2224" t="str">
        <x:v>OBC PwD</x:v>
      </x:c>
      <x:c r="G2224" t="n">
        <x:v>1</x:v>
      </x:c>
      <x:c r="H2224" t="n">
        <x:v>1</x:v>
      </x:c>
      <x:c r="I2224" t="n">
        <x:f>G2224-H2224</x:f>
        <x:v>0</x:v>
      </x:c>
      <x:c r="J2224" s="20" t="n">
        <x:f>IFERROR(H2224/G2224,0)</x:f>
        <x:v>1</x:v>
      </x:c>
      <x:c r="K2224" t="n">
        <x:v>273728</x:v>
      </x:c>
      <x:c r="L2224" t="n">
        <x:v>273728</x:v>
      </x:c>
      <x:c r="M2224" t="n">
        <x:v>273728</x:v>
      </x:c>
      <x:c r="N2224" t="n">
        <x:v>273728</x:v>
      </x:c>
      <x:c r="O2224" t="n">
        <x:v>273728</x:v>
      </x:c>
    </x:row>
    <x:row r="2225">
      <x:c r="A2225" t="str">
        <x:v>Delhi</x:v>
      </x:c>
      <x:c r="B2225" t="str">
        <x:v>Central University</x:v>
      </x:c>
      <x:c r="C2225" t="str">
        <x:v>200448</x:v>
      </x:c>
      <x:c r="D2225" t="str">
        <x:v>Lady Hardinge Medical College, New Delhi, Lady Hardinge Medical College, Shaheed Bhagat Singh Marg, New Delhi</x:v>
      </x:c>
      <x:c r="E2225" t="str">
        <x:v>All India</x:v>
      </x:c>
      <x:c r="F2225" t="str">
        <x:v>Open</x:v>
      </x:c>
      <x:c r="G2225" t="n">
        <x:v>13</x:v>
      </x:c>
      <x:c r="H2225" t="n">
        <x:v>13</x:v>
      </x:c>
      <x:c r="I2225" t="n">
        <x:f>G2225-H2225</x:f>
        <x:v>0</x:v>
      </x:c>
      <x:c r="J2225" s="20" t="n">
        <x:f>IFERROR(H2225/G2225,0)</x:f>
        <x:v>1</x:v>
      </x:c>
      <x:c r="K2225" t="n">
        <x:v>251</x:v>
      </x:c>
      <x:c r="L2225" t="n">
        <x:v>538</x:v>
      </x:c>
      <x:c r="M2225" t="n">
        <x:v>712</x:v>
      </x:c>
      <x:c r="N2225" t="n">
        <x:v>775</x:v>
      </x:c>
      <x:c r="O2225" t="n">
        <x:v>870</x:v>
      </x:c>
    </x:row>
    <x:row r="2226">
      <x:c r="A2226" t="str">
        <x:v>Delhi</x:v>
      </x:c>
      <x:c r="B2226" t="str">
        <x:v>Central University</x:v>
      </x:c>
      <x:c r="C2226" t="str">
        <x:v>200448</x:v>
      </x:c>
      <x:c r="D2226" t="str">
        <x:v>Lady Hardinge Medical College, New Delhi, Lady Hardinge Medical College, Shaheed Bhagat Singh Marg, New Delhi</x:v>
      </x:c>
      <x:c r="E2226" t="str">
        <x:v>All India</x:v>
      </x:c>
      <x:c r="F2226" t="str">
        <x:v>Open PwD</x:v>
      </x:c>
      <x:c r="G2226" t="n">
        <x:v>1</x:v>
      </x:c>
      <x:c r="H2226" t="n">
        <x:v>1</x:v>
      </x:c>
      <x:c r="I2226" t="n">
        <x:f>G2226-H2226</x:f>
        <x:v>0</x:v>
      </x:c>
      <x:c r="J2226" s="20" t="n">
        <x:f>IFERROR(H2226/G2226,0)</x:f>
        <x:v>1</x:v>
      </x:c>
      <x:c r="K2226" t="n">
        <x:v>130979</x:v>
      </x:c>
      <x:c r="L2226" t="n">
        <x:v>130979</x:v>
      </x:c>
      <x:c r="M2226" t="n">
        <x:v>130979</x:v>
      </x:c>
      <x:c r="N2226" t="n">
        <x:v>130979</x:v>
      </x:c>
      <x:c r="O2226" t="n">
        <x:v>130979</x:v>
      </x:c>
    </x:row>
    <x:row r="2227">
      <x:c r="A2227" t="str">
        <x:v>Delhi</x:v>
      </x:c>
      <x:c r="B2227" t="str">
        <x:v>Central University</x:v>
      </x:c>
      <x:c r="C2227" t="str">
        <x:v>200448</x:v>
      </x:c>
      <x:c r="D2227" t="str">
        <x:v>Lady Hardinge Medical College, New Delhi, Lady Hardinge Medical College, Shaheed Bhagat Singh Marg, New Delhi</x:v>
      </x:c>
      <x:c r="E2227" t="str">
        <x:v>All India</x:v>
      </x:c>
      <x:c r="F2227" t="str">
        <x:v>SC</x:v>
      </x:c>
      <x:c r="G2227" t="n">
        <x:v>6</x:v>
      </x:c>
      <x:c r="H2227" t="n">
        <x:v>6</x:v>
      </x:c>
      <x:c r="I2227" t="n">
        <x:f>G2227-H2227</x:f>
        <x:v>0</x:v>
      </x:c>
      <x:c r="J2227" s="20" t="n">
        <x:f>IFERROR(H2227/G2227,0)</x:f>
        <x:v>1</x:v>
      </x:c>
      <x:c r="K2227" t="n">
        <x:v>4556</x:v>
      </x:c>
      <x:c r="L2227" t="n">
        <x:v>8138</x:v>
      </x:c>
      <x:c r="M2227" t="n">
        <x:v>8713.5</x:v>
      </x:c>
      <x:c r="N2227" t="n">
        <x:v>9425.5</x:v>
      </x:c>
      <x:c r="O2227" t="n">
        <x:v>16744</x:v>
      </x:c>
    </x:row>
    <x:row r="2228">
      <x:c r="A2228" t="str">
        <x:v>Delhi</x:v>
      </x:c>
      <x:c r="B2228" t="str">
        <x:v>Central University</x:v>
      </x:c>
      <x:c r="C2228" t="str">
        <x:v>200448</x:v>
      </x:c>
      <x:c r="D2228" t="str">
        <x:v>Lady Hardinge Medical College, New Delhi, Lady Hardinge Medical College, Shaheed Bhagat Singh Marg, New Delhi</x:v>
      </x:c>
      <x:c r="E2228" t="str">
        <x:v>All India</x:v>
      </x:c>
      <x:c r="F2228" t="str">
        <x:v>ST</x:v>
      </x:c>
      <x:c r="G2228" t="n">
        <x:v>3</x:v>
      </x:c>
      <x:c r="H2228" t="n">
        <x:v>3</x:v>
      </x:c>
      <x:c r="I2228" t="n">
        <x:f>G2228-H2228</x:f>
        <x:v>0</x:v>
      </x:c>
      <x:c r="J2228" s="20" t="n">
        <x:f>IFERROR(H2228/G2228,0)</x:f>
        <x:v>1</x:v>
      </x:c>
      <x:c r="K2228" t="n">
        <x:v>8153</x:v>
      </x:c>
      <x:c r="L2228" t="n">
        <x:v>10632.5</x:v>
      </x:c>
      <x:c r="M2228" t="n">
        <x:v>13112</x:v>
      </x:c>
      <x:c r="N2228" t="n">
        <x:v>14223.5</x:v>
      </x:c>
      <x:c r="O2228" t="n">
        <x:v>15335</x:v>
      </x:c>
    </x:row>
    <x:row r="2229">
      <x:c r="A2229" t="str">
        <x:v>Delhi</x:v>
      </x:c>
      <x:c r="B2229" t="str">
        <x:v>Central University</x:v>
      </x:c>
      <x:c r="C2229" t="str">
        <x:v>200448</x:v>
      </x:c>
      <x:c r="D2229" t="str">
        <x:v>Lady Hardinge Medical College, New Delhi, Lady Hardinge Medical College, Shaheed Bhagat Singh Marg, New Delhi</x:v>
      </x:c>
      <x:c r="E2229" t="str">
        <x:v>Delhi NCR CW</x:v>
      </x:c>
      <x:c r="F2229" t="str">
        <x:v>EWS</x:v>
      </x:c>
      <x:c r="G2229" t="n">
        <x:v>1</x:v>
      </x:c>
      <x:c r="H2229" t="n">
        <x:v>1</x:v>
      </x:c>
      <x:c r="I2229" t="n">
        <x:f>G2229-H2229</x:f>
        <x:v>0</x:v>
      </x:c>
      <x:c r="J2229" s="20" t="n">
        <x:f>IFERROR(H2229/G2229,0)</x:f>
        <x:v>1</x:v>
      </x:c>
      <x:c r="K2229" t="n">
        <x:v>599161</x:v>
      </x:c>
      <x:c r="L2229" t="n">
        <x:v>599161</x:v>
      </x:c>
      <x:c r="M2229" t="n">
        <x:v>599161</x:v>
      </x:c>
      <x:c r="N2229" t="n">
        <x:v>599161</x:v>
      </x:c>
      <x:c r="O2229" t="n">
        <x:v>599161</x:v>
      </x:c>
    </x:row>
    <x:row r="2230">
      <x:c r="A2230" t="str">
        <x:v>Delhi</x:v>
      </x:c>
      <x:c r="B2230" t="str">
        <x:v>Central University</x:v>
      </x:c>
      <x:c r="C2230" t="str">
        <x:v>200448</x:v>
      </x:c>
      <x:c r="D2230" t="str">
        <x:v>Lady Hardinge Medical College, New Delhi, Lady Hardinge Medical College, Shaheed Bhagat Singh Marg, New Delhi</x:v>
      </x:c>
      <x:c r="E2230" t="str">
        <x:v>Delhi NCR CW</x:v>
      </x:c>
      <x:c r="F2230" t="str">
        <x:v>OBC</x:v>
      </x:c>
      <x:c r="G2230" t="n">
        <x:v>3</x:v>
      </x:c>
      <x:c r="H2230" t="n">
        <x:v>3</x:v>
      </x:c>
      <x:c r="I2230" t="n">
        <x:f>G2230-H2230</x:f>
        <x:v>0</x:v>
      </x:c>
      <x:c r="J2230" s="20" t="n">
        <x:f>IFERROR(H2230/G2230,0)</x:f>
        <x:v>1</x:v>
      </x:c>
      <x:c r="K2230" t="n">
        <x:v>18134</x:v>
      </x:c>
      <x:c r="L2230" t="n">
        <x:v>227241</x:v>
      </x:c>
      <x:c r="M2230" t="n">
        <x:v>436348</x:v>
      </x:c>
      <x:c r="N2230" t="n">
        <x:v>518501</x:v>
      </x:c>
      <x:c r="O2230" t="n">
        <x:v>600654</x:v>
      </x:c>
    </x:row>
    <x:row r="2231">
      <x:c r="A2231" t="str">
        <x:v>Delhi</x:v>
      </x:c>
      <x:c r="B2231" t="str">
        <x:v>Central University</x:v>
      </x:c>
      <x:c r="C2231" t="str">
        <x:v>200448</x:v>
      </x:c>
      <x:c r="D2231" t="str">
        <x:v>Lady Hardinge Medical College, New Delhi, Lady Hardinge Medical College, Shaheed Bhagat Singh Marg, New Delhi</x:v>
      </x:c>
      <x:c r="E2231" t="str">
        <x:v>Delhi NCR CW</x:v>
      </x:c>
      <x:c r="F2231" t="str">
        <x:v>Open</x:v>
      </x:c>
      <x:c r="G2231" t="n">
        <x:v>4</x:v>
      </x:c>
      <x:c r="H2231" t="n">
        <x:v>4</x:v>
      </x:c>
      <x:c r="I2231" t="n">
        <x:f>G2231-H2231</x:f>
        <x:v>0</x:v>
      </x:c>
      <x:c r="J2231" s="20" t="n">
        <x:f>IFERROR(H2231/G2231,0)</x:f>
        <x:v>1</x:v>
      </x:c>
      <x:c r="K2231" t="n">
        <x:v>107039</x:v>
      </x:c>
      <x:c r="L2231" t="n">
        <x:v>195137</x:v>
      </x:c>
      <x:c r="M2231" t="n">
        <x:v>243819.5</x:v>
      </x:c>
      <x:c r="N2231" t="n">
        <x:v>271973.5</x:v>
      </x:c>
      <x:c r="O2231" t="n">
        <x:v>298486</x:v>
      </x:c>
    </x:row>
    <x:row r="2232">
      <x:c r="A2232" t="str">
        <x:v>Delhi</x:v>
      </x:c>
      <x:c r="B2232" t="str">
        <x:v>Central University</x:v>
      </x:c>
      <x:c r="C2232" t="str">
        <x:v>200448</x:v>
      </x:c>
      <x:c r="D2232" t="str">
        <x:v>Lady Hardinge Medical College, New Delhi, Lady Hardinge Medical College, Shaheed Bhagat Singh Marg, New Delhi</x:v>
      </x:c>
      <x:c r="E2232" t="str">
        <x:v>Delhi NCR CW</x:v>
      </x:c>
      <x:c r="F2232" t="str">
        <x:v>SC</x:v>
      </x:c>
      <x:c r="G2232" t="n">
        <x:v>1</x:v>
      </x:c>
      <x:c r="H2232" t="n">
        <x:v>1</x:v>
      </x:c>
      <x:c r="I2232" t="n">
        <x:f>G2232-H2232</x:f>
        <x:v>0</x:v>
      </x:c>
      <x:c r="J2232" s="20" t="n">
        <x:f>IFERROR(H2232/G2232,0)</x:f>
        <x:v>1</x:v>
      </x:c>
      <x:c r="K2232" t="n">
        <x:v>213242</x:v>
      </x:c>
      <x:c r="L2232" t="n">
        <x:v>213242</x:v>
      </x:c>
      <x:c r="M2232" t="n">
        <x:v>213242</x:v>
      </x:c>
      <x:c r="N2232" t="n">
        <x:v>213242</x:v>
      </x:c>
      <x:c r="O2232" t="n">
        <x:v>213242</x:v>
      </x:c>
    </x:row>
    <x:row r="2233">
      <x:c r="A2233" t="str">
        <x:v>Delhi</x:v>
      </x:c>
      <x:c r="B2233" t="str">
        <x:v>Central University</x:v>
      </x:c>
      <x:c r="C2233" t="str">
        <x:v>200448</x:v>
      </x:c>
      <x:c r="D2233" t="str">
        <x:v>Lady Hardinge Medical College, New Delhi, Lady Hardinge Medical College, Shaheed Bhagat Singh Marg, New Delhi</x:v>
      </x:c>
      <x:c r="E2233" t="str">
        <x:v>Delhi NCR CW</x:v>
      </x:c>
      <x:c r="F2233" t="str">
        <x:v>ST</x:v>
      </x:c>
      <x:c r="G2233" t="n">
        <x:v>1</x:v>
      </x:c>
      <x:c r="H2233" t="n">
        <x:v>1</x:v>
      </x:c>
      <x:c r="I2233" t="n">
        <x:f>G2233-H2233</x:f>
        <x:v>0</x:v>
      </x:c>
      <x:c r="J2233" s="20" t="n">
        <x:f>IFERROR(H2233/G2233,0)</x:f>
        <x:v>1</x:v>
      </x:c>
      <x:c r="K2233" t="n">
        <x:v>907787</x:v>
      </x:c>
      <x:c r="L2233" t="n">
        <x:v>907787</x:v>
      </x:c>
      <x:c r="M2233" t="n">
        <x:v>907787</x:v>
      </x:c>
      <x:c r="N2233" t="n">
        <x:v>907787</x:v>
      </x:c>
      <x:c r="O2233" t="n">
        <x:v>907787</x:v>
      </x:c>
    </x:row>
    <x:row r="2234">
      <x:c r="A2234" t="str">
        <x:v>Delhi</x:v>
      </x:c>
      <x:c r="B2234" t="str">
        <x:v>Central University</x:v>
      </x:c>
      <x:c r="C2234" t="str">
        <x:v>200448</x:v>
      </x:c>
      <x:c r="D2234" t="str">
        <x:v>Lady Hardinge Medical College, New Delhi, Lady Hardinge Medical College, Shaheed Bhagat Singh Marg, New Delhi</x:v>
      </x:c>
      <x:c r="E2234" t="str">
        <x:v>Delhi University Quota</x:v>
      </x:c>
      <x:c r="F2234" t="str">
        <x:v>EWS</x:v>
      </x:c>
      <x:c r="G2234" t="n">
        <x:v>16</x:v>
      </x:c>
      <x:c r="H2234" t="n">
        <x:v>16</x:v>
      </x:c>
      <x:c r="I2234" t="n">
        <x:f>G2234-H2234</x:f>
        <x:v>0</x:v>
      </x:c>
      <x:c r="J2234" s="20" t="n">
        <x:f>IFERROR(H2234/G2234,0)</x:f>
        <x:v>1</x:v>
      </x:c>
      <x:c r="K2234" t="n">
        <x:v>8595</x:v>
      </x:c>
      <x:c r="L2234" t="n">
        <x:v>10391.25</x:v>
      </x:c>
      <x:c r="M2234" t="n">
        <x:v>12345</x:v>
      </x:c>
      <x:c r="N2234" t="n">
        <x:v>14109.75</x:v>
      </x:c>
      <x:c r="O2234" t="n">
        <x:v>14880</x:v>
      </x:c>
    </x:row>
    <x:row r="2235">
      <x:c r="A2235" t="str">
        <x:v>Delhi</x:v>
      </x:c>
      <x:c r="B2235" t="str">
        <x:v>Central University</x:v>
      </x:c>
      <x:c r="C2235" t="str">
        <x:v>200448</x:v>
      </x:c>
      <x:c r="D2235" t="str">
        <x:v>Lady Hardinge Medical College, New Delhi, Lady Hardinge Medical College, Shaheed Bhagat Singh Marg, New Delhi</x:v>
      </x:c>
      <x:c r="E2235" t="str">
        <x:v>Delhi University Quota</x:v>
      </x:c>
      <x:c r="F2235" t="str">
        <x:v>EWS PwD</x:v>
      </x:c>
      <x:c r="G2235" t="n">
        <x:v>1</x:v>
      </x:c>
      <x:c r="H2235" t="n">
        <x:v>0</x:v>
      </x:c>
      <x:c r="I2235" t="n">
        <x:f>G2235-H2235</x:f>
        <x:v>1</x:v>
      </x:c>
      <x:c r="J2235" s="20" t="n">
        <x:f>IFERROR(H2235/G2235,0)</x:f>
        <x:v>0</x:v>
      </x:c>
      <x:c r="K2235"/>
      <x:c r="L2235"/>
      <x:c r="M2235"/>
      <x:c r="N2235"/>
      <x:c r="O2235"/>
    </x:row>
    <x:row r="2236">
      <x:c r="A2236" t="str">
        <x:v>Delhi</x:v>
      </x:c>
      <x:c r="B2236" t="str">
        <x:v>Central University</x:v>
      </x:c>
      <x:c r="C2236" t="str">
        <x:v>200448</x:v>
      </x:c>
      <x:c r="D2236" t="str">
        <x:v>Lady Hardinge Medical College, New Delhi, Lady Hardinge Medical College, Shaheed Bhagat Singh Marg, New Delhi</x:v>
      </x:c>
      <x:c r="E2236" t="str">
        <x:v>Delhi University Quota</x:v>
      </x:c>
      <x:c r="F2236" t="str">
        <x:v>OBC</x:v>
      </x:c>
      <x:c r="G2236" t="n">
        <x:v>45</x:v>
      </x:c>
      <x:c r="H2236" t="n">
        <x:v>45</x:v>
      </x:c>
      <x:c r="I2236" t="n">
        <x:f>G2236-H2236</x:f>
        <x:v>0</x:v>
      </x:c>
      <x:c r="J2236" s="20" t="n">
        <x:f>IFERROR(H2236/G2236,0)</x:f>
        <x:v>1</x:v>
      </x:c>
      <x:c r="K2236" t="n">
        <x:v>8411</x:v>
      </x:c>
      <x:c r="L2236" t="n">
        <x:v>11098</x:v>
      </x:c>
      <x:c r="M2236" t="n">
        <x:v>12133</x:v>
      </x:c>
      <x:c r="N2236" t="n">
        <x:v>12961</x:v>
      </x:c>
      <x:c r="O2236" t="n">
        <x:v>14954</x:v>
      </x:c>
    </x:row>
    <x:row r="2237">
      <x:c r="A2237" t="str">
        <x:v>Delhi</x:v>
      </x:c>
      <x:c r="B2237" t="str">
        <x:v>Central University</x:v>
      </x:c>
      <x:c r="C2237" t="str">
        <x:v>200448</x:v>
      </x:c>
      <x:c r="D2237" t="str">
        <x:v>Lady Hardinge Medical College, New Delhi, Lady Hardinge Medical College, Shaheed Bhagat Singh Marg, New Delhi</x:v>
      </x:c>
      <x:c r="E2237" t="str">
        <x:v>Delhi University Quota</x:v>
      </x:c>
      <x:c r="F2237" t="str">
        <x:v>OBC PwD</x:v>
      </x:c>
      <x:c r="G2237" t="n">
        <x:v>3</x:v>
      </x:c>
      <x:c r="H2237" t="n">
        <x:v>3</x:v>
      </x:c>
      <x:c r="I2237" t="n">
        <x:f>G2237-H2237</x:f>
        <x:v>0</x:v>
      </x:c>
      <x:c r="J2237" s="20" t="n">
        <x:f>IFERROR(H2237/G2237,0)</x:f>
        <x:v>1</x:v>
      </x:c>
      <x:c r="K2237" t="n">
        <x:v>777779</x:v>
      </x:c>
      <x:c r="L2237" t="n">
        <x:v>900781</x:v>
      </x:c>
      <x:c r="M2237" t="n">
        <x:v>1023783</x:v>
      </x:c>
      <x:c r="N2237" t="n">
        <x:v>1025656</x:v>
      </x:c>
      <x:c r="O2237" t="n">
        <x:v>1027529</x:v>
      </x:c>
    </x:row>
    <x:row r="2238">
      <x:c r="A2238" t="str">
        <x:v>Delhi</x:v>
      </x:c>
      <x:c r="B2238" t="str">
        <x:v>Central University</x:v>
      </x:c>
      <x:c r="C2238" t="str">
        <x:v>200448</x:v>
      </x:c>
      <x:c r="D2238" t="str">
        <x:v>Lady Hardinge Medical College, New Delhi, Lady Hardinge Medical College, Shaheed Bhagat Singh Marg, New Delhi</x:v>
      </x:c>
      <x:c r="E2238" t="str">
        <x:v>Delhi University Quota</x:v>
      </x:c>
      <x:c r="F2238" t="str">
        <x:v>Open</x:v>
      </x:c>
      <x:c r="G2238" t="n">
        <x:v>70</x:v>
      </x:c>
      <x:c r="H2238" t="n">
        <x:v>70</x:v>
      </x:c>
      <x:c r="I2238" t="n">
        <x:f>G2238-H2238</x:f>
        <x:v>0</x:v>
      </x:c>
      <x:c r="J2238" s="20" t="n">
        <x:f>IFERROR(H2238/G2238,0)</x:f>
        <x:v>1</x:v>
      </x:c>
      <x:c r="K2238" t="n">
        <x:v>3164</x:v>
      </x:c>
      <x:c r="L2238" t="n">
        <x:v>5169</x:v>
      </x:c>
      <x:c r="M2238" t="n">
        <x:v>6027</x:v>
      </x:c>
      <x:c r="N2238" t="n">
        <x:v>6475.75</x:v>
      </x:c>
      <x:c r="O2238" t="n">
        <x:v>7403</x:v>
      </x:c>
    </x:row>
    <x:row r="2239">
      <x:c r="A2239" t="str">
        <x:v>Delhi</x:v>
      </x:c>
      <x:c r="B2239" t="str">
        <x:v>Central University</x:v>
      </x:c>
      <x:c r="C2239" t="str">
        <x:v>200448</x:v>
      </x:c>
      <x:c r="D2239" t="str">
        <x:v>Lady Hardinge Medical College, New Delhi, Lady Hardinge Medical College, Shaheed Bhagat Singh Marg, New Delhi</x:v>
      </x:c>
      <x:c r="E2239" t="str">
        <x:v>Delhi University Quota</x:v>
      </x:c>
      <x:c r="F2239" t="str">
        <x:v>Open PwD</x:v>
      </x:c>
      <x:c r="G2239" t="n">
        <x:v>4</x:v>
      </x:c>
      <x:c r="H2239" t="n">
        <x:v>4</x:v>
      </x:c>
      <x:c r="I2239" t="n">
        <x:f>G2239-H2239</x:f>
        <x:v>0</x:v>
      </x:c>
      <x:c r="J2239" s="20" t="n">
        <x:f>IFERROR(H2239/G2239,0)</x:f>
        <x:v>1</x:v>
      </x:c>
      <x:c r="K2239" t="n">
        <x:v>494750</x:v>
      </x:c>
      <x:c r="L2239" t="n">
        <x:v>521151.5</x:v>
      </x:c>
      <x:c r="M2239" t="n">
        <x:v>538962</x:v>
      </x:c>
      <x:c r="N2239" t="n">
        <x:v>549842</x:v>
      </x:c>
      <x:c r="O2239" t="n">
        <x:v>555452</x:v>
      </x:c>
    </x:row>
    <x:row r="2240">
      <x:c r="A2240" t="str">
        <x:v>Delhi</x:v>
      </x:c>
      <x:c r="B2240" t="str">
        <x:v>Central University</x:v>
      </x:c>
      <x:c r="C2240" t="str">
        <x:v>200448</x:v>
      </x:c>
      <x:c r="D2240" t="str">
        <x:v>Lady Hardinge Medical College, New Delhi, Lady Hardinge Medical College, Shaheed Bhagat Singh Marg, New Delhi</x:v>
      </x:c>
      <x:c r="E2240" t="str">
        <x:v>Delhi University Quota</x:v>
      </x:c>
      <x:c r="F2240" t="str">
        <x:v>SC</x:v>
      </x:c>
      <x:c r="G2240" t="n">
        <x:v>26</x:v>
      </x:c>
      <x:c r="H2240" t="n">
        <x:v>26</x:v>
      </x:c>
      <x:c r="I2240" t="n">
        <x:f>G2240-H2240</x:f>
        <x:v>0</x:v>
      </x:c>
      <x:c r="J2240" s="20" t="n">
        <x:f>IFERROR(H2240/G2240,0)</x:f>
        <x:v>1</x:v>
      </x:c>
      <x:c r="K2240" t="n">
        <x:v>47799</x:v>
      </x:c>
      <x:c r="L2240" t="n">
        <x:v>58278.75</x:v>
      </x:c>
      <x:c r="M2240" t="n">
        <x:v>64245.5</x:v>
      </x:c>
      <x:c r="N2240" t="n">
        <x:v>68338.25</x:v>
      </x:c>
      <x:c r="O2240" t="n">
        <x:v>75166</x:v>
      </x:c>
    </x:row>
    <x:row r="2241">
      <x:c r="A2241" t="str">
        <x:v>Delhi</x:v>
      </x:c>
      <x:c r="B2241" t="str">
        <x:v>Central University</x:v>
      </x:c>
      <x:c r="C2241" t="str">
        <x:v>200448</x:v>
      </x:c>
      <x:c r="D2241" t="str">
        <x:v>Lady Hardinge Medical College, New Delhi, Lady Hardinge Medical College, Shaheed Bhagat Singh Marg, New Delhi</x:v>
      </x:c>
      <x:c r="E2241" t="str">
        <x:v>Delhi University Quota</x:v>
      </x:c>
      <x:c r="F2241" t="str">
        <x:v>SC PwD</x:v>
      </x:c>
      <x:c r="G2241" t="n">
        <x:v>1</x:v>
      </x:c>
      <x:c r="H2241" t="n">
        <x:v>1</x:v>
      </x:c>
      <x:c r="I2241" t="n">
        <x:f>G2241-H2241</x:f>
        <x:v>0</x:v>
      </x:c>
      <x:c r="J2241" s="20" t="n">
        <x:f>IFERROR(H2241/G2241,0)</x:f>
        <x:v>1</x:v>
      </x:c>
      <x:c r="K2241" t="n">
        <x:v>956433</x:v>
      </x:c>
      <x:c r="L2241" t="n">
        <x:v>956433</x:v>
      </x:c>
      <x:c r="M2241" t="n">
        <x:v>956433</x:v>
      </x:c>
      <x:c r="N2241" t="n">
        <x:v>956433</x:v>
      </x:c>
      <x:c r="O2241" t="n">
        <x:v>956433</x:v>
      </x:c>
    </x:row>
    <x:row r="2242">
      <x:c r="A2242" t="str">
        <x:v>Delhi</x:v>
      </x:c>
      <x:c r="B2242" t="str">
        <x:v>Central University</x:v>
      </x:c>
      <x:c r="C2242" t="str">
        <x:v>200448</x:v>
      </x:c>
      <x:c r="D2242" t="str">
        <x:v>Lady Hardinge Medical College, New Delhi, Lady Hardinge Medical College, Shaheed Bhagat Singh Marg, New Delhi</x:v>
      </x:c>
      <x:c r="E2242" t="str">
        <x:v>Delhi University Quota</x:v>
      </x:c>
      <x:c r="F2242" t="str">
        <x:v>ST</x:v>
      </x:c>
      <x:c r="G2242" t="n">
        <x:v>12</x:v>
      </x:c>
      <x:c r="H2242" t="n">
        <x:v>12</x:v>
      </x:c>
      <x:c r="I2242" t="n">
        <x:f>G2242-H2242</x:f>
        <x:v>0</x:v>
      </x:c>
      <x:c r="J2242" s="20" t="n">
        <x:f>IFERROR(H2242/G2242,0)</x:f>
        <x:v>1</x:v>
      </x:c>
      <x:c r="K2242" t="n">
        <x:v>86925</x:v>
      </x:c>
      <x:c r="L2242" t="n">
        <x:v>101101.75</x:v>
      </x:c>
      <x:c r="M2242" t="n">
        <x:v>113247.5</x:v>
      </x:c>
      <x:c r="N2242" t="n">
        <x:v>119343.75</x:v>
      </x:c>
      <x:c r="O2242" t="n">
        <x:v>123564</x:v>
      </x:c>
    </x:row>
    <x:row r="2243">
      <x:c r="A2243" t="str">
        <x:v>Delhi</x:v>
      </x:c>
      <x:c r="B2243" t="str">
        <x:v>Central University</x:v>
      </x:c>
      <x:c r="C2243" t="str">
        <x:v>200448</x:v>
      </x:c>
      <x:c r="D2243" t="str">
        <x:v>Lady Hardinge Medical College, New Delhi, Lady Hardinge Medical College, Shaheed Bhagat Singh Marg, New Delhi</x:v>
      </x:c>
      <x:c r="E2243" t="str">
        <x:v>Delhi University Quota</x:v>
      </x:c>
      <x:c r="F2243" t="str">
        <x:v>ST PwD</x:v>
      </x:c>
      <x:c r="G2243" t="n">
        <x:v>1</x:v>
      </x:c>
      <x:c r="H2243" t="n">
        <x:v>0</x:v>
      </x:c>
      <x:c r="I2243" t="n">
        <x:f>G2243-H2243</x:f>
        <x:v>1</x:v>
      </x:c>
      <x:c r="J2243" s="20" t="n">
        <x:f>IFERROR(H2243/G2243,0)</x:f>
        <x:v>0</x:v>
      </x:c>
      <x:c r="K2243"/>
      <x:c r="L2243"/>
      <x:c r="M2243"/>
      <x:c r="N2243"/>
      <x:c r="O2243"/>
    </x:row>
    <x:row r="2244">
      <x:c r="A2244" t="str">
        <x:v>Assam</x:v>
      </x:c>
      <x:c r="B2244" t="str">
        <x:v>All India except Central University</x:v>
      </x:c>
      <x:c r="C2244" t="str">
        <x:v>200588</x:v>
      </x:c>
      <x:c r="D2244" t="str">
        <x:v>Lakhimpur Medical College, Chowkham Saboti North Lakhimpur Lakhimpur</x:v>
      </x:c>
      <x:c r="E2244" t="str">
        <x:v>All India</x:v>
      </x:c>
      <x:c r="F2244" t="str">
        <x:v>EWS</x:v>
      </x:c>
      <x:c r="G2244" t="n">
        <x:v>1</x:v>
      </x:c>
      <x:c r="H2244" t="n">
        <x:v>1</x:v>
      </x:c>
      <x:c r="I2244" t="n">
        <x:f>G2244-H2244</x:f>
        <x:v>0</x:v>
      </x:c>
      <x:c r="J2244" s="20" t="n">
        <x:f>IFERROR(H2244/G2244,0)</x:f>
        <x:v>1</x:v>
      </x:c>
      <x:c r="K2244" t="n">
        <x:v>18771</x:v>
      </x:c>
      <x:c r="L2244" t="n">
        <x:v>18771</x:v>
      </x:c>
      <x:c r="M2244" t="n">
        <x:v>18771</x:v>
      </x:c>
      <x:c r="N2244" t="n">
        <x:v>18771</x:v>
      </x:c>
      <x:c r="O2244" t="n">
        <x:v>18771</x:v>
      </x:c>
    </x:row>
    <x:row r="2245">
      <x:c r="A2245" t="str">
        <x:v>Assam</x:v>
      </x:c>
      <x:c r="B2245" t="str">
        <x:v>All India except Central University</x:v>
      </x:c>
      <x:c r="C2245" t="str">
        <x:v>200588</x:v>
      </x:c>
      <x:c r="D2245" t="str">
        <x:v>Lakhimpur Medical College, Chowkham Saboti North Lakhimpur Lakhimpur</x:v>
      </x:c>
      <x:c r="E2245" t="str">
        <x:v>All India</x:v>
      </x:c>
      <x:c r="F2245" t="str">
        <x:v>EWS PwD</x:v>
      </x:c>
      <x:c r="G2245" t="n">
        <x:v>1</x:v>
      </x:c>
      <x:c r="H2245" t="n">
        <x:v>1</x:v>
      </x:c>
      <x:c r="I2245" t="n">
        <x:f>G2245-H2245</x:f>
        <x:v>0</x:v>
      </x:c>
      <x:c r="J2245" s="20" t="n">
        <x:f>IFERROR(H2245/G2245,0)</x:f>
        <x:v>1</x:v>
      </x:c>
      <x:c r="K2245" t="n">
        <x:v>697627</x:v>
      </x:c>
      <x:c r="L2245" t="n">
        <x:v>697627</x:v>
      </x:c>
      <x:c r="M2245" t="n">
        <x:v>697627</x:v>
      </x:c>
      <x:c r="N2245" t="n">
        <x:v>697627</x:v>
      </x:c>
      <x:c r="O2245" t="n">
        <x:v>697627</x:v>
      </x:c>
    </x:row>
    <x:row r="2246">
      <x:c r="A2246" t="str">
        <x:v>Assam</x:v>
      </x:c>
      <x:c r="B2246" t="str">
        <x:v>All India except Central University</x:v>
      </x:c>
      <x:c r="C2246" t="str">
        <x:v>200588</x:v>
      </x:c>
      <x:c r="D2246" t="str">
        <x:v>Lakhimpur Medical College, Chowkham Saboti North Lakhimpur Lakhimpur</x:v>
      </x:c>
      <x:c r="E2246" t="str">
        <x:v>All India</x:v>
      </x:c>
      <x:c r="F2246" t="str">
        <x:v>OBC</x:v>
      </x:c>
      <x:c r="G2246" t="n">
        <x:v>4</x:v>
      </x:c>
      <x:c r="H2246" t="n">
        <x:v>4</x:v>
      </x:c>
      <x:c r="I2246" t="n">
        <x:f>G2246-H2246</x:f>
        <x:v>0</x:v>
      </x:c>
      <x:c r="J2246" s="20" t="n">
        <x:f>IFERROR(H2246/G2246,0)</x:f>
        <x:v>1</x:v>
      </x:c>
      <x:c r="K2246" t="n">
        <x:v>17590</x:v>
      </x:c>
      <x:c r="L2246" t="n">
        <x:v>17641.75</x:v>
      </x:c>
      <x:c r="M2246" t="n">
        <x:v>17817</x:v>
      </x:c>
      <x:c r="N2246" t="n">
        <x:v>18022</x:v>
      </x:c>
      <x:c r="O2246" t="n">
        <x:v>18163</x:v>
      </x:c>
    </x:row>
    <x:row r="2247">
      <x:c r="A2247" t="str">
        <x:v>Assam</x:v>
      </x:c>
      <x:c r="B2247" t="str">
        <x:v>All India except Central University</x:v>
      </x:c>
      <x:c r="C2247" t="str">
        <x:v>200588</x:v>
      </x:c>
      <x:c r="D2247" t="str">
        <x:v>Lakhimpur Medical College, Chowkham Saboti North Lakhimpur Lakhimpur</x:v>
      </x:c>
      <x:c r="E2247" t="str">
        <x:v>All India</x:v>
      </x:c>
      <x:c r="F2247" t="str">
        <x:v>Open</x:v>
      </x:c>
      <x:c r="G2247" t="n">
        <x:v>5</x:v>
      </x:c>
      <x:c r="H2247" t="n">
        <x:v>5</x:v>
      </x:c>
      <x:c r="I2247" t="n">
        <x:f>G2247-H2247</x:f>
        <x:v>0</x:v>
      </x:c>
      <x:c r="J2247" s="20" t="n">
        <x:f>IFERROR(H2247/G2247,0)</x:f>
        <x:v>1</x:v>
      </x:c>
      <x:c r="K2247" t="n">
        <x:v>16757</x:v>
      </x:c>
      <x:c r="L2247" t="n">
        <x:v>17363</x:v>
      </x:c>
      <x:c r="M2247" t="n">
        <x:v>17370</x:v>
      </x:c>
      <x:c r="N2247" t="n">
        <x:v>17424</x:v>
      </x:c>
      <x:c r="O2247" t="n">
        <x:v>17451</x:v>
      </x:c>
    </x:row>
    <x:row r="2248">
      <x:c r="A2248" t="str">
        <x:v>Assam</x:v>
      </x:c>
      <x:c r="B2248" t="str">
        <x:v>All India except Central University</x:v>
      </x:c>
      <x:c r="C2248" t="str">
        <x:v>200588</x:v>
      </x:c>
      <x:c r="D2248" t="str">
        <x:v>Lakhimpur Medical College, Chowkham Saboti North Lakhimpur Lakhimpur</x:v>
      </x:c>
      <x:c r="E2248" t="str">
        <x:v>All India</x:v>
      </x:c>
      <x:c r="F2248" t="str">
        <x:v>SC</x:v>
      </x:c>
      <x:c r="G2248" t="n">
        <x:v>2</x:v>
      </x:c>
      <x:c r="H2248" t="n">
        <x:v>2</x:v>
      </x:c>
      <x:c r="I2248" t="n">
        <x:f>G2248-H2248</x:f>
        <x:v>0</x:v>
      </x:c>
      <x:c r="J2248" s="20" t="n">
        <x:f>IFERROR(H2248/G2248,0)</x:f>
        <x:v>1</x:v>
      </x:c>
      <x:c r="K2248" t="n">
        <x:v>85083</x:v>
      </x:c>
      <x:c r="L2248" t="n">
        <x:v>85596.75</x:v>
      </x:c>
      <x:c r="M2248" t="n">
        <x:v>86110.5</x:v>
      </x:c>
      <x:c r="N2248" t="n">
        <x:v>86624.25</x:v>
      </x:c>
      <x:c r="O2248" t="n">
        <x:v>87138</x:v>
      </x:c>
    </x:row>
    <x:row r="2249">
      <x:c r="A2249" t="str">
        <x:v>Assam</x:v>
      </x:c>
      <x:c r="B2249" t="str">
        <x:v>All India except Central University</x:v>
      </x:c>
      <x:c r="C2249" t="str">
        <x:v>200588</x:v>
      </x:c>
      <x:c r="D2249" t="str">
        <x:v>Lakhimpur Medical College, Chowkham Saboti North Lakhimpur Lakhimpur</x:v>
      </x:c>
      <x:c r="E2249" t="str">
        <x:v>All India</x:v>
      </x:c>
      <x:c r="F2249" t="str">
        <x:v>ST</x:v>
      </x:c>
      <x:c r="G2249" t="n">
        <x:v>2</x:v>
      </x:c>
      <x:c r="H2249" t="n">
        <x:v>2</x:v>
      </x:c>
      <x:c r="I2249" t="n">
        <x:f>G2249-H2249</x:f>
        <x:v>0</x:v>
      </x:c>
      <x:c r="J2249" s="20" t="n">
        <x:f>IFERROR(H2249/G2249,0)</x:f>
        <x:v>1</x:v>
      </x:c>
      <x:c r="K2249" t="n">
        <x:v>79710</x:v>
      </x:c>
      <x:c r="L2249" t="n">
        <x:v>86882.5</x:v>
      </x:c>
      <x:c r="M2249" t="n">
        <x:v>94055</x:v>
      </x:c>
      <x:c r="N2249" t="n">
        <x:v>101227.5</x:v>
      </x:c>
      <x:c r="O2249" t="n">
        <x:v>108400</x:v>
      </x:c>
    </x:row>
    <x:row r="2250">
      <x:c r="A2250" t="str">
        <x:v>Chhattisgarh</x:v>
      </x:c>
      <x:c r="B2250" t="str">
        <x:v>All India except Central University</x:v>
      </x:c>
      <x:c r="C2250" t="str">
        <x:v>200124</x:v>
      </x:c>
      <x:c r="D2250" t="str">
        <x:v>Late Shri Baliram Kashyap Memorial NDMC Govt. Medical College, Jagdalpur, LATE BALIRAM KASHYAP MEMORIAL GOVT. MEDICAL COLLEGE, DIMRAPAL GEEDAM ROAD , JAGDALPUR DIST-BASTAR</x:v>
      </x:c>
      <x:c r="E2250" t="str">
        <x:v>All India</x:v>
      </x:c>
      <x:c r="F2250" t="str">
        <x:v>EWS</x:v>
      </x:c>
      <x:c r="G2250" t="n">
        <x:v>2</x:v>
      </x:c>
      <x:c r="H2250" t="n">
        <x:v>2</x:v>
      </x:c>
      <x:c r="I2250" t="n">
        <x:f>G2250-H2250</x:f>
        <x:v>0</x:v>
      </x:c>
      <x:c r="J2250" s="20" t="n">
        <x:f>IFERROR(H2250/G2250,0)</x:f>
        <x:v>1</x:v>
      </x:c>
      <x:c r="K2250" t="n">
        <x:v>16322</x:v>
      </x:c>
      <x:c r="L2250" t="n">
        <x:v>16778</x:v>
      </x:c>
      <x:c r="M2250" t="n">
        <x:v>17234</x:v>
      </x:c>
      <x:c r="N2250" t="n">
        <x:v>17690</x:v>
      </x:c>
      <x:c r="O2250" t="n">
        <x:v>18146</x:v>
      </x:c>
    </x:row>
    <x:row r="2251">
      <x:c r="A2251" t="str">
        <x:v>Chhattisgarh</x:v>
      </x:c>
      <x:c r="B2251" t="str">
        <x:v>All India except Central University</x:v>
      </x:c>
      <x:c r="C2251" t="str">
        <x:v>200124</x:v>
      </x:c>
      <x:c r="D2251" t="str">
        <x:v>Late Shri Baliram Kashyap Memorial NDMC Govt. Medical College, Jagdalpur, LATE BALIRAM KASHYAP MEMORIAL GOVT. MEDICAL COLLEGE, DIMRAPAL GEEDAM ROAD , JAGDALPUR DIST-BASTAR</x:v>
      </x:c>
      <x:c r="E2251" t="str">
        <x:v>All India</x:v>
      </x:c>
      <x:c r="F2251" t="str">
        <x:v>OBC</x:v>
      </x:c>
      <x:c r="G2251" t="n">
        <x:v>6</x:v>
      </x:c>
      <x:c r="H2251" t="n">
        <x:v>6</x:v>
      </x:c>
      <x:c r="I2251" t="n">
        <x:f>G2251-H2251</x:f>
        <x:v>0</x:v>
      </x:c>
      <x:c r="J2251" s="20" t="n">
        <x:f>IFERROR(H2251/G2251,0)</x:f>
        <x:v>1</x:v>
      </x:c>
      <x:c r="K2251" t="n">
        <x:v>12789</x:v>
      </x:c>
      <x:c r="L2251" t="n">
        <x:v>12943</x:v>
      </x:c>
      <x:c r="M2251" t="n">
        <x:v>13001</x:v>
      </x:c>
      <x:c r="N2251" t="n">
        <x:v>13153.5</x:v>
      </x:c>
      <x:c r="O2251" t="n">
        <x:v>13290</x:v>
      </x:c>
    </x:row>
    <x:row r="2252">
      <x:c r="A2252" t="str">
        <x:v>Chhattisgarh</x:v>
      </x:c>
      <x:c r="B2252" t="str">
        <x:v>All India except Central University</x:v>
      </x:c>
      <x:c r="C2252" t="str">
        <x:v>200124</x:v>
      </x:c>
      <x:c r="D2252" t="str">
        <x:v>Late Shri Baliram Kashyap Memorial NDMC Govt. Medical College, Jagdalpur, LATE BALIRAM KASHYAP MEMORIAL GOVT. MEDICAL COLLEGE, DIMRAPAL GEEDAM ROAD , JAGDALPUR DIST-BASTAR</x:v>
      </x:c>
      <x:c r="E2252" t="str">
        <x:v>All India</x:v>
      </x:c>
      <x:c r="F2252" t="str">
        <x:v>Open</x:v>
      </x:c>
      <x:c r="G2252" t="n">
        <x:v>8</x:v>
      </x:c>
      <x:c r="H2252" t="n">
        <x:v>8</x:v>
      </x:c>
      <x:c r="I2252" t="n">
        <x:f>G2252-H2252</x:f>
        <x:v>0</x:v>
      </x:c>
      <x:c r="J2252" s="20" t="n">
        <x:f>IFERROR(H2252/G2252,0)</x:f>
        <x:v>1</x:v>
      </x:c>
      <x:c r="K2252" t="n">
        <x:v>8103</x:v>
      </x:c>
      <x:c r="L2252" t="n">
        <x:v>9323.5</x:v>
      </x:c>
      <x:c r="M2252" t="n">
        <x:v>10430</x:v>
      </x:c>
      <x:c r="N2252" t="n">
        <x:v>11845</x:v>
      </x:c>
      <x:c r="O2252" t="n">
        <x:v>12312</x:v>
      </x:c>
    </x:row>
    <x:row r="2253">
      <x:c r="A2253" t="str">
        <x:v>Chhattisgarh</x:v>
      </x:c>
      <x:c r="B2253" t="str">
        <x:v>All India except Central University</x:v>
      </x:c>
      <x:c r="C2253" t="str">
        <x:v>200124</x:v>
      </x:c>
      <x:c r="D2253" t="str">
        <x:v>Late Shri Baliram Kashyap Memorial NDMC Govt. Medical College, Jagdalpur, LATE BALIRAM KASHYAP MEMORIAL GOVT. MEDICAL COLLEGE, DIMRAPAL GEEDAM ROAD , JAGDALPUR DIST-BASTAR</x:v>
      </x:c>
      <x:c r="E2253" t="str">
        <x:v>All India</x:v>
      </x:c>
      <x:c r="F2253" t="str">
        <x:v>Open PwD</x:v>
      </x:c>
      <x:c r="G2253" t="n">
        <x:v>1</x:v>
      </x:c>
      <x:c r="H2253" t="n">
        <x:v>1</x:v>
      </x:c>
      <x:c r="I2253" t="n">
        <x:f>G2253-H2253</x:f>
        <x:v>0</x:v>
      </x:c>
      <x:c r="J2253" s="20" t="n">
        <x:f>IFERROR(H2253/G2253,0)</x:f>
        <x:v>1</x:v>
      </x:c>
      <x:c r="K2253" t="n">
        <x:v>289699</x:v>
      </x:c>
      <x:c r="L2253" t="n">
        <x:v>289699</x:v>
      </x:c>
      <x:c r="M2253" t="n">
        <x:v>289699</x:v>
      </x:c>
      <x:c r="N2253" t="n">
        <x:v>289699</x:v>
      </x:c>
      <x:c r="O2253" t="n">
        <x:v>289699</x:v>
      </x:c>
    </x:row>
    <x:row r="2254">
      <x:c r="A2254" t="str">
        <x:v>Chhattisgarh</x:v>
      </x:c>
      <x:c r="B2254" t="str">
        <x:v>All India except Central University</x:v>
      </x:c>
      <x:c r="C2254" t="str">
        <x:v>200124</x:v>
      </x:c>
      <x:c r="D2254" t="str">
        <x:v>Late Shri Baliram Kashyap Memorial NDMC Govt. Medical College, Jagdalpur, LATE BALIRAM KASHYAP MEMORIAL GOVT. MEDICAL COLLEGE, DIMRAPAL GEEDAM ROAD , JAGDALPUR DIST-BASTAR</x:v>
      </x:c>
      <x:c r="E2254" t="str">
        <x:v>All India</x:v>
      </x:c>
      <x:c r="F2254" t="str">
        <x:v>SC</x:v>
      </x:c>
      <x:c r="G2254" t="n">
        <x:v>4</x:v>
      </x:c>
      <x:c r="H2254" t="n">
        <x:v>4</x:v>
      </x:c>
      <x:c r="I2254" t="n">
        <x:f>G2254-H2254</x:f>
        <x:v>0</x:v>
      </x:c>
      <x:c r="J2254" s="20" t="n">
        <x:f>IFERROR(H2254/G2254,0)</x:f>
        <x:v>1</x:v>
      </x:c>
      <x:c r="K2254" t="n">
        <x:v>67638</x:v>
      </x:c>
      <x:c r="L2254" t="n">
        <x:v>79718.25</x:v>
      </x:c>
      <x:c r="M2254" t="n">
        <x:v>83953</x:v>
      </x:c>
      <x:c r="N2254" t="n">
        <x:v>84427</x:v>
      </x:c>
      <x:c r="O2254" t="n">
        <x:v>85225</x:v>
      </x:c>
    </x:row>
    <x:row r="2255">
      <x:c r="A2255" t="str">
        <x:v>Chhattisgarh</x:v>
      </x:c>
      <x:c r="B2255" t="str">
        <x:v>All India except Central University</x:v>
      </x:c>
      <x:c r="C2255" t="str">
        <x:v>200124</x:v>
      </x:c>
      <x:c r="D2255" t="str">
        <x:v>Late Shri Baliram Kashyap Memorial NDMC Govt. Medical College, Jagdalpur, LATE BALIRAM KASHYAP MEMORIAL GOVT. MEDICAL COLLEGE, DIMRAPAL GEEDAM ROAD , JAGDALPUR DIST-BASTAR</x:v>
      </x:c>
      <x:c r="E2255" t="str">
        <x:v>All India</x:v>
      </x:c>
      <x:c r="F2255" t="str">
        <x:v>ST</x:v>
      </x:c>
      <x:c r="G2255" t="n">
        <x:v>2</x:v>
      </x:c>
      <x:c r="H2255" t="n">
        <x:v>2</x:v>
      </x:c>
      <x:c r="I2255" t="n">
        <x:f>G2255-H2255</x:f>
        <x:v>0</x:v>
      </x:c>
      <x:c r="J2255" s="20" t="n">
        <x:f>IFERROR(H2255/G2255,0)</x:f>
        <x:v>1</x:v>
      </x:c>
      <x:c r="K2255" t="n">
        <x:v>103757</x:v>
      </x:c>
      <x:c r="L2255" t="n">
        <x:v>104078</x:v>
      </x:c>
      <x:c r="M2255" t="n">
        <x:v>104399</x:v>
      </x:c>
      <x:c r="N2255" t="n">
        <x:v>104720</x:v>
      </x:c>
      <x:c r="O2255" t="n">
        <x:v>105041</x:v>
      </x:c>
    </x:row>
    <x:row r="2256">
      <x:c r="A2256" t="str">
        <x:v>Chhattisgarh</x:v>
      </x:c>
      <x:c r="B2256" t="str">
        <x:v>All India except Central University</x:v>
      </x:c>
      <x:c r="C2256" t="str">
        <x:v>200125</x:v>
      </x:c>
      <x:c r="D2256" t="str">
        <x:v>Late Shri Lakhi Ram Agrawal Memorial Govt. Medical College, Raigarh, T.V.Tower road, Bendrachua, Raigarh</x:v>
      </x:c>
      <x:c r="E2256" t="str">
        <x:v>All India</x:v>
      </x:c>
      <x:c r="F2256" t="str">
        <x:v>EWS</x:v>
      </x:c>
      <x:c r="G2256" t="n">
        <x:v>2</x:v>
      </x:c>
      <x:c r="H2256" t="n">
        <x:v>2</x:v>
      </x:c>
      <x:c r="I2256" t="n">
        <x:f>G2256-H2256</x:f>
        <x:v>0</x:v>
      </x:c>
      <x:c r="J2256" s="20" t="n">
        <x:f>IFERROR(H2256/G2256,0)</x:f>
        <x:v>1</x:v>
      </x:c>
      <x:c r="K2256" t="n">
        <x:v>15777</x:v>
      </x:c>
      <x:c r="L2256" t="n">
        <x:v>15895.75</x:v>
      </x:c>
      <x:c r="M2256" t="n">
        <x:v>16014.5</x:v>
      </x:c>
      <x:c r="N2256" t="n">
        <x:v>16133.25</x:v>
      </x:c>
      <x:c r="O2256" t="n">
        <x:v>16252</x:v>
      </x:c>
    </x:row>
    <x:row r="2257">
      <x:c r="A2257" t="str">
        <x:v>Chhattisgarh</x:v>
      </x:c>
      <x:c r="B2257" t="str">
        <x:v>All India except Central University</x:v>
      </x:c>
      <x:c r="C2257" t="str">
        <x:v>200125</x:v>
      </x:c>
      <x:c r="D2257" t="str">
        <x:v>Late Shri Lakhi Ram Agrawal Memorial Govt. Medical College, Raigarh, T.V.Tower road, Bendrachua, Raigarh</x:v>
      </x:c>
      <x:c r="E2257" t="str">
        <x:v>All India</x:v>
      </x:c>
      <x:c r="F2257" t="str">
        <x:v>OBC</x:v>
      </x:c>
      <x:c r="G2257" t="n">
        <x:v>4</x:v>
      </x:c>
      <x:c r="H2257" t="n">
        <x:v>4</x:v>
      </x:c>
      <x:c r="I2257" t="n">
        <x:f>G2257-H2257</x:f>
        <x:v>0</x:v>
      </x:c>
      <x:c r="J2257" s="20" t="n">
        <x:f>IFERROR(H2257/G2257,0)</x:f>
        <x:v>1</x:v>
      </x:c>
      <x:c r="K2257" t="n">
        <x:v>14364</x:v>
      </x:c>
      <x:c r="L2257" t="n">
        <x:v>14452.5</x:v>
      </x:c>
      <x:c r="M2257" t="n">
        <x:v>15063</x:v>
      </x:c>
      <x:c r="N2257" t="n">
        <x:v>15736.25</x:v>
      </x:c>
      <x:c r="O2257" t="n">
        <x:v>16013</x:v>
      </x:c>
    </x:row>
    <x:row r="2258">
      <x:c r="A2258" t="str">
        <x:v>Chhattisgarh</x:v>
      </x:c>
      <x:c r="B2258" t="str">
        <x:v>All India except Central University</x:v>
      </x:c>
      <x:c r="C2258" t="str">
        <x:v>200125</x:v>
      </x:c>
      <x:c r="D2258" t="str">
        <x:v>Late Shri Lakhi Ram Agrawal Memorial Govt. Medical College, Raigarh, T.V.Tower road, Bendrachua, Raigarh</x:v>
      </x:c>
      <x:c r="E2258" t="str">
        <x:v>All India</x:v>
      </x:c>
      <x:c r="F2258" t="str">
        <x:v>Open</x:v>
      </x:c>
      <x:c r="G2258" t="n">
        <x:v>6</x:v>
      </x:c>
      <x:c r="H2258" t="n">
        <x:v>6</x:v>
      </x:c>
      <x:c r="I2258" t="n">
        <x:f>G2258-H2258</x:f>
        <x:v>0</x:v>
      </x:c>
      <x:c r="J2258" s="20" t="n">
        <x:f>IFERROR(H2258/G2258,0)</x:f>
        <x:v>1</x:v>
      </x:c>
      <x:c r="K2258" t="n">
        <x:v>11503</x:v>
      </x:c>
      <x:c r="L2258" t="n">
        <x:v>12076.25</x:v>
      </x:c>
      <x:c r="M2258" t="n">
        <x:v>13107</x:v>
      </x:c>
      <x:c r="N2258" t="n">
        <x:v>13358.5</x:v>
      </x:c>
      <x:c r="O2258" t="n">
        <x:v>13813</x:v>
      </x:c>
    </x:row>
    <x:row r="2259">
      <x:c r="A2259" t="str">
        <x:v>Chhattisgarh</x:v>
      </x:c>
      <x:c r="B2259" t="str">
        <x:v>All India except Central University</x:v>
      </x:c>
      <x:c r="C2259" t="str">
        <x:v>200125</x:v>
      </x:c>
      <x:c r="D2259" t="str">
        <x:v>Late Shri Lakhi Ram Agrawal Memorial Govt. Medical College, Raigarh, T.V.Tower road, Bendrachua, Raigarh</x:v>
      </x:c>
      <x:c r="E2259" t="str">
        <x:v>All India</x:v>
      </x:c>
      <x:c r="F2259" t="str">
        <x:v>SC</x:v>
      </x:c>
      <x:c r="G2259" t="n">
        <x:v>2</x:v>
      </x:c>
      <x:c r="H2259" t="n">
        <x:v>2</x:v>
      </x:c>
      <x:c r="I2259" t="n">
        <x:f>G2259-H2259</x:f>
        <x:v>0</x:v>
      </x:c>
      <x:c r="J2259" s="20" t="n">
        <x:f>IFERROR(H2259/G2259,0)</x:f>
        <x:v>1</x:v>
      </x:c>
      <x:c r="K2259" t="n">
        <x:v>84135</x:v>
      </x:c>
      <x:c r="L2259" t="n">
        <x:v>84407.75</x:v>
      </x:c>
      <x:c r="M2259" t="n">
        <x:v>84680.5</x:v>
      </x:c>
      <x:c r="N2259" t="n">
        <x:v>84953.25</x:v>
      </x:c>
      <x:c r="O2259" t="n">
        <x:v>85226</x:v>
      </x:c>
    </x:row>
    <x:row r="2260">
      <x:c r="A2260" t="str">
        <x:v>Chhattisgarh</x:v>
      </x:c>
      <x:c r="B2260" t="str">
        <x:v>All India except Central University</x:v>
      </x:c>
      <x:c r="C2260" t="str">
        <x:v>200125</x:v>
      </x:c>
      <x:c r="D2260" t="str">
        <x:v>Late Shri Lakhi Ram Agrawal Memorial Govt. Medical College, Raigarh, T.V.Tower road, Bendrachua, Raigarh</x:v>
      </x:c>
      <x:c r="E2260" t="str">
        <x:v>All India</x:v>
      </x:c>
      <x:c r="F2260" t="str">
        <x:v>ST</x:v>
      </x:c>
      <x:c r="G2260" t="n">
        <x:v>1</x:v>
      </x:c>
      <x:c r="H2260" t="n">
        <x:v>1</x:v>
      </x:c>
      <x:c r="I2260" t="n">
        <x:f>G2260-H2260</x:f>
        <x:v>0</x:v>
      </x:c>
      <x:c r="J2260" s="20" t="n">
        <x:f>IFERROR(H2260/G2260,0)</x:f>
        <x:v>1</x:v>
      </x:c>
      <x:c r="K2260" t="n">
        <x:v>105291</x:v>
      </x:c>
      <x:c r="L2260" t="n">
        <x:v>105291</x:v>
      </x:c>
      <x:c r="M2260" t="n">
        <x:v>105291</x:v>
      </x:c>
      <x:c r="N2260" t="n">
        <x:v>105291</x:v>
      </x:c>
      <x:c r="O2260" t="n">
        <x:v>105291</x:v>
      </x:c>
    </x:row>
    <x:row r="2261">
      <x:c r="A2261" t="str">
        <x:v>Maharashtra</x:v>
      </x:c>
      <x:c r="B2261" t="str">
        <x:v>All India except Central University</x:v>
      </x:c>
      <x:c r="C2261" t="str">
        <x:v>200221</x:v>
      </x:c>
      <x:c r="D2261" t="str">
        <x:v>Lokmanya Tilak Municipal Medical College, Sion, Mumbai, Dr. Babasaheb Ambedkar Road, Sion, Mumbai</x:v>
      </x:c>
      <x:c r="E2261" t="str">
        <x:v>All India</x:v>
      </x:c>
      <x:c r="F2261" t="str">
        <x:v>EWS</x:v>
      </x:c>
      <x:c r="G2261" t="n">
        <x:v>3</x:v>
      </x:c>
      <x:c r="H2261" t="n">
        <x:v>3</x:v>
      </x:c>
      <x:c r="I2261" t="n">
        <x:f>G2261-H2261</x:f>
        <x:v>0</x:v>
      </x:c>
      <x:c r="J2261" s="20" t="n">
        <x:f>IFERROR(H2261/G2261,0)</x:f>
        <x:v>1</x:v>
      </x:c>
      <x:c r="K2261" t="n">
        <x:v>5209</x:v>
      </x:c>
      <x:c r="L2261" t="n">
        <x:v>5487.5</x:v>
      </x:c>
      <x:c r="M2261" t="n">
        <x:v>5766</x:v>
      </x:c>
      <x:c r="N2261" t="n">
        <x:v>5788.5</x:v>
      </x:c>
      <x:c r="O2261" t="n">
        <x:v>5811</x:v>
      </x:c>
    </x:row>
    <x:row r="2262">
      <x:c r="A2262" t="str">
        <x:v>Maharashtra</x:v>
      </x:c>
      <x:c r="B2262" t="str">
        <x:v>All India except Central University</x:v>
      </x:c>
      <x:c r="C2262" t="str">
        <x:v>200221</x:v>
      </x:c>
      <x:c r="D2262" t="str">
        <x:v>Lokmanya Tilak Municipal Medical College, Sion, Mumbai, Dr. Babasaheb Ambedkar Road, Sion, Mumbai</x:v>
      </x:c>
      <x:c r="E2262" t="str">
        <x:v>All India</x:v>
      </x:c>
      <x:c r="F2262" t="str">
        <x:v>OBC</x:v>
      </x:c>
      <x:c r="G2262" t="n">
        <x:v>8</x:v>
      </x:c>
      <x:c r="H2262" t="n">
        <x:v>8</x:v>
      </x:c>
      <x:c r="I2262" t="n">
        <x:f>G2262-H2262</x:f>
        <x:v>0</x:v>
      </x:c>
      <x:c r="J2262" s="20" t="n">
        <x:f>IFERROR(H2262/G2262,0)</x:f>
        <x:v>1</x:v>
      </x:c>
      <x:c r="K2262" t="n">
        <x:v>4439</x:v>
      </x:c>
      <x:c r="L2262" t="n">
        <x:v>4671.75</x:v>
      </x:c>
      <x:c r="M2262" t="n">
        <x:v>5009.5</x:v>
      </x:c>
      <x:c r="N2262" t="n">
        <x:v>5187.5</x:v>
      </x:c>
      <x:c r="O2262" t="n">
        <x:v>5566</x:v>
      </x:c>
    </x:row>
    <x:row r="2263">
      <x:c r="A2263" t="str">
        <x:v>Maharashtra</x:v>
      </x:c>
      <x:c r="B2263" t="str">
        <x:v>All India except Central University</x:v>
      </x:c>
      <x:c r="C2263" t="str">
        <x:v>200221</x:v>
      </x:c>
      <x:c r="D2263" t="str">
        <x:v>Lokmanya Tilak Municipal Medical College, Sion, Mumbai, Dr. Babasaheb Ambedkar Road, Sion, Mumbai</x:v>
      </x:c>
      <x:c r="E2263" t="str">
        <x:v>All India</x:v>
      </x:c>
      <x:c r="F2263" t="str">
        <x:v>Open</x:v>
      </x:c>
      <x:c r="G2263" t="n">
        <x:v>11</x:v>
      </x:c>
      <x:c r="H2263" t="n">
        <x:v>11</x:v>
      </x:c>
      <x:c r="I2263" t="n">
        <x:f>G2263-H2263</x:f>
        <x:v>0</x:v>
      </x:c>
      <x:c r="J2263" s="20" t="n">
        <x:f>IFERROR(H2263/G2263,0)</x:f>
        <x:v>1</x:v>
      </x:c>
      <x:c r="K2263" t="n">
        <x:v>1687</x:v>
      </x:c>
      <x:c r="L2263" t="n">
        <x:v>1761</x:v>
      </x:c>
      <x:c r="M2263" t="n">
        <x:v>2167</x:v>
      </x:c>
      <x:c r="N2263" t="n">
        <x:v>2637.5</x:v>
      </x:c>
      <x:c r="O2263" t="n">
        <x:v>2736</x:v>
      </x:c>
    </x:row>
    <x:row r="2264">
      <x:c r="A2264" t="str">
        <x:v>Maharashtra</x:v>
      </x:c>
      <x:c r="B2264" t="str">
        <x:v>All India except Central University</x:v>
      </x:c>
      <x:c r="C2264" t="str">
        <x:v>200221</x:v>
      </x:c>
      <x:c r="D2264" t="str">
        <x:v>Lokmanya Tilak Municipal Medical College, Sion, Mumbai, Dr. Babasaheb Ambedkar Road, Sion, Mumbai</x:v>
      </x:c>
      <x:c r="E2264" t="str">
        <x:v>All India</x:v>
      </x:c>
      <x:c r="F2264" t="str">
        <x:v>SC</x:v>
      </x:c>
      <x:c r="G2264" t="n">
        <x:v>5</x:v>
      </x:c>
      <x:c r="H2264" t="n">
        <x:v>5</x:v>
      </x:c>
      <x:c r="I2264" t="n">
        <x:f>G2264-H2264</x:f>
        <x:v>0</x:v>
      </x:c>
      <x:c r="J2264" s="20" t="n">
        <x:f>IFERROR(H2264/G2264,0)</x:f>
        <x:v>1</x:v>
      </x:c>
      <x:c r="K2264" t="n">
        <x:v>31403</x:v>
      </x:c>
      <x:c r="L2264" t="n">
        <x:v>31463</x:v>
      </x:c>
      <x:c r="M2264" t="n">
        <x:v>31494</x:v>
      </x:c>
      <x:c r="N2264" t="n">
        <x:v>32451</x:v>
      </x:c>
      <x:c r="O2264" t="n">
        <x:v>34032</x:v>
      </x:c>
    </x:row>
    <x:row r="2265">
      <x:c r="A2265" t="str">
        <x:v>Maharashtra</x:v>
      </x:c>
      <x:c r="B2265" t="str">
        <x:v>All India except Central University</x:v>
      </x:c>
      <x:c r="C2265" t="str">
        <x:v>200221</x:v>
      </x:c>
      <x:c r="D2265" t="str">
        <x:v>Lokmanya Tilak Municipal Medical College, Sion, Mumbai, Dr. Babasaheb Ambedkar Road, Sion, Mumbai</x:v>
      </x:c>
      <x:c r="E2265" t="str">
        <x:v>All India</x:v>
      </x:c>
      <x:c r="F2265" t="str">
        <x:v>ST</x:v>
      </x:c>
      <x:c r="G2265" t="n">
        <x:v>3</x:v>
      </x:c>
      <x:c r="H2265" t="n">
        <x:v>3</x:v>
      </x:c>
      <x:c r="I2265" t="n">
        <x:f>G2265-H2265</x:f>
        <x:v>0</x:v>
      </x:c>
      <x:c r="J2265" s="20" t="n">
        <x:f>IFERROR(H2265/G2265,0)</x:f>
        <x:v>1</x:v>
      </x:c>
      <x:c r="K2265" t="n">
        <x:v>53818</x:v>
      </x:c>
      <x:c r="L2265" t="n">
        <x:v>56882.5</x:v>
      </x:c>
      <x:c r="M2265" t="n">
        <x:v>59947</x:v>
      </x:c>
      <x:c r="N2265" t="n">
        <x:v>60994</x:v>
      </x:c>
      <x:c r="O2265" t="n">
        <x:v>62041</x:v>
      </x:c>
    </x:row>
    <x:row r="2266">
      <x:c r="A2266" t="str">
        <x:v>Madhya Pradesh</x:v>
      </x:c>
      <x:c r="B2266" t="str">
        <x:v>All India except Central University</x:v>
      </x:c>
      <x:c r="C2266" t="str">
        <x:v>200202</x:v>
      </x:c>
      <x:c r="D2266" t="str">
        <x:v>M G M Medical College, Indore, AB ROAD INDORE</x:v>
      </x:c>
      <x:c r="E2266" t="str">
        <x:v>All India</x:v>
      </x:c>
      <x:c r="F2266" t="str">
        <x:v>EWS</x:v>
      </x:c>
      <x:c r="G2266" t="n">
        <x:v>4</x:v>
      </x:c>
      <x:c r="H2266" t="n">
        <x:v>4</x:v>
      </x:c>
      <x:c r="I2266" t="n">
        <x:f>G2266-H2266</x:f>
        <x:v>0</x:v>
      </x:c>
      <x:c r="J2266" s="20" t="n">
        <x:f>IFERROR(H2266/G2266,0)</x:f>
        <x:v>1</x:v>
      </x:c>
      <x:c r="K2266" t="n">
        <x:v>4390</x:v>
      </x:c>
      <x:c r="L2266" t="n">
        <x:v>4692.25</x:v>
      </x:c>
      <x:c r="M2266" t="n">
        <x:v>5359.5</x:v>
      </x:c>
      <x:c r="N2266" t="n">
        <x:v>5983.75</x:v>
      </x:c>
      <x:c r="O2266" t="n">
        <x:v>6157</x:v>
      </x:c>
    </x:row>
    <x:row r="2267">
      <x:c r="A2267" t="str">
        <x:v>Madhya Pradesh</x:v>
      </x:c>
      <x:c r="B2267" t="str">
        <x:v>All India except Central University</x:v>
      </x:c>
      <x:c r="C2267" t="str">
        <x:v>200202</x:v>
      </x:c>
      <x:c r="D2267" t="str">
        <x:v>M G M Medical College, Indore, AB ROAD INDORE</x:v>
      </x:c>
      <x:c r="E2267" t="str">
        <x:v>All India</x:v>
      </x:c>
      <x:c r="F2267" t="str">
        <x:v>OBC</x:v>
      </x:c>
      <x:c r="G2267" t="n">
        <x:v>9</x:v>
      </x:c>
      <x:c r="H2267" t="n">
        <x:v>9</x:v>
      </x:c>
      <x:c r="I2267" t="n">
        <x:f>G2267-H2267</x:f>
        <x:v>0</x:v>
      </x:c>
      <x:c r="J2267" s="20" t="n">
        <x:f>IFERROR(H2267/G2267,0)</x:f>
        <x:v>1</x:v>
      </x:c>
      <x:c r="K2267" t="n">
        <x:v>4680</x:v>
      </x:c>
      <x:c r="L2267" t="n">
        <x:v>5117</x:v>
      </x:c>
      <x:c r="M2267" t="n">
        <x:v>5319</x:v>
      </x:c>
      <x:c r="N2267" t="n">
        <x:v>5667</x:v>
      </x:c>
      <x:c r="O2267" t="n">
        <x:v>5752</x:v>
      </x:c>
    </x:row>
    <x:row r="2268">
      <x:c r="A2268" t="str">
        <x:v>Madhya Pradesh</x:v>
      </x:c>
      <x:c r="B2268" t="str">
        <x:v>All India except Central University</x:v>
      </x:c>
      <x:c r="C2268" t="str">
        <x:v>200202</x:v>
      </x:c>
      <x:c r="D2268" t="str">
        <x:v>M G M Medical College, Indore, AB ROAD INDORE</x:v>
      </x:c>
      <x:c r="E2268" t="str">
        <x:v>All India</x:v>
      </x:c>
      <x:c r="F2268" t="str">
        <x:v>OBC PwD</x:v>
      </x:c>
      <x:c r="G2268" t="n">
        <x:v>1</x:v>
      </x:c>
      <x:c r="H2268" t="n">
        <x:v>1</x:v>
      </x:c>
      <x:c r="I2268" t="n">
        <x:f>G2268-H2268</x:f>
        <x:v>0</x:v>
      </x:c>
      <x:c r="J2268" s="20" t="n">
        <x:f>IFERROR(H2268/G2268,0)</x:f>
        <x:v>1</x:v>
      </x:c>
      <x:c r="K2268" t="n">
        <x:v>401308</x:v>
      </x:c>
      <x:c r="L2268" t="n">
        <x:v>401308</x:v>
      </x:c>
      <x:c r="M2268" t="n">
        <x:v>401308</x:v>
      </x:c>
      <x:c r="N2268" t="n">
        <x:v>401308</x:v>
      </x:c>
      <x:c r="O2268" t="n">
        <x:v>401308</x:v>
      </x:c>
    </x:row>
    <x:row r="2269">
      <x:c r="A2269" t="str">
        <x:v>Madhya Pradesh</x:v>
      </x:c>
      <x:c r="B2269" t="str">
        <x:v>All India except Central University</x:v>
      </x:c>
      <x:c r="C2269" t="str">
        <x:v>200202</x:v>
      </x:c>
      <x:c r="D2269" t="str">
        <x:v>M G M Medical College, Indore, AB ROAD INDORE</x:v>
      </x:c>
      <x:c r="E2269" t="str">
        <x:v>All India</x:v>
      </x:c>
      <x:c r="F2269" t="str">
        <x:v>Open</x:v>
      </x:c>
      <x:c r="G2269" t="n">
        <x:v>15</x:v>
      </x:c>
      <x:c r="H2269" t="n">
        <x:v>15</x:v>
      </x:c>
      <x:c r="I2269" t="n">
        <x:f>G2269-H2269</x:f>
        <x:v>0</x:v>
      </x:c>
      <x:c r="J2269" s="20" t="n">
        <x:f>IFERROR(H2269/G2269,0)</x:f>
        <x:v>1</x:v>
      </x:c>
      <x:c r="K2269" t="n">
        <x:v>1112</x:v>
      </x:c>
      <x:c r="L2269" t="n">
        <x:v>3095</x:v>
      </x:c>
      <x:c r="M2269" t="n">
        <x:v>3411</x:v>
      </x:c>
      <x:c r="N2269" t="n">
        <x:v>3840.5</x:v>
      </x:c>
      <x:c r="O2269" t="n">
        <x:v>4163</x:v>
      </x:c>
    </x:row>
    <x:row r="2270">
      <x:c r="A2270" t="str">
        <x:v>Madhya Pradesh</x:v>
      </x:c>
      <x:c r="B2270" t="str">
        <x:v>All India except Central University</x:v>
      </x:c>
      <x:c r="C2270" t="str">
        <x:v>200202</x:v>
      </x:c>
      <x:c r="D2270" t="str">
        <x:v>M G M Medical College, Indore, AB ROAD INDORE</x:v>
      </x:c>
      <x:c r="E2270" t="str">
        <x:v>All India</x:v>
      </x:c>
      <x:c r="F2270" t="str">
        <x:v>Open PwD</x:v>
      </x:c>
      <x:c r="G2270" t="n">
        <x:v>1</x:v>
      </x:c>
      <x:c r="H2270" t="n">
        <x:v>1</x:v>
      </x:c>
      <x:c r="I2270" t="n">
        <x:f>G2270-H2270</x:f>
        <x:v>0</x:v>
      </x:c>
      <x:c r="J2270" s="20" t="n">
        <x:f>IFERROR(H2270/G2270,0)</x:f>
        <x:v>1</x:v>
      </x:c>
      <x:c r="K2270" t="n">
        <x:v>347225</x:v>
      </x:c>
      <x:c r="L2270" t="n">
        <x:v>347225</x:v>
      </x:c>
      <x:c r="M2270" t="n">
        <x:v>347225</x:v>
      </x:c>
      <x:c r="N2270" t="n">
        <x:v>347225</x:v>
      </x:c>
      <x:c r="O2270" t="n">
        <x:v>347225</x:v>
      </x:c>
    </x:row>
    <x:row r="2271">
      <x:c r="A2271" t="str">
        <x:v>Madhya Pradesh</x:v>
      </x:c>
      <x:c r="B2271" t="str">
        <x:v>All India except Central University</x:v>
      </x:c>
      <x:c r="C2271" t="str">
        <x:v>200202</x:v>
      </x:c>
      <x:c r="D2271" t="str">
        <x:v>M G M Medical College, Indore, AB ROAD INDORE</x:v>
      </x:c>
      <x:c r="E2271" t="str">
        <x:v>All India</x:v>
      </x:c>
      <x:c r="F2271" t="str">
        <x:v>SC</x:v>
      </x:c>
      <x:c r="G2271" t="n">
        <x:v>5</x:v>
      </x:c>
      <x:c r="H2271" t="n">
        <x:v>5</x:v>
      </x:c>
      <x:c r="I2271" t="n">
        <x:f>G2271-H2271</x:f>
        <x:v>0</x:v>
      </x:c>
      <x:c r="J2271" s="20" t="n">
        <x:f>IFERROR(H2271/G2271,0)</x:f>
        <x:v>1</x:v>
      </x:c>
      <x:c r="K2271" t="n">
        <x:v>24498</x:v>
      </x:c>
      <x:c r="L2271" t="n">
        <x:v>27149</x:v>
      </x:c>
      <x:c r="M2271" t="n">
        <x:v>28486</x:v>
      </x:c>
      <x:c r="N2271" t="n">
        <x:v>30213</x:v>
      </x:c>
      <x:c r="O2271" t="n">
        <x:v>34020</x:v>
      </x:c>
    </x:row>
    <x:row r="2272">
      <x:c r="A2272" t="str">
        <x:v>Madhya Pradesh</x:v>
      </x:c>
      <x:c r="B2272" t="str">
        <x:v>All India except Central University</x:v>
      </x:c>
      <x:c r="C2272" t="str">
        <x:v>200202</x:v>
      </x:c>
      <x:c r="D2272" t="str">
        <x:v>M G M Medical College, Indore, AB ROAD INDORE</x:v>
      </x:c>
      <x:c r="E2272" t="str">
        <x:v>All India</x:v>
      </x:c>
      <x:c r="F2272" t="str">
        <x:v>ST</x:v>
      </x:c>
      <x:c r="G2272" t="n">
        <x:v>2</x:v>
      </x:c>
      <x:c r="H2272" t="n">
        <x:v>2</x:v>
      </x:c>
      <x:c r="I2272" t="n">
        <x:f>G2272-H2272</x:f>
        <x:v>0</x:v>
      </x:c>
      <x:c r="J2272" s="20" t="n">
        <x:f>IFERROR(H2272/G2272,0)</x:f>
        <x:v>1</x:v>
      </x:c>
      <x:c r="K2272" t="n">
        <x:v>41151</x:v>
      </x:c>
      <x:c r="L2272" t="n">
        <x:v>41215</x:v>
      </x:c>
      <x:c r="M2272" t="n">
        <x:v>41279</x:v>
      </x:c>
      <x:c r="N2272" t="n">
        <x:v>41343</x:v>
      </x:c>
      <x:c r="O2272" t="n">
        <x:v>41407</x:v>
      </x:c>
    </x:row>
    <x:row r="2273">
      <x:c r="A2273" t="str">
        <x:v>Jharkhand</x:v>
      </x:c>
      <x:c r="B2273" t="str">
        <x:v>All India except Central University</x:v>
      </x:c>
      <x:c r="C2273" t="str">
        <x:v>200158</x:v>
      </x:c>
      <x:c r="D2273" t="str">
        <x:v>M G M Medical College, Jamshedpur, Dimna Road, Mango, Jamshedpur</x:v>
      </x:c>
      <x:c r="E2273" t="str">
        <x:v>All India</x:v>
      </x:c>
      <x:c r="F2273" t="str">
        <x:v>EWS</x:v>
      </x:c>
      <x:c r="G2273" t="n">
        <x:v>2</x:v>
      </x:c>
      <x:c r="H2273" t="n">
        <x:v>2</x:v>
      </x:c>
      <x:c r="I2273" t="n">
        <x:f>G2273-H2273</x:f>
        <x:v>0</x:v>
      </x:c>
      <x:c r="J2273" s="20" t="n">
        <x:f>IFERROR(H2273/G2273,0)</x:f>
        <x:v>1</x:v>
      </x:c>
      <x:c r="K2273" t="n">
        <x:v>8294</x:v>
      </x:c>
      <x:c r="L2273" t="n">
        <x:v>8577.75</x:v>
      </x:c>
      <x:c r="M2273" t="n">
        <x:v>8861.5</x:v>
      </x:c>
      <x:c r="N2273" t="n">
        <x:v>9145.25</x:v>
      </x:c>
      <x:c r="O2273" t="n">
        <x:v>9429</x:v>
      </x:c>
    </x:row>
    <x:row r="2274">
      <x:c r="A2274" t="str">
        <x:v>Jharkhand</x:v>
      </x:c>
      <x:c r="B2274" t="str">
        <x:v>All India except Central University</x:v>
      </x:c>
      <x:c r="C2274" t="str">
        <x:v>200158</x:v>
      </x:c>
      <x:c r="D2274" t="str">
        <x:v>M G M Medical College, Jamshedpur, Dimna Road, Mango, Jamshedpur</x:v>
      </x:c>
      <x:c r="E2274" t="str">
        <x:v>All India</x:v>
      </x:c>
      <x:c r="F2274" t="str">
        <x:v>EWS PwD</x:v>
      </x:c>
      <x:c r="G2274" t="n">
        <x:v>1</x:v>
      </x:c>
      <x:c r="H2274" t="n">
        <x:v>1</x:v>
      </x:c>
      <x:c r="I2274" t="n">
        <x:f>G2274-H2274</x:f>
        <x:v>0</x:v>
      </x:c>
      <x:c r="J2274" s="20" t="n">
        <x:f>IFERROR(H2274/G2274,0)</x:f>
        <x:v>1</x:v>
      </x:c>
      <x:c r="K2274" t="n">
        <x:v>567999</x:v>
      </x:c>
      <x:c r="L2274" t="n">
        <x:v>567999</x:v>
      </x:c>
      <x:c r="M2274" t="n">
        <x:v>567999</x:v>
      </x:c>
      <x:c r="N2274" t="n">
        <x:v>567999</x:v>
      </x:c>
      <x:c r="O2274" t="n">
        <x:v>567999</x:v>
      </x:c>
    </x:row>
    <x:row r="2275">
      <x:c r="A2275" t="str">
        <x:v>Jharkhand</x:v>
      </x:c>
      <x:c r="B2275" t="str">
        <x:v>All India except Central University</x:v>
      </x:c>
      <x:c r="C2275" t="str">
        <x:v>200158</x:v>
      </x:c>
      <x:c r="D2275" t="str">
        <x:v>M G M Medical College, Jamshedpur, Dimna Road, Mango, Jamshedpur</x:v>
      </x:c>
      <x:c r="E2275" t="str">
        <x:v>All India</x:v>
      </x:c>
      <x:c r="F2275" t="str">
        <x:v>OBC</x:v>
      </x:c>
      <x:c r="G2275" t="n">
        <x:v>6</x:v>
      </x:c>
      <x:c r="H2275" t="n">
        <x:v>6</x:v>
      </x:c>
      <x:c r="I2275" t="n">
        <x:f>G2275-H2275</x:f>
        <x:v>0</x:v>
      </x:c>
      <x:c r="J2275" s="20" t="n">
        <x:f>IFERROR(H2275/G2275,0)</x:f>
        <x:v>1</x:v>
      </x:c>
      <x:c r="K2275" t="n">
        <x:v>8627</x:v>
      </x:c>
      <x:c r="L2275" t="n">
        <x:v>8635.5</x:v>
      </x:c>
      <x:c r="M2275" t="n">
        <x:v>8733.5</x:v>
      </x:c>
      <x:c r="N2275" t="n">
        <x:v>9011.5</x:v>
      </x:c>
      <x:c r="O2275" t="n">
        <x:v>9118</x:v>
      </x:c>
    </x:row>
    <x:row r="2276">
      <x:c r="A2276" t="str">
        <x:v>Jharkhand</x:v>
      </x:c>
      <x:c r="B2276" t="str">
        <x:v>All India except Central University</x:v>
      </x:c>
      <x:c r="C2276" t="str">
        <x:v>200158</x:v>
      </x:c>
      <x:c r="D2276" t="str">
        <x:v>M G M Medical College, Jamshedpur, Dimna Road, Mango, Jamshedpur</x:v>
      </x:c>
      <x:c r="E2276" t="str">
        <x:v>All India</x:v>
      </x:c>
      <x:c r="F2276" t="str">
        <x:v>Open</x:v>
      </x:c>
      <x:c r="G2276" t="n">
        <x:v>8</x:v>
      </x:c>
      <x:c r="H2276" t="n">
        <x:v>8</x:v>
      </x:c>
      <x:c r="I2276" t="n">
        <x:f>G2276-H2276</x:f>
        <x:v>0</x:v>
      </x:c>
      <x:c r="J2276" s="20" t="n">
        <x:f>IFERROR(H2276/G2276,0)</x:f>
        <x:v>1</x:v>
      </x:c>
      <x:c r="K2276" t="n">
        <x:v>6742</x:v>
      </x:c>
      <x:c r="L2276" t="n">
        <x:v>6951</x:v>
      </x:c>
      <x:c r="M2276" t="n">
        <x:v>7105.5</x:v>
      </x:c>
      <x:c r="N2276" t="n">
        <x:v>7899.75</x:v>
      </x:c>
      <x:c r="O2276" t="n">
        <x:v>7919</x:v>
      </x:c>
    </x:row>
    <x:row r="2277">
      <x:c r="A2277" t="str">
        <x:v>Jharkhand</x:v>
      </x:c>
      <x:c r="B2277" t="str">
        <x:v>All India except Central University</x:v>
      </x:c>
      <x:c r="C2277" t="str">
        <x:v>200158</x:v>
      </x:c>
      <x:c r="D2277" t="str">
        <x:v>M G M Medical College, Jamshedpur, Dimna Road, Mango, Jamshedpur</x:v>
      </x:c>
      <x:c r="E2277" t="str">
        <x:v>All India</x:v>
      </x:c>
      <x:c r="F2277" t="str">
        <x:v>SC</x:v>
      </x:c>
      <x:c r="G2277" t="n">
        <x:v>3</x:v>
      </x:c>
      <x:c r="H2277" t="n">
        <x:v>3</x:v>
      </x:c>
      <x:c r="I2277" t="n">
        <x:f>G2277-H2277</x:f>
        <x:v>0</x:v>
      </x:c>
      <x:c r="J2277" s="20" t="n">
        <x:f>IFERROR(H2277/G2277,0)</x:f>
        <x:v>1</x:v>
      </x:c>
      <x:c r="K2277" t="n">
        <x:v>57148</x:v>
      </x:c>
      <x:c r="L2277" t="n">
        <x:v>57888</x:v>
      </x:c>
      <x:c r="M2277" t="n">
        <x:v>58628</x:v>
      </x:c>
      <x:c r="N2277" t="n">
        <x:v>58636</x:v>
      </x:c>
      <x:c r="O2277" t="n">
        <x:v>58644</x:v>
      </x:c>
    </x:row>
    <x:row r="2278">
      <x:c r="A2278" t="str">
        <x:v>Jharkhand</x:v>
      </x:c>
      <x:c r="B2278" t="str">
        <x:v>All India except Central University</x:v>
      </x:c>
      <x:c r="C2278" t="str">
        <x:v>200158</x:v>
      </x:c>
      <x:c r="D2278" t="str">
        <x:v>M G M Medical College, Jamshedpur, Dimna Road, Mango, Jamshedpur</x:v>
      </x:c>
      <x:c r="E2278" t="str">
        <x:v>All India</x:v>
      </x:c>
      <x:c r="F2278" t="str">
        <x:v>SC PwD</x:v>
      </x:c>
      <x:c r="G2278" t="n">
        <x:v>1</x:v>
      </x:c>
      <x:c r="H2278" t="n">
        <x:v>1</x:v>
      </x:c>
      <x:c r="I2278" t="n">
        <x:f>G2278-H2278</x:f>
        <x:v>0</x:v>
      </x:c>
      <x:c r="J2278" s="20" t="n">
        <x:f>IFERROR(H2278/G2278,0)</x:f>
        <x:v>1</x:v>
      </x:c>
      <x:c r="K2278" t="n">
        <x:v>704531</x:v>
      </x:c>
      <x:c r="L2278" t="n">
        <x:v>704531</x:v>
      </x:c>
      <x:c r="M2278" t="n">
        <x:v>704531</x:v>
      </x:c>
      <x:c r="N2278" t="n">
        <x:v>704531</x:v>
      </x:c>
      <x:c r="O2278" t="n">
        <x:v>704531</x:v>
      </x:c>
    </x:row>
    <x:row r="2279">
      <x:c r="A2279" t="str">
        <x:v>Jharkhand</x:v>
      </x:c>
      <x:c r="B2279" t="str">
        <x:v>All India except Central University</x:v>
      </x:c>
      <x:c r="C2279" t="str">
        <x:v>200158</x:v>
      </x:c>
      <x:c r="D2279" t="str">
        <x:v>M G M Medical College, Jamshedpur, Dimna Road, Mango, Jamshedpur</x:v>
      </x:c>
      <x:c r="E2279" t="str">
        <x:v>All India</x:v>
      </x:c>
      <x:c r="F2279" t="str">
        <x:v>ST</x:v>
      </x:c>
      <x:c r="G2279" t="n">
        <x:v>1</x:v>
      </x:c>
      <x:c r="H2279" t="n">
        <x:v>1</x:v>
      </x:c>
      <x:c r="I2279" t="n">
        <x:f>G2279-H2279</x:f>
        <x:v>0</x:v>
      </x:c>
      <x:c r="J2279" s="20" t="n">
        <x:f>IFERROR(H2279/G2279,0)</x:f>
        <x:v>1</x:v>
      </x:c>
      <x:c r="K2279" t="n">
        <x:v>59397</x:v>
      </x:c>
      <x:c r="L2279" t="n">
        <x:v>59397</x:v>
      </x:c>
      <x:c r="M2279" t="n">
        <x:v>59397</x:v>
      </x:c>
      <x:c r="N2279" t="n">
        <x:v>59397</x:v>
      </x:c>
      <x:c r="O2279" t="n">
        <x:v>59397</x:v>
      </x:c>
    </x:row>
    <x:row r="2280">
      <x:c r="A2280" t="str">
        <x:v>Jharkhand</x:v>
      </x:c>
      <x:c r="B2280" t="str">
        <x:v>All India except Central University</x:v>
      </x:c>
      <x:c r="C2280" t="str">
        <x:v>200158</x:v>
      </x:c>
      <x:c r="D2280" t="str">
        <x:v>M G M Medical College, Jamshedpur, Dimna Road, Mango, Jamshedpur</x:v>
      </x:c>
      <x:c r="E2280" t="str">
        <x:v>All India</x:v>
      </x:c>
      <x:c r="F2280" t="str">
        <x:v>ST PwD</x:v>
      </x:c>
      <x:c r="G2280" t="n">
        <x:v>1</x:v>
      </x:c>
      <x:c r="H2280" t="n">
        <x:v>1</x:v>
      </x:c>
      <x:c r="I2280" t="n">
        <x:f>G2280-H2280</x:f>
        <x:v>0</x:v>
      </x:c>
      <x:c r="J2280" s="20" t="n">
        <x:f>IFERROR(H2280/G2280,0)</x:f>
        <x:v>1</x:v>
      </x:c>
      <x:c r="K2280" t="n">
        <x:v>693258</x:v>
      </x:c>
      <x:c r="L2280" t="n">
        <x:v>693258</x:v>
      </x:c>
      <x:c r="M2280" t="n">
        <x:v>693258</x:v>
      </x:c>
      <x:c r="N2280" t="n">
        <x:v>693258</x:v>
      </x:c>
      <x:c r="O2280" t="n">
        <x:v>693258</x:v>
      </x:c>
    </x:row>
    <x:row r="2281">
      <x:c r="A2281" t="str">
        <x:v>West Bengal</x:v>
      </x:c>
      <x:c r="B2281" t="str">
        <x:v>All India except Central University</x:v>
      </x:c>
      <x:c r="C2281" t="str">
        <x:v>200316</x:v>
      </x:c>
      <x:c r="D2281" t="str">
        <x:v>MEDICAL COLLEGE, KOLKATA, 88, College Street, Kolkata-700073</x:v>
      </x:c>
      <x:c r="E2281" t="str">
        <x:v>All India</x:v>
      </x:c>
      <x:c r="F2281" t="str">
        <x:v>EWS</x:v>
      </x:c>
      <x:c r="G2281" t="n">
        <x:v>4</x:v>
      </x:c>
      <x:c r="H2281" t="n">
        <x:v>4</x:v>
      </x:c>
      <x:c r="I2281" t="n">
        <x:f>G2281-H2281</x:f>
        <x:v>0</x:v>
      </x:c>
      <x:c r="J2281" s="20" t="n">
        <x:f>IFERROR(H2281/G2281,0)</x:f>
        <x:v>1</x:v>
      </x:c>
      <x:c r="K2281" t="n">
        <x:v>4574</x:v>
      </x:c>
      <x:c r="L2281" t="n">
        <x:v>4904</x:v>
      </x:c>
      <x:c r="M2281" t="n">
        <x:v>5047.5</x:v>
      </x:c>
      <x:c r="N2281" t="n">
        <x:v>5139.5</x:v>
      </x:c>
      <x:c r="O2281" t="n">
        <x:v>5315</x:v>
      </x:c>
    </x:row>
    <x:row r="2282">
      <x:c r="A2282" t="str">
        <x:v>West Bengal</x:v>
      </x:c>
      <x:c r="B2282" t="str">
        <x:v>All India except Central University</x:v>
      </x:c>
      <x:c r="C2282" t="str">
        <x:v>200316</x:v>
      </x:c>
      <x:c r="D2282" t="str">
        <x:v>MEDICAL COLLEGE, KOLKATA, 88, College Street, Kolkata-700073</x:v>
      </x:c>
      <x:c r="E2282" t="str">
        <x:v>All India</x:v>
      </x:c>
      <x:c r="F2282" t="str">
        <x:v>OBC</x:v>
      </x:c>
      <x:c r="G2282" t="n">
        <x:v>9</x:v>
      </x:c>
      <x:c r="H2282" t="n">
        <x:v>9</x:v>
      </x:c>
      <x:c r="I2282" t="n">
        <x:f>G2282-H2282</x:f>
        <x:v>0</x:v>
      </x:c>
      <x:c r="J2282" s="20" t="n">
        <x:f>IFERROR(H2282/G2282,0)</x:f>
        <x:v>1</x:v>
      </x:c>
      <x:c r="K2282" t="n">
        <x:v>3387</x:v>
      </x:c>
      <x:c r="L2282" t="n">
        <x:v>3863</x:v>
      </x:c>
      <x:c r="M2282" t="n">
        <x:v>4115</x:v>
      </x:c>
      <x:c r="N2282" t="n">
        <x:v>4667</x:v>
      </x:c>
      <x:c r="O2282" t="n">
        <x:v>4737</x:v>
      </x:c>
    </x:row>
    <x:row r="2283">
      <x:c r="A2283" t="str">
        <x:v>West Bengal</x:v>
      </x:c>
      <x:c r="B2283" t="str">
        <x:v>All India except Central University</x:v>
      </x:c>
      <x:c r="C2283" t="str">
        <x:v>200316</x:v>
      </x:c>
      <x:c r="D2283" t="str">
        <x:v>MEDICAL COLLEGE, KOLKATA, 88, College Street, Kolkata-700073</x:v>
      </x:c>
      <x:c r="E2283" t="str">
        <x:v>All India</x:v>
      </x:c>
      <x:c r="F2283" t="str">
        <x:v>OBC PwD</x:v>
      </x:c>
      <x:c r="G2283" t="n">
        <x:v>1</x:v>
      </x:c>
      <x:c r="H2283" t="n">
        <x:v>1</x:v>
      </x:c>
      <x:c r="I2283" t="n">
        <x:f>G2283-H2283</x:f>
        <x:v>0</x:v>
      </x:c>
      <x:c r="J2283" s="20" t="n">
        <x:f>IFERROR(H2283/G2283,0)</x:f>
        <x:v>1</x:v>
      </x:c>
      <x:c r="K2283" t="n">
        <x:v>392633</x:v>
      </x:c>
      <x:c r="L2283" t="n">
        <x:v>392633</x:v>
      </x:c>
      <x:c r="M2283" t="n">
        <x:v>392633</x:v>
      </x:c>
      <x:c r="N2283" t="n">
        <x:v>392633</x:v>
      </x:c>
      <x:c r="O2283" t="n">
        <x:v>392633</x:v>
      </x:c>
    </x:row>
    <x:row r="2284">
      <x:c r="A2284" t="str">
        <x:v>West Bengal</x:v>
      </x:c>
      <x:c r="B2284" t="str">
        <x:v>All India except Central University</x:v>
      </x:c>
      <x:c r="C2284" t="str">
        <x:v>200316</x:v>
      </x:c>
      <x:c r="D2284" t="str">
        <x:v>MEDICAL COLLEGE, KOLKATA, 88, College Street, Kolkata-700073</x:v>
      </x:c>
      <x:c r="E2284" t="str">
        <x:v>All India</x:v>
      </x:c>
      <x:c r="F2284" t="str">
        <x:v>Open</x:v>
      </x:c>
      <x:c r="G2284" t="n">
        <x:v>15</x:v>
      </x:c>
      <x:c r="H2284" t="n">
        <x:v>15</x:v>
      </x:c>
      <x:c r="I2284" t="n">
        <x:f>G2284-H2284</x:f>
        <x:v>0</x:v>
      </x:c>
      <x:c r="J2284" s="20" t="n">
        <x:f>IFERROR(H2284/G2284,0)</x:f>
        <x:v>1</x:v>
      </x:c>
      <x:c r="K2284" t="n">
        <x:v>417</x:v>
      </x:c>
      <x:c r="L2284" t="n">
        <x:v>2281.5</x:v>
      </x:c>
      <x:c r="M2284" t="n">
        <x:v>2391</x:v>
      </x:c>
      <x:c r="N2284" t="n">
        <x:v>2521.5</x:v>
      </x:c>
      <x:c r="O2284" t="n">
        <x:v>2795</x:v>
      </x:c>
    </x:row>
    <x:row r="2285">
      <x:c r="A2285" t="str">
        <x:v>West Bengal</x:v>
      </x:c>
      <x:c r="B2285" t="str">
        <x:v>All India except Central University</x:v>
      </x:c>
      <x:c r="C2285" t="str">
        <x:v>200316</x:v>
      </x:c>
      <x:c r="D2285" t="str">
        <x:v>MEDICAL COLLEGE, KOLKATA, 88, College Street, Kolkata-700073</x:v>
      </x:c>
      <x:c r="E2285" t="str">
        <x:v>All India</x:v>
      </x:c>
      <x:c r="F2285" t="str">
        <x:v>SC</x:v>
      </x:c>
      <x:c r="G2285" t="n">
        <x:v>5</x:v>
      </x:c>
      <x:c r="H2285" t="n">
        <x:v>5</x:v>
      </x:c>
      <x:c r="I2285" t="n">
        <x:f>G2285-H2285</x:f>
        <x:v>0</x:v>
      </x:c>
      <x:c r="J2285" s="20" t="n">
        <x:f>IFERROR(H2285/G2285,0)</x:f>
        <x:v>1</x:v>
      </x:c>
      <x:c r="K2285" t="n">
        <x:v>12572</x:v>
      </x:c>
      <x:c r="L2285" t="n">
        <x:v>21064</x:v>
      </x:c>
      <x:c r="M2285" t="n">
        <x:v>22540</x:v>
      </x:c>
      <x:c r="N2285" t="n">
        <x:v>26042</x:v>
      </x:c>
      <x:c r="O2285" t="n">
        <x:v>26178</x:v>
      </x:c>
    </x:row>
    <x:row r="2286">
      <x:c r="A2286" t="str">
        <x:v>West Bengal</x:v>
      </x:c>
      <x:c r="B2286" t="str">
        <x:v>All India except Central University</x:v>
      </x:c>
      <x:c r="C2286" t="str">
        <x:v>200316</x:v>
      </x:c>
      <x:c r="D2286" t="str">
        <x:v>MEDICAL COLLEGE, KOLKATA, 88, College Street, Kolkata-700073</x:v>
      </x:c>
      <x:c r="E2286" t="str">
        <x:v>All India</x:v>
      </x:c>
      <x:c r="F2286" t="str">
        <x:v>ST</x:v>
      </x:c>
      <x:c r="G2286" t="n">
        <x:v>3</x:v>
      </x:c>
      <x:c r="H2286" t="n">
        <x:v>3</x:v>
      </x:c>
      <x:c r="I2286" t="n">
        <x:f>G2286-H2286</x:f>
        <x:v>0</x:v>
      </x:c>
      <x:c r="J2286" s="20" t="n">
        <x:f>IFERROR(H2286/G2286,0)</x:f>
        <x:v>1</x:v>
      </x:c>
      <x:c r="K2286" t="n">
        <x:v>49301</x:v>
      </x:c>
      <x:c r="L2286" t="n">
        <x:v>50185</x:v>
      </x:c>
      <x:c r="M2286" t="n">
        <x:v>51069</x:v>
      </x:c>
      <x:c r="N2286" t="n">
        <x:v>51096</x:v>
      </x:c>
      <x:c r="O2286" t="n">
        <x:v>51123</x:v>
      </x:c>
    </x:row>
    <x:row r="2287">
      <x:c r="A2287" t="str">
        <x:v>Odisha</x:v>
      </x:c>
      <x:c r="B2287" t="str">
        <x:v>All India except Central University</x:v>
      </x:c>
      <x:c r="C2287" t="str">
        <x:v>200235</x:v>
      </x:c>
      <x:c r="D2287" t="str">
        <x:v>MKCG Medical College, Berhampur, MKCG MEDICAL COLLEGE CAMPUS, BERHAMPUR, GANJAM</x:v>
      </x:c>
      <x:c r="E2287" t="str">
        <x:v>All India</x:v>
      </x:c>
      <x:c r="F2287" t="str">
        <x:v>EWS</x:v>
      </x:c>
      <x:c r="G2287" t="n">
        <x:v>3</x:v>
      </x:c>
      <x:c r="H2287" t="n">
        <x:v>3</x:v>
      </x:c>
      <x:c r="I2287" t="n">
        <x:f>G2287-H2287</x:f>
        <x:v>0</x:v>
      </x:c>
      <x:c r="J2287" s="20" t="n">
        <x:f>IFERROR(H2287/G2287,0)</x:f>
        <x:v>1</x:v>
      </x:c>
      <x:c r="K2287" t="n">
        <x:v>5846</x:v>
      </x:c>
      <x:c r="L2287" t="n">
        <x:v>6056.5</x:v>
      </x:c>
      <x:c r="M2287" t="n">
        <x:v>6267</x:v>
      </x:c>
      <x:c r="N2287" t="n">
        <x:v>6357.5</x:v>
      </x:c>
      <x:c r="O2287" t="n">
        <x:v>6448</x:v>
      </x:c>
    </x:row>
    <x:row r="2288">
      <x:c r="A2288" t="str">
        <x:v>Odisha</x:v>
      </x:c>
      <x:c r="B2288" t="str">
        <x:v>All India except Central University</x:v>
      </x:c>
      <x:c r="C2288" t="str">
        <x:v>200235</x:v>
      </x:c>
      <x:c r="D2288" t="str">
        <x:v>MKCG Medical College, Berhampur, MKCG MEDICAL COLLEGE CAMPUS, BERHAMPUR, GANJAM</x:v>
      </x:c>
      <x:c r="E2288" t="str">
        <x:v>All India</x:v>
      </x:c>
      <x:c r="F2288" t="str">
        <x:v>EWS PwD</x:v>
      </x:c>
      <x:c r="G2288" t="n">
        <x:v>1</x:v>
      </x:c>
      <x:c r="H2288" t="n">
        <x:v>1</x:v>
      </x:c>
      <x:c r="I2288" t="n">
        <x:f>G2288-H2288</x:f>
        <x:v>0</x:v>
      </x:c>
      <x:c r="J2288" s="20" t="n">
        <x:f>IFERROR(H2288/G2288,0)</x:f>
        <x:v>1</x:v>
      </x:c>
      <x:c r="K2288" t="n">
        <x:v>886597</x:v>
      </x:c>
      <x:c r="L2288" t="n">
        <x:v>886597</x:v>
      </x:c>
      <x:c r="M2288" t="n">
        <x:v>886597</x:v>
      </x:c>
      <x:c r="N2288" t="n">
        <x:v>886597</x:v>
      </x:c>
      <x:c r="O2288" t="n">
        <x:v>886597</x:v>
      </x:c>
    </x:row>
    <x:row r="2289">
      <x:c r="A2289" t="str">
        <x:v>Odisha</x:v>
      </x:c>
      <x:c r="B2289" t="str">
        <x:v>All India except Central University</x:v>
      </x:c>
      <x:c r="C2289" t="str">
        <x:v>200235</x:v>
      </x:c>
      <x:c r="D2289" t="str">
        <x:v>MKCG Medical College, Berhampur, MKCG MEDICAL COLLEGE CAMPUS, BERHAMPUR, GANJAM</x:v>
      </x:c>
      <x:c r="E2289" t="str">
        <x:v>All India</x:v>
      </x:c>
      <x:c r="F2289" t="str">
        <x:v>OBC</x:v>
      </x:c>
      <x:c r="G2289" t="n">
        <x:v>10</x:v>
      </x:c>
      <x:c r="H2289" t="n">
        <x:v>10</x:v>
      </x:c>
      <x:c r="I2289" t="n">
        <x:f>G2289-H2289</x:f>
        <x:v>0</x:v>
      </x:c>
      <x:c r="J2289" s="20" t="n">
        <x:f>IFERROR(H2289/G2289,0)</x:f>
        <x:v>1</x:v>
      </x:c>
      <x:c r="K2289" t="n">
        <x:v>4941</x:v>
      </x:c>
      <x:c r="L2289" t="n">
        <x:v>5118.75</x:v>
      </x:c>
      <x:c r="M2289" t="n">
        <x:v>5659.5</x:v>
      </x:c>
      <x:c r="N2289" t="n">
        <x:v>6188</x:v>
      </x:c>
      <x:c r="O2289" t="n">
        <x:v>6400</x:v>
      </x:c>
    </x:row>
    <x:row r="2290">
      <x:c r="A2290" t="str">
        <x:v>Odisha</x:v>
      </x:c>
      <x:c r="B2290" t="str">
        <x:v>All India except Central University</x:v>
      </x:c>
      <x:c r="C2290" t="str">
        <x:v>200235</x:v>
      </x:c>
      <x:c r="D2290" t="str">
        <x:v>MKCG Medical College, Berhampur, MKCG MEDICAL COLLEGE CAMPUS, BERHAMPUR, GANJAM</x:v>
      </x:c>
      <x:c r="E2290" t="str">
        <x:v>All India</x:v>
      </x:c>
      <x:c r="F2290" t="str">
        <x:v>Open</x:v>
      </x:c>
      <x:c r="G2290" t="n">
        <x:v>15</x:v>
      </x:c>
      <x:c r="H2290" t="n">
        <x:v>15</x:v>
      </x:c>
      <x:c r="I2290" t="n">
        <x:f>G2290-H2290</x:f>
        <x:v>0</x:v>
      </x:c>
      <x:c r="J2290" s="20" t="n">
        <x:f>IFERROR(H2290/G2290,0)</x:f>
        <x:v>1</x:v>
      </x:c>
      <x:c r="K2290" t="n">
        <x:v>3181</x:v>
      </x:c>
      <x:c r="L2290" t="n">
        <x:v>3522.5</x:v>
      </x:c>
      <x:c r="M2290" t="n">
        <x:v>4050</x:v>
      </x:c>
      <x:c r="N2290" t="n">
        <x:v>4487.5</x:v>
      </x:c>
      <x:c r="O2290" t="n">
        <x:v>4899</x:v>
      </x:c>
    </x:row>
    <x:row r="2291">
      <x:c r="A2291" t="str">
        <x:v>Odisha</x:v>
      </x:c>
      <x:c r="B2291" t="str">
        <x:v>All India except Central University</x:v>
      </x:c>
      <x:c r="C2291" t="str">
        <x:v>200235</x:v>
      </x:c>
      <x:c r="D2291" t="str">
        <x:v>MKCG Medical College, Berhampur, MKCG MEDICAL COLLEGE CAMPUS, BERHAMPUR, GANJAM</x:v>
      </x:c>
      <x:c r="E2291" t="str">
        <x:v>All India</x:v>
      </x:c>
      <x:c r="F2291" t="str">
        <x:v>Open PwD</x:v>
      </x:c>
      <x:c r="G2291" t="n">
        <x:v>1</x:v>
      </x:c>
      <x:c r="H2291" t="n">
        <x:v>1</x:v>
      </x:c>
      <x:c r="I2291" t="n">
        <x:f>G2291-H2291</x:f>
        <x:v>0</x:v>
      </x:c>
      <x:c r="J2291" s="20" t="n">
        <x:f>IFERROR(H2291/G2291,0)</x:f>
        <x:v>1</x:v>
      </x:c>
      <x:c r="K2291" t="n">
        <x:v>109551</x:v>
      </x:c>
      <x:c r="L2291" t="n">
        <x:v>109551</x:v>
      </x:c>
      <x:c r="M2291" t="n">
        <x:v>109551</x:v>
      </x:c>
      <x:c r="N2291" t="n">
        <x:v>109551</x:v>
      </x:c>
      <x:c r="O2291" t="n">
        <x:v>109551</x:v>
      </x:c>
    </x:row>
    <x:row r="2292">
      <x:c r="A2292" t="str">
        <x:v>Odisha</x:v>
      </x:c>
      <x:c r="B2292" t="str">
        <x:v>All India except Central University</x:v>
      </x:c>
      <x:c r="C2292" t="str">
        <x:v>200235</x:v>
      </x:c>
      <x:c r="D2292" t="str">
        <x:v>MKCG Medical College, Berhampur, MKCG MEDICAL COLLEGE CAMPUS, BERHAMPUR, GANJAM</x:v>
      </x:c>
      <x:c r="E2292" t="str">
        <x:v>All India</x:v>
      </x:c>
      <x:c r="F2292" t="str">
        <x:v>SC</x:v>
      </x:c>
      <x:c r="G2292" t="n">
        <x:v>5</x:v>
      </x:c>
      <x:c r="H2292" t="n">
        <x:v>5</x:v>
      </x:c>
      <x:c r="I2292" t="n">
        <x:f>G2292-H2292</x:f>
        <x:v>0</x:v>
      </x:c>
      <x:c r="J2292" s="20" t="n">
        <x:f>IFERROR(H2292/G2292,0)</x:f>
        <x:v>1</x:v>
      </x:c>
      <x:c r="K2292" t="n">
        <x:v>29896</x:v>
      </x:c>
      <x:c r="L2292" t="n">
        <x:v>30417</x:v>
      </x:c>
      <x:c r="M2292" t="n">
        <x:v>31109</x:v>
      </x:c>
      <x:c r="N2292" t="n">
        <x:v>33631</x:v>
      </x:c>
      <x:c r="O2292" t="n">
        <x:v>36546</x:v>
      </x:c>
    </x:row>
    <x:row r="2293">
      <x:c r="A2293" t="str">
        <x:v>Odisha</x:v>
      </x:c>
      <x:c r="B2293" t="str">
        <x:v>All India except Central University</x:v>
      </x:c>
      <x:c r="C2293" t="str">
        <x:v>200235</x:v>
      </x:c>
      <x:c r="D2293" t="str">
        <x:v>MKCG Medical College, Berhampur, MKCG MEDICAL COLLEGE CAMPUS, BERHAMPUR, GANJAM</x:v>
      </x:c>
      <x:c r="E2293" t="str">
        <x:v>All India</x:v>
      </x:c>
      <x:c r="F2293" t="str">
        <x:v>ST</x:v>
      </x:c>
      <x:c r="G2293" t="n">
        <x:v>3</x:v>
      </x:c>
      <x:c r="H2293" t="n">
        <x:v>3</x:v>
      </x:c>
      <x:c r="I2293" t="n">
        <x:f>G2293-H2293</x:f>
        <x:v>0</x:v>
      </x:c>
      <x:c r="J2293" s="20" t="n">
        <x:f>IFERROR(H2293/G2293,0)</x:f>
        <x:v>1</x:v>
      </x:c>
      <x:c r="K2293" t="n">
        <x:v>62121</x:v>
      </x:c>
      <x:c r="L2293" t="n">
        <x:v>71338.5</x:v>
      </x:c>
      <x:c r="M2293" t="n">
        <x:v>80556</x:v>
      </x:c>
      <x:c r="N2293" t="n">
        <x:v>87578.5</x:v>
      </x:c>
      <x:c r="O2293" t="n">
        <x:v>94601</x:v>
      </x:c>
    </x:row>
    <x:row r="2294">
      <x:c r="A2294" t="str">
        <x:v>Gujarat</x:v>
      </x:c>
      <x:c r="B2294" t="str">
        <x:v>All India except Central University</x:v>
      </x:c>
      <x:c r="C2294" t="str">
        <x:v>200141</x:v>
      </x:c>
      <x:c r="D2294" t="str">
        <x:v>MP Shah Medical College, Jamnagar, PANDIT NEHRU MARG, JAMNAGAR 361008</x:v>
      </x:c>
      <x:c r="E2294" t="str">
        <x:v>All India</x:v>
      </x:c>
      <x:c r="F2294" t="str">
        <x:v>EWS</x:v>
      </x:c>
      <x:c r="G2294" t="n">
        <x:v>3</x:v>
      </x:c>
      <x:c r="H2294" t="n">
        <x:v>3</x:v>
      </x:c>
      <x:c r="I2294" t="n">
        <x:f>G2294-H2294</x:f>
        <x:v>0</x:v>
      </x:c>
      <x:c r="J2294" s="20" t="n">
        <x:f>IFERROR(H2294/G2294,0)</x:f>
        <x:v>1</x:v>
      </x:c>
      <x:c r="K2294" t="n">
        <x:v>6481</x:v>
      </x:c>
      <x:c r="L2294" t="n">
        <x:v>6484</x:v>
      </x:c>
      <x:c r="M2294" t="n">
        <x:v>6487</x:v>
      </x:c>
      <x:c r="N2294" t="n">
        <x:v>6985</x:v>
      </x:c>
      <x:c r="O2294" t="n">
        <x:v>7483</x:v>
      </x:c>
    </x:row>
    <x:row r="2295">
      <x:c r="A2295" t="str">
        <x:v>Gujarat</x:v>
      </x:c>
      <x:c r="B2295" t="str">
        <x:v>All India except Central University</x:v>
      </x:c>
      <x:c r="C2295" t="str">
        <x:v>200141</x:v>
      </x:c>
      <x:c r="D2295" t="str">
        <x:v>MP Shah Medical College, Jamnagar, PANDIT NEHRU MARG, JAMNAGAR 361008</x:v>
      </x:c>
      <x:c r="E2295" t="str">
        <x:v>All India</x:v>
      </x:c>
      <x:c r="F2295" t="str">
        <x:v>EWS PwD</x:v>
      </x:c>
      <x:c r="G2295" t="n">
        <x:v>1</x:v>
      </x:c>
      <x:c r="H2295" t="n">
        <x:v>1</x:v>
      </x:c>
      <x:c r="I2295" t="n">
        <x:f>G2295-H2295</x:f>
        <x:v>0</x:v>
      </x:c>
      <x:c r="J2295" s="20" t="n">
        <x:f>IFERROR(H2295/G2295,0)</x:f>
        <x:v>1</x:v>
      </x:c>
      <x:c r="K2295" t="n">
        <x:v>506530</x:v>
      </x:c>
      <x:c r="L2295" t="n">
        <x:v>506530</x:v>
      </x:c>
      <x:c r="M2295" t="n">
        <x:v>506530</x:v>
      </x:c>
      <x:c r="N2295" t="n">
        <x:v>506530</x:v>
      </x:c>
      <x:c r="O2295" t="n">
        <x:v>506530</x:v>
      </x:c>
    </x:row>
    <x:row r="2296">
      <x:c r="A2296" t="str">
        <x:v>Gujarat</x:v>
      </x:c>
      <x:c r="B2296" t="str">
        <x:v>All India except Central University</x:v>
      </x:c>
      <x:c r="C2296" t="str">
        <x:v>200141</x:v>
      </x:c>
      <x:c r="D2296" t="str">
        <x:v>MP Shah Medical College, Jamnagar, PANDIT NEHRU MARG, JAMNAGAR 361008</x:v>
      </x:c>
      <x:c r="E2296" t="str">
        <x:v>All India</x:v>
      </x:c>
      <x:c r="F2296" t="str">
        <x:v>OBC</x:v>
      </x:c>
      <x:c r="G2296" t="n">
        <x:v>10</x:v>
      </x:c>
      <x:c r="H2296" t="n">
        <x:v>10</x:v>
      </x:c>
      <x:c r="I2296" t="n">
        <x:f>G2296-H2296</x:f>
        <x:v>0</x:v>
      </x:c>
      <x:c r="J2296" s="20" t="n">
        <x:f>IFERROR(H2296/G2296,0)</x:f>
        <x:v>1</x:v>
      </x:c>
      <x:c r="K2296" t="n">
        <x:v>6328</x:v>
      </x:c>
      <x:c r="L2296" t="n">
        <x:v>6839.5</x:v>
      </x:c>
      <x:c r="M2296" t="n">
        <x:v>7083.5</x:v>
      </x:c>
      <x:c r="N2296" t="n">
        <x:v>7155.75</x:v>
      </x:c>
      <x:c r="O2296" t="n">
        <x:v>7211</x:v>
      </x:c>
    </x:row>
    <x:row r="2297">
      <x:c r="A2297" t="str">
        <x:v>Gujarat</x:v>
      </x:c>
      <x:c r="B2297" t="str">
        <x:v>All India except Central University</x:v>
      </x:c>
      <x:c r="C2297" t="str">
        <x:v>200141</x:v>
      </x:c>
      <x:c r="D2297" t="str">
        <x:v>MP Shah Medical College, Jamnagar, PANDIT NEHRU MARG, JAMNAGAR 361008</x:v>
      </x:c>
      <x:c r="E2297" t="str">
        <x:v>All India</x:v>
      </x:c>
      <x:c r="F2297" t="str">
        <x:v>Open</x:v>
      </x:c>
      <x:c r="G2297" t="n">
        <x:v>14</x:v>
      </x:c>
      <x:c r="H2297" t="n">
        <x:v>14</x:v>
      </x:c>
      <x:c r="I2297" t="n">
        <x:f>G2297-H2297</x:f>
        <x:v>0</x:v>
      </x:c>
      <x:c r="J2297" s="20" t="n">
        <x:f>IFERROR(H2297/G2297,0)</x:f>
        <x:v>1</x:v>
      </x:c>
      <x:c r="K2297" t="n">
        <x:v>1073</x:v>
      </x:c>
      <x:c r="L2297" t="n">
        <x:v>5491.75</x:v>
      </x:c>
      <x:c r="M2297" t="n">
        <x:v>5815.5</x:v>
      </x:c>
      <x:c r="N2297" t="n">
        <x:v>6006</x:v>
      </x:c>
      <x:c r="O2297" t="n">
        <x:v>6233</x:v>
      </x:c>
    </x:row>
    <x:row r="2298">
      <x:c r="A2298" t="str">
        <x:v>Gujarat</x:v>
      </x:c>
      <x:c r="B2298" t="str">
        <x:v>All India except Central University</x:v>
      </x:c>
      <x:c r="C2298" t="str">
        <x:v>200141</x:v>
      </x:c>
      <x:c r="D2298" t="str">
        <x:v>MP Shah Medical College, Jamnagar, PANDIT NEHRU MARG, JAMNAGAR 361008</x:v>
      </x:c>
      <x:c r="E2298" t="str">
        <x:v>All India</x:v>
      </x:c>
      <x:c r="F2298" t="str">
        <x:v>Open PwD</x:v>
      </x:c>
      <x:c r="G2298" t="n">
        <x:v>1</x:v>
      </x:c>
      <x:c r="H2298" t="n">
        <x:v>1</x:v>
      </x:c>
      <x:c r="I2298" t="n">
        <x:f>G2298-H2298</x:f>
        <x:v>0</x:v>
      </x:c>
      <x:c r="J2298" s="20" t="n">
        <x:f>IFERROR(H2298/G2298,0)</x:f>
        <x:v>1</x:v>
      </x:c>
      <x:c r="K2298" t="n">
        <x:v>166885</x:v>
      </x:c>
      <x:c r="L2298" t="n">
        <x:v>166885</x:v>
      </x:c>
      <x:c r="M2298" t="n">
        <x:v>166885</x:v>
      </x:c>
      <x:c r="N2298" t="n">
        <x:v>166885</x:v>
      </x:c>
      <x:c r="O2298" t="n">
        <x:v>166885</x:v>
      </x:c>
    </x:row>
    <x:row r="2299">
      <x:c r="A2299" t="str">
        <x:v>Gujarat</x:v>
      </x:c>
      <x:c r="B2299" t="str">
        <x:v>All India except Central University</x:v>
      </x:c>
      <x:c r="C2299" t="str">
        <x:v>200141</x:v>
      </x:c>
      <x:c r="D2299" t="str">
        <x:v>MP Shah Medical College, Jamnagar, PANDIT NEHRU MARG, JAMNAGAR 361008</x:v>
      </x:c>
      <x:c r="E2299" t="str">
        <x:v>All India</x:v>
      </x:c>
      <x:c r="F2299" t="str">
        <x:v>SC</x:v>
      </x:c>
      <x:c r="G2299" t="n">
        <x:v>6</x:v>
      </x:c>
      <x:c r="H2299" t="n">
        <x:v>6</x:v>
      </x:c>
      <x:c r="I2299" t="n">
        <x:f>G2299-H2299</x:f>
        <x:v>0</x:v>
      </x:c>
      <x:c r="J2299" s="20" t="n">
        <x:f>IFERROR(H2299/G2299,0)</x:f>
        <x:v>1</x:v>
      </x:c>
      <x:c r="K2299" t="n">
        <x:v>30936</x:v>
      </x:c>
      <x:c r="L2299" t="n">
        <x:v>38293</x:v>
      </x:c>
      <x:c r="M2299" t="n">
        <x:v>41480.5</x:v>
      </x:c>
      <x:c r="N2299" t="n">
        <x:v>44640.25</x:v>
      </x:c>
      <x:c r="O2299" t="n">
        <x:v>45811</x:v>
      </x:c>
    </x:row>
    <x:row r="2300">
      <x:c r="A2300" t="str">
        <x:v>Gujarat</x:v>
      </x:c>
      <x:c r="B2300" t="str">
        <x:v>All India except Central University</x:v>
      </x:c>
      <x:c r="C2300" t="str">
        <x:v>200141</x:v>
      </x:c>
      <x:c r="D2300" t="str">
        <x:v>MP Shah Medical College, Jamnagar, PANDIT NEHRU MARG, JAMNAGAR 361008</x:v>
      </x:c>
      <x:c r="E2300" t="str">
        <x:v>All India</x:v>
      </x:c>
      <x:c r="F2300" t="str">
        <x:v>ST</x:v>
      </x:c>
      <x:c r="G2300" t="n">
        <x:v>3</x:v>
      </x:c>
      <x:c r="H2300" t="n">
        <x:v>3</x:v>
      </x:c>
      <x:c r="I2300" t="n">
        <x:f>G2300-H2300</x:f>
        <x:v>0</x:v>
      </x:c>
      <x:c r="J2300" s="20" t="n">
        <x:f>IFERROR(H2300/G2300,0)</x:f>
        <x:v>1</x:v>
      </x:c>
      <x:c r="K2300" t="n">
        <x:v>61807</x:v>
      </x:c>
      <x:c r="L2300" t="n">
        <x:v>62318</x:v>
      </x:c>
      <x:c r="M2300" t="n">
        <x:v>62829</x:v>
      </x:c>
      <x:c r="N2300" t="n">
        <x:v>63004</x:v>
      </x:c>
      <x:c r="O2300" t="n">
        <x:v>63179</x:v>
      </x:c>
    </x:row>
    <x:row r="2301">
      <x:c r="A2301" t="str">
        <x:v>Tamil Nadu</x:v>
      </x:c>
      <x:c r="B2301" t="str">
        <x:v>All India except Central University</x:v>
      </x:c>
      <x:c r="C2301" t="str">
        <x:v>200275</x:v>
      </x:c>
      <x:c r="D2301" t="str">
        <x:v>Madras Medical College, Chennai, MADRAS MEDICAL COLLEGE EVR PERIYAR SALAI,PARK TOWN,CHENNAI,TAMIL NADU.</x:v>
      </x:c>
      <x:c r="E2301" t="str">
        <x:v>All India</x:v>
      </x:c>
      <x:c r="F2301" t="str">
        <x:v>EWS</x:v>
      </x:c>
      <x:c r="G2301" t="n">
        <x:v>3</x:v>
      </x:c>
      <x:c r="H2301" t="n">
        <x:v>3</x:v>
      </x:c>
      <x:c r="I2301" t="n">
        <x:f>G2301-H2301</x:f>
        <x:v>0</x:v>
      </x:c>
      <x:c r="J2301" s="20" t="n">
        <x:f>IFERROR(H2301/G2301,0)</x:f>
        <x:v>1</x:v>
      </x:c>
      <x:c r="K2301" t="n">
        <x:v>3373</x:v>
      </x:c>
      <x:c r="L2301" t="n">
        <x:v>3761.5</x:v>
      </x:c>
      <x:c r="M2301" t="n">
        <x:v>4150</x:v>
      </x:c>
      <x:c r="N2301" t="n">
        <x:v>4178</x:v>
      </x:c>
      <x:c r="O2301" t="n">
        <x:v>4206</x:v>
      </x:c>
    </x:row>
    <x:row r="2302">
      <x:c r="A2302" t="str">
        <x:v>Tamil Nadu</x:v>
      </x:c>
      <x:c r="B2302" t="str">
        <x:v>All India except Central University</x:v>
      </x:c>
      <x:c r="C2302" t="str">
        <x:v>200275</x:v>
      </x:c>
      <x:c r="D2302" t="str">
        <x:v>Madras Medical College, Chennai, MADRAS MEDICAL COLLEGE EVR PERIYAR SALAI,PARK TOWN,CHENNAI,TAMIL NADU.</x:v>
      </x:c>
      <x:c r="E2302" t="str">
        <x:v>All India</x:v>
      </x:c>
      <x:c r="F2302" t="str">
        <x:v>EWS PwD</x:v>
      </x:c>
      <x:c r="G2302" t="n">
        <x:v>1</x:v>
      </x:c>
      <x:c r="H2302" t="n">
        <x:v>1</x:v>
      </x:c>
      <x:c r="I2302" t="n">
        <x:f>G2302-H2302</x:f>
        <x:v>0</x:v>
      </x:c>
      <x:c r="J2302" s="20" t="n">
        <x:f>IFERROR(H2302/G2302,0)</x:f>
        <x:v>1</x:v>
      </x:c>
      <x:c r="K2302" t="n">
        <x:v>457910</x:v>
      </x:c>
      <x:c r="L2302" t="n">
        <x:v>457910</x:v>
      </x:c>
      <x:c r="M2302" t="n">
        <x:v>457910</x:v>
      </x:c>
      <x:c r="N2302" t="n">
        <x:v>457910</x:v>
      </x:c>
      <x:c r="O2302" t="n">
        <x:v>457910</x:v>
      </x:c>
    </x:row>
    <x:row r="2303">
      <x:c r="A2303" t="str">
        <x:v>Tamil Nadu</x:v>
      </x:c>
      <x:c r="B2303" t="str">
        <x:v>All India except Central University</x:v>
      </x:c>
      <x:c r="C2303" t="str">
        <x:v>200275</x:v>
      </x:c>
      <x:c r="D2303" t="str">
        <x:v>Madras Medical College, Chennai, MADRAS MEDICAL COLLEGE EVR PERIYAR SALAI,PARK TOWN,CHENNAI,TAMIL NADU.</x:v>
      </x:c>
      <x:c r="E2303" t="str">
        <x:v>All India</x:v>
      </x:c>
      <x:c r="F2303" t="str">
        <x:v>OBC</x:v>
      </x:c>
      <x:c r="G2303" t="n">
        <x:v>10</x:v>
      </x:c>
      <x:c r="H2303" t="n">
        <x:v>10</x:v>
      </x:c>
      <x:c r="I2303" t="n">
        <x:f>G2303-H2303</x:f>
        <x:v>0</x:v>
      </x:c>
      <x:c r="J2303" s="20" t="n">
        <x:f>IFERROR(H2303/G2303,0)</x:f>
        <x:v>1</x:v>
      </x:c>
      <x:c r="K2303" t="n">
        <x:v>777</x:v>
      </x:c>
      <x:c r="L2303" t="n">
        <x:v>826.25</x:v>
      </x:c>
      <x:c r="M2303" t="n">
        <x:v>882</x:v>
      </x:c>
      <x:c r="N2303" t="n">
        <x:v>944</x:v>
      </x:c>
      <x:c r="O2303" t="n">
        <x:v>1007</x:v>
      </x:c>
    </x:row>
    <x:row r="2304">
      <x:c r="A2304" t="str">
        <x:v>Tamil Nadu</x:v>
      </x:c>
      <x:c r="B2304" t="str">
        <x:v>All India except Central University</x:v>
      </x:c>
      <x:c r="C2304" t="str">
        <x:v>200275</x:v>
      </x:c>
      <x:c r="D2304" t="str">
        <x:v>Madras Medical College, Chennai, MADRAS MEDICAL COLLEGE EVR PERIYAR SALAI,PARK TOWN,CHENNAI,TAMIL NADU.</x:v>
      </x:c>
      <x:c r="E2304" t="str">
        <x:v>All India</x:v>
      </x:c>
      <x:c r="F2304" t="str">
        <x:v>OBC PwD</x:v>
      </x:c>
      <x:c r="G2304" t="n">
        <x:v>1</x:v>
      </x:c>
      <x:c r="H2304" t="n">
        <x:v>1</x:v>
      </x:c>
      <x:c r="I2304" t="n">
        <x:f>G2304-H2304</x:f>
        <x:v>0</x:v>
      </x:c>
      <x:c r="J2304" s="20" t="n">
        <x:f>IFERROR(H2304/G2304,0)</x:f>
        <x:v>1</x:v>
      </x:c>
      <x:c r="K2304" t="n">
        <x:v>194791</x:v>
      </x:c>
      <x:c r="L2304" t="n">
        <x:v>194791</x:v>
      </x:c>
      <x:c r="M2304" t="n">
        <x:v>194791</x:v>
      </x:c>
      <x:c r="N2304" t="n">
        <x:v>194791</x:v>
      </x:c>
      <x:c r="O2304" t="n">
        <x:v>194791</x:v>
      </x:c>
    </x:row>
    <x:row r="2305">
      <x:c r="A2305" t="str">
        <x:v>Tamil Nadu</x:v>
      </x:c>
      <x:c r="B2305" t="str">
        <x:v>All India except Central University</x:v>
      </x:c>
      <x:c r="C2305" t="str">
        <x:v>200275</x:v>
      </x:c>
      <x:c r="D2305" t="str">
        <x:v>Madras Medical College, Chennai, MADRAS MEDICAL COLLEGE EVR PERIYAR SALAI,PARK TOWN,CHENNAI,TAMIL NADU.</x:v>
      </x:c>
      <x:c r="E2305" t="str">
        <x:v>All India</x:v>
      </x:c>
      <x:c r="F2305" t="str">
        <x:v>Open</x:v>
      </x:c>
      <x:c r="G2305" t="n">
        <x:v>15</x:v>
      </x:c>
      <x:c r="H2305" t="n">
        <x:v>15</x:v>
      </x:c>
      <x:c r="I2305" t="n">
        <x:f>G2305-H2305</x:f>
        <x:v>0</x:v>
      </x:c>
      <x:c r="J2305" s="20" t="n">
        <x:f>IFERROR(H2305/G2305,0)</x:f>
        <x:v>1</x:v>
      </x:c>
      <x:c r="K2305" t="n">
        <x:v>325</x:v>
      </x:c>
      <x:c r="L2305" t="n">
        <x:v>414.5</x:v>
      </x:c>
      <x:c r="M2305" t="n">
        <x:v>486</x:v>
      </x:c>
      <x:c r="N2305" t="n">
        <x:v>559.5</x:v>
      </x:c>
      <x:c r="O2305" t="n">
        <x:v>672</x:v>
      </x:c>
    </x:row>
    <x:row r="2306">
      <x:c r="A2306" t="str">
        <x:v>Tamil Nadu</x:v>
      </x:c>
      <x:c r="B2306" t="str">
        <x:v>All India except Central University</x:v>
      </x:c>
      <x:c r="C2306" t="str">
        <x:v>200275</x:v>
      </x:c>
      <x:c r="D2306" t="str">
        <x:v>Madras Medical College, Chennai, MADRAS MEDICAL COLLEGE EVR PERIYAR SALAI,PARK TOWN,CHENNAI,TAMIL NADU.</x:v>
      </x:c>
      <x:c r="E2306" t="str">
        <x:v>All India</x:v>
      </x:c>
      <x:c r="F2306" t="str">
        <x:v>Open PwD</x:v>
      </x:c>
      <x:c r="G2306" t="n">
        <x:v>1</x:v>
      </x:c>
      <x:c r="H2306" t="n">
        <x:v>1</x:v>
      </x:c>
      <x:c r="I2306" t="n">
        <x:f>G2306-H2306</x:f>
        <x:v>0</x:v>
      </x:c>
      <x:c r="J2306" s="20" t="n">
        <x:f>IFERROR(H2306/G2306,0)</x:f>
        <x:v>1</x:v>
      </x:c>
      <x:c r="K2306" t="n">
        <x:v>152585</x:v>
      </x:c>
      <x:c r="L2306" t="n">
        <x:v>152585</x:v>
      </x:c>
      <x:c r="M2306" t="n">
        <x:v>152585</x:v>
      </x:c>
      <x:c r="N2306" t="n">
        <x:v>152585</x:v>
      </x:c>
      <x:c r="O2306" t="n">
        <x:v>152585</x:v>
      </x:c>
    </x:row>
    <x:row r="2307">
      <x:c r="A2307" t="str">
        <x:v>Tamil Nadu</x:v>
      </x:c>
      <x:c r="B2307" t="str">
        <x:v>All India except Central University</x:v>
      </x:c>
      <x:c r="C2307" t="str">
        <x:v>200275</x:v>
      </x:c>
      <x:c r="D2307" t="str">
        <x:v>Madras Medical College, Chennai, MADRAS MEDICAL COLLEGE EVR PERIYAR SALAI,PARK TOWN,CHENNAI,TAMIL NADU.</x:v>
      </x:c>
      <x:c r="E2307" t="str">
        <x:v>All India</x:v>
      </x:c>
      <x:c r="F2307" t="str">
        <x:v>SC</x:v>
      </x:c>
      <x:c r="G2307" t="n">
        <x:v>5</x:v>
      </x:c>
      <x:c r="H2307" t="n">
        <x:v>5</x:v>
      </x:c>
      <x:c r="I2307" t="n">
        <x:f>G2307-H2307</x:f>
        <x:v>0</x:v>
      </x:c>
      <x:c r="J2307" s="20" t="n">
        <x:f>IFERROR(H2307/G2307,0)</x:f>
        <x:v>1</x:v>
      </x:c>
      <x:c r="K2307" t="n">
        <x:v>2348</x:v>
      </x:c>
      <x:c r="L2307" t="n">
        <x:v>3364</x:v>
      </x:c>
      <x:c r="M2307" t="n">
        <x:v>4107</x:v>
      </x:c>
      <x:c r="N2307" t="n">
        <x:v>4138</x:v>
      </x:c>
      <x:c r="O2307" t="n">
        <x:v>4398</x:v>
      </x:c>
    </x:row>
    <x:row r="2308">
      <x:c r="A2308" t="str">
        <x:v>Tamil Nadu</x:v>
      </x:c>
      <x:c r="B2308" t="str">
        <x:v>All India except Central University</x:v>
      </x:c>
      <x:c r="C2308" t="str">
        <x:v>200275</x:v>
      </x:c>
      <x:c r="D2308" t="str">
        <x:v>Madras Medical College, Chennai, MADRAS MEDICAL COLLEGE EVR PERIYAR SALAI,PARK TOWN,CHENNAI,TAMIL NADU.</x:v>
      </x:c>
      <x:c r="E2308" t="str">
        <x:v>All India</x:v>
      </x:c>
      <x:c r="F2308" t="str">
        <x:v>ST</x:v>
      </x:c>
      <x:c r="G2308" t="n">
        <x:v>2</x:v>
      </x:c>
      <x:c r="H2308" t="n">
        <x:v>2</x:v>
      </x:c>
      <x:c r="I2308" t="n">
        <x:f>G2308-H2308</x:f>
        <x:v>0</x:v>
      </x:c>
      <x:c r="J2308" s="20" t="n">
        <x:f>IFERROR(H2308/G2308,0)</x:f>
        <x:v>1</x:v>
      </x:c>
      <x:c r="K2308" t="n">
        <x:v>15914</x:v>
      </x:c>
      <x:c r="L2308" t="n">
        <x:v>17204.75</x:v>
      </x:c>
      <x:c r="M2308" t="n">
        <x:v>18495.5</x:v>
      </x:c>
      <x:c r="N2308" t="n">
        <x:v>19786.25</x:v>
      </x:c>
      <x:c r="O2308" t="n">
        <x:v>21077</x:v>
      </x:c>
    </x:row>
    <x:row r="2309">
      <x:c r="A2309" t="str">
        <x:v>Tamil Nadu</x:v>
      </x:c>
      <x:c r="B2309" t="str">
        <x:v>All India except Central University</x:v>
      </x:c>
      <x:c r="C2309" t="str">
        <x:v>200276</x:v>
      </x:c>
      <x:c r="D2309" t="str">
        <x:v>Madurai Medical College, Madurai, PANAGAL ROAD MADURAI, Tamil Nadu, 625020</x:v>
      </x:c>
      <x:c r="E2309" t="str">
        <x:v>All India</x:v>
      </x:c>
      <x:c r="F2309" t="str">
        <x:v>EWS</x:v>
      </x:c>
      <x:c r="G2309" t="n">
        <x:v>4</x:v>
      </x:c>
      <x:c r="H2309" t="n">
        <x:v>4</x:v>
      </x:c>
      <x:c r="I2309" t="n">
        <x:f>G2309-H2309</x:f>
        <x:v>0</x:v>
      </x:c>
      <x:c r="J2309" s="20" t="n">
        <x:f>IFERROR(H2309/G2309,0)</x:f>
        <x:v>1</x:v>
      </x:c>
      <x:c r="K2309" t="n">
        <x:v>11128</x:v>
      </x:c>
      <x:c r="L2309" t="n">
        <x:v>13369</x:v>
      </x:c>
      <x:c r="M2309" t="n">
        <x:v>14903</x:v>
      </x:c>
      <x:c r="N2309" t="n">
        <x:v>15695.5</x:v>
      </x:c>
      <x:c r="O2309" t="n">
        <x:v>15712</x:v>
      </x:c>
    </x:row>
    <x:row r="2310">
      <x:c r="A2310" t="str">
        <x:v>Tamil Nadu</x:v>
      </x:c>
      <x:c r="B2310" t="str">
        <x:v>All India except Central University</x:v>
      </x:c>
      <x:c r="C2310" t="str">
        <x:v>200276</x:v>
      </x:c>
      <x:c r="D2310" t="str">
        <x:v>Madurai Medical College, Madurai, PANAGAL ROAD MADURAI, Tamil Nadu, 625020</x:v>
      </x:c>
      <x:c r="E2310" t="str">
        <x:v>All India</x:v>
      </x:c>
      <x:c r="F2310" t="str">
        <x:v>OBC</x:v>
      </x:c>
      <x:c r="G2310" t="n">
        <x:v>10</x:v>
      </x:c>
      <x:c r="H2310" t="n">
        <x:v>10</x:v>
      </x:c>
      <x:c r="I2310" t="n">
        <x:f>G2310-H2310</x:f>
        <x:v>0</x:v>
      </x:c>
      <x:c r="J2310" s="20" t="n">
        <x:f>IFERROR(H2310/G2310,0)</x:f>
        <x:v>1</x:v>
      </x:c>
      <x:c r="K2310" t="n">
        <x:v>2916</x:v>
      </x:c>
      <x:c r="L2310" t="n">
        <x:v>3206</x:v>
      </x:c>
      <x:c r="M2310" t="n">
        <x:v>3479</x:v>
      </x:c>
      <x:c r="N2310" t="n">
        <x:v>3659.25</x:v>
      </x:c>
      <x:c r="O2310" t="n">
        <x:v>3757</x:v>
      </x:c>
    </x:row>
    <x:row r="2311">
      <x:c r="A2311" t="str">
        <x:v>Tamil Nadu</x:v>
      </x:c>
      <x:c r="B2311" t="str">
        <x:v>All India except Central University</x:v>
      </x:c>
      <x:c r="C2311" t="str">
        <x:v>200276</x:v>
      </x:c>
      <x:c r="D2311" t="str">
        <x:v>Madurai Medical College, Madurai, PANAGAL ROAD MADURAI, Tamil Nadu, 625020</x:v>
      </x:c>
      <x:c r="E2311" t="str">
        <x:v>All India</x:v>
      </x:c>
      <x:c r="F2311" t="str">
        <x:v>Open</x:v>
      </x:c>
      <x:c r="G2311" t="n">
        <x:v>14</x:v>
      </x:c>
      <x:c r="H2311" t="n">
        <x:v>14</x:v>
      </x:c>
      <x:c r="I2311" t="n">
        <x:f>G2311-H2311</x:f>
        <x:v>0</x:v>
      </x:c>
      <x:c r="J2311" s="20" t="n">
        <x:f>IFERROR(H2311/G2311,0)</x:f>
        <x:v>1</x:v>
      </x:c>
      <x:c r="K2311" t="n">
        <x:v>816</x:v>
      </x:c>
      <x:c r="L2311" t="n">
        <x:v>1975.5</x:v>
      </x:c>
      <x:c r="M2311" t="n">
        <x:v>2537.5</x:v>
      </x:c>
      <x:c r="N2311" t="n">
        <x:v>2729.25</x:v>
      </x:c>
      <x:c r="O2311" t="n">
        <x:v>2907</x:v>
      </x:c>
    </x:row>
    <x:row r="2312">
      <x:c r="A2312" t="str">
        <x:v>Tamil Nadu</x:v>
      </x:c>
      <x:c r="B2312" t="str">
        <x:v>All India except Central University</x:v>
      </x:c>
      <x:c r="C2312" t="str">
        <x:v>200276</x:v>
      </x:c>
      <x:c r="D2312" t="str">
        <x:v>Madurai Medical College, Madurai, PANAGAL ROAD MADURAI, Tamil Nadu, 625020</x:v>
      </x:c>
      <x:c r="E2312" t="str">
        <x:v>All India</x:v>
      </x:c>
      <x:c r="F2312" t="str">
        <x:v>Open PwD</x:v>
      </x:c>
      <x:c r="G2312" t="n">
        <x:v>1</x:v>
      </x:c>
      <x:c r="H2312" t="n">
        <x:v>1</x:v>
      </x:c>
      <x:c r="I2312" t="n">
        <x:f>G2312-H2312</x:f>
        <x:v>0</x:v>
      </x:c>
      <x:c r="J2312" s="20" t="n">
        <x:f>IFERROR(H2312/G2312,0)</x:f>
        <x:v>1</x:v>
      </x:c>
      <x:c r="K2312" t="n">
        <x:v>352108</x:v>
      </x:c>
      <x:c r="L2312" t="n">
        <x:v>352108</x:v>
      </x:c>
      <x:c r="M2312" t="n">
        <x:v>352108</x:v>
      </x:c>
      <x:c r="N2312" t="n">
        <x:v>352108</x:v>
      </x:c>
      <x:c r="O2312" t="n">
        <x:v>352108</x:v>
      </x:c>
    </x:row>
    <x:row r="2313">
      <x:c r="A2313" t="str">
        <x:v>Tamil Nadu</x:v>
      </x:c>
      <x:c r="B2313" t="str">
        <x:v>All India except Central University</x:v>
      </x:c>
      <x:c r="C2313" t="str">
        <x:v>200276</x:v>
      </x:c>
      <x:c r="D2313" t="str">
        <x:v>Madurai Medical College, Madurai, PANAGAL ROAD MADURAI, Tamil Nadu, 625020</x:v>
      </x:c>
      <x:c r="E2313" t="str">
        <x:v>All India</x:v>
      </x:c>
      <x:c r="F2313" t="str">
        <x:v>SC</x:v>
      </x:c>
      <x:c r="G2313" t="n">
        <x:v>6</x:v>
      </x:c>
      <x:c r="H2313" t="n">
        <x:v>6</x:v>
      </x:c>
      <x:c r="I2313" t="n">
        <x:f>G2313-H2313</x:f>
        <x:v>0</x:v>
      </x:c>
      <x:c r="J2313" s="20" t="n">
        <x:f>IFERROR(H2313/G2313,0)</x:f>
        <x:v>1</x:v>
      </x:c>
      <x:c r="K2313" t="n">
        <x:v>9298</x:v>
      </x:c>
      <x:c r="L2313" t="n">
        <x:v>14545.5</x:v>
      </x:c>
      <x:c r="M2313" t="n">
        <x:v>17843.5</x:v>
      </x:c>
      <x:c r="N2313" t="n">
        <x:v>19748</x:v>
      </x:c>
      <x:c r="O2313" t="n">
        <x:v>23190</x:v>
      </x:c>
    </x:row>
    <x:row r="2314">
      <x:c r="A2314" t="str">
        <x:v>Tamil Nadu</x:v>
      </x:c>
      <x:c r="B2314" t="str">
        <x:v>All India except Central University</x:v>
      </x:c>
      <x:c r="C2314" t="str">
        <x:v>200276</x:v>
      </x:c>
      <x:c r="D2314" t="str">
        <x:v>Madurai Medical College, Madurai, PANAGAL ROAD MADURAI, Tamil Nadu, 625020</x:v>
      </x:c>
      <x:c r="E2314" t="str">
        <x:v>All India</x:v>
      </x:c>
      <x:c r="F2314" t="str">
        <x:v>ST</x:v>
      </x:c>
      <x:c r="G2314" t="n">
        <x:v>3</x:v>
      </x:c>
      <x:c r="H2314" t="n">
        <x:v>3</x:v>
      </x:c>
      <x:c r="I2314" t="n">
        <x:f>G2314-H2314</x:f>
        <x:v>0</x:v>
      </x:c>
      <x:c r="J2314" s="20" t="n">
        <x:f>IFERROR(H2314/G2314,0)</x:f>
        <x:v>1</x:v>
      </x:c>
      <x:c r="K2314" t="n">
        <x:v>81836</x:v>
      </x:c>
      <x:c r="L2314" t="n">
        <x:v>81921.5</x:v>
      </x:c>
      <x:c r="M2314" t="n">
        <x:v>82007</x:v>
      </x:c>
      <x:c r="N2314" t="n">
        <x:v>84963.5</x:v>
      </x:c>
      <x:c r="O2314" t="n">
        <x:v>87920</x:v>
      </x:c>
    </x:row>
    <x:row r="2315">
      <x:c r="A2315" t="str">
        <x:v>Uttar Pradesh</x:v>
      </x:c>
      <x:c r="B2315" t="str">
        <x:v>All India except Central University</x:v>
      </x:c>
      <x:c r="C2315" t="str">
        <x:v>200300</x:v>
      </x:c>
      <x:c r="D2315" t="str">
        <x:v>Mahamaya Rajkiya Allopathic Medical College, Ambedkarnagar, VILLAGE SADDARPUR POST SURAPUR DISTRICT AMBEDKAR NAGAR</x:v>
      </x:c>
      <x:c r="E2315" t="str">
        <x:v>All India</x:v>
      </x:c>
      <x:c r="F2315" t="str">
        <x:v>EWS</x:v>
      </x:c>
      <x:c r="G2315" t="n">
        <x:v>2</x:v>
      </x:c>
      <x:c r="H2315" t="n">
        <x:v>2</x:v>
      </x:c>
      <x:c r="I2315" t="n">
        <x:f>G2315-H2315</x:f>
        <x:v>0</x:v>
      </x:c>
      <x:c r="J2315" s="20" t="n">
        <x:f>IFERROR(H2315/G2315,0)</x:f>
        <x:v>1</x:v>
      </x:c>
      <x:c r="K2315" t="n">
        <x:v>12224</x:v>
      </x:c>
      <x:c r="L2315" t="n">
        <x:v>12424.25</x:v>
      </x:c>
      <x:c r="M2315" t="n">
        <x:v>12624.5</x:v>
      </x:c>
      <x:c r="N2315" t="n">
        <x:v>12824.75</x:v>
      </x:c>
      <x:c r="O2315" t="n">
        <x:v>13025</x:v>
      </x:c>
    </x:row>
    <x:row r="2316">
      <x:c r="A2316" t="str">
        <x:v>Uttar Pradesh</x:v>
      </x:c>
      <x:c r="B2316" t="str">
        <x:v>All India except Central University</x:v>
      </x:c>
      <x:c r="C2316" t="str">
        <x:v>200300</x:v>
      </x:c>
      <x:c r="D2316" t="str">
        <x:v>Mahamaya Rajkiya Allopathic Medical College, Ambedkarnagar, VILLAGE SADDARPUR POST SURAPUR DISTRICT AMBEDKAR NAGAR</x:v>
      </x:c>
      <x:c r="E2316" t="str">
        <x:v>All India</x:v>
      </x:c>
      <x:c r="F2316" t="str">
        <x:v>OBC</x:v>
      </x:c>
      <x:c r="G2316" t="n">
        <x:v>4</x:v>
      </x:c>
      <x:c r="H2316" t="n">
        <x:v>4</x:v>
      </x:c>
      <x:c r="I2316" t="n">
        <x:f>G2316-H2316</x:f>
        <x:v>0</x:v>
      </x:c>
      <x:c r="J2316" s="20" t="n">
        <x:f>IFERROR(H2316/G2316,0)</x:f>
        <x:v>1</x:v>
      </x:c>
      <x:c r="K2316" t="n">
        <x:v>10439</x:v>
      </x:c>
      <x:c r="L2316" t="n">
        <x:v>10456.25</x:v>
      </x:c>
      <x:c r="M2316" t="n">
        <x:v>10499</x:v>
      </x:c>
      <x:c r="N2316" t="n">
        <x:v>10536.25</x:v>
      </x:c>
      <x:c r="O2316" t="n">
        <x:v>10537</x:v>
      </x:c>
    </x:row>
    <x:row r="2317">
      <x:c r="A2317" t="str">
        <x:v>Uttar Pradesh</x:v>
      </x:c>
      <x:c r="B2317" t="str">
        <x:v>All India except Central University</x:v>
      </x:c>
      <x:c r="C2317" t="str">
        <x:v>200300</x:v>
      </x:c>
      <x:c r="D2317" t="str">
        <x:v>Mahamaya Rajkiya Allopathic Medical College, Ambedkarnagar, VILLAGE SADDARPUR POST SURAPUR DISTRICT AMBEDKAR NAGAR</x:v>
      </x:c>
      <x:c r="E2317" t="str">
        <x:v>All India</x:v>
      </x:c>
      <x:c r="F2317" t="str">
        <x:v>Open</x:v>
      </x:c>
      <x:c r="G2317" t="n">
        <x:v>6</x:v>
      </x:c>
      <x:c r="H2317" t="n">
        <x:v>6</x:v>
      </x:c>
      <x:c r="I2317" t="n">
        <x:f>G2317-H2317</x:f>
        <x:v>0</x:v>
      </x:c>
      <x:c r="J2317" s="20" t="n">
        <x:f>IFERROR(H2317/G2317,0)</x:f>
        <x:v>1</x:v>
      </x:c>
      <x:c r="K2317" t="n">
        <x:v>9334</x:v>
      </x:c>
      <x:c r="L2317" t="n">
        <x:v>9431.75</x:v>
      </x:c>
      <x:c r="M2317" t="n">
        <x:v>9481.5</x:v>
      </x:c>
      <x:c r="N2317" t="n">
        <x:v>9628.75</x:v>
      </x:c>
      <x:c r="O2317" t="n">
        <x:v>9873</x:v>
      </x:c>
    </x:row>
    <x:row r="2318">
      <x:c r="A2318" t="str">
        <x:v>Uttar Pradesh</x:v>
      </x:c>
      <x:c r="B2318" t="str">
        <x:v>All India except Central University</x:v>
      </x:c>
      <x:c r="C2318" t="str">
        <x:v>200300</x:v>
      </x:c>
      <x:c r="D2318" t="str">
        <x:v>Mahamaya Rajkiya Allopathic Medical College, Ambedkarnagar, VILLAGE SADDARPUR POST SURAPUR DISTRICT AMBEDKAR NAGAR</x:v>
      </x:c>
      <x:c r="E2318" t="str">
        <x:v>All India</x:v>
      </x:c>
      <x:c r="F2318" t="str">
        <x:v>SC</x:v>
      </x:c>
      <x:c r="G2318" t="n">
        <x:v>2</x:v>
      </x:c>
      <x:c r="H2318" t="n">
        <x:v>2</x:v>
      </x:c>
      <x:c r="I2318" t="n">
        <x:f>G2318-H2318</x:f>
        <x:v>0</x:v>
      </x:c>
      <x:c r="J2318" s="20" t="n">
        <x:f>IFERROR(H2318/G2318,0)</x:f>
        <x:v>1</x:v>
      </x:c>
      <x:c r="K2318" t="n">
        <x:v>59780</x:v>
      </x:c>
      <x:c r="L2318" t="n">
        <x:v>60053.5</x:v>
      </x:c>
      <x:c r="M2318" t="n">
        <x:v>60327</x:v>
      </x:c>
      <x:c r="N2318" t="n">
        <x:v>60600.5</x:v>
      </x:c>
      <x:c r="O2318" t="n">
        <x:v>60874</x:v>
      </x:c>
    </x:row>
    <x:row r="2319">
      <x:c r="A2319" t="str">
        <x:v>Uttar Pradesh</x:v>
      </x:c>
      <x:c r="B2319" t="str">
        <x:v>All India except Central University</x:v>
      </x:c>
      <x:c r="C2319" t="str">
        <x:v>200300</x:v>
      </x:c>
      <x:c r="D2319" t="str">
        <x:v>Mahamaya Rajkiya Allopathic Medical College, Ambedkarnagar, VILLAGE SADDARPUR POST SURAPUR DISTRICT AMBEDKAR NAGAR</x:v>
      </x:c>
      <x:c r="E2319" t="str">
        <x:v>All India</x:v>
      </x:c>
      <x:c r="F2319" t="str">
        <x:v>ST</x:v>
      </x:c>
      <x:c r="G2319" t="n">
        <x:v>1</x:v>
      </x:c>
      <x:c r="H2319" t="n">
        <x:v>1</x:v>
      </x:c>
      <x:c r="I2319" t="n">
        <x:f>G2319-H2319</x:f>
        <x:v>0</x:v>
      </x:c>
      <x:c r="J2319" s="20" t="n">
        <x:f>IFERROR(H2319/G2319,0)</x:f>
        <x:v>1</x:v>
      </x:c>
      <x:c r="K2319" t="n">
        <x:v>87418</x:v>
      </x:c>
      <x:c r="L2319" t="n">
        <x:v>87418</x:v>
      </x:c>
      <x:c r="M2319" t="n">
        <x:v>87418</x:v>
      </x:c>
      <x:c r="N2319" t="n">
        <x:v>87418</x:v>
      </x:c>
      <x:c r="O2319" t="n">
        <x:v>87418</x:v>
      </x:c>
    </x:row>
    <x:row r="2320">
      <x:c r="A2320" t="str">
        <x:v>Uttar Pradesh</x:v>
      </x:c>
      <x:c r="B2320" t="str">
        <x:v>All India except Central University</x:v>
      </x:c>
      <x:c r="C2320" t="str">
        <x:v>200298</x:v>
      </x:c>
      <x:c r="D2320" t="str">
        <x:v>Maharani Laxmi Bai Medical College, Jhansi, M.L.B. MEDICAL COLLEGE, KANPUR ROAD, JHANSI</x:v>
      </x:c>
      <x:c r="E2320" t="str">
        <x:v>All India</x:v>
      </x:c>
      <x:c r="F2320" t="str">
        <x:v>EWS</x:v>
      </x:c>
      <x:c r="G2320" t="n">
        <x:v>3</x:v>
      </x:c>
      <x:c r="H2320" t="n">
        <x:v>3</x:v>
      </x:c>
      <x:c r="I2320" t="n">
        <x:f>G2320-H2320</x:f>
        <x:v>0</x:v>
      </x:c>
      <x:c r="J2320" s="20" t="n">
        <x:f>IFERROR(H2320/G2320,0)</x:f>
        <x:v>1</x:v>
      </x:c>
      <x:c r="K2320" t="n">
        <x:v>7794</x:v>
      </x:c>
      <x:c r="L2320" t="n">
        <x:v>8168.5</x:v>
      </x:c>
      <x:c r="M2320" t="n">
        <x:v>8543</x:v>
      </x:c>
      <x:c r="N2320" t="n">
        <x:v>8677</x:v>
      </x:c>
      <x:c r="O2320" t="n">
        <x:v>8811</x:v>
      </x:c>
    </x:row>
    <x:row r="2321">
      <x:c r="A2321" t="str">
        <x:v>Uttar Pradesh</x:v>
      </x:c>
      <x:c r="B2321" t="str">
        <x:v>All India except Central University</x:v>
      </x:c>
      <x:c r="C2321" t="str">
        <x:v>200298</x:v>
      </x:c>
      <x:c r="D2321" t="str">
        <x:v>Maharani Laxmi Bai Medical College, Jhansi, M.L.B. MEDICAL COLLEGE, KANPUR ROAD, JHANSI</x:v>
      </x:c>
      <x:c r="E2321" t="str">
        <x:v>All India</x:v>
      </x:c>
      <x:c r="F2321" t="str">
        <x:v>OBC</x:v>
      </x:c>
      <x:c r="G2321" t="n">
        <x:v>5</x:v>
      </x:c>
      <x:c r="H2321" t="n">
        <x:v>5</x:v>
      </x:c>
      <x:c r="I2321" t="n">
        <x:f>G2321-H2321</x:f>
        <x:v>0</x:v>
      </x:c>
      <x:c r="J2321" s="20" t="n">
        <x:f>IFERROR(H2321/G2321,0)</x:f>
        <x:v>1</x:v>
      </x:c>
      <x:c r="K2321" t="n">
        <x:v>7366</x:v>
      </x:c>
      <x:c r="L2321" t="n">
        <x:v>8047</x:v>
      </x:c>
      <x:c r="M2321" t="n">
        <x:v>8066</x:v>
      </x:c>
      <x:c r="N2321" t="n">
        <x:v>8263</x:v>
      </x:c>
      <x:c r="O2321" t="n">
        <x:v>8355</x:v>
      </x:c>
    </x:row>
    <x:row r="2322">
      <x:c r="A2322" t="str">
        <x:v>Uttar Pradesh</x:v>
      </x:c>
      <x:c r="B2322" t="str">
        <x:v>All India except Central University</x:v>
      </x:c>
      <x:c r="C2322" t="str">
        <x:v>200298</x:v>
      </x:c>
      <x:c r="D2322" t="str">
        <x:v>Maharani Laxmi Bai Medical College, Jhansi, M.L.B. MEDICAL COLLEGE, KANPUR ROAD, JHANSI</x:v>
      </x:c>
      <x:c r="E2322" t="str">
        <x:v>All India</x:v>
      </x:c>
      <x:c r="F2322" t="str">
        <x:v>OBC PwD</x:v>
      </x:c>
      <x:c r="G2322" t="n">
        <x:v>1</x:v>
      </x:c>
      <x:c r="H2322" t="n">
        <x:v>1</x:v>
      </x:c>
      <x:c r="I2322" t="n">
        <x:f>G2322-H2322</x:f>
        <x:v>0</x:v>
      </x:c>
      <x:c r="J2322" s="20" t="n">
        <x:f>IFERROR(H2322/G2322,0)</x:f>
        <x:v>1</x:v>
      </x:c>
      <x:c r="K2322" t="n">
        <x:v>326683</x:v>
      </x:c>
      <x:c r="L2322" t="n">
        <x:v>326683</x:v>
      </x:c>
      <x:c r="M2322" t="n">
        <x:v>326683</x:v>
      </x:c>
      <x:c r="N2322" t="n">
        <x:v>326683</x:v>
      </x:c>
      <x:c r="O2322" t="n">
        <x:v>326683</x:v>
      </x:c>
    </x:row>
    <x:row r="2323">
      <x:c r="A2323" t="str">
        <x:v>Uttar Pradesh</x:v>
      </x:c>
      <x:c r="B2323" t="str">
        <x:v>All India except Central University</x:v>
      </x:c>
      <x:c r="C2323" t="str">
        <x:v>200298</x:v>
      </x:c>
      <x:c r="D2323" t="str">
        <x:v>Maharani Laxmi Bai Medical College, Jhansi, M.L.B. MEDICAL COLLEGE, KANPUR ROAD, JHANSI</x:v>
      </x:c>
      <x:c r="E2323" t="str">
        <x:v>All India</x:v>
      </x:c>
      <x:c r="F2323" t="str">
        <x:v>Open</x:v>
      </x:c>
      <x:c r="G2323" t="n">
        <x:v>7</x:v>
      </x:c>
      <x:c r="H2323" t="n">
        <x:v>7</x:v>
      </x:c>
      <x:c r="I2323" t="n">
        <x:f>G2323-H2323</x:f>
        <x:v>0</x:v>
      </x:c>
      <x:c r="J2323" s="20" t="n">
        <x:f>IFERROR(H2323/G2323,0)</x:f>
        <x:v>1</x:v>
      </x:c>
      <x:c r="K2323" t="n">
        <x:v>5622</x:v>
      </x:c>
      <x:c r="L2323" t="n">
        <x:v>5988</x:v>
      </x:c>
      <x:c r="M2323" t="n">
        <x:v>6520</x:v>
      </x:c>
      <x:c r="N2323" t="n">
        <x:v>6667</x:v>
      </x:c>
      <x:c r="O2323" t="n">
        <x:v>6882</x:v>
      </x:c>
    </x:row>
    <x:row r="2324">
      <x:c r="A2324" t="str">
        <x:v>Uttar Pradesh</x:v>
      </x:c>
      <x:c r="B2324" t="str">
        <x:v>All India except Central University</x:v>
      </x:c>
      <x:c r="C2324" t="str">
        <x:v>200298</x:v>
      </x:c>
      <x:c r="D2324" t="str">
        <x:v>Maharani Laxmi Bai Medical College, Jhansi, M.L.B. MEDICAL COLLEGE, KANPUR ROAD, JHANSI</x:v>
      </x:c>
      <x:c r="E2324" t="str">
        <x:v>All India</x:v>
      </x:c>
      <x:c r="F2324" t="str">
        <x:v>Open PwD</x:v>
      </x:c>
      <x:c r="G2324" t="n">
        <x:v>1</x:v>
      </x:c>
      <x:c r="H2324" t="n">
        <x:v>1</x:v>
      </x:c>
      <x:c r="I2324" t="n">
        <x:f>G2324-H2324</x:f>
        <x:v>0</x:v>
      </x:c>
      <x:c r="J2324" s="20" t="n">
        <x:f>IFERROR(H2324/G2324,0)</x:f>
        <x:v>1</x:v>
      </x:c>
      <x:c r="K2324" t="n">
        <x:v>317293</x:v>
      </x:c>
      <x:c r="L2324" t="n">
        <x:v>317293</x:v>
      </x:c>
      <x:c r="M2324" t="n">
        <x:v>317293</x:v>
      </x:c>
      <x:c r="N2324" t="n">
        <x:v>317293</x:v>
      </x:c>
      <x:c r="O2324" t="n">
        <x:v>317293</x:v>
      </x:c>
    </x:row>
    <x:row r="2325">
      <x:c r="A2325" t="str">
        <x:v>Uttar Pradesh</x:v>
      </x:c>
      <x:c r="B2325" t="str">
        <x:v>All India except Central University</x:v>
      </x:c>
      <x:c r="C2325" t="str">
        <x:v>200298</x:v>
      </x:c>
      <x:c r="D2325" t="str">
        <x:v>Maharani Laxmi Bai Medical College, Jhansi, M.L.B. MEDICAL COLLEGE, KANPUR ROAD, JHANSI</x:v>
      </x:c>
      <x:c r="E2325" t="str">
        <x:v>All India</x:v>
      </x:c>
      <x:c r="F2325" t="str">
        <x:v>SC</x:v>
      </x:c>
      <x:c r="G2325" t="n">
        <x:v>4</x:v>
      </x:c>
      <x:c r="H2325" t="n">
        <x:v>4</x:v>
      </x:c>
      <x:c r="I2325" t="n">
        <x:f>G2325-H2325</x:f>
        <x:v>0</x:v>
      </x:c>
      <x:c r="J2325" s="20" t="n">
        <x:f>IFERROR(H2325/G2325,0)</x:f>
        <x:v>1</x:v>
      </x:c>
      <x:c r="K2325" t="n">
        <x:v>32782</x:v>
      </x:c>
      <x:c r="L2325" t="n">
        <x:v>42784.75</x:v>
      </x:c>
      <x:c r="M2325" t="n">
        <x:v>46465</x:v>
      </x:c>
      <x:c r="N2325" t="n">
        <x:v>47353.5</x:v>
      </x:c>
      <x:c r="O2325" t="n">
        <x:v>48981</x:v>
      </x:c>
    </x:row>
    <x:row r="2326">
      <x:c r="A2326" t="str">
        <x:v>Uttar Pradesh</x:v>
      </x:c>
      <x:c r="B2326" t="str">
        <x:v>All India except Central University</x:v>
      </x:c>
      <x:c r="C2326" t="str">
        <x:v>200298</x:v>
      </x:c>
      <x:c r="D2326" t="str">
        <x:v>Maharani Laxmi Bai Medical College, Jhansi, M.L.B. MEDICAL COLLEGE, KANPUR ROAD, JHANSI</x:v>
      </x:c>
      <x:c r="E2326" t="str">
        <x:v>All India</x:v>
      </x:c>
      <x:c r="F2326" t="str">
        <x:v>ST</x:v>
      </x:c>
      <x:c r="G2326" t="n">
        <x:v>2</x:v>
      </x:c>
      <x:c r="H2326" t="n">
        <x:v>2</x:v>
      </x:c>
      <x:c r="I2326" t="n">
        <x:f>G2326-H2326</x:f>
        <x:v>0</x:v>
      </x:c>
      <x:c r="J2326" s="20" t="n">
        <x:f>IFERROR(H2326/G2326,0)</x:f>
        <x:v>1</x:v>
      </x:c>
      <x:c r="K2326" t="n">
        <x:v>66555</x:v>
      </x:c>
      <x:c r="L2326" t="n">
        <x:v>66996.5</x:v>
      </x:c>
      <x:c r="M2326" t="n">
        <x:v>67438</x:v>
      </x:c>
      <x:c r="N2326" t="n">
        <x:v>67879.5</x:v>
      </x:c>
      <x:c r="O2326" t="n">
        <x:v>68321</x:v>
      </x:c>
    </x:row>
    <x:row r="2327">
      <x:c r="A2327" t="str">
        <x:v>Haryana</x:v>
      </x:c>
      <x:c r="B2327" t="str">
        <x:v>All India except Central University</x:v>
      </x:c>
      <x:c r="C2327" t="str">
        <x:v>904353</x:v>
      </x:c>
      <x:c r="D2327" t="str">
        <x:v>Maharishi Chyawan Medical College, Koriawas, dirkoriawasgmc@gmail.com</x:v>
      </x:c>
      <x:c r="E2327" t="str">
        <x:v>All India</x:v>
      </x:c>
      <x:c r="F2327" t="str">
        <x:v>EWS</x:v>
      </x:c>
      <x:c r="G2327" t="n">
        <x:v>1</x:v>
      </x:c>
      <x:c r="H2327" t="n">
        <x:v>1</x:v>
      </x:c>
      <x:c r="I2327" t="n">
        <x:f>G2327-H2327</x:f>
        <x:v>0</x:v>
      </x:c>
      <x:c r="J2327" s="20" t="n">
        <x:f>IFERROR(H2327/G2327,0)</x:f>
        <x:v>1</x:v>
      </x:c>
      <x:c r="K2327" t="n">
        <x:v>15330</x:v>
      </x:c>
      <x:c r="L2327" t="n">
        <x:v>15330</x:v>
      </x:c>
      <x:c r="M2327" t="n">
        <x:v>15330</x:v>
      </x:c>
      <x:c r="N2327" t="n">
        <x:v>15330</x:v>
      </x:c>
      <x:c r="O2327" t="n">
        <x:v>15330</x:v>
      </x:c>
    </x:row>
    <x:row r="2328">
      <x:c r="A2328" t="str">
        <x:v>Haryana</x:v>
      </x:c>
      <x:c r="B2328" t="str">
        <x:v>All India except Central University</x:v>
      </x:c>
      <x:c r="C2328" t="str">
        <x:v>904353</x:v>
      </x:c>
      <x:c r="D2328" t="str">
        <x:v>Maharishi Chyawan Medical College, Koriawas, dirkoriawasgmc@gmail.com</x:v>
      </x:c>
      <x:c r="E2328" t="str">
        <x:v>All India</x:v>
      </x:c>
      <x:c r="F2328" t="str">
        <x:v>OBC</x:v>
      </x:c>
      <x:c r="G2328" t="n">
        <x:v>3</x:v>
      </x:c>
      <x:c r="H2328" t="n">
        <x:v>3</x:v>
      </x:c>
      <x:c r="I2328" t="n">
        <x:f>G2328-H2328</x:f>
        <x:v>0</x:v>
      </x:c>
      <x:c r="J2328" s="20" t="n">
        <x:f>IFERROR(H2328/G2328,0)</x:f>
        <x:v>1</x:v>
      </x:c>
      <x:c r="K2328" t="n">
        <x:v>14019</x:v>
      </x:c>
      <x:c r="L2328" t="n">
        <x:v>14203</x:v>
      </x:c>
      <x:c r="M2328" t="n">
        <x:v>14387</x:v>
      </x:c>
      <x:c r="N2328" t="n">
        <x:v>14606</x:v>
      </x:c>
      <x:c r="O2328" t="n">
        <x:v>14825</x:v>
      </x:c>
    </x:row>
    <x:row r="2329">
      <x:c r="A2329" t="str">
        <x:v>Haryana</x:v>
      </x:c>
      <x:c r="B2329" t="str">
        <x:v>All India except Central University</x:v>
      </x:c>
      <x:c r="C2329" t="str">
        <x:v>904353</x:v>
      </x:c>
      <x:c r="D2329" t="str">
        <x:v>Maharishi Chyawan Medical College, Koriawas, dirkoriawasgmc@gmail.com</x:v>
      </x:c>
      <x:c r="E2329" t="str">
        <x:v>All India</x:v>
      </x:c>
      <x:c r="F2329" t="str">
        <x:v>OBC PwD</x:v>
      </x:c>
      <x:c r="G2329" t="n">
        <x:v>1</x:v>
      </x:c>
      <x:c r="H2329" t="n">
        <x:v>1</x:v>
      </x:c>
      <x:c r="I2329" t="n">
        <x:f>G2329-H2329</x:f>
        <x:v>0</x:v>
      </x:c>
      <x:c r="J2329" s="20" t="n">
        <x:f>IFERROR(H2329/G2329,0)</x:f>
        <x:v>1</x:v>
      </x:c>
      <x:c r="K2329" t="n">
        <x:v>516749</x:v>
      </x:c>
      <x:c r="L2329" t="n">
        <x:v>516749</x:v>
      </x:c>
      <x:c r="M2329" t="n">
        <x:v>516749</x:v>
      </x:c>
      <x:c r="N2329" t="n">
        <x:v>516749</x:v>
      </x:c>
      <x:c r="O2329" t="n">
        <x:v>516749</x:v>
      </x:c>
    </x:row>
    <x:row r="2330">
      <x:c r="A2330" t="str">
        <x:v>Haryana</x:v>
      </x:c>
      <x:c r="B2330" t="str">
        <x:v>All India except Central University</x:v>
      </x:c>
      <x:c r="C2330" t="str">
        <x:v>904353</x:v>
      </x:c>
      <x:c r="D2330" t="str">
        <x:v>Maharishi Chyawan Medical College, Koriawas, dirkoriawasgmc@gmail.com</x:v>
      </x:c>
      <x:c r="E2330" t="str">
        <x:v>All India</x:v>
      </x:c>
      <x:c r="F2330" t="str">
        <x:v>Open</x:v>
      </x:c>
      <x:c r="G2330" t="n">
        <x:v>7</x:v>
      </x:c>
      <x:c r="H2330" t="n">
        <x:v>7</x:v>
      </x:c>
      <x:c r="I2330" t="n">
        <x:f>G2330-H2330</x:f>
        <x:v>0</x:v>
      </x:c>
      <x:c r="J2330" s="20" t="n">
        <x:f>IFERROR(H2330/G2330,0)</x:f>
        <x:v>1</x:v>
      </x:c>
      <x:c r="K2330" t="n">
        <x:v>10233</x:v>
      </x:c>
      <x:c r="L2330" t="n">
        <x:v>12262.5</x:v>
      </x:c>
      <x:c r="M2330" t="n">
        <x:v>12737</x:v>
      </x:c>
      <x:c r="N2330" t="n">
        <x:v>13083</x:v>
      </x:c>
      <x:c r="O2330" t="n">
        <x:v>13637</x:v>
      </x:c>
    </x:row>
    <x:row r="2331">
      <x:c r="A2331" t="str">
        <x:v>Haryana</x:v>
      </x:c>
      <x:c r="B2331" t="str">
        <x:v>All India except Central University</x:v>
      </x:c>
      <x:c r="C2331" t="str">
        <x:v>904353</x:v>
      </x:c>
      <x:c r="D2331" t="str">
        <x:v>Maharishi Chyawan Medical College, Koriawas, dirkoriawasgmc@gmail.com</x:v>
      </x:c>
      <x:c r="E2331" t="str">
        <x:v>All India</x:v>
      </x:c>
      <x:c r="F2331" t="str">
        <x:v>SC</x:v>
      </x:c>
      <x:c r="G2331" t="n">
        <x:v>2</x:v>
      </x:c>
      <x:c r="H2331" t="n">
        <x:v>2</x:v>
      </x:c>
      <x:c r="I2331" t="n">
        <x:f>G2331-H2331</x:f>
        <x:v>0</x:v>
      </x:c>
      <x:c r="J2331" s="20" t="n">
        <x:f>IFERROR(H2331/G2331,0)</x:f>
        <x:v>1</x:v>
      </x:c>
      <x:c r="K2331" t="n">
        <x:v>71801</x:v>
      </x:c>
      <x:c r="L2331" t="n">
        <x:v>72879.75</x:v>
      </x:c>
      <x:c r="M2331" t="n">
        <x:v>73958.5</x:v>
      </x:c>
      <x:c r="N2331" t="n">
        <x:v>75037.25</x:v>
      </x:c>
      <x:c r="O2331" t="n">
        <x:v>76116</x:v>
      </x:c>
    </x:row>
    <x:row r="2332">
      <x:c r="A2332" t="str">
        <x:v>Haryana</x:v>
      </x:c>
      <x:c r="B2332" t="str">
        <x:v>All India except Central University</x:v>
      </x:c>
      <x:c r="C2332" t="str">
        <x:v>904353</x:v>
      </x:c>
      <x:c r="D2332" t="str">
        <x:v>Maharishi Chyawan Medical College, Koriawas, dirkoriawasgmc@gmail.com</x:v>
      </x:c>
      <x:c r="E2332" t="str">
        <x:v>All India</x:v>
      </x:c>
      <x:c r="F2332" t="str">
        <x:v>ST</x:v>
      </x:c>
      <x:c r="G2332" t="n">
        <x:v>1</x:v>
      </x:c>
      <x:c r="H2332" t="n">
        <x:v>1</x:v>
      </x:c>
      <x:c r="I2332" t="n">
        <x:f>G2332-H2332</x:f>
        <x:v>0</x:v>
      </x:c>
      <x:c r="J2332" s="20" t="n">
        <x:f>IFERROR(H2332/G2332,0)</x:f>
        <x:v>1</x:v>
      </x:c>
      <x:c r="K2332" t="n">
        <x:v>99211</x:v>
      </x:c>
      <x:c r="L2332" t="n">
        <x:v>99211</x:v>
      </x:c>
      <x:c r="M2332" t="n">
        <x:v>99211</x:v>
      </x:c>
      <x:c r="N2332" t="n">
        <x:v>99211</x:v>
      </x:c>
      <x:c r="O2332" t="n">
        <x:v>99211</x:v>
      </x:c>
    </x:row>
    <x:row r="2333">
      <x:c r="A2333" t="str">
        <x:v>Haryana</x:v>
      </x:c>
      <x:c r="B2333" t="str">
        <x:v>Deemed University</x:v>
      </x:c>
      <x:c r="C2333" t="str">
        <x:v>200332</x:v>
      </x:c>
      <x:c r="D2333" t="str">
        <x:v>Maharishi Markandeshwar Institute Of Medical Sciences &amp; Research, Mullana, Ambala, M.M. INSTITUTE OF MEDICAL SCIENCES AND RESEARCH, MULLANA, AMBALA, HARYANA.</x:v>
      </x:c>
      <x:c r="E2333" t="str">
        <x:v>NRI</x:v>
      </x:c>
      <x:c r="F2333" t="str">
        <x:v>Open</x:v>
      </x:c>
      <x:c r="G2333" t="n">
        <x:v>37</x:v>
      </x:c>
      <x:c r="H2333" t="n">
        <x:v>0</x:v>
      </x:c>
      <x:c r="I2333" t="n">
        <x:f>G2333-H2333</x:f>
        <x:v>37</x:v>
      </x:c>
      <x:c r="J2333" s="20" t="n">
        <x:f>IFERROR(H2333/G2333,0)</x:f>
        <x:v>0</x:v>
      </x:c>
      <x:c r="K2333"/>
      <x:c r="L2333"/>
      <x:c r="M2333"/>
      <x:c r="N2333"/>
      <x:c r="O2333"/>
    </x:row>
    <x:row r="2334">
      <x:c r="A2334" t="str">
        <x:v>Haryana</x:v>
      </x:c>
      <x:c r="B2334" t="str">
        <x:v>Deemed University</x:v>
      </x:c>
      <x:c r="C2334" t="str">
        <x:v>200332</x:v>
      </x:c>
      <x:c r="D2334" t="str">
        <x:v>Maharishi Markandeshwar Institute Of Medical Sciences &amp; Research, Mullana, Ambala, M.M. INSTITUTE OF MEDICAL SCIENCES AND RESEARCH, MULLANA, AMBALA, HARYANA.</x:v>
      </x:c>
      <x:c r="E2334" t="str">
        <x:v>Self-Financed Merit</x:v>
      </x:c>
      <x:c r="F2334" t="str">
        <x:v>Open</x:v>
      </x:c>
      <x:c r="G2334" t="n">
        <x:v>213</x:v>
      </x:c>
      <x:c r="H2334" t="n">
        <x:v>213</x:v>
      </x:c>
      <x:c r="I2334" t="n">
        <x:f>G2334-H2334</x:f>
        <x:v>0</x:v>
      </x:c>
      <x:c r="J2334" s="20" t="n">
        <x:f>IFERROR(H2334/G2334,0)</x:f>
        <x:v>1</x:v>
      </x:c>
      <x:c r="K2334" t="n">
        <x:v>64417</x:v>
      </x:c>
      <x:c r="L2334" t="n">
        <x:v>223056</x:v>
      </x:c>
      <x:c r="M2334" t="n">
        <x:v>277848</x:v>
      </x:c>
      <x:c r="N2334" t="n">
        <x:v>332414</x:v>
      </x:c>
      <x:c r="O2334" t="n">
        <x:v>366214</x:v>
      </x:c>
    </x:row>
    <x:row r="2335">
      <x:c r="A2335" t="str">
        <x:v>Uttar Pradesh</x:v>
      </x:c>
      <x:c r="B2335" t="str">
        <x:v>All India except Central University</x:v>
      </x:c>
      <x:c r="C2335" t="str">
        <x:v>200549</x:v>
      </x:c>
      <x:c r="D2335" t="str">
        <x:v>Maharshi Devraha Baba Autonomous State Medical College, Deoria, 207 Hospital Road Saket nagar Deoria</x:v>
      </x:c>
      <x:c r="E2335" t="str">
        <x:v>All India</x:v>
      </x:c>
      <x:c r="F2335" t="str">
        <x:v>EWS</x:v>
      </x:c>
      <x:c r="G2335" t="n">
        <x:v>1</x:v>
      </x:c>
      <x:c r="H2335" t="n">
        <x:v>1</x:v>
      </x:c>
      <x:c r="I2335" t="n">
        <x:f>G2335-H2335</x:f>
        <x:v>0</x:v>
      </x:c>
      <x:c r="J2335" s="20" t="n">
        <x:f>IFERROR(H2335/G2335,0)</x:f>
        <x:v>1</x:v>
      </x:c>
      <x:c r="K2335" t="n">
        <x:v>13771</x:v>
      </x:c>
      <x:c r="L2335" t="n">
        <x:v>13771</x:v>
      </x:c>
      <x:c r="M2335" t="n">
        <x:v>13771</x:v>
      </x:c>
      <x:c r="N2335" t="n">
        <x:v>13771</x:v>
      </x:c>
      <x:c r="O2335" t="n">
        <x:v>13771</x:v>
      </x:c>
    </x:row>
    <x:row r="2336">
      <x:c r="A2336" t="str">
        <x:v>Uttar Pradesh</x:v>
      </x:c>
      <x:c r="B2336" t="str">
        <x:v>All India except Central University</x:v>
      </x:c>
      <x:c r="C2336" t="str">
        <x:v>200549</x:v>
      </x:c>
      <x:c r="D2336" t="str">
        <x:v>Maharshi Devraha Baba Autonomous State Medical College, Deoria, 207 Hospital Road Saket nagar Deoria</x:v>
      </x:c>
      <x:c r="E2336" t="str">
        <x:v>All India</x:v>
      </x:c>
      <x:c r="F2336" t="str">
        <x:v>OBC</x:v>
      </x:c>
      <x:c r="G2336" t="n">
        <x:v>4</x:v>
      </x:c>
      <x:c r="H2336" t="n">
        <x:v>4</x:v>
      </x:c>
      <x:c r="I2336" t="n">
        <x:f>G2336-H2336</x:f>
        <x:v>0</x:v>
      </x:c>
      <x:c r="J2336" s="20" t="n">
        <x:f>IFERROR(H2336/G2336,0)</x:f>
        <x:v>1</x:v>
      </x:c>
      <x:c r="K2336" t="n">
        <x:v>14781</x:v>
      </x:c>
      <x:c r="L2336" t="n">
        <x:v>14831.25</x:v>
      </x:c>
      <x:c r="M2336" t="n">
        <x:v>14921</x:v>
      </x:c>
      <x:c r="N2336" t="n">
        <x:v>15012.5</x:v>
      </x:c>
      <x:c r="O2336" t="n">
        <x:v>15068</x:v>
      </x:c>
    </x:row>
    <x:row r="2337">
      <x:c r="A2337" t="str">
        <x:v>Uttar Pradesh</x:v>
      </x:c>
      <x:c r="B2337" t="str">
        <x:v>All India except Central University</x:v>
      </x:c>
      <x:c r="C2337" t="str">
        <x:v>200549</x:v>
      </x:c>
      <x:c r="D2337" t="str">
        <x:v>Maharshi Devraha Baba Autonomous State Medical College, Deoria, 207 Hospital Road Saket nagar Deoria</x:v>
      </x:c>
      <x:c r="E2337" t="str">
        <x:v>All India</x:v>
      </x:c>
      <x:c r="F2337" t="str">
        <x:v>Open</x:v>
      </x:c>
      <x:c r="G2337" t="n">
        <x:v>7</x:v>
      </x:c>
      <x:c r="H2337" t="n">
        <x:v>7</x:v>
      </x:c>
      <x:c r="I2337" t="n">
        <x:f>G2337-H2337</x:f>
        <x:v>0</x:v>
      </x:c>
      <x:c r="J2337" s="20" t="n">
        <x:f>IFERROR(H2337/G2337,0)</x:f>
        <x:v>1</x:v>
      </x:c>
      <x:c r="K2337" t="n">
        <x:v>10955</x:v>
      </x:c>
      <x:c r="L2337" t="n">
        <x:v>12818.5</x:v>
      </x:c>
      <x:c r="M2337" t="n">
        <x:v>13086</x:v>
      </x:c>
      <x:c r="N2337" t="n">
        <x:v>13405.5</x:v>
      </x:c>
      <x:c r="O2337" t="n">
        <x:v>13718</x:v>
      </x:c>
    </x:row>
    <x:row r="2338">
      <x:c r="A2338" t="str">
        <x:v>Uttar Pradesh</x:v>
      </x:c>
      <x:c r="B2338" t="str">
        <x:v>All India except Central University</x:v>
      </x:c>
      <x:c r="C2338" t="str">
        <x:v>200549</x:v>
      </x:c>
      <x:c r="D2338" t="str">
        <x:v>Maharshi Devraha Baba Autonomous State Medical College, Deoria, 207 Hospital Road Saket nagar Deoria</x:v>
      </x:c>
      <x:c r="E2338" t="str">
        <x:v>All India</x:v>
      </x:c>
      <x:c r="F2338" t="str">
        <x:v>SC</x:v>
      </x:c>
      <x:c r="G2338" t="n">
        <x:v>2</x:v>
      </x:c>
      <x:c r="H2338" t="n">
        <x:v>2</x:v>
      </x:c>
      <x:c r="I2338" t="n">
        <x:f>G2338-H2338</x:f>
        <x:v>0</x:v>
      </x:c>
      <x:c r="J2338" s="20" t="n">
        <x:f>IFERROR(H2338/G2338,0)</x:f>
        <x:v>1</x:v>
      </x:c>
      <x:c r="K2338" t="n">
        <x:v>70943</x:v>
      </x:c>
      <x:c r="L2338" t="n">
        <x:v>72148.25</x:v>
      </x:c>
      <x:c r="M2338" t="n">
        <x:v>73353.5</x:v>
      </x:c>
      <x:c r="N2338" t="n">
        <x:v>74558.75</x:v>
      </x:c>
      <x:c r="O2338" t="n">
        <x:v>75764</x:v>
      </x:c>
    </x:row>
    <x:row r="2339">
      <x:c r="A2339" t="str">
        <x:v>Uttar Pradesh</x:v>
      </x:c>
      <x:c r="B2339" t="str">
        <x:v>All India except Central University</x:v>
      </x:c>
      <x:c r="C2339" t="str">
        <x:v>200549</x:v>
      </x:c>
      <x:c r="D2339" t="str">
        <x:v>Maharshi Devraha Baba Autonomous State Medical College, Deoria, 207 Hospital Road Saket nagar Deoria</x:v>
      </x:c>
      <x:c r="E2339" t="str">
        <x:v>All India</x:v>
      </x:c>
      <x:c r="F2339" t="str">
        <x:v>ST</x:v>
      </x:c>
      <x:c r="G2339" t="n">
        <x:v>1</x:v>
      </x:c>
      <x:c r="H2339" t="n">
        <x:v>1</x:v>
      </x:c>
      <x:c r="I2339" t="n">
        <x:f>G2339-H2339</x:f>
        <x:v>0</x:v>
      </x:c>
      <x:c r="J2339" s="20" t="n">
        <x:f>IFERROR(H2339/G2339,0)</x:f>
        <x:v>1</x:v>
      </x:c>
      <x:c r="K2339" t="n">
        <x:v>103675</x:v>
      </x:c>
      <x:c r="L2339" t="n">
        <x:v>103675</x:v>
      </x:c>
      <x:c r="M2339" t="n">
        <x:v>103675</x:v>
      </x:c>
      <x:c r="N2339" t="n">
        <x:v>103675</x:v>
      </x:c>
      <x:c r="O2339" t="n">
        <x:v>103675</x:v>
      </x:c>
    </x:row>
    <x:row r="2340">
      <x:c r="A2340" t="str">
        <x:v>Maharashtra</x:v>
      </x:c>
      <x:c r="B2340" t="str">
        <x:v>All India except Central University</x:v>
      </x:c>
      <x:c r="C2340" t="str">
        <x:v>200366</x:v>
      </x:c>
      <x:c r="D2340" t="str">
        <x:v>Mahatma Gandhi Institute of Medical Sciences, Sevagram, Wardha, VILLAGE AND PO SEVAGRAM DISTRICT WARDHA MAHARASHTRA 442102</x:v>
      </x:c>
      <x:c r="E2340" t="str">
        <x:v>All India</x:v>
      </x:c>
      <x:c r="F2340" t="str">
        <x:v>EWS</x:v>
      </x:c>
      <x:c r="G2340" t="n">
        <x:v>4</x:v>
      </x:c>
      <x:c r="H2340" t="n">
        <x:v>4</x:v>
      </x:c>
      <x:c r="I2340" t="n">
        <x:f>G2340-H2340</x:f>
        <x:v>0</x:v>
      </x:c>
      <x:c r="J2340" s="20" t="n">
        <x:f>IFERROR(H2340/G2340,0)</x:f>
        <x:v>1</x:v>
      </x:c>
      <x:c r="K2340" t="n">
        <x:v>14127</x:v>
      </x:c>
      <x:c r="L2340" t="n">
        <x:v>15207.75</x:v>
      </x:c>
      <x:c r="M2340" t="n">
        <x:v>15607.5</x:v>
      </x:c>
      <x:c r="N2340" t="n">
        <x:v>15664.75</x:v>
      </x:c>
      <x:c r="O2340" t="n">
        <x:v>15718</x:v>
      </x:c>
    </x:row>
    <x:row r="2341">
      <x:c r="A2341" t="str">
        <x:v>Maharashtra</x:v>
      </x:c>
      <x:c r="B2341" t="str">
        <x:v>All India except Central University</x:v>
      </x:c>
      <x:c r="C2341" t="str">
        <x:v>200366</x:v>
      </x:c>
      <x:c r="D2341" t="str">
        <x:v>Mahatma Gandhi Institute of Medical Sciences, Sevagram, Wardha, VILLAGE AND PO SEVAGRAM DISTRICT WARDHA MAHARASHTRA 442102</x:v>
      </x:c>
      <x:c r="E2341" t="str">
        <x:v>All India</x:v>
      </x:c>
      <x:c r="F2341" t="str">
        <x:v>EWS PwD</x:v>
      </x:c>
      <x:c r="G2341" t="n">
        <x:v>1</x:v>
      </x:c>
      <x:c r="H2341" t="n">
        <x:v>1</x:v>
      </x:c>
      <x:c r="I2341" t="n">
        <x:f>G2341-H2341</x:f>
        <x:v>0</x:v>
      </x:c>
      <x:c r="J2341" s="20" t="n">
        <x:f>IFERROR(H2341/G2341,0)</x:f>
        <x:v>1</x:v>
      </x:c>
      <x:c r="K2341" t="n">
        <x:v>746528</x:v>
      </x:c>
      <x:c r="L2341" t="n">
        <x:v>746528</x:v>
      </x:c>
      <x:c r="M2341" t="n">
        <x:v>746528</x:v>
      </x:c>
      <x:c r="N2341" t="n">
        <x:v>746528</x:v>
      </x:c>
      <x:c r="O2341" t="n">
        <x:v>746528</x:v>
      </x:c>
    </x:row>
    <x:row r="2342">
      <x:c r="A2342" t="str">
        <x:v>Maharashtra</x:v>
      </x:c>
      <x:c r="B2342" t="str">
        <x:v>All India except Central University</x:v>
      </x:c>
      <x:c r="C2342" t="str">
        <x:v>200366</x:v>
      </x:c>
      <x:c r="D2342" t="str">
        <x:v>Mahatma Gandhi Institute of Medical Sciences, Sevagram, Wardha, VILLAGE AND PO SEVAGRAM DISTRICT WARDHA MAHARASHTRA 442102</x:v>
      </x:c>
      <x:c r="E2342" t="str">
        <x:v>All India</x:v>
      </x:c>
      <x:c r="F2342" t="str">
        <x:v>OBC</x:v>
      </x:c>
      <x:c r="G2342" t="n">
        <x:v>11</x:v>
      </x:c>
      <x:c r="H2342" t="n">
        <x:v>11</x:v>
      </x:c>
      <x:c r="I2342" t="n">
        <x:f>G2342-H2342</x:f>
        <x:v>0</x:v>
      </x:c>
      <x:c r="J2342" s="20" t="n">
        <x:f>IFERROR(H2342/G2342,0)</x:f>
        <x:v>1</x:v>
      </x:c>
      <x:c r="K2342" t="n">
        <x:v>12820</x:v>
      </x:c>
      <x:c r="L2342" t="n">
        <x:v>13378.5</x:v>
      </x:c>
      <x:c r="M2342" t="n">
        <x:v>13916</x:v>
      </x:c>
      <x:c r="N2342" t="n">
        <x:v>14194.5</x:v>
      </x:c>
      <x:c r="O2342" t="n">
        <x:v>14345</x:v>
      </x:c>
    </x:row>
    <x:row r="2343">
      <x:c r="A2343" t="str">
        <x:v>Maharashtra</x:v>
      </x:c>
      <x:c r="B2343" t="str">
        <x:v>All India except Central University</x:v>
      </x:c>
      <x:c r="C2343" t="str">
        <x:v>200366</x:v>
      </x:c>
      <x:c r="D2343" t="str">
        <x:v>Mahatma Gandhi Institute of Medical Sciences, Sevagram, Wardha, VILLAGE AND PO SEVAGRAM DISTRICT WARDHA MAHARASHTRA 442102</x:v>
      </x:c>
      <x:c r="E2343" t="str">
        <x:v>All India</x:v>
      </x:c>
      <x:c r="F2343" t="str">
        <x:v>OBC PwD</x:v>
      </x:c>
      <x:c r="G2343" t="n">
        <x:v>1</x:v>
      </x:c>
      <x:c r="H2343" t="n">
        <x:v>1</x:v>
      </x:c>
      <x:c r="I2343" t="n">
        <x:f>G2343-H2343</x:f>
        <x:v>0</x:v>
      </x:c>
      <x:c r="J2343" s="20" t="n">
        <x:f>IFERROR(H2343/G2343,0)</x:f>
        <x:v>1</x:v>
      </x:c>
      <x:c r="K2343" t="n">
        <x:v>484819</x:v>
      </x:c>
      <x:c r="L2343" t="n">
        <x:v>484819</x:v>
      </x:c>
      <x:c r="M2343" t="n">
        <x:v>484819</x:v>
      </x:c>
      <x:c r="N2343" t="n">
        <x:v>484819</x:v>
      </x:c>
      <x:c r="O2343" t="n">
        <x:v>484819</x:v>
      </x:c>
    </x:row>
    <x:row r="2344">
      <x:c r="A2344" t="str">
        <x:v>Maharashtra</x:v>
      </x:c>
      <x:c r="B2344" t="str">
        <x:v>All India except Central University</x:v>
      </x:c>
      <x:c r="C2344" t="str">
        <x:v>200366</x:v>
      </x:c>
      <x:c r="D2344" t="str">
        <x:v>Mahatma Gandhi Institute of Medical Sciences, Sevagram, Wardha, VILLAGE AND PO SEVAGRAM DISTRICT WARDHA MAHARASHTRA 442102</x:v>
      </x:c>
      <x:c r="E2344" t="str">
        <x:v>All India</x:v>
      </x:c>
      <x:c r="F2344" t="str">
        <x:v>Open</x:v>
      </x:c>
      <x:c r="G2344" t="n">
        <x:v>18</x:v>
      </x:c>
      <x:c r="H2344" t="n">
        <x:v>18</x:v>
      </x:c>
      <x:c r="I2344" t="n">
        <x:f>G2344-H2344</x:f>
        <x:v>0</x:v>
      </x:c>
      <x:c r="J2344" s="20" t="n">
        <x:f>IFERROR(H2344/G2344,0)</x:f>
        <x:v>1</x:v>
      </x:c>
      <x:c r="K2344" t="n">
        <x:v>5533</x:v>
      </x:c>
      <x:c r="L2344" t="n">
        <x:v>7815.75</x:v>
      </x:c>
      <x:c r="M2344" t="n">
        <x:v>9149</x:v>
      </x:c>
      <x:c r="N2344" t="n">
        <x:v>10052.5</x:v>
      </x:c>
      <x:c r="O2344" t="n">
        <x:v>10502</x:v>
      </x:c>
    </x:row>
    <x:row r="2345">
      <x:c r="A2345" t="str">
        <x:v>Maharashtra</x:v>
      </x:c>
      <x:c r="B2345" t="str">
        <x:v>All India except Central University</x:v>
      </x:c>
      <x:c r="C2345" t="str">
        <x:v>200366</x:v>
      </x:c>
      <x:c r="D2345" t="str">
        <x:v>Mahatma Gandhi Institute of Medical Sciences, Sevagram, Wardha, VILLAGE AND PO SEVAGRAM DISTRICT WARDHA MAHARASHTRA 442102</x:v>
      </x:c>
      <x:c r="E2345" t="str">
        <x:v>All India</x:v>
      </x:c>
      <x:c r="F2345" t="str">
        <x:v>Open PwD</x:v>
      </x:c>
      <x:c r="G2345" t="n">
        <x:v>1</x:v>
      </x:c>
      <x:c r="H2345" t="n">
        <x:v>1</x:v>
      </x:c>
      <x:c r="I2345" t="n">
        <x:f>G2345-H2345</x:f>
        <x:v>0</x:v>
      </x:c>
      <x:c r="J2345" s="20" t="n">
        <x:f>IFERROR(H2345/G2345,0)</x:f>
        <x:v>1</x:v>
      </x:c>
      <x:c r="K2345" t="n">
        <x:v>466984</x:v>
      </x:c>
      <x:c r="L2345" t="n">
        <x:v>466984</x:v>
      </x:c>
      <x:c r="M2345" t="n">
        <x:v>466984</x:v>
      </x:c>
      <x:c r="N2345" t="n">
        <x:v>466984</x:v>
      </x:c>
      <x:c r="O2345" t="n">
        <x:v>466984</x:v>
      </x:c>
    </x:row>
    <x:row r="2346">
      <x:c r="A2346" t="str">
        <x:v>Maharashtra</x:v>
      </x:c>
      <x:c r="B2346" t="str">
        <x:v>All India except Central University</x:v>
      </x:c>
      <x:c r="C2346" t="str">
        <x:v>200366</x:v>
      </x:c>
      <x:c r="D2346" t="str">
        <x:v>Mahatma Gandhi Institute of Medical Sciences, Sevagram, Wardha, VILLAGE AND PO SEVAGRAM DISTRICT WARDHA MAHARASHTRA 442102</x:v>
      </x:c>
      <x:c r="E2346" t="str">
        <x:v>All India</x:v>
      </x:c>
      <x:c r="F2346" t="str">
        <x:v>SC</x:v>
      </x:c>
      <x:c r="G2346" t="n">
        <x:v>7</x:v>
      </x:c>
      <x:c r="H2346" t="n">
        <x:v>7</x:v>
      </x:c>
      <x:c r="I2346" t="n">
        <x:f>G2346-H2346</x:f>
        <x:v>0</x:v>
      </x:c>
      <x:c r="J2346" s="20" t="n">
        <x:f>IFERROR(H2346/G2346,0)</x:f>
        <x:v>1</x:v>
      </x:c>
      <x:c r="K2346" t="n">
        <x:v>52880</x:v>
      </x:c>
      <x:c r="L2346" t="n">
        <x:v>61905</x:v>
      </x:c>
      <x:c r="M2346" t="n">
        <x:v>64942</x:v>
      </x:c>
      <x:c r="N2346" t="n">
        <x:v>68912</x:v>
      </x:c>
      <x:c r="O2346" t="n">
        <x:v>71390</x:v>
      </x:c>
    </x:row>
    <x:row r="2347">
      <x:c r="A2347" t="str">
        <x:v>Maharashtra</x:v>
      </x:c>
      <x:c r="B2347" t="str">
        <x:v>All India except Central University</x:v>
      </x:c>
      <x:c r="C2347" t="str">
        <x:v>200366</x:v>
      </x:c>
      <x:c r="D2347" t="str">
        <x:v>Mahatma Gandhi Institute of Medical Sciences, Sevagram, Wardha, VILLAGE AND PO SEVAGRAM DISTRICT WARDHA MAHARASHTRA 442102</x:v>
      </x:c>
      <x:c r="E2347" t="str">
        <x:v>All India</x:v>
      </x:c>
      <x:c r="F2347" t="str">
        <x:v>ST</x:v>
      </x:c>
      <x:c r="G2347" t="n">
        <x:v>3</x:v>
      </x:c>
      <x:c r="H2347" t="n">
        <x:v>3</x:v>
      </x:c>
      <x:c r="I2347" t="n">
        <x:f>G2347-H2347</x:f>
        <x:v>0</x:v>
      </x:c>
      <x:c r="J2347" s="20" t="n">
        <x:f>IFERROR(H2347/G2347,0)</x:f>
        <x:v>1</x:v>
      </x:c>
      <x:c r="K2347" t="n">
        <x:v>86836</x:v>
      </x:c>
      <x:c r="L2347" t="n">
        <x:v>92955</x:v>
      </x:c>
      <x:c r="M2347" t="n">
        <x:v>99074</x:v>
      </x:c>
      <x:c r="N2347" t="n">
        <x:v>99778</x:v>
      </x:c>
      <x:c r="O2347" t="n">
        <x:v>100482</x:v>
      </x:c>
    </x:row>
    <x:row r="2348">
      <x:c r="A2348" t="str">
        <x:v>Puducherry</x:v>
      </x:c>
      <x:c r="B2348" t="str">
        <x:v>Deemed University</x:v>
      </x:c>
      <x:c r="C2348" t="str">
        <x:v>200379</x:v>
      </x:c>
      <x:c r="D2348" t="str">
        <x:v>Mahatma Gandhi Medical College &amp; Research Institute, Pondicherry, SBV Pondicherry Campus, Pillaiyarkuppam</x:v>
      </x:c>
      <x:c r="E2348" t="str">
        <x:v>NRI</x:v>
      </x:c>
      <x:c r="F2348" t="str">
        <x:v>Open</x:v>
      </x:c>
      <x:c r="G2348" t="n">
        <x:v>15</x:v>
      </x:c>
      <x:c r="H2348" t="n">
        <x:v>1</x:v>
      </x:c>
      <x:c r="I2348" t="n">
        <x:f>G2348-H2348</x:f>
        <x:v>14</x:v>
      </x:c>
      <x:c r="J2348" s="20" t="n">
        <x:f>IFERROR(H2348/G2348,0)</x:f>
        <x:v>0.06666666666666667</x:v>
      </x:c>
      <x:c r="K2348" t="n">
        <x:v>820498</x:v>
      </x:c>
      <x:c r="L2348" t="n">
        <x:v>820498</x:v>
      </x:c>
      <x:c r="M2348" t="n">
        <x:v>820498</x:v>
      </x:c>
      <x:c r="N2348" t="n">
        <x:v>820498</x:v>
      </x:c>
      <x:c r="O2348" t="n">
        <x:v>820498</x:v>
      </x:c>
    </x:row>
    <x:row r="2349">
      <x:c r="A2349" t="str">
        <x:v>Puducherry</x:v>
      </x:c>
      <x:c r="B2349" t="str">
        <x:v>Deemed University</x:v>
      </x:c>
      <x:c r="C2349" t="str">
        <x:v>200379</x:v>
      </x:c>
      <x:c r="D2349" t="str">
        <x:v>Mahatma Gandhi Medical College &amp; Research Institute, Pondicherry, SBV Pondicherry Campus, Pillaiyarkuppam</x:v>
      </x:c>
      <x:c r="E2349" t="str">
        <x:v>Self-Financed Merit</x:v>
      </x:c>
      <x:c r="F2349" t="str">
        <x:v>Open</x:v>
      </x:c>
      <x:c r="G2349" t="n">
        <x:v>235</x:v>
      </x:c>
      <x:c r="H2349" t="n">
        <x:v>235</x:v>
      </x:c>
      <x:c r="I2349" t="n">
        <x:f>G2349-H2349</x:f>
        <x:v>0</x:v>
      </x:c>
      <x:c r="J2349" s="20" t="n">
        <x:f>IFERROR(H2349/G2349,0)</x:f>
        <x:v>1</x:v>
      </x:c>
      <x:c r="K2349" t="n">
        <x:v>105794</x:v>
      </x:c>
      <x:c r="L2349" t="n">
        <x:v>616620</x:v>
      </x:c>
      <x:c r="M2349" t="n">
        <x:v>716013</x:v>
      </x:c>
      <x:c r="N2349" t="n">
        <x:v>774114</x:v>
      </x:c>
      <x:c r="O2349" t="n">
        <x:v>834236</x:v>
      </x:c>
    </x:row>
    <x:row r="2350">
      <x:c r="A2350" t="str">
        <x:v>Maharashtra</x:v>
      </x:c>
      <x:c r="B2350" t="str">
        <x:v>Deemed University</x:v>
      </x:c>
      <x:c r="C2350" t="str">
        <x:v>200654</x:v>
      </x:c>
      <x:c r="D2350" t="str">
        <x:v>Mahatma Gandhi Mission Medical College, Vashi, Sector 30, Vashi, Navi Mumbai</x:v>
      </x:c>
      <x:c r="E2350" t="str">
        <x:v>NRI</x:v>
      </x:c>
      <x:c r="F2350" t="str">
        <x:v>Open</x:v>
      </x:c>
      <x:c r="G2350" t="n">
        <x:v>15</x:v>
      </x:c>
      <x:c r="H2350" t="n">
        <x:v>3</x:v>
      </x:c>
      <x:c r="I2350" t="n">
        <x:f>G2350-H2350</x:f>
        <x:v>12</x:v>
      </x:c>
      <x:c r="J2350" s="20" t="n">
        <x:f>IFERROR(H2350/G2350,0)</x:f>
        <x:v>0.2</x:v>
      </x:c>
      <x:c r="K2350" t="n">
        <x:v>560898</x:v>
      </x:c>
      <x:c r="L2350" t="n">
        <x:v>603560.5</x:v>
      </x:c>
      <x:c r="M2350" t="n">
        <x:v>646223</x:v>
      </x:c>
      <x:c r="N2350" t="n">
        <x:v>747187.5</x:v>
      </x:c>
      <x:c r="O2350" t="n">
        <x:v>848152</x:v>
      </x:c>
    </x:row>
    <x:row r="2351">
      <x:c r="A2351" t="str">
        <x:v>Maharashtra</x:v>
      </x:c>
      <x:c r="B2351" t="str">
        <x:v>Deemed University</x:v>
      </x:c>
      <x:c r="C2351" t="str">
        <x:v>200654</x:v>
      </x:c>
      <x:c r="D2351" t="str">
        <x:v>Mahatma Gandhi Mission Medical College, Vashi, Sector 30, Vashi, Navi Mumbai</x:v>
      </x:c>
      <x:c r="E2351" t="str">
        <x:v>Self-Financed Merit</x:v>
      </x:c>
      <x:c r="F2351" t="str">
        <x:v>Open</x:v>
      </x:c>
      <x:c r="G2351" t="n">
        <x:v>85</x:v>
      </x:c>
      <x:c r="H2351" t="n">
        <x:v>85</x:v>
      </x:c>
      <x:c r="I2351" t="n">
        <x:f>G2351-H2351</x:f>
        <x:v>0</x:v>
      </x:c>
      <x:c r="J2351" s="20" t="n">
        <x:f>IFERROR(H2351/G2351,0)</x:f>
        <x:v>1</x:v>
      </x:c>
      <x:c r="K2351" t="n">
        <x:v>98786</x:v>
      </x:c>
      <x:c r="L2351" t="n">
        <x:v>242306</x:v>
      </x:c>
      <x:c r="M2351" t="n">
        <x:v>252317</x:v>
      </x:c>
      <x:c r="N2351" t="n">
        <x:v>281401</x:v>
      </x:c>
      <x:c r="O2351" t="n">
        <x:v>307390</x:v>
      </x:c>
    </x:row>
    <x:row r="2352">
      <x:c r="A2352" t="str">
        <x:v>Maharashtra</x:v>
      </x:c>
      <x:c r="B2352" t="str">
        <x:v>Deemed University</x:v>
      </x:c>
      <x:c r="C2352" t="str">
        <x:v>200367</x:v>
      </x:c>
      <x:c r="D2352" t="str">
        <x:v>Mahatma Gandhi Missions Medical College, Aurangabad, N-6, Cidco, Chhatrapati Sambhajinagar -Aurangabad</x:v>
      </x:c>
      <x:c r="E2352" t="str">
        <x:v>NRI</x:v>
      </x:c>
      <x:c r="F2352" t="str">
        <x:v>Open</x:v>
      </x:c>
      <x:c r="G2352" t="n">
        <x:v>37</x:v>
      </x:c>
      <x:c r="H2352" t="n">
        <x:v>4</x:v>
      </x:c>
      <x:c r="I2352" t="n">
        <x:f>G2352-H2352</x:f>
        <x:v>33</x:v>
      </x:c>
      <x:c r="J2352" s="20" t="n">
        <x:f>IFERROR(H2352/G2352,0)</x:f>
        <x:v>0.10810810810810811</x:v>
      </x:c>
      <x:c r="K2352" t="n">
        <x:v>640025</x:v>
      </x:c>
      <x:c r="L2352" t="n">
        <x:v>655123.25</x:v>
      </x:c>
      <x:c r="M2352" t="n">
        <x:v>739504</x:v>
      </x:c>
      <x:c r="N2352" t="n">
        <x:v>839463.75</x:v>
      </x:c>
      <x:c r="O2352" t="n">
        <x:v>901299</x:v>
      </x:c>
    </x:row>
    <x:row r="2353">
      <x:c r="A2353" t="str">
        <x:v>Maharashtra</x:v>
      </x:c>
      <x:c r="B2353" t="str">
        <x:v>Deemed University</x:v>
      </x:c>
      <x:c r="C2353" t="str">
        <x:v>200367</x:v>
      </x:c>
      <x:c r="D2353" t="str">
        <x:v>Mahatma Gandhi Missions Medical College, Aurangabad, N-6, Cidco, Chhatrapati Sambhajinagar -Aurangabad</x:v>
      </x:c>
      <x:c r="E2353" t="str">
        <x:v>Self-Financed Merit</x:v>
      </x:c>
      <x:c r="F2353" t="str">
        <x:v>Open</x:v>
      </x:c>
      <x:c r="G2353" t="n">
        <x:v>213</x:v>
      </x:c>
      <x:c r="H2353" t="n">
        <x:v>213</x:v>
      </x:c>
      <x:c r="I2353" t="n">
        <x:f>G2353-H2353</x:f>
        <x:v>0</x:v>
      </x:c>
      <x:c r="J2353" s="20" t="n">
        <x:f>IFERROR(H2353/G2353,0)</x:f>
        <x:v>1</x:v>
      </x:c>
      <x:c r="K2353" t="n">
        <x:v>86742</x:v>
      </x:c>
      <x:c r="L2353" t="n">
        <x:v>198231</x:v>
      </x:c>
      <x:c r="M2353" t="n">
        <x:v>257977</x:v>
      </x:c>
      <x:c r="N2353" t="n">
        <x:v>295680</x:v>
      </x:c>
      <x:c r="O2353" t="n">
        <x:v>333154</x:v>
      </x:c>
    </x:row>
    <x:row r="2354">
      <x:c r="A2354" t="str">
        <x:v>Maharashtra</x:v>
      </x:c>
      <x:c r="B2354" t="str">
        <x:v>Deemed University</x:v>
      </x:c>
      <x:c r="C2354" t="str">
        <x:v>200368</x:v>
      </x:c>
      <x:c r="D2354" t="str">
        <x:v>Mahatma Gandhi Missions Medical College, Navi Mumbai, MGM Medical College, Plot No. 1-2, Sector 1, Kamothe, Navi Mumbai - 410 209</x:v>
      </x:c>
      <x:c r="E2354" t="str">
        <x:v>NRI</x:v>
      </x:c>
      <x:c r="F2354" t="str">
        <x:v>Open</x:v>
      </x:c>
      <x:c r="G2354" t="n">
        <x:v>37</x:v>
      </x:c>
      <x:c r="H2354" t="n">
        <x:v>22</x:v>
      </x:c>
      <x:c r="I2354" t="n">
        <x:f>G2354-H2354</x:f>
        <x:v>15</x:v>
      </x:c>
      <x:c r="J2354" s="20" t="n">
        <x:f>IFERROR(H2354/G2354,0)</x:f>
        <x:v>0.5945945945945946</x:v>
      </x:c>
      <x:c r="K2354" t="n">
        <x:v>411090</x:v>
      </x:c>
      <x:c r="L2354" t="n">
        <x:v>597306.5</x:v>
      </x:c>
      <x:c r="M2354" t="n">
        <x:v>672910.5</x:v>
      </x:c>
      <x:c r="N2354" t="n">
        <x:v>818127.25</x:v>
      </x:c>
      <x:c r="O2354" t="n">
        <x:v>948744</x:v>
      </x:c>
    </x:row>
    <x:row r="2355">
      <x:c r="A2355" t="str">
        <x:v>Maharashtra</x:v>
      </x:c>
      <x:c r="B2355" t="str">
        <x:v>Deemed University</x:v>
      </x:c>
      <x:c r="C2355" t="str">
        <x:v>200368</x:v>
      </x:c>
      <x:c r="D2355" t="str">
        <x:v>Mahatma Gandhi Missions Medical College, Navi Mumbai, MGM Medical College, Plot No. 1-2, Sector 1, Kamothe, Navi Mumbai - 410 209</x:v>
      </x:c>
      <x:c r="E2355" t="str">
        <x:v>Self-Financed Merit</x:v>
      </x:c>
      <x:c r="F2355" t="str">
        <x:v>Open</x:v>
      </x:c>
      <x:c r="G2355" t="n">
        <x:v>213</x:v>
      </x:c>
      <x:c r="H2355" t="n">
        <x:v>213</x:v>
      </x:c>
      <x:c r="I2355" t="n">
        <x:f>G2355-H2355</x:f>
        <x:v>0</x:v>
      </x:c>
      <x:c r="J2355" s="20" t="n">
        <x:f>IFERROR(H2355/G2355,0)</x:f>
        <x:v>1</x:v>
      </x:c>
      <x:c r="K2355" t="n">
        <x:v>31961</x:v>
      </x:c>
      <x:c r="L2355" t="n">
        <x:v>132430</x:v>
      </x:c>
      <x:c r="M2355" t="n">
        <x:v>169332</x:v>
      </x:c>
      <x:c r="N2355" t="n">
        <x:v>204126</x:v>
      </x:c>
      <x:c r="O2355" t="n">
        <x:v>240367</x:v>
      </x:c>
    </x:row>
    <x:row r="2356">
      <x:c r="A2356" t="str">
        <x:v>Maharashtra</x:v>
      </x:c>
      <x:c r="B2356" t="str">
        <x:v>Deemed University</x:v>
      </x:c>
      <x:c r="C2356" t="str">
        <x:v>902807</x:v>
      </x:c>
      <x:c r="D2356" t="str">
        <x:v>Mahatma Gandhi Missions Medical College, Nerul, Navi Mumbai, Sector-8, Nerul West Navi Mumbai</x:v>
      </x:c>
      <x:c r="E2356" t="str">
        <x:v>NRI</x:v>
      </x:c>
      <x:c r="F2356" t="str">
        <x:v>Open</x:v>
      </x:c>
      <x:c r="G2356" t="n">
        <x:v>7</x:v>
      </x:c>
      <x:c r="H2356" t="n">
        <x:v>0</x:v>
      </x:c>
      <x:c r="I2356" t="n">
        <x:f>G2356-H2356</x:f>
        <x:v>7</x:v>
      </x:c>
      <x:c r="J2356" s="20" t="n">
        <x:f>IFERROR(H2356/G2356,0)</x:f>
        <x:v>0</x:v>
      </x:c>
      <x:c r="K2356"/>
      <x:c r="L2356"/>
      <x:c r="M2356"/>
      <x:c r="N2356"/>
      <x:c r="O2356"/>
    </x:row>
    <x:row r="2357">
      <x:c r="A2357" t="str">
        <x:v>Maharashtra</x:v>
      </x:c>
      <x:c r="B2357" t="str">
        <x:v>Deemed University</x:v>
      </x:c>
      <x:c r="C2357" t="str">
        <x:v>902807</x:v>
      </x:c>
      <x:c r="D2357" t="str">
        <x:v>Mahatma Gandhi Missions Medical College, Nerul, Navi Mumbai, Sector-8, Nerul West Navi Mumbai</x:v>
      </x:c>
      <x:c r="E2357" t="str">
        <x:v>Self-Financed Merit</x:v>
      </x:c>
      <x:c r="F2357" t="str">
        <x:v>Open</x:v>
      </x:c>
      <x:c r="G2357" t="n">
        <x:v>43</x:v>
      </x:c>
      <x:c r="H2357" t="n">
        <x:v>43</x:v>
      </x:c>
      <x:c r="I2357" t="n">
        <x:f>G2357-H2357</x:f>
        <x:v>0</x:v>
      </x:c>
      <x:c r="J2357" s="20" t="n">
        <x:f>IFERROR(H2357/G2357,0)</x:f>
        <x:v>1</x:v>
      </x:c>
      <x:c r="K2357" t="n">
        <x:v>123308</x:v>
      </x:c>
      <x:c r="L2357" t="n">
        <x:v>320182</x:v>
      </x:c>
      <x:c r="M2357" t="n">
        <x:v>336954</x:v>
      </x:c>
      <x:c r="N2357" t="n">
        <x:v>351970.5</x:v>
      </x:c>
      <x:c r="O2357" t="n">
        <x:v>368433</x:v>
      </x:c>
    </x:row>
    <x:row r="2358">
      <x:c r="A2358" t="str">
        <x:v>Maharashtra</x:v>
      </x:c>
      <x:c r="B2358" t="str">
        <x:v>Deemed University</x:v>
      </x:c>
      <x:c r="C2358" t="str">
        <x:v>904553</x:v>
      </x:c>
      <x:c r="D2358" t="str">
        <x:v>Mahatma Gandhi Missions Medical College, Panvel, Gate No. 2, MGM Education Campus, Near Kalamboli Circle, Panvel, Raigad</x:v>
      </x:c>
      <x:c r="E2358" t="str">
        <x:v>NRI</x:v>
      </x:c>
      <x:c r="F2358" t="str">
        <x:v>Open</x:v>
      </x:c>
      <x:c r="G2358" t="n">
        <x:v>15</x:v>
      </x:c>
      <x:c r="H2358" t="n">
        <x:v>0</x:v>
      </x:c>
      <x:c r="I2358" t="n">
        <x:f>G2358-H2358</x:f>
        <x:v>15</x:v>
      </x:c>
      <x:c r="J2358" s="20" t="n">
        <x:f>IFERROR(H2358/G2358,0)</x:f>
        <x:v>0</x:v>
      </x:c>
      <x:c r="K2358"/>
      <x:c r="L2358"/>
      <x:c r="M2358"/>
      <x:c r="N2358"/>
      <x:c r="O2358"/>
    </x:row>
    <x:row r="2359">
      <x:c r="A2359" t="str">
        <x:v>Maharashtra</x:v>
      </x:c>
      <x:c r="B2359" t="str">
        <x:v>Deemed University</x:v>
      </x:c>
      <x:c r="C2359" t="str">
        <x:v>904553</x:v>
      </x:c>
      <x:c r="D2359" t="str">
        <x:v>Mahatma Gandhi Missions Medical College, Panvel, Gate No. 2, MGM Education Campus, Near Kalamboli Circle, Panvel, Raigad</x:v>
      </x:c>
      <x:c r="E2359" t="str">
        <x:v>Self-Financed Merit</x:v>
      </x:c>
      <x:c r="F2359" t="str">
        <x:v>Open</x:v>
      </x:c>
      <x:c r="G2359" t="n">
        <x:v>85</x:v>
      </x:c>
      <x:c r="H2359" t="n">
        <x:v>85</x:v>
      </x:c>
      <x:c r="I2359" t="n">
        <x:f>G2359-H2359</x:f>
        <x:v>0</x:v>
      </x:c>
      <x:c r="J2359" s="20" t="n">
        <x:f>IFERROR(H2359/G2359,0)</x:f>
        <x:v>1</x:v>
      </x:c>
      <x:c r="K2359" t="n">
        <x:v>143673</x:v>
      </x:c>
      <x:c r="L2359" t="n">
        <x:v>359395</x:v>
      </x:c>
      <x:c r="M2359" t="n">
        <x:v>388755</x:v>
      </x:c>
      <x:c r="N2359" t="n">
        <x:v>415707</x:v>
      </x:c>
      <x:c r="O2359" t="n">
        <x:v>446811</x:v>
      </x:c>
    </x:row>
    <x:row r="2360">
      <x:c r="A2360" t="str">
        <x:v>Uttar Pradesh</x:v>
      </x:c>
      <x:c r="B2360" t="str">
        <x:v>All India except Central University</x:v>
      </x:c>
      <x:c r="C2360" t="str">
        <x:v>902814</x:v>
      </x:c>
      <x:c r="D2360" t="str">
        <x:v>Mahatma Vidur Autonomous State Medical College, Mahatma Vidur Autonomous State Medical College, Village Madhusudanpur Devidas, Post Kiratpur, Naziba</x:v>
      </x:c>
      <x:c r="E2360" t="str">
        <x:v>All India</x:v>
      </x:c>
      <x:c r="F2360" t="str">
        <x:v>EWS</x:v>
      </x:c>
      <x:c r="G2360" t="n">
        <x:v>1</x:v>
      </x:c>
      <x:c r="H2360" t="n">
        <x:v>1</x:v>
      </x:c>
      <x:c r="I2360" t="n">
        <x:f>G2360-H2360</x:f>
        <x:v>0</x:v>
      </x:c>
      <x:c r="J2360" s="20" t="n">
        <x:f>IFERROR(H2360/G2360,0)</x:f>
        <x:v>1</x:v>
      </x:c>
      <x:c r="K2360" t="n">
        <x:v>16083</x:v>
      </x:c>
      <x:c r="L2360" t="n">
        <x:v>16083</x:v>
      </x:c>
      <x:c r="M2360" t="n">
        <x:v>16083</x:v>
      </x:c>
      <x:c r="N2360" t="n">
        <x:v>16083</x:v>
      </x:c>
      <x:c r="O2360" t="n">
        <x:v>16083</x:v>
      </x:c>
    </x:row>
    <x:row r="2361">
      <x:c r="A2361" t="str">
        <x:v>Uttar Pradesh</x:v>
      </x:c>
      <x:c r="B2361" t="str">
        <x:v>All India except Central University</x:v>
      </x:c>
      <x:c r="C2361" t="str">
        <x:v>902814</x:v>
      </x:c>
      <x:c r="D2361" t="str">
        <x:v>Mahatma Vidur Autonomous State Medical College, Mahatma Vidur Autonomous State Medical College, Village Madhusudanpur Devidas, Post Kiratpur, Naziba</x:v>
      </x:c>
      <x:c r="E2361" t="str">
        <x:v>All India</x:v>
      </x:c>
      <x:c r="F2361" t="str">
        <x:v>OBC</x:v>
      </x:c>
      <x:c r="G2361" t="n">
        <x:v>4</x:v>
      </x:c>
      <x:c r="H2361" t="n">
        <x:v>4</x:v>
      </x:c>
      <x:c r="I2361" t="n">
        <x:f>G2361-H2361</x:f>
        <x:v>0</x:v>
      </x:c>
      <x:c r="J2361" s="20" t="n">
        <x:f>IFERROR(H2361/G2361,0)</x:f>
        <x:v>1</x:v>
      </x:c>
      <x:c r="K2361" t="n">
        <x:v>14451</x:v>
      </x:c>
      <x:c r="L2361" t="n">
        <x:v>14602.5</x:v>
      </x:c>
      <x:c r="M2361" t="n">
        <x:v>14738.5</x:v>
      </x:c>
      <x:c r="N2361" t="n">
        <x:v>14852</x:v>
      </x:c>
      <x:c r="O2361" t="n">
        <x:v>14936</x:v>
      </x:c>
    </x:row>
    <x:row r="2362">
      <x:c r="A2362" t="str">
        <x:v>Uttar Pradesh</x:v>
      </x:c>
      <x:c r="B2362" t="str">
        <x:v>All India except Central University</x:v>
      </x:c>
      <x:c r="C2362" t="str">
        <x:v>902814</x:v>
      </x:c>
      <x:c r="D2362" t="str">
        <x:v>Mahatma Vidur Autonomous State Medical College, Mahatma Vidur Autonomous State Medical College, Village Madhusudanpur Devidas, Post Kiratpur, Naziba</x:v>
      </x:c>
      <x:c r="E2362" t="str">
        <x:v>All India</x:v>
      </x:c>
      <x:c r="F2362" t="str">
        <x:v>Open</x:v>
      </x:c>
      <x:c r="G2362" t="n">
        <x:v>7</x:v>
      </x:c>
      <x:c r="H2362" t="n">
        <x:v>7</x:v>
      </x:c>
      <x:c r="I2362" t="n">
        <x:f>G2362-H2362</x:f>
        <x:v>0</x:v>
      </x:c>
      <x:c r="J2362" s="20" t="n">
        <x:f>IFERROR(H2362/G2362,0)</x:f>
        <x:v>1</x:v>
      </x:c>
      <x:c r="K2362" t="n">
        <x:v>12417</x:v>
      </x:c>
      <x:c r="L2362" t="n">
        <x:v>13139.5</x:v>
      </x:c>
      <x:c r="M2362" t="n">
        <x:v>13856</x:v>
      </x:c>
      <x:c r="N2362" t="n">
        <x:v>14126.5</x:v>
      </x:c>
      <x:c r="O2362" t="n">
        <x:v>14248</x:v>
      </x:c>
    </x:row>
    <x:row r="2363">
      <x:c r="A2363" t="str">
        <x:v>Uttar Pradesh</x:v>
      </x:c>
      <x:c r="B2363" t="str">
        <x:v>All India except Central University</x:v>
      </x:c>
      <x:c r="C2363" t="str">
        <x:v>902814</x:v>
      </x:c>
      <x:c r="D2363" t="str">
        <x:v>Mahatma Vidur Autonomous State Medical College, Mahatma Vidur Autonomous State Medical College, Village Madhusudanpur Devidas, Post Kiratpur, Naziba</x:v>
      </x:c>
      <x:c r="E2363" t="str">
        <x:v>All India</x:v>
      </x:c>
      <x:c r="F2363" t="str">
        <x:v>SC</x:v>
      </x:c>
      <x:c r="G2363" t="n">
        <x:v>2</x:v>
      </x:c>
      <x:c r="H2363" t="n">
        <x:v>2</x:v>
      </x:c>
      <x:c r="I2363" t="n">
        <x:f>G2363-H2363</x:f>
        <x:v>0</x:v>
      </x:c>
      <x:c r="J2363" s="20" t="n">
        <x:f>IFERROR(H2363/G2363,0)</x:f>
        <x:v>1</x:v>
      </x:c>
      <x:c r="K2363" t="n">
        <x:v>76690</x:v>
      </x:c>
      <x:c r="L2363" t="n">
        <x:v>77610.25</x:v>
      </x:c>
      <x:c r="M2363" t="n">
        <x:v>78530.5</x:v>
      </x:c>
      <x:c r="N2363" t="n">
        <x:v>79450.75</x:v>
      </x:c>
      <x:c r="O2363" t="n">
        <x:v>80371</x:v>
      </x:c>
    </x:row>
    <x:row r="2364">
      <x:c r="A2364" t="str">
        <x:v>Uttar Pradesh</x:v>
      </x:c>
      <x:c r="B2364" t="str">
        <x:v>All India except Central University</x:v>
      </x:c>
      <x:c r="C2364" t="str">
        <x:v>902814</x:v>
      </x:c>
      <x:c r="D2364" t="str">
        <x:v>Mahatma Vidur Autonomous State Medical College, Mahatma Vidur Autonomous State Medical College, Village Madhusudanpur Devidas, Post Kiratpur, Naziba</x:v>
      </x:c>
      <x:c r="E2364" t="str">
        <x:v>All India</x:v>
      </x:c>
      <x:c r="F2364" t="str">
        <x:v>ST</x:v>
      </x:c>
      <x:c r="G2364" t="n">
        <x:v>1</x:v>
      </x:c>
      <x:c r="H2364" t="n">
        <x:v>1</x:v>
      </x:c>
      <x:c r="I2364" t="n">
        <x:f>G2364-H2364</x:f>
        <x:v>0</x:v>
      </x:c>
      <x:c r="J2364" s="20" t="n">
        <x:f>IFERROR(H2364/G2364,0)</x:f>
        <x:v>1</x:v>
      </x:c>
      <x:c r="K2364" t="n">
        <x:v>106157</x:v>
      </x:c>
      <x:c r="L2364" t="n">
        <x:v>106157</x:v>
      </x:c>
      <x:c r="M2364" t="n">
        <x:v>106157</x:v>
      </x:c>
      <x:c r="N2364" t="n">
        <x:v>106157</x:v>
      </x:c>
      <x:c r="O2364" t="n">
        <x:v>106157</x:v>
      </x:c>
    </x:row>
    <x:row r="2365">
      <x:c r="A2365" t="str">
        <x:v>Odisha</x:v>
      </x:c>
      <x:c r="B2365" t="str">
        <x:v>All India except Central University</x:v>
      </x:c>
      <x:c r="C2365" t="str">
        <x:v>902811</x:v>
      </x:c>
      <x:c r="D2365" t="str">
        <x:v>Mahraja Jajati Keshari Medical College (previously Government Medical College and Hospital, Jajpur Odhisha), Dean and Principal, Government Medical College and Hospital, Jajpur, Renamed as Maharaja Jajati Kesh</x:v>
      </x:c>
      <x:c r="E2365" t="str">
        <x:v>All India</x:v>
      </x:c>
      <x:c r="F2365" t="str">
        <x:v>EWS</x:v>
      </x:c>
      <x:c r="G2365" t="n">
        <x:v>1</x:v>
      </x:c>
      <x:c r="H2365" t="n">
        <x:v>1</x:v>
      </x:c>
      <x:c r="I2365" t="n">
        <x:f>G2365-H2365</x:f>
        <x:v>0</x:v>
      </x:c>
      <x:c r="J2365" s="20" t="n">
        <x:f>IFERROR(H2365/G2365,0)</x:f>
        <x:v>1</x:v>
      </x:c>
      <x:c r="K2365" t="n">
        <x:v>19517</x:v>
      </x:c>
      <x:c r="L2365" t="n">
        <x:v>19517</x:v>
      </x:c>
      <x:c r="M2365" t="n">
        <x:v>19517</x:v>
      </x:c>
      <x:c r="N2365" t="n">
        <x:v>19517</x:v>
      </x:c>
      <x:c r="O2365" t="n">
        <x:v>19517</x:v>
      </x:c>
    </x:row>
    <x:row r="2366">
      <x:c r="A2366" t="str">
        <x:v>Odisha</x:v>
      </x:c>
      <x:c r="B2366" t="str">
        <x:v>All India except Central University</x:v>
      </x:c>
      <x:c r="C2366" t="str">
        <x:v>902811</x:v>
      </x:c>
      <x:c r="D2366" t="str">
        <x:v>Mahraja Jajati Keshari Medical College (previously Government Medical College and Hospital, Jajpur Odhisha), Dean and Principal, Government Medical College and Hospital, Jajpur, Renamed as Maharaja Jajati Kesh</x:v>
      </x:c>
      <x:c r="E2366" t="str">
        <x:v>All India</x:v>
      </x:c>
      <x:c r="F2366" t="str">
        <x:v>OBC</x:v>
      </x:c>
      <x:c r="G2366" t="n">
        <x:v>2</x:v>
      </x:c>
      <x:c r="H2366" t="n">
        <x:v>2</x:v>
      </x:c>
      <x:c r="I2366" t="n">
        <x:f>G2366-H2366</x:f>
        <x:v>0</x:v>
      </x:c>
      <x:c r="J2366" s="20" t="n">
        <x:f>IFERROR(H2366/G2366,0)</x:f>
        <x:v>1</x:v>
      </x:c>
      <x:c r="K2366" t="n">
        <x:v>13131</x:v>
      </x:c>
      <x:c r="L2366" t="n">
        <x:v>13644</x:v>
      </x:c>
      <x:c r="M2366" t="n">
        <x:v>14157</x:v>
      </x:c>
      <x:c r="N2366" t="n">
        <x:v>14670</x:v>
      </x:c>
      <x:c r="O2366" t="n">
        <x:v>15183</x:v>
      </x:c>
    </x:row>
    <x:row r="2367">
      <x:c r="A2367" t="str">
        <x:v>Odisha</x:v>
      </x:c>
      <x:c r="B2367" t="str">
        <x:v>All India except Central University</x:v>
      </x:c>
      <x:c r="C2367" t="str">
        <x:v>902811</x:v>
      </x:c>
      <x:c r="D2367" t="str">
        <x:v>Mahraja Jajati Keshari Medical College (previously Government Medical College and Hospital, Jajpur Odhisha), Dean and Principal, Government Medical College and Hospital, Jajpur, Renamed as Maharaja Jajati Kesh</x:v>
      </x:c>
      <x:c r="E2367" t="str">
        <x:v>All India</x:v>
      </x:c>
      <x:c r="F2367" t="str">
        <x:v>Open</x:v>
      </x:c>
      <x:c r="G2367" t="n">
        <x:v>3</x:v>
      </x:c>
      <x:c r="H2367" t="n">
        <x:v>3</x:v>
      </x:c>
      <x:c r="I2367" t="n">
        <x:f>G2367-H2367</x:f>
        <x:v>0</x:v>
      </x:c>
      <x:c r="J2367" s="20" t="n">
        <x:f>IFERROR(H2367/G2367,0)</x:f>
        <x:v>1</x:v>
      </x:c>
      <x:c r="K2367" t="n">
        <x:v>8806</x:v>
      </x:c>
      <x:c r="L2367" t="n">
        <x:v>9024.5</x:v>
      </x:c>
      <x:c r="M2367" t="n">
        <x:v>9243</x:v>
      </x:c>
      <x:c r="N2367" t="n">
        <x:v>9691</x:v>
      </x:c>
      <x:c r="O2367" t="n">
        <x:v>10139</x:v>
      </x:c>
    </x:row>
    <x:row r="2368">
      <x:c r="A2368" t="str">
        <x:v>Odisha</x:v>
      </x:c>
      <x:c r="B2368" t="str">
        <x:v>All India except Central University</x:v>
      </x:c>
      <x:c r="C2368" t="str">
        <x:v>902811</x:v>
      </x:c>
      <x:c r="D2368" t="str">
        <x:v>Mahraja Jajati Keshari Medical College (previously Government Medical College and Hospital, Jajpur Odhisha), Dean and Principal, Government Medical College and Hospital, Jajpur, Renamed as Maharaja Jajati Kesh</x:v>
      </x:c>
      <x:c r="E2368" t="str">
        <x:v>All India</x:v>
      </x:c>
      <x:c r="F2368" t="str">
        <x:v>SC</x:v>
      </x:c>
      <x:c r="G2368" t="n">
        <x:v>1</x:v>
      </x:c>
      <x:c r="H2368" t="n">
        <x:v>1</x:v>
      </x:c>
      <x:c r="I2368" t="n">
        <x:f>G2368-H2368</x:f>
        <x:v>0</x:v>
      </x:c>
      <x:c r="J2368" s="20" t="n">
        <x:f>IFERROR(H2368/G2368,0)</x:f>
        <x:v>1</x:v>
      </x:c>
      <x:c r="K2368" t="n">
        <x:v>62642</x:v>
      </x:c>
      <x:c r="L2368" t="n">
        <x:v>62642</x:v>
      </x:c>
      <x:c r="M2368" t="n">
        <x:v>62642</x:v>
      </x:c>
      <x:c r="N2368" t="n">
        <x:v>62642</x:v>
      </x:c>
      <x:c r="O2368" t="n">
        <x:v>62642</x:v>
      </x:c>
    </x:row>
    <x:row r="2369">
      <x:c r="A2369" t="str">
        <x:v>West Bengal</x:v>
      </x:c>
      <x:c r="B2369" t="str">
        <x:v>All India except Central University</x:v>
      </x:c>
      <x:c r="C2369" t="str">
        <x:v>200315</x:v>
      </x:c>
      <x:c r="D2369" t="str">
        <x:v>Malda Medical College &amp; Hospital, Malda, MaldaMedicalCollege, PS,EnglishBazar PO Dist Malda</x:v>
      </x:c>
      <x:c r="E2369" t="str">
        <x:v>All India</x:v>
      </x:c>
      <x:c r="F2369" t="str">
        <x:v>EWS</x:v>
      </x:c>
      <x:c r="G2369" t="n">
        <x:v>2</x:v>
      </x:c>
      <x:c r="H2369" t="n">
        <x:v>2</x:v>
      </x:c>
      <x:c r="I2369" t="n">
        <x:f>G2369-H2369</x:f>
        <x:v>0</x:v>
      </x:c>
      <x:c r="J2369" s="20" t="n">
        <x:f>IFERROR(H2369/G2369,0)</x:f>
        <x:v>1</x:v>
      </x:c>
      <x:c r="K2369" t="n">
        <x:v>15797</x:v>
      </x:c>
      <x:c r="L2369" t="n">
        <x:v>16334.75</x:v>
      </x:c>
      <x:c r="M2369" t="n">
        <x:v>16872.5</x:v>
      </x:c>
      <x:c r="N2369" t="n">
        <x:v>17410.25</x:v>
      </x:c>
      <x:c r="O2369" t="n">
        <x:v>17948</x:v>
      </x:c>
    </x:row>
    <x:row r="2370">
      <x:c r="A2370" t="str">
        <x:v>West Bengal</x:v>
      </x:c>
      <x:c r="B2370" t="str">
        <x:v>All India except Central University</x:v>
      </x:c>
      <x:c r="C2370" t="str">
        <x:v>200315</x:v>
      </x:c>
      <x:c r="D2370" t="str">
        <x:v>Malda Medical College &amp; Hospital, Malda, MaldaMedicalCollege, PS,EnglishBazar PO Dist Malda</x:v>
      </x:c>
      <x:c r="E2370" t="str">
        <x:v>All India</x:v>
      </x:c>
      <x:c r="F2370" t="str">
        <x:v>OBC</x:v>
      </x:c>
      <x:c r="G2370" t="n">
        <x:v>7</x:v>
      </x:c>
      <x:c r="H2370" t="n">
        <x:v>7</x:v>
      </x:c>
      <x:c r="I2370" t="n">
        <x:f>G2370-H2370</x:f>
        <x:v>0</x:v>
      </x:c>
      <x:c r="J2370" s="20" t="n">
        <x:f>IFERROR(H2370/G2370,0)</x:f>
        <x:v>1</x:v>
      </x:c>
      <x:c r="K2370" t="n">
        <x:v>16665</x:v>
      </x:c>
      <x:c r="L2370" t="n">
        <x:v>16837</x:v>
      </x:c>
      <x:c r="M2370" t="n">
        <x:v>17020</x:v>
      </x:c>
      <x:c r="N2370" t="n">
        <x:v>17384.5</x:v>
      </x:c>
      <x:c r="O2370" t="n">
        <x:v>17745</x:v>
      </x:c>
    </x:row>
    <x:row r="2371">
      <x:c r="A2371" t="str">
        <x:v>West Bengal</x:v>
      </x:c>
      <x:c r="B2371" t="str">
        <x:v>All India except Central University</x:v>
      </x:c>
      <x:c r="C2371" t="str">
        <x:v>200315</x:v>
      </x:c>
      <x:c r="D2371" t="str">
        <x:v>Malda Medical College &amp; Hospital, Malda, MaldaMedicalCollege, PS,EnglishBazar PO Dist Malda</x:v>
      </x:c>
      <x:c r="E2371" t="str">
        <x:v>All India</x:v>
      </x:c>
      <x:c r="F2371" t="str">
        <x:v>Open</x:v>
      </x:c>
      <x:c r="G2371" t="n">
        <x:v>8</x:v>
      </x:c>
      <x:c r="H2371" t="n">
        <x:v>8</x:v>
      </x:c>
      <x:c r="I2371" t="n">
        <x:f>G2371-H2371</x:f>
        <x:v>0</x:v>
      </x:c>
      <x:c r="J2371" s="20" t="n">
        <x:f>IFERROR(H2371/G2371,0)</x:f>
        <x:v>1</x:v>
      </x:c>
      <x:c r="K2371" t="n">
        <x:v>11737</x:v>
      </x:c>
      <x:c r="L2371" t="n">
        <x:v>12855.5</x:v>
      </x:c>
      <x:c r="M2371" t="n">
        <x:v>14605</x:v>
      </x:c>
      <x:c r="N2371" t="n">
        <x:v>15008.25</x:v>
      </x:c>
      <x:c r="O2371" t="n">
        <x:v>15118</x:v>
      </x:c>
    </x:row>
    <x:row r="2372">
      <x:c r="A2372" t="str">
        <x:v>West Bengal</x:v>
      </x:c>
      <x:c r="B2372" t="str">
        <x:v>All India except Central University</x:v>
      </x:c>
      <x:c r="C2372" t="str">
        <x:v>200315</x:v>
      </x:c>
      <x:c r="D2372" t="str">
        <x:v>Malda Medical College &amp; Hospital, Malda, MaldaMedicalCollege, PS,EnglishBazar PO Dist Malda</x:v>
      </x:c>
      <x:c r="E2372" t="str">
        <x:v>All India</x:v>
      </x:c>
      <x:c r="F2372" t="str">
        <x:v>Open PwD</x:v>
      </x:c>
      <x:c r="G2372" t="n">
        <x:v>1</x:v>
      </x:c>
      <x:c r="H2372" t="n">
        <x:v>1</x:v>
      </x:c>
      <x:c r="I2372" t="n">
        <x:f>G2372-H2372</x:f>
        <x:v>0</x:v>
      </x:c>
      <x:c r="J2372" s="20" t="n">
        <x:f>IFERROR(H2372/G2372,0)</x:f>
        <x:v>1</x:v>
      </x:c>
      <x:c r="K2372" t="n">
        <x:v>546923</x:v>
      </x:c>
      <x:c r="L2372" t="n">
        <x:v>546923</x:v>
      </x:c>
      <x:c r="M2372" t="n">
        <x:v>546923</x:v>
      </x:c>
      <x:c r="N2372" t="n">
        <x:v>546923</x:v>
      </x:c>
      <x:c r="O2372" t="n">
        <x:v>546923</x:v>
      </x:c>
    </x:row>
    <x:row r="2373">
      <x:c r="A2373" t="str">
        <x:v>West Bengal</x:v>
      </x:c>
      <x:c r="B2373" t="str">
        <x:v>All India except Central University</x:v>
      </x:c>
      <x:c r="C2373" t="str">
        <x:v>200315</x:v>
      </x:c>
      <x:c r="D2373" t="str">
        <x:v>Malda Medical College &amp; Hospital, Malda, MaldaMedicalCollege, PS,EnglishBazar PO Dist Malda</x:v>
      </x:c>
      <x:c r="E2373" t="str">
        <x:v>All India</x:v>
      </x:c>
      <x:c r="F2373" t="str">
        <x:v>SC</x:v>
      </x:c>
      <x:c r="G2373" t="n">
        <x:v>3</x:v>
      </x:c>
      <x:c r="H2373" t="n">
        <x:v>3</x:v>
      </x:c>
      <x:c r="I2373" t="n">
        <x:f>G2373-H2373</x:f>
        <x:v>0</x:v>
      </x:c>
      <x:c r="J2373" s="20" t="n">
        <x:f>IFERROR(H2373/G2373,0)</x:f>
        <x:v>1</x:v>
      </x:c>
      <x:c r="K2373" t="n">
        <x:v>87351</x:v>
      </x:c>
      <x:c r="L2373" t="n">
        <x:v>87722.5</x:v>
      </x:c>
      <x:c r="M2373" t="n">
        <x:v>88094</x:v>
      </x:c>
      <x:c r="N2373" t="n">
        <x:v>89083.5</x:v>
      </x:c>
      <x:c r="O2373" t="n">
        <x:v>90073</x:v>
      </x:c>
    </x:row>
    <x:row r="2374">
      <x:c r="A2374" t="str">
        <x:v>West Bengal</x:v>
      </x:c>
      <x:c r="B2374" t="str">
        <x:v>All India except Central University</x:v>
      </x:c>
      <x:c r="C2374" t="str">
        <x:v>200315</x:v>
      </x:c>
      <x:c r="D2374" t="str">
        <x:v>Malda Medical College &amp; Hospital, Malda, MaldaMedicalCollege, PS,EnglishBazar PO Dist Malda</x:v>
      </x:c>
      <x:c r="E2374" t="str">
        <x:v>All India</x:v>
      </x:c>
      <x:c r="F2374" t="str">
        <x:v>ST</x:v>
      </x:c>
      <x:c r="G2374" t="n">
        <x:v>2</x:v>
      </x:c>
      <x:c r="H2374" t="n">
        <x:v>2</x:v>
      </x:c>
      <x:c r="I2374" t="n">
        <x:f>G2374-H2374</x:f>
        <x:v>0</x:v>
      </x:c>
      <x:c r="J2374" s="20" t="n">
        <x:f>IFERROR(H2374/G2374,0)</x:f>
        <x:v>1</x:v>
      </x:c>
      <x:c r="K2374" t="n">
        <x:v>105253</x:v>
      </x:c>
      <x:c r="L2374" t="n">
        <x:v>108040.75</x:v>
      </x:c>
      <x:c r="M2374" t="n">
        <x:v>110828.5</x:v>
      </x:c>
      <x:c r="N2374" t="n">
        <x:v>113616.25</x:v>
      </x:c>
      <x:c r="O2374" t="n">
        <x:v>116404</x:v>
      </x:c>
    </x:row>
    <x:row r="2375">
      <x:c r="A2375" t="str">
        <x:v>Telangana</x:v>
      </x:c>
      <x:c r="B2375" t="str">
        <x:v>Deemed University</x:v>
      </x:c>
      <x:c r="C2375" t="str">
        <x:v>902856</x:v>
      </x:c>
      <x:c r="D2375" t="str">
        <x:v>Malla Reddy Institute of Medical Sciences, Hyderabad, Suraram X Roads Jeedimetla Hyderabad</x:v>
      </x:c>
      <x:c r="E2375" t="str">
        <x:v>NRI</x:v>
      </x:c>
      <x:c r="F2375" t="str">
        <x:v>Open</x:v>
      </x:c>
      <x:c r="G2375" t="n">
        <x:v>37</x:v>
      </x:c>
      <x:c r="H2375" t="n">
        <x:v>0</x:v>
      </x:c>
      <x:c r="I2375" t="n">
        <x:f>G2375-H2375</x:f>
        <x:v>37</x:v>
      </x:c>
      <x:c r="J2375" s="20" t="n">
        <x:f>IFERROR(H2375/G2375,0)</x:f>
        <x:v>0</x:v>
      </x:c>
      <x:c r="K2375"/>
      <x:c r="L2375"/>
      <x:c r="M2375"/>
      <x:c r="N2375"/>
      <x:c r="O2375"/>
    </x:row>
    <x:row r="2376">
      <x:c r="A2376" t="str">
        <x:v>Telangana</x:v>
      </x:c>
      <x:c r="B2376" t="str">
        <x:v>Deemed University</x:v>
      </x:c>
      <x:c r="C2376" t="str">
        <x:v>902856</x:v>
      </x:c>
      <x:c r="D2376" t="str">
        <x:v>Malla Reddy Institute of Medical Sciences, Hyderabad, Suraram X Roads Jeedimetla Hyderabad</x:v>
      </x:c>
      <x:c r="E2376" t="str">
        <x:v>Self-Financed Merit</x:v>
      </x:c>
      <x:c r="F2376" t="str">
        <x:v>Open</x:v>
      </x:c>
      <x:c r="G2376" t="n">
        <x:v>213</x:v>
      </x:c>
      <x:c r="H2376" t="n">
        <x:v>213</x:v>
      </x:c>
      <x:c r="I2376" t="n">
        <x:f>G2376-H2376</x:f>
        <x:v>0</x:v>
      </x:c>
      <x:c r="J2376" s="20" t="n">
        <x:f>IFERROR(H2376/G2376,0)</x:f>
        <x:v>1</x:v>
      </x:c>
      <x:c r="K2376" t="n">
        <x:v>91886</x:v>
      </x:c>
      <x:c r="L2376" t="n">
        <x:v>329291</x:v>
      </x:c>
      <x:c r="M2376" t="n">
        <x:v>394040</x:v>
      </x:c>
      <x:c r="N2376" t="n">
        <x:v>437894</x:v>
      </x:c>
      <x:c r="O2376" t="n">
        <x:v>467647</x:v>
      </x:c>
    </x:row>
    <x:row r="2377">
      <x:c r="A2377" t="str">
        <x:v>Telangana</x:v>
      </x:c>
      <x:c r="B2377" t="str">
        <x:v>Deemed University</x:v>
      </x:c>
      <x:c r="C2377" t="str">
        <x:v>902855</x:v>
      </x:c>
      <x:c r="D2377" t="str">
        <x:v>Mallareddy Medical College for Women, Hyderabad, Suraram X Roads Jeedimetla Hyderabad</x:v>
      </x:c>
      <x:c r="E2377" t="str">
        <x:v>NRI</x:v>
      </x:c>
      <x:c r="F2377" t="str">
        <x:v>Open</x:v>
      </x:c>
      <x:c r="G2377" t="n">
        <x:v>25</x:v>
      </x:c>
      <x:c r="H2377" t="n">
        <x:v>1</x:v>
      </x:c>
      <x:c r="I2377" t="n">
        <x:f>G2377-H2377</x:f>
        <x:v>24</x:v>
      </x:c>
      <x:c r="J2377" s="20" t="n">
        <x:f>IFERROR(H2377/G2377,0)</x:f>
        <x:v>0.04</x:v>
      </x:c>
      <x:c r="K2377" t="n">
        <x:v>810932</x:v>
      </x:c>
      <x:c r="L2377" t="n">
        <x:v>810932</x:v>
      </x:c>
      <x:c r="M2377" t="n">
        <x:v>810932</x:v>
      </x:c>
      <x:c r="N2377" t="n">
        <x:v>810932</x:v>
      </x:c>
      <x:c r="O2377" t="n">
        <x:v>810932</x:v>
      </x:c>
    </x:row>
    <x:row r="2378">
      <x:c r="A2378" t="str">
        <x:v>Telangana</x:v>
      </x:c>
      <x:c r="B2378" t="str">
        <x:v>Deemed University</x:v>
      </x:c>
      <x:c r="C2378" t="str">
        <x:v>902855</x:v>
      </x:c>
      <x:c r="D2378" t="str">
        <x:v>Mallareddy Medical College for Women, Hyderabad, Suraram X Roads Jeedimetla Hyderabad</x:v>
      </x:c>
      <x:c r="E2378" t="str">
        <x:v>Self-Financed Merit</x:v>
      </x:c>
      <x:c r="F2378" t="str">
        <x:v>Open</x:v>
      </x:c>
      <x:c r="G2378" t="n">
        <x:v>225</x:v>
      </x:c>
      <x:c r="H2378" t="n">
        <x:v>225</x:v>
      </x:c>
      <x:c r="I2378" t="n">
        <x:f>G2378-H2378</x:f>
        <x:v>0</x:v>
      </x:c>
      <x:c r="J2378" s="20" t="n">
        <x:f>IFERROR(H2378/G2378,0)</x:f>
        <x:v>1</x:v>
      </x:c>
      <x:c r="K2378" t="n">
        <x:v>136783</x:v>
      </x:c>
      <x:c r="L2378" t="n">
        <x:v>374316</x:v>
      </x:c>
      <x:c r="M2378" t="n">
        <x:v>459665</x:v>
      </x:c>
      <x:c r="N2378" t="n">
        <x:v>505144</x:v>
      </x:c>
      <x:c r="O2378" t="n">
        <x:v>542056</x:v>
      </x:c>
    </x:row>
    <x:row r="2379">
      <x:c r="A2379" t="str">
        <x:v>Karnataka</x:v>
      </x:c>
      <x:c r="B2379" t="str">
        <x:v>All India except Central University</x:v>
      </x:c>
      <x:c r="C2379" t="str">
        <x:v>200177</x:v>
      </x:c>
      <x:c r="D2379" t="str">
        <x:v>Mandya Institute of Medical Sciences, Mandya, BANGALORE- MYSORE MAIN ROAD, MANDYA</x:v>
      </x:c>
      <x:c r="E2379" t="str">
        <x:v>All India</x:v>
      </x:c>
      <x:c r="F2379" t="str">
        <x:v>EWS</x:v>
      </x:c>
      <x:c r="G2379" t="n">
        <x:v>3</x:v>
      </x:c>
      <x:c r="H2379" t="n">
        <x:v>3</x:v>
      </x:c>
      <x:c r="I2379" t="n">
        <x:f>G2379-H2379</x:f>
        <x:v>0</x:v>
      </x:c>
      <x:c r="J2379" s="20" t="n">
        <x:f>IFERROR(H2379/G2379,0)</x:f>
        <x:v>1</x:v>
      </x:c>
      <x:c r="K2379" t="n">
        <x:v>9727</x:v>
      </x:c>
      <x:c r="L2379" t="n">
        <x:v>10607</x:v>
      </x:c>
      <x:c r="M2379" t="n">
        <x:v>11487</x:v>
      </x:c>
      <x:c r="N2379" t="n">
        <x:v>11626</x:v>
      </x:c>
      <x:c r="O2379" t="n">
        <x:v>11765</x:v>
      </x:c>
    </x:row>
    <x:row r="2380">
      <x:c r="A2380" t="str">
        <x:v>Karnataka</x:v>
      </x:c>
      <x:c r="B2380" t="str">
        <x:v>All India except Central University</x:v>
      </x:c>
      <x:c r="C2380" t="str">
        <x:v>200177</x:v>
      </x:c>
      <x:c r="D2380" t="str">
        <x:v>Mandya Institute of Medical Sciences, Mandya, BANGALORE- MYSORE MAIN ROAD, MANDYA</x:v>
      </x:c>
      <x:c r="E2380" t="str">
        <x:v>All India</x:v>
      </x:c>
      <x:c r="F2380" t="str">
        <x:v>OBC</x:v>
      </x:c>
      <x:c r="G2380" t="n">
        <x:v>8</x:v>
      </x:c>
      <x:c r="H2380" t="n">
        <x:v>8</x:v>
      </x:c>
      <x:c r="I2380" t="n">
        <x:f>G2380-H2380</x:f>
        <x:v>0</x:v>
      </x:c>
      <x:c r="J2380" s="20" t="n">
        <x:f>IFERROR(H2380/G2380,0)</x:f>
        <x:v>1</x:v>
      </x:c>
      <x:c r="K2380" t="n">
        <x:v>9231</x:v>
      </x:c>
      <x:c r="L2380" t="n">
        <x:v>9336.75</x:v>
      </x:c>
      <x:c r="M2380" t="n">
        <x:v>10352</x:v>
      </x:c>
      <x:c r="N2380" t="n">
        <x:v>10380.25</x:v>
      </x:c>
      <x:c r="O2380" t="n">
        <x:v>10786</x:v>
      </x:c>
    </x:row>
    <x:row r="2381">
      <x:c r="A2381" t="str">
        <x:v>Karnataka</x:v>
      </x:c>
      <x:c r="B2381" t="str">
        <x:v>All India except Central University</x:v>
      </x:c>
      <x:c r="C2381" t="str">
        <x:v>200177</x:v>
      </x:c>
      <x:c r="D2381" t="str">
        <x:v>Mandya Institute of Medical Sciences, Mandya, BANGALORE- MYSORE MAIN ROAD, MANDYA</x:v>
      </x:c>
      <x:c r="E2381" t="str">
        <x:v>All India</x:v>
      </x:c>
      <x:c r="F2381" t="str">
        <x:v>Open</x:v>
      </x:c>
      <x:c r="G2381" t="n">
        <x:v>12</x:v>
      </x:c>
      <x:c r="H2381" t="n">
        <x:v>12</x:v>
      </x:c>
      <x:c r="I2381" t="n">
        <x:f>G2381-H2381</x:f>
        <x:v>0</x:v>
      </x:c>
      <x:c r="J2381" s="20" t="n">
        <x:f>IFERROR(H2381/G2381,0)</x:f>
        <x:v>1</x:v>
      </x:c>
      <x:c r="K2381" t="n">
        <x:v>5147</x:v>
      </x:c>
      <x:c r="L2381" t="n">
        <x:v>6088.5</x:v>
      </x:c>
      <x:c r="M2381" t="n">
        <x:v>6588.5</x:v>
      </x:c>
      <x:c r="N2381" t="n">
        <x:v>7242</x:v>
      </x:c>
      <x:c r="O2381" t="n">
        <x:v>8695</x:v>
      </x:c>
    </x:row>
    <x:row r="2382">
      <x:c r="A2382" t="str">
        <x:v>Karnataka</x:v>
      </x:c>
      <x:c r="B2382" t="str">
        <x:v>All India except Central University</x:v>
      </x:c>
      <x:c r="C2382" t="str">
        <x:v>200177</x:v>
      </x:c>
      <x:c r="D2382" t="str">
        <x:v>Mandya Institute of Medical Sciences, Mandya, BANGALORE- MYSORE MAIN ROAD, MANDYA</x:v>
      </x:c>
      <x:c r="E2382" t="str">
        <x:v>All India</x:v>
      </x:c>
      <x:c r="F2382" t="str">
        <x:v>Open PwD</x:v>
      </x:c>
      <x:c r="G2382" t="n">
        <x:v>1</x:v>
      </x:c>
      <x:c r="H2382" t="n">
        <x:v>1</x:v>
      </x:c>
      <x:c r="I2382" t="n">
        <x:f>G2382-H2382</x:f>
        <x:v>0</x:v>
      </x:c>
      <x:c r="J2382" s="20" t="n">
        <x:f>IFERROR(H2382/G2382,0)</x:f>
        <x:v>1</x:v>
      </x:c>
      <x:c r="K2382" t="n">
        <x:v>335165</x:v>
      </x:c>
      <x:c r="L2382" t="n">
        <x:v>335165</x:v>
      </x:c>
      <x:c r="M2382" t="n">
        <x:v>335165</x:v>
      </x:c>
      <x:c r="N2382" t="n">
        <x:v>335165</x:v>
      </x:c>
      <x:c r="O2382" t="n">
        <x:v>335165</x:v>
      </x:c>
    </x:row>
    <x:row r="2383">
      <x:c r="A2383" t="str">
        <x:v>Karnataka</x:v>
      </x:c>
      <x:c r="B2383" t="str">
        <x:v>All India except Central University</x:v>
      </x:c>
      <x:c r="C2383" t="str">
        <x:v>200177</x:v>
      </x:c>
      <x:c r="D2383" t="str">
        <x:v>Mandya Institute of Medical Sciences, Mandya, BANGALORE- MYSORE MAIN ROAD, MANDYA</x:v>
      </x:c>
      <x:c r="E2383" t="str">
        <x:v>All India</x:v>
      </x:c>
      <x:c r="F2383" t="str">
        <x:v>SC</x:v>
      </x:c>
      <x:c r="G2383" t="n">
        <x:v>3</x:v>
      </x:c>
      <x:c r="H2383" t="n">
        <x:v>3</x:v>
      </x:c>
      <x:c r="I2383" t="n">
        <x:f>G2383-H2383</x:f>
        <x:v>0</x:v>
      </x:c>
      <x:c r="J2383" s="20" t="n">
        <x:f>IFERROR(H2383/G2383,0)</x:f>
        <x:v>1</x:v>
      </x:c>
      <x:c r="K2383" t="n">
        <x:v>35144</x:v>
      </x:c>
      <x:c r="L2383" t="n">
        <x:v>35640.5</x:v>
      </x:c>
      <x:c r="M2383" t="n">
        <x:v>36137</x:v>
      </x:c>
      <x:c r="N2383" t="n">
        <x:v>41083.5</x:v>
      </x:c>
      <x:c r="O2383" t="n">
        <x:v>46030</x:v>
      </x:c>
    </x:row>
    <x:row r="2384">
      <x:c r="A2384" t="str">
        <x:v>Karnataka</x:v>
      </x:c>
      <x:c r="B2384" t="str">
        <x:v>All India except Central University</x:v>
      </x:c>
      <x:c r="C2384" t="str">
        <x:v>200177</x:v>
      </x:c>
      <x:c r="D2384" t="str">
        <x:v>Mandya Institute of Medical Sciences, Mandya, BANGALORE- MYSORE MAIN ROAD, MANDYA</x:v>
      </x:c>
      <x:c r="E2384" t="str">
        <x:v>All India</x:v>
      </x:c>
      <x:c r="F2384" t="str">
        <x:v>SC PwD</x:v>
      </x:c>
      <x:c r="G2384" t="n">
        <x:v>1</x:v>
      </x:c>
      <x:c r="H2384" t="n">
        <x:v>1</x:v>
      </x:c>
      <x:c r="I2384" t="n">
        <x:f>G2384-H2384</x:f>
        <x:v>0</x:v>
      </x:c>
      <x:c r="J2384" s="20" t="n">
        <x:f>IFERROR(H2384/G2384,0)</x:f>
        <x:v>1</x:v>
      </x:c>
      <x:c r="K2384" t="n">
        <x:v>894107</x:v>
      </x:c>
      <x:c r="L2384" t="n">
        <x:v>894107</x:v>
      </x:c>
      <x:c r="M2384" t="n">
        <x:v>894107</x:v>
      </x:c>
      <x:c r="N2384" t="n">
        <x:v>894107</x:v>
      </x:c>
      <x:c r="O2384" t="n">
        <x:v>894107</x:v>
      </x:c>
    </x:row>
    <x:row r="2385">
      <x:c r="A2385" t="str">
        <x:v>Karnataka</x:v>
      </x:c>
      <x:c r="B2385" t="str">
        <x:v>All India except Central University</x:v>
      </x:c>
      <x:c r="C2385" t="str">
        <x:v>200177</x:v>
      </x:c>
      <x:c r="D2385" t="str">
        <x:v>Mandya Institute of Medical Sciences, Mandya, BANGALORE- MYSORE MAIN ROAD, MANDYA</x:v>
      </x:c>
      <x:c r="E2385" t="str">
        <x:v>All India</x:v>
      </x:c>
      <x:c r="F2385" t="str">
        <x:v>ST</x:v>
      </x:c>
      <x:c r="G2385" t="n">
        <x:v>1</x:v>
      </x:c>
      <x:c r="H2385" t="n">
        <x:v>1</x:v>
      </x:c>
      <x:c r="I2385" t="n">
        <x:f>G2385-H2385</x:f>
        <x:v>0</x:v>
      </x:c>
      <x:c r="J2385" s="20" t="n">
        <x:f>IFERROR(H2385/G2385,0)</x:f>
        <x:v>1</x:v>
      </x:c>
      <x:c r="K2385" t="n">
        <x:v>66131</x:v>
      </x:c>
      <x:c r="L2385" t="n">
        <x:v>66131</x:v>
      </x:c>
      <x:c r="M2385" t="n">
        <x:v>66131</x:v>
      </x:c>
      <x:c r="N2385" t="n">
        <x:v>66131</x:v>
      </x:c>
      <x:c r="O2385" t="n">
        <x:v>66131</x:v>
      </x:c>
    </x:row>
    <x:row r="2386">
      <x:c r="A2386" t="str">
        <x:v>Karnataka</x:v>
      </x:c>
      <x:c r="B2386" t="str">
        <x:v>All India except Central University</x:v>
      </x:c>
      <x:c r="C2386" t="str">
        <x:v>200177</x:v>
      </x:c>
      <x:c r="D2386" t="str">
        <x:v>Mandya Institute of Medical Sciences, Mandya, BANGALORE- MYSORE MAIN ROAD, MANDYA</x:v>
      </x:c>
      <x:c r="E2386" t="str">
        <x:v>All India</x:v>
      </x:c>
      <x:c r="F2386" t="str">
        <x:v>ST PwD</x:v>
      </x:c>
      <x:c r="G2386" t="n">
        <x:v>1</x:v>
      </x:c>
      <x:c r="H2386" t="n">
        <x:v>0</x:v>
      </x:c>
      <x:c r="I2386" t="n">
        <x:f>G2386-H2386</x:f>
        <x:v>1</x:v>
      </x:c>
      <x:c r="J2386" s="20" t="n">
        <x:f>IFERROR(H2386/G2386,0)</x:f>
        <x:v>0</x:v>
      </x:c>
      <x:c r="K2386"/>
      <x:c r="L2386"/>
      <x:c r="M2386"/>
      <x:c r="N2386"/>
      <x:c r="O2386"/>
    </x:row>
    <x:row r="2387">
      <x:c r="A2387" t="str">
        <x:v>Jharkhand</x:v>
      </x:c>
      <x:c r="B2387" t="str">
        <x:v>Deemed University</x:v>
      </x:c>
      <x:c r="C2387" t="str">
        <x:v>200528</x:v>
      </x:c>
      <x:c r="D2387" t="str">
        <x:v>Manipal Tata Medical College,Baridih Jameshedpur, Kadani Road, Baridih, Jamshedpur, East Singbhum District</x:v>
      </x:c>
      <x:c r="E2387" t="str">
        <x:v>NRI</x:v>
      </x:c>
      <x:c r="F2387" t="str">
        <x:v>Open</x:v>
      </x:c>
      <x:c r="G2387" t="n">
        <x:v>15</x:v>
      </x:c>
      <x:c r="H2387" t="n">
        <x:v>4</x:v>
      </x:c>
      <x:c r="I2387" t="n">
        <x:f>G2387-H2387</x:f>
        <x:v>11</x:v>
      </x:c>
      <x:c r="J2387" s="20" t="n">
        <x:f>IFERROR(H2387/G2387,0)</x:f>
        <x:v>0.26666666666666666</x:v>
      </x:c>
      <x:c r="K2387" t="n">
        <x:v>430140</x:v>
      </x:c>
      <x:c r="L2387" t="n">
        <x:v>690400.5</x:v>
      </x:c>
      <x:c r="M2387" t="n">
        <x:v>871879.5</x:v>
      </x:c>
      <x:c r="N2387" t="n">
        <x:v>969646.5</x:v>
      </x:c>
      <x:c r="O2387" t="n">
        <x:v>978771</x:v>
      </x:c>
    </x:row>
    <x:row r="2388">
      <x:c r="A2388" t="str">
        <x:v>Jharkhand</x:v>
      </x:c>
      <x:c r="B2388" t="str">
        <x:v>Deemed University</x:v>
      </x:c>
      <x:c r="C2388" t="str">
        <x:v>200528</x:v>
      </x:c>
      <x:c r="D2388" t="str">
        <x:v>Manipal Tata Medical College,Baridih Jameshedpur, Kadani Road, Baridih, Jamshedpur, East Singbhum District</x:v>
      </x:c>
      <x:c r="E2388" t="str">
        <x:v>Self-Financed Merit</x:v>
      </x:c>
      <x:c r="F2388" t="str">
        <x:v>Open</x:v>
      </x:c>
      <x:c r="G2388" t="n">
        <x:v>210</x:v>
      </x:c>
      <x:c r="H2388" t="n">
        <x:v>210</x:v>
      </x:c>
      <x:c r="I2388" t="n">
        <x:f>G2388-H2388</x:f>
        <x:v>0</x:v>
      </x:c>
      <x:c r="J2388" s="20" t="n">
        <x:f>IFERROR(H2388/G2388,0)</x:f>
        <x:v>1</x:v>
      </x:c>
      <x:c r="K2388" t="n">
        <x:v>37941</x:v>
      </x:c>
      <x:c r="L2388" t="n">
        <x:v>62416</x:v>
      </x:c>
      <x:c r="M2388" t="n">
        <x:v>73257</x:v>
      </x:c>
      <x:c r="N2388" t="n">
        <x:v>80495</x:v>
      </x:c>
      <x:c r="O2388" t="n">
        <x:v>90912</x:v>
      </x:c>
    </x:row>
    <x:row r="2389">
      <x:c r="A2389" t="str">
        <x:v>Delhi</x:v>
      </x:c>
      <x:c r="B2389" t="str">
        <x:v>Central University</x:v>
      </x:c>
      <x:c r="C2389" t="str">
        <x:v>200449</x:v>
      </x:c>
      <x:c r="D2389" t="str">
        <x:v>Maulana Azad Medical College, New Delhi, 2 Bahadur Shah Zafar Marg New Delhi</x:v>
      </x:c>
      <x:c r="E2389" t="str">
        <x:v>All India</x:v>
      </x:c>
      <x:c r="F2389" t="str">
        <x:v>EWS</x:v>
      </x:c>
      <x:c r="G2389" t="n">
        <x:v>4</x:v>
      </x:c>
      <x:c r="H2389" t="n">
        <x:v>4</x:v>
      </x:c>
      <x:c r="I2389" t="n">
        <x:f>G2389-H2389</x:f>
        <x:v>0</x:v>
      </x:c>
      <x:c r="J2389" s="20" t="n">
        <x:f>IFERROR(H2389/G2389,0)</x:f>
        <x:v>1</x:v>
      </x:c>
      <x:c r="K2389" t="n">
        <x:v>351</x:v>
      </x:c>
      <x:c r="L2389" t="n">
        <x:v>406.5</x:v>
      </x:c>
      <x:c r="M2389" t="n">
        <x:v>476</x:v>
      </x:c>
      <x:c r="N2389" t="n">
        <x:v>535.75</x:v>
      </x:c>
      <x:c r="O2389" t="n">
        <x:v>562</x:v>
      </x:c>
    </x:row>
    <x:row r="2390">
      <x:c r="A2390" t="str">
        <x:v>Delhi</x:v>
      </x:c>
      <x:c r="B2390" t="str">
        <x:v>Central University</x:v>
      </x:c>
      <x:c r="C2390" t="str">
        <x:v>200449</x:v>
      </x:c>
      <x:c r="D2390" t="str">
        <x:v>Maulana Azad Medical College, New Delhi, 2 Bahadur Shah Zafar Marg New Delhi</x:v>
      </x:c>
      <x:c r="E2390" t="str">
        <x:v>All India</x:v>
      </x:c>
      <x:c r="F2390" t="str">
        <x:v>OBC</x:v>
      </x:c>
      <x:c r="G2390" t="n">
        <x:v>10</x:v>
      </x:c>
      <x:c r="H2390" t="n">
        <x:v>10</x:v>
      </x:c>
      <x:c r="I2390" t="n">
        <x:f>G2390-H2390</x:f>
        <x:v>0</x:v>
      </x:c>
      <x:c r="J2390" s="20" t="n">
        <x:f>IFERROR(H2390/G2390,0)</x:f>
        <x:v>1</x:v>
      </x:c>
      <x:c r="K2390" t="n">
        <x:v>233</x:v>
      </x:c>
      <x:c r="L2390" t="n">
        <x:v>313.75</x:v>
      </x:c>
      <x:c r="M2390" t="n">
        <x:v>382</x:v>
      </x:c>
      <x:c r="N2390" t="n">
        <x:v>411</x:v>
      </x:c>
      <x:c r="O2390" t="n">
        <x:v>429</x:v>
      </x:c>
    </x:row>
    <x:row r="2391">
      <x:c r="A2391" t="str">
        <x:v>Delhi</x:v>
      </x:c>
      <x:c r="B2391" t="str">
        <x:v>Central University</x:v>
      </x:c>
      <x:c r="C2391" t="str">
        <x:v>200449</x:v>
      </x:c>
      <x:c r="D2391" t="str">
        <x:v>Maulana Azad Medical College, New Delhi, 2 Bahadur Shah Zafar Marg New Delhi</x:v>
      </x:c>
      <x:c r="E2391" t="str">
        <x:v>All India</x:v>
      </x:c>
      <x:c r="F2391" t="str">
        <x:v>Open</x:v>
      </x:c>
      <x:c r="G2391" t="n">
        <x:v>14</x:v>
      </x:c>
      <x:c r="H2391" t="n">
        <x:v>14</x:v>
      </x:c>
      <x:c r="I2391" t="n">
        <x:f>G2391-H2391</x:f>
        <x:v>0</x:v>
      </x:c>
      <x:c r="J2391" s="20" t="n">
        <x:f>IFERROR(H2391/G2391,0)</x:f>
        <x:v>1</x:v>
      </x:c>
      <x:c r="K2391" t="n">
        <x:v>60</x:v>
      </x:c>
      <x:c r="L2391" t="n">
        <x:v>71.25</x:v>
      </x:c>
      <x:c r="M2391" t="n">
        <x:v>90</x:v>
      </x:c>
      <x:c r="N2391" t="n">
        <x:v>103.5</x:v>
      </x:c>
      <x:c r="O2391" t="n">
        <x:v>129</x:v>
      </x:c>
    </x:row>
    <x:row r="2392">
      <x:c r="A2392" t="str">
        <x:v>Delhi</x:v>
      </x:c>
      <x:c r="B2392" t="str">
        <x:v>Central University</x:v>
      </x:c>
      <x:c r="C2392" t="str">
        <x:v>200449</x:v>
      </x:c>
      <x:c r="D2392" t="str">
        <x:v>Maulana Azad Medical College, New Delhi, 2 Bahadur Shah Zafar Marg New Delhi</x:v>
      </x:c>
      <x:c r="E2392" t="str">
        <x:v>All India</x:v>
      </x:c>
      <x:c r="F2392" t="str">
        <x:v>Open PwD</x:v>
      </x:c>
      <x:c r="G2392" t="n">
        <x:v>1</x:v>
      </x:c>
      <x:c r="H2392" t="n">
        <x:v>1</x:v>
      </x:c>
      <x:c r="I2392" t="n">
        <x:f>G2392-H2392</x:f>
        <x:v>0</x:v>
      </x:c>
      <x:c r="J2392" s="20" t="n">
        <x:f>IFERROR(H2392/G2392,0)</x:f>
        <x:v>1</x:v>
      </x:c>
      <x:c r="K2392" t="n">
        <x:v>42205</x:v>
      </x:c>
      <x:c r="L2392" t="n">
        <x:v>42205</x:v>
      </x:c>
      <x:c r="M2392" t="n">
        <x:v>42205</x:v>
      </x:c>
      <x:c r="N2392" t="n">
        <x:v>42205</x:v>
      </x:c>
      <x:c r="O2392" t="n">
        <x:v>42205</x:v>
      </x:c>
    </x:row>
    <x:row r="2393">
      <x:c r="A2393" t="str">
        <x:v>Delhi</x:v>
      </x:c>
      <x:c r="B2393" t="str">
        <x:v>Central University</x:v>
      </x:c>
      <x:c r="C2393" t="str">
        <x:v>200449</x:v>
      </x:c>
      <x:c r="D2393" t="str">
        <x:v>Maulana Azad Medical College, New Delhi, 2 Bahadur Shah Zafar Marg New Delhi</x:v>
      </x:c>
      <x:c r="E2393" t="str">
        <x:v>All India</x:v>
      </x:c>
      <x:c r="F2393" t="str">
        <x:v>SC</x:v>
      </x:c>
      <x:c r="G2393" t="n">
        <x:v>5</x:v>
      </x:c>
      <x:c r="H2393" t="n">
        <x:v>5</x:v>
      </x:c>
      <x:c r="I2393" t="n">
        <x:f>G2393-H2393</x:f>
        <x:v>0</x:v>
      </x:c>
      <x:c r="J2393" s="20" t="n">
        <x:f>IFERROR(H2393/G2393,0)</x:f>
        <x:v>1</x:v>
      </x:c>
      <x:c r="K2393" t="n">
        <x:v>896</x:v>
      </x:c>
      <x:c r="L2393" t="n">
        <x:v>982</x:v>
      </x:c>
      <x:c r="M2393" t="n">
        <x:v>1217</x:v>
      </x:c>
      <x:c r="N2393" t="n">
        <x:v>1772</x:v>
      </x:c>
      <x:c r="O2393" t="n">
        <x:v>1834</x:v>
      </x:c>
    </x:row>
    <x:row r="2394">
      <x:c r="A2394" t="str">
        <x:v>Delhi</x:v>
      </x:c>
      <x:c r="B2394" t="str">
        <x:v>Central University</x:v>
      </x:c>
      <x:c r="C2394" t="str">
        <x:v>200449</x:v>
      </x:c>
      <x:c r="D2394" t="str">
        <x:v>Maulana Azad Medical College, New Delhi, 2 Bahadur Shah Zafar Marg New Delhi</x:v>
      </x:c>
      <x:c r="E2394" t="str">
        <x:v>All India</x:v>
      </x:c>
      <x:c r="F2394" t="str">
        <x:v>ST</x:v>
      </x:c>
      <x:c r="G2394" t="n">
        <x:v>3</x:v>
      </x:c>
      <x:c r="H2394" t="n">
        <x:v>3</x:v>
      </x:c>
      <x:c r="I2394" t="n">
        <x:f>G2394-H2394</x:f>
        <x:v>0</x:v>
      </x:c>
      <x:c r="J2394" s="20" t="n">
        <x:f>IFERROR(H2394/G2394,0)</x:f>
        <x:v>1</x:v>
      </x:c>
      <x:c r="K2394" t="n">
        <x:v>1417</x:v>
      </x:c>
      <x:c r="L2394" t="n">
        <x:v>3254</x:v>
      </x:c>
      <x:c r="M2394" t="n">
        <x:v>5091</x:v>
      </x:c>
      <x:c r="N2394" t="n">
        <x:v>5260</x:v>
      </x:c>
      <x:c r="O2394" t="n">
        <x:v>5429</x:v>
      </x:c>
    </x:row>
    <x:row r="2395">
      <x:c r="A2395" t="str">
        <x:v>Delhi</x:v>
      </x:c>
      <x:c r="B2395" t="str">
        <x:v>Central University</x:v>
      </x:c>
      <x:c r="C2395" t="str">
        <x:v>200449</x:v>
      </x:c>
      <x:c r="D2395" t="str">
        <x:v>Maulana Azad Medical College, New Delhi, 2 Bahadur Shah Zafar Marg New Delhi</x:v>
      </x:c>
      <x:c r="E2395" t="str">
        <x:v>Delhi NCR CW</x:v>
      </x:c>
      <x:c r="F2395" t="str">
        <x:v>OBC</x:v>
      </x:c>
      <x:c r="G2395" t="n">
        <x:v>3</x:v>
      </x:c>
      <x:c r="H2395" t="n">
        <x:v>3</x:v>
      </x:c>
      <x:c r="I2395" t="n">
        <x:f>G2395-H2395</x:f>
        <x:v>0</x:v>
      </x:c>
      <x:c r="J2395" s="20" t="n">
        <x:f>IFERROR(H2395/G2395,0)</x:f>
        <x:v>1</x:v>
      </x:c>
      <x:c r="K2395" t="n">
        <x:v>463024</x:v>
      </x:c>
      <x:c r="L2395" t="n">
        <x:v>597039.5</x:v>
      </x:c>
      <x:c r="M2395" t="n">
        <x:v>731055</x:v>
      </x:c>
      <x:c r="N2395" t="n">
        <x:v>835414.5</x:v>
      </x:c>
      <x:c r="O2395" t="n">
        <x:v>939774</x:v>
      </x:c>
    </x:row>
    <x:row r="2396">
      <x:c r="A2396" t="str">
        <x:v>Delhi</x:v>
      </x:c>
      <x:c r="B2396" t="str">
        <x:v>Central University</x:v>
      </x:c>
      <x:c r="C2396" t="str">
        <x:v>200449</x:v>
      </x:c>
      <x:c r="D2396" t="str">
        <x:v>Maulana Azad Medical College, New Delhi, 2 Bahadur Shah Zafar Marg New Delhi</x:v>
      </x:c>
      <x:c r="E2396" t="str">
        <x:v>Delhi NCR CW</x:v>
      </x:c>
      <x:c r="F2396" t="str">
        <x:v>Open</x:v>
      </x:c>
      <x:c r="G2396" t="n">
        <x:v>5</x:v>
      </x:c>
      <x:c r="H2396" t="n">
        <x:v>5</x:v>
      </x:c>
      <x:c r="I2396" t="n">
        <x:f>G2396-H2396</x:f>
        <x:v>0</x:v>
      </x:c>
      <x:c r="J2396" s="20" t="n">
        <x:f>IFERROR(H2396/G2396,0)</x:f>
        <x:v>1</x:v>
      </x:c>
      <x:c r="K2396" t="n">
        <x:v>15057</x:v>
      </x:c>
      <x:c r="L2396" t="n">
        <x:v>27947</x:v>
      </x:c>
      <x:c r="M2396" t="n">
        <x:v>178927</x:v>
      </x:c>
      <x:c r="N2396" t="n">
        <x:v>193792</x:v>
      </x:c>
      <x:c r="O2396" t="n">
        <x:v>440994</x:v>
      </x:c>
    </x:row>
    <x:row r="2397">
      <x:c r="A2397" t="str">
        <x:v>Delhi</x:v>
      </x:c>
      <x:c r="B2397" t="str">
        <x:v>Central University</x:v>
      </x:c>
      <x:c r="C2397" t="str">
        <x:v>200449</x:v>
      </x:c>
      <x:c r="D2397" t="str">
        <x:v>Maulana Azad Medical College, New Delhi, 2 Bahadur Shah Zafar Marg New Delhi</x:v>
      </x:c>
      <x:c r="E2397" t="str">
        <x:v>Delhi NCR CW</x:v>
      </x:c>
      <x:c r="F2397" t="str">
        <x:v>SC</x:v>
      </x:c>
      <x:c r="G2397" t="n">
        <x:v>1</x:v>
      </x:c>
      <x:c r="H2397" t="n">
        <x:v>1</x:v>
      </x:c>
      <x:c r="I2397" t="n">
        <x:f>G2397-H2397</x:f>
        <x:v>0</x:v>
      </x:c>
      <x:c r="J2397" s="20" t="n">
        <x:f>IFERROR(H2397/G2397,0)</x:f>
        <x:v>1</x:v>
      </x:c>
      <x:c r="K2397" t="n">
        <x:v>752384</x:v>
      </x:c>
      <x:c r="L2397" t="n">
        <x:v>752384</x:v>
      </x:c>
      <x:c r="M2397" t="n">
        <x:v>752384</x:v>
      </x:c>
      <x:c r="N2397" t="n">
        <x:v>752384</x:v>
      </x:c>
      <x:c r="O2397" t="n">
        <x:v>752384</x:v>
      </x:c>
    </x:row>
    <x:row r="2398">
      <x:c r="A2398" t="str">
        <x:v>Delhi</x:v>
      </x:c>
      <x:c r="B2398" t="str">
        <x:v>Central University</x:v>
      </x:c>
      <x:c r="C2398" t="str">
        <x:v>200449</x:v>
      </x:c>
      <x:c r="D2398" t="str">
        <x:v>Maulana Azad Medical College, New Delhi, 2 Bahadur Shah Zafar Marg New Delhi</x:v>
      </x:c>
      <x:c r="E2398" t="str">
        <x:v>Delhi NCR CW</x:v>
      </x:c>
      <x:c r="F2398" t="str">
        <x:v>ST</x:v>
      </x:c>
      <x:c r="G2398" t="n">
        <x:v>1</x:v>
      </x:c>
      <x:c r="H2398" t="n">
        <x:v>1</x:v>
      </x:c>
      <x:c r="I2398" t="n">
        <x:f>G2398-H2398</x:f>
        <x:v>0</x:v>
      </x:c>
      <x:c r="J2398" s="20" t="n">
        <x:f>IFERROR(H2398/G2398,0)</x:f>
        <x:v>1</x:v>
      </x:c>
      <x:c r="K2398" t="n">
        <x:v>1056564</x:v>
      </x:c>
      <x:c r="L2398" t="n">
        <x:v>1056564</x:v>
      </x:c>
      <x:c r="M2398" t="n">
        <x:v>1056564</x:v>
      </x:c>
      <x:c r="N2398" t="n">
        <x:v>1056564</x:v>
      </x:c>
      <x:c r="O2398" t="n">
        <x:v>1056564</x:v>
      </x:c>
    </x:row>
    <x:row r="2399">
      <x:c r="A2399" t="str">
        <x:v>Delhi</x:v>
      </x:c>
      <x:c r="B2399" t="str">
        <x:v>Central University</x:v>
      </x:c>
      <x:c r="C2399" t="str">
        <x:v>200449</x:v>
      </x:c>
      <x:c r="D2399" t="str">
        <x:v>Maulana Azad Medical College, New Delhi, 2 Bahadur Shah Zafar Marg New Delhi</x:v>
      </x:c>
      <x:c r="E2399" t="str">
        <x:v>Delhi University Quota</x:v>
      </x:c>
      <x:c r="F2399" t="str">
        <x:v>OBC</x:v>
      </x:c>
      <x:c r="G2399" t="n">
        <x:v>50</x:v>
      </x:c>
      <x:c r="H2399" t="n">
        <x:v>50</x:v>
      </x:c>
      <x:c r="I2399" t="n">
        <x:f>G2399-H2399</x:f>
        <x:v>0</x:v>
      </x:c>
      <x:c r="J2399" s="20" t="n">
        <x:f>IFERROR(H2399/G2399,0)</x:f>
        <x:v>1</x:v>
      </x:c>
      <x:c r="K2399" t="n">
        <x:v>2899</x:v>
      </x:c>
      <x:c r="L2399" t="n">
        <x:v>4604.5</x:v>
      </x:c>
      <x:c r="M2399" t="n">
        <x:v>5560.5</x:v>
      </x:c>
      <x:c r="N2399" t="n">
        <x:v>6224.75</x:v>
      </x:c>
      <x:c r="O2399" t="n">
        <x:v>6652</x:v>
      </x:c>
    </x:row>
    <x:row r="2400">
      <x:c r="A2400" t="str">
        <x:v>Delhi</x:v>
      </x:c>
      <x:c r="B2400" t="str">
        <x:v>Central University</x:v>
      </x:c>
      <x:c r="C2400" t="str">
        <x:v>200449</x:v>
      </x:c>
      <x:c r="D2400" t="str">
        <x:v>Maulana Azad Medical College, New Delhi, 2 Bahadur Shah Zafar Marg New Delhi</x:v>
      </x:c>
      <x:c r="E2400" t="str">
        <x:v>Delhi University Quota</x:v>
      </x:c>
      <x:c r="F2400" t="str">
        <x:v>OBC PwD</x:v>
      </x:c>
      <x:c r="G2400" t="n">
        <x:v>3</x:v>
      </x:c>
      <x:c r="H2400" t="n">
        <x:v>3</x:v>
      </x:c>
      <x:c r="I2400" t="n">
        <x:f>G2400-H2400</x:f>
        <x:v>0</x:v>
      </x:c>
      <x:c r="J2400" s="20" t="n">
        <x:f>IFERROR(H2400/G2400,0)</x:f>
        <x:v>1</x:v>
      </x:c>
      <x:c r="K2400" t="n">
        <x:v>793227</x:v>
      </x:c>
      <x:c r="L2400" t="n">
        <x:v>886091.5</x:v>
      </x:c>
      <x:c r="M2400" t="n">
        <x:v>978956</x:v>
      </x:c>
      <x:c r="N2400" t="n">
        <x:v>1026592.5</x:v>
      </x:c>
      <x:c r="O2400" t="n">
        <x:v>1074229</x:v>
      </x:c>
    </x:row>
    <x:row r="2401">
      <x:c r="A2401" t="str">
        <x:v>Delhi</x:v>
      </x:c>
      <x:c r="B2401" t="str">
        <x:v>Central University</x:v>
      </x:c>
      <x:c r="C2401" t="str">
        <x:v>200449</x:v>
      </x:c>
      <x:c r="D2401" t="str">
        <x:v>Maulana Azad Medical College, New Delhi, 2 Bahadur Shah Zafar Marg New Delhi</x:v>
      </x:c>
      <x:c r="E2401" t="str">
        <x:v>Delhi University Quota</x:v>
      </x:c>
      <x:c r="F2401" t="str">
        <x:v>Open</x:v>
      </x:c>
      <x:c r="G2401" t="n">
        <x:v>94</x:v>
      </x:c>
      <x:c r="H2401" t="n">
        <x:v>94</x:v>
      </x:c>
      <x:c r="I2401" t="n">
        <x:f>G2401-H2401</x:f>
        <x:v>0</x:v>
      </x:c>
      <x:c r="J2401" s="20" t="n">
        <x:f>IFERROR(H2401/G2401,0)</x:f>
        <x:v>1</x:v>
      </x:c>
      <x:c r="K2401" t="n">
        <x:v>130</x:v>
      </x:c>
      <x:c r="L2401" t="n">
        <x:v>899.75</x:v>
      </x:c>
      <x:c r="M2401" t="n">
        <x:v>1493.5</x:v>
      </x:c>
      <x:c r="N2401" t="n">
        <x:v>2186.25</x:v>
      </x:c>
      <x:c r="O2401" t="n">
        <x:v>2662</x:v>
      </x:c>
    </x:row>
    <x:row r="2402">
      <x:c r="A2402" t="str">
        <x:v>Delhi</x:v>
      </x:c>
      <x:c r="B2402" t="str">
        <x:v>Central University</x:v>
      </x:c>
      <x:c r="C2402" t="str">
        <x:v>200449</x:v>
      </x:c>
      <x:c r="D2402" t="str">
        <x:v>Maulana Azad Medical College, New Delhi, 2 Bahadur Shah Zafar Marg New Delhi</x:v>
      </x:c>
      <x:c r="E2402" t="str">
        <x:v>Delhi University Quota</x:v>
      </x:c>
      <x:c r="F2402" t="str">
        <x:v>Open PwD</x:v>
      </x:c>
      <x:c r="G2402" t="n">
        <x:v>5</x:v>
      </x:c>
      <x:c r="H2402" t="n">
        <x:v>5</x:v>
      </x:c>
      <x:c r="I2402" t="n">
        <x:f>G2402-H2402</x:f>
        <x:v>0</x:v>
      </x:c>
      <x:c r="J2402" s="20" t="n">
        <x:f>IFERROR(H2402/G2402,0)</x:f>
        <x:v>1</x:v>
      </x:c>
      <x:c r="K2402" t="n">
        <x:v>311078</x:v>
      </x:c>
      <x:c r="L2402" t="n">
        <x:v>373356</x:v>
      </x:c>
      <x:c r="M2402" t="n">
        <x:v>473999</x:v>
      </x:c>
      <x:c r="N2402" t="n">
        <x:v>485559</x:v>
      </x:c>
      <x:c r="O2402" t="n">
        <x:v>591514</x:v>
      </x:c>
    </x:row>
    <x:row r="2403">
      <x:c r="A2403" t="str">
        <x:v>Delhi</x:v>
      </x:c>
      <x:c r="B2403" t="str">
        <x:v>Central University</x:v>
      </x:c>
      <x:c r="C2403" t="str">
        <x:v>200449</x:v>
      </x:c>
      <x:c r="D2403" t="str">
        <x:v>Maulana Azad Medical College, New Delhi, 2 Bahadur Shah Zafar Marg New Delhi</x:v>
      </x:c>
      <x:c r="E2403" t="str">
        <x:v>Delhi University Quota</x:v>
      </x:c>
      <x:c r="F2403" t="str">
        <x:v>SC</x:v>
      </x:c>
      <x:c r="G2403" t="n">
        <x:v>29</x:v>
      </x:c>
      <x:c r="H2403" t="n">
        <x:v>29</x:v>
      </x:c>
      <x:c r="I2403" t="n">
        <x:f>G2403-H2403</x:f>
        <x:v>0</x:v>
      </x:c>
      <x:c r="J2403" s="20" t="n">
        <x:f>IFERROR(H2403/G2403,0)</x:f>
        <x:v>1</x:v>
      </x:c>
      <x:c r="K2403" t="n">
        <x:v>12367</x:v>
      </x:c>
      <x:c r="L2403" t="n">
        <x:v>25328</x:v>
      </x:c>
      <x:c r="M2403" t="n">
        <x:v>28082</x:v>
      </x:c>
      <x:c r="N2403" t="n">
        <x:v>37361</x:v>
      </x:c>
      <x:c r="O2403" t="n">
        <x:v>42256</x:v>
      </x:c>
    </x:row>
    <x:row r="2404">
      <x:c r="A2404" t="str">
        <x:v>Delhi</x:v>
      </x:c>
      <x:c r="B2404" t="str">
        <x:v>Central University</x:v>
      </x:c>
      <x:c r="C2404" t="str">
        <x:v>200449</x:v>
      </x:c>
      <x:c r="D2404" t="str">
        <x:v>Maulana Azad Medical College, New Delhi, 2 Bahadur Shah Zafar Marg New Delhi</x:v>
      </x:c>
      <x:c r="E2404" t="str">
        <x:v>Delhi University Quota</x:v>
      </x:c>
      <x:c r="F2404" t="str">
        <x:v>SC PwD</x:v>
      </x:c>
      <x:c r="G2404" t="n">
        <x:v>1</x:v>
      </x:c>
      <x:c r="H2404" t="n">
        <x:v>1</x:v>
      </x:c>
      <x:c r="I2404" t="n">
        <x:f>G2404-H2404</x:f>
        <x:v>0</x:v>
      </x:c>
      <x:c r="J2404" s="20" t="n">
        <x:f>IFERROR(H2404/G2404,0)</x:f>
        <x:v>1</x:v>
      </x:c>
      <x:c r="K2404" t="n">
        <x:v>666746</x:v>
      </x:c>
      <x:c r="L2404" t="n">
        <x:v>666746</x:v>
      </x:c>
      <x:c r="M2404" t="n">
        <x:v>666746</x:v>
      </x:c>
      <x:c r="N2404" t="n">
        <x:v>666746</x:v>
      </x:c>
      <x:c r="O2404" t="n">
        <x:v>666746</x:v>
      </x:c>
    </x:row>
    <x:row r="2405">
      <x:c r="A2405" t="str">
        <x:v>Delhi</x:v>
      </x:c>
      <x:c r="B2405" t="str">
        <x:v>Central University</x:v>
      </x:c>
      <x:c r="C2405" t="str">
        <x:v>200449</x:v>
      </x:c>
      <x:c r="D2405" t="str">
        <x:v>Maulana Azad Medical College, New Delhi, 2 Bahadur Shah Zafar Marg New Delhi</x:v>
      </x:c>
      <x:c r="E2405" t="str">
        <x:v>Delhi University Quota</x:v>
      </x:c>
      <x:c r="F2405" t="str">
        <x:v>ST</x:v>
      </x:c>
      <x:c r="G2405" t="n">
        <x:v>14</x:v>
      </x:c>
      <x:c r="H2405" t="n">
        <x:v>14</x:v>
      </x:c>
      <x:c r="I2405" t="n">
        <x:f>G2405-H2405</x:f>
        <x:v>0</x:v>
      </x:c>
      <x:c r="J2405" s="20" t="n">
        <x:f>IFERROR(H2405/G2405,0)</x:f>
        <x:v>1</x:v>
      </x:c>
      <x:c r="K2405" t="n">
        <x:v>7806</x:v>
      </x:c>
      <x:c r="L2405" t="n">
        <x:v>16767</x:v>
      </x:c>
      <x:c r="M2405" t="n">
        <x:v>30567.5</x:v>
      </x:c>
      <x:c r="N2405" t="n">
        <x:v>63547.25</x:v>
      </x:c>
      <x:c r="O2405" t="n">
        <x:v>70234</x:v>
      </x:c>
    </x:row>
    <x:row r="2406">
      <x:c r="A2406" t="str">
        <x:v>Delhi</x:v>
      </x:c>
      <x:c r="B2406" t="str">
        <x:v>Central University</x:v>
      </x:c>
      <x:c r="C2406" t="str">
        <x:v>200449</x:v>
      </x:c>
      <x:c r="D2406" t="str">
        <x:v>Maulana Azad Medical College, New Delhi, 2 Bahadur Shah Zafar Marg New Delhi</x:v>
      </x:c>
      <x:c r="E2406" t="str">
        <x:v>Delhi University Quota</x:v>
      </x:c>
      <x:c r="F2406" t="str">
        <x:v>ST PwD</x:v>
      </x:c>
      <x:c r="G2406" t="n">
        <x:v>1</x:v>
      </x:c>
      <x:c r="H2406" t="n">
        <x:v>0</x:v>
      </x:c>
      <x:c r="I2406" t="n">
        <x:f>G2406-H2406</x:f>
        <x:v>1</x:v>
      </x:c>
      <x:c r="J2406" s="20" t="n">
        <x:f>IFERROR(H2406/G2406,0)</x:f>
        <x:v>0</x:v>
      </x:c>
      <x:c r="K2406"/>
      <x:c r="L2406"/>
      <x:c r="M2406"/>
      <x:c r="N2406"/>
      <x:c r="O2406"/>
    </x:row>
    <x:row r="2407">
      <x:c r="A2407" t="str">
        <x:v>Gujarat</x:v>
      </x:c>
      <x:c r="B2407" t="str">
        <x:v>All India except Central University</x:v>
      </x:c>
      <x:c r="C2407" t="str">
        <x:v>200142</x:v>
      </x:c>
      <x:c r="D2407" t="str">
        <x:v>Medical College, Baroda, Government Medical College Baroda, Anandpura, Vadodara Pin No 390001</x:v>
      </x:c>
      <x:c r="E2407" t="str">
        <x:v>All India</x:v>
      </x:c>
      <x:c r="F2407" t="str">
        <x:v>EWS</x:v>
      </x:c>
      <x:c r="G2407" t="n">
        <x:v>4</x:v>
      </x:c>
      <x:c r="H2407" t="n">
        <x:v>4</x:v>
      </x:c>
      <x:c r="I2407" t="n">
        <x:f>G2407-H2407</x:f>
        <x:v>0</x:v>
      </x:c>
      <x:c r="J2407" s="20" t="n">
        <x:f>IFERROR(H2407/G2407,0)</x:f>
        <x:v>1</x:v>
      </x:c>
      <x:c r="K2407" t="n">
        <x:v>5228</x:v>
      </x:c>
      <x:c r="L2407" t="n">
        <x:v>5513.75</x:v>
      </x:c>
      <x:c r="M2407" t="n">
        <x:v>5618</x:v>
      </x:c>
      <x:c r="N2407" t="n">
        <x:v>5631.5</x:v>
      </x:c>
      <x:c r="O2407" t="n">
        <x:v>5645</x:v>
      </x:c>
    </x:row>
    <x:row r="2408">
      <x:c r="A2408" t="str">
        <x:v>Gujarat</x:v>
      </x:c>
      <x:c r="B2408" t="str">
        <x:v>All India except Central University</x:v>
      </x:c>
      <x:c r="C2408" t="str">
        <x:v>200142</x:v>
      </x:c>
      <x:c r="D2408" t="str">
        <x:v>Medical College, Baroda, Government Medical College Baroda, Anandpura, Vadodara Pin No 390001</x:v>
      </x:c>
      <x:c r="E2408" t="str">
        <x:v>All India</x:v>
      </x:c>
      <x:c r="F2408" t="str">
        <x:v>OBC</x:v>
      </x:c>
      <x:c r="G2408" t="n">
        <x:v>9</x:v>
      </x:c>
      <x:c r="H2408" t="n">
        <x:v>9</x:v>
      </x:c>
      <x:c r="I2408" t="n">
        <x:f>G2408-H2408</x:f>
        <x:v>0</x:v>
      </x:c>
      <x:c r="J2408" s="20" t="n">
        <x:f>IFERROR(H2408/G2408,0)</x:f>
        <x:v>1</x:v>
      </x:c>
      <x:c r="K2408" t="n">
        <x:v>3907</x:v>
      </x:c>
      <x:c r="L2408" t="n">
        <x:v>4510</x:v>
      </x:c>
      <x:c r="M2408" t="n">
        <x:v>4657</x:v>
      </x:c>
      <x:c r="N2408" t="n">
        <x:v>4772</x:v>
      </x:c>
      <x:c r="O2408" t="n">
        <x:v>4875</x:v>
      </x:c>
    </x:row>
    <x:row r="2409">
      <x:c r="A2409" t="str">
        <x:v>Gujarat</x:v>
      </x:c>
      <x:c r="B2409" t="str">
        <x:v>All India except Central University</x:v>
      </x:c>
      <x:c r="C2409" t="str">
        <x:v>200142</x:v>
      </x:c>
      <x:c r="D2409" t="str">
        <x:v>Medical College, Baroda, Government Medical College Baroda, Anandpura, Vadodara Pin No 390001</x:v>
      </x:c>
      <x:c r="E2409" t="str">
        <x:v>All India</x:v>
      </x:c>
      <x:c r="F2409" t="str">
        <x:v>OBC PwD</x:v>
      </x:c>
      <x:c r="G2409" t="n">
        <x:v>1</x:v>
      </x:c>
      <x:c r="H2409" t="n">
        <x:v>1</x:v>
      </x:c>
      <x:c r="I2409" t="n">
        <x:f>G2409-H2409</x:f>
        <x:v>0</x:v>
      </x:c>
      <x:c r="J2409" s="20" t="n">
        <x:f>IFERROR(H2409/G2409,0)</x:f>
        <x:v>1</x:v>
      </x:c>
      <x:c r="K2409" t="n">
        <x:v>279207</x:v>
      </x:c>
      <x:c r="L2409" t="n">
        <x:v>279207</x:v>
      </x:c>
      <x:c r="M2409" t="n">
        <x:v>279207</x:v>
      </x:c>
      <x:c r="N2409" t="n">
        <x:v>279207</x:v>
      </x:c>
      <x:c r="O2409" t="n">
        <x:v>279207</x:v>
      </x:c>
    </x:row>
    <x:row r="2410">
      <x:c r="A2410" t="str">
        <x:v>Gujarat</x:v>
      </x:c>
      <x:c r="B2410" t="str">
        <x:v>All India except Central University</x:v>
      </x:c>
      <x:c r="C2410" t="str">
        <x:v>200142</x:v>
      </x:c>
      <x:c r="D2410" t="str">
        <x:v>Medical College, Baroda, Government Medical College Baroda, Anandpura, Vadodara Pin No 390001</x:v>
      </x:c>
      <x:c r="E2410" t="str">
        <x:v>All India</x:v>
      </x:c>
      <x:c r="F2410" t="str">
        <x:v>Open</x:v>
      </x:c>
      <x:c r="G2410" t="n">
        <x:v>15</x:v>
      </x:c>
      <x:c r="H2410" t="n">
        <x:v>15</x:v>
      </x:c>
      <x:c r="I2410" t="n">
        <x:f>G2410-H2410</x:f>
        <x:v>0</x:v>
      </x:c>
      <x:c r="J2410" s="20" t="n">
        <x:f>IFERROR(H2410/G2410,0)</x:f>
        <x:v>1</x:v>
      </x:c>
      <x:c r="K2410" t="n">
        <x:v>176</x:v>
      </x:c>
      <x:c r="L2410" t="n">
        <x:v>2289.5</x:v>
      </x:c>
      <x:c r="M2410" t="n">
        <x:v>2601</x:v>
      </x:c>
      <x:c r="N2410" t="n">
        <x:v>2805</x:v>
      </x:c>
      <x:c r="O2410" t="n">
        <x:v>3061</x:v>
      </x:c>
    </x:row>
    <x:row r="2411">
      <x:c r="A2411" t="str">
        <x:v>Gujarat</x:v>
      </x:c>
      <x:c r="B2411" t="str">
        <x:v>All India except Central University</x:v>
      </x:c>
      <x:c r="C2411" t="str">
        <x:v>200142</x:v>
      </x:c>
      <x:c r="D2411" t="str">
        <x:v>Medical College, Baroda, Government Medical College Baroda, Anandpura, Vadodara Pin No 390001</x:v>
      </x:c>
      <x:c r="E2411" t="str">
        <x:v>All India</x:v>
      </x:c>
      <x:c r="F2411" t="str">
        <x:v>SC</x:v>
      </x:c>
      <x:c r="G2411" t="n">
        <x:v>5</x:v>
      </x:c>
      <x:c r="H2411" t="n">
        <x:v>5</x:v>
      </x:c>
      <x:c r="I2411" t="n">
        <x:f>G2411-H2411</x:f>
        <x:v>0</x:v>
      </x:c>
      <x:c r="J2411" s="20" t="n">
        <x:f>IFERROR(H2411/G2411,0)</x:f>
        <x:v>1</x:v>
      </x:c>
      <x:c r="K2411" t="n">
        <x:v>25268</x:v>
      </x:c>
      <x:c r="L2411" t="n">
        <x:v>28013</x:v>
      </x:c>
      <x:c r="M2411" t="n">
        <x:v>28698</x:v>
      </x:c>
      <x:c r="N2411" t="n">
        <x:v>29069</x:v>
      </x:c>
      <x:c r="O2411" t="n">
        <x:v>29210</x:v>
      </x:c>
    </x:row>
    <x:row r="2412">
      <x:c r="A2412" t="str">
        <x:v>Gujarat</x:v>
      </x:c>
      <x:c r="B2412" t="str">
        <x:v>All India except Central University</x:v>
      </x:c>
      <x:c r="C2412" t="str">
        <x:v>200142</x:v>
      </x:c>
      <x:c r="D2412" t="str">
        <x:v>Medical College, Baroda, Government Medical College Baroda, Anandpura, Vadodara Pin No 390001</x:v>
      </x:c>
      <x:c r="E2412" t="str">
        <x:v>All India</x:v>
      </x:c>
      <x:c r="F2412" t="str">
        <x:v>ST</x:v>
      </x:c>
      <x:c r="G2412" t="n">
        <x:v>3</x:v>
      </x:c>
      <x:c r="H2412" t="n">
        <x:v>3</x:v>
      </x:c>
      <x:c r="I2412" t="n">
        <x:f>G2412-H2412</x:f>
        <x:v>0</x:v>
      </x:c>
      <x:c r="J2412" s="20" t="n">
        <x:f>IFERROR(H2412/G2412,0)</x:f>
        <x:v>1</x:v>
      </x:c>
      <x:c r="K2412" t="n">
        <x:v>36907</x:v>
      </x:c>
      <x:c r="L2412" t="n">
        <x:v>42722.5</x:v>
      </x:c>
      <x:c r="M2412" t="n">
        <x:v>48538</x:v>
      </x:c>
      <x:c r="N2412" t="n">
        <x:v>50299</x:v>
      </x:c>
      <x:c r="O2412" t="n">
        <x:v>52060</x:v>
      </x:c>
    </x:row>
    <x:row r="2413">
      <x:c r="A2413" t="str">
        <x:v>Kerala</x:v>
      </x:c>
      <x:c r="B2413" t="str">
        <x:v>All India except Central University</x:v>
      </x:c>
      <x:c r="C2413" t="str">
        <x:v>200196</x:v>
      </x:c>
      <x:c r="D2413" t="str">
        <x:v>Medical College, Thiruvananthapuram, OFFICE OF THE PRINCIPAL,GOVT.MEDICAL COLLEGE THIRUVANANTHAPURAM,MEDICAL COLLEGE PO,KERALA</x:v>
      </x:c>
      <x:c r="E2413" t="str">
        <x:v>All India</x:v>
      </x:c>
      <x:c r="F2413" t="str">
        <x:v>EWS</x:v>
      </x:c>
      <x:c r="G2413" t="n">
        <x:v>4</x:v>
      </x:c>
      <x:c r="H2413" t="n">
        <x:v>4</x:v>
      </x:c>
      <x:c r="I2413" t="n">
        <x:f>G2413-H2413</x:f>
        <x:v>0</x:v>
      </x:c>
      <x:c r="J2413" s="20" t="n">
        <x:f>IFERROR(H2413/G2413,0)</x:f>
        <x:v>1</x:v>
      </x:c>
      <x:c r="K2413" t="n">
        <x:v>6090</x:v>
      </x:c>
      <x:c r="L2413" t="n">
        <x:v>7656</x:v>
      </x:c>
      <x:c r="M2413" t="n">
        <x:v>8477.5</x:v>
      </x:c>
      <x:c r="N2413" t="n">
        <x:v>8807.75</x:v>
      </x:c>
      <x:c r="O2413" t="n">
        <x:v>8900</x:v>
      </x:c>
    </x:row>
    <x:row r="2414">
      <x:c r="A2414" t="str">
        <x:v>Kerala</x:v>
      </x:c>
      <x:c r="B2414" t="str">
        <x:v>All India except Central University</x:v>
      </x:c>
      <x:c r="C2414" t="str">
        <x:v>200196</x:v>
      </x:c>
      <x:c r="D2414" t="str">
        <x:v>Medical College, Thiruvananthapuram, OFFICE OF THE PRINCIPAL,GOVT.MEDICAL COLLEGE THIRUVANANTHAPURAM,MEDICAL COLLEGE PO,KERALA</x:v>
      </x:c>
      <x:c r="E2414" t="str">
        <x:v>All India</x:v>
      </x:c>
      <x:c r="F2414" t="str">
        <x:v>OBC</x:v>
      </x:c>
      <x:c r="G2414" t="n">
        <x:v>10</x:v>
      </x:c>
      <x:c r="H2414" t="n">
        <x:v>10</x:v>
      </x:c>
      <x:c r="I2414" t="n">
        <x:f>G2414-H2414</x:f>
        <x:v>0</x:v>
      </x:c>
      <x:c r="J2414" s="20" t="n">
        <x:f>IFERROR(H2414/G2414,0)</x:f>
        <x:v>1</x:v>
      </x:c>
      <x:c r="K2414" t="n">
        <x:v>2234</x:v>
      </x:c>
      <x:c r="L2414" t="n">
        <x:v>2320.5</x:v>
      </x:c>
      <x:c r="M2414" t="n">
        <x:v>2380.5</x:v>
      </x:c>
      <x:c r="N2414" t="n">
        <x:v>2580</x:v>
      </x:c>
      <x:c r="O2414" t="n">
        <x:v>2688</x:v>
      </x:c>
    </x:row>
    <x:row r="2415">
      <x:c r="A2415" t="str">
        <x:v>Kerala</x:v>
      </x:c>
      <x:c r="B2415" t="str">
        <x:v>All India except Central University</x:v>
      </x:c>
      <x:c r="C2415" t="str">
        <x:v>200196</x:v>
      </x:c>
      <x:c r="D2415" t="str">
        <x:v>Medical College, Thiruvananthapuram, OFFICE OF THE PRINCIPAL,GOVT.MEDICAL COLLEGE THIRUVANANTHAPURAM,MEDICAL COLLEGE PO,KERALA</x:v>
      </x:c>
      <x:c r="E2415" t="str">
        <x:v>All India</x:v>
      </x:c>
      <x:c r="F2415" t="str">
        <x:v>Open</x:v>
      </x:c>
      <x:c r="G2415" t="n">
        <x:v>14</x:v>
      </x:c>
      <x:c r="H2415" t="n">
        <x:v>14</x:v>
      </x:c>
      <x:c r="I2415" t="n">
        <x:f>G2415-H2415</x:f>
        <x:v>0</x:v>
      </x:c>
      <x:c r="J2415" s="20" t="n">
        <x:f>IFERROR(H2415/G2415,0)</x:f>
        <x:v>1</x:v>
      </x:c>
      <x:c r="K2415" t="n">
        <x:v>1149</x:v>
      </x:c>
      <x:c r="L2415" t="n">
        <x:v>1648</x:v>
      </x:c>
      <x:c r="M2415" t="n">
        <x:v>1751</x:v>
      </x:c>
      <x:c r="N2415" t="n">
        <x:v>1892.75</x:v>
      </x:c>
      <x:c r="O2415" t="n">
        <x:v>2074</x:v>
      </x:c>
    </x:row>
    <x:row r="2416">
      <x:c r="A2416" t="str">
        <x:v>Kerala</x:v>
      </x:c>
      <x:c r="B2416" t="str">
        <x:v>All India except Central University</x:v>
      </x:c>
      <x:c r="C2416" t="str">
        <x:v>200196</x:v>
      </x:c>
      <x:c r="D2416" t="str">
        <x:v>Medical College, Thiruvananthapuram, OFFICE OF THE PRINCIPAL,GOVT.MEDICAL COLLEGE THIRUVANANTHAPURAM,MEDICAL COLLEGE PO,KERALA</x:v>
      </x:c>
      <x:c r="E2416" t="str">
        <x:v>All India</x:v>
      </x:c>
      <x:c r="F2416" t="str">
        <x:v>Open PwD</x:v>
      </x:c>
      <x:c r="G2416" t="n">
        <x:v>1</x:v>
      </x:c>
      <x:c r="H2416" t="n">
        <x:v>1</x:v>
      </x:c>
      <x:c r="I2416" t="n">
        <x:f>G2416-H2416</x:f>
        <x:v>0</x:v>
      </x:c>
      <x:c r="J2416" s="20" t="n">
        <x:f>IFERROR(H2416/G2416,0)</x:f>
        <x:v>1</x:v>
      </x:c>
      <x:c r="K2416" t="n">
        <x:v>206506</x:v>
      </x:c>
      <x:c r="L2416" t="n">
        <x:v>206506</x:v>
      </x:c>
      <x:c r="M2416" t="n">
        <x:v>206506</x:v>
      </x:c>
      <x:c r="N2416" t="n">
        <x:v>206506</x:v>
      </x:c>
      <x:c r="O2416" t="n">
        <x:v>206506</x:v>
      </x:c>
    </x:row>
    <x:row r="2417">
      <x:c r="A2417" t="str">
        <x:v>Kerala</x:v>
      </x:c>
      <x:c r="B2417" t="str">
        <x:v>All India except Central University</x:v>
      </x:c>
      <x:c r="C2417" t="str">
        <x:v>200196</x:v>
      </x:c>
      <x:c r="D2417" t="str">
        <x:v>Medical College, Thiruvananthapuram, OFFICE OF THE PRINCIPAL,GOVT.MEDICAL COLLEGE THIRUVANANTHAPURAM,MEDICAL COLLEGE PO,KERALA</x:v>
      </x:c>
      <x:c r="E2417" t="str">
        <x:v>All India</x:v>
      </x:c>
      <x:c r="F2417" t="str">
        <x:v>SC</x:v>
      </x:c>
      <x:c r="G2417" t="n">
        <x:v>5</x:v>
      </x:c>
      <x:c r="H2417" t="n">
        <x:v>5</x:v>
      </x:c>
      <x:c r="I2417" t="n">
        <x:f>G2417-H2417</x:f>
        <x:v>0</x:v>
      </x:c>
      <x:c r="J2417" s="20" t="n">
        <x:f>IFERROR(H2417/G2417,0)</x:f>
        <x:v>1</x:v>
      </x:c>
      <x:c r="K2417" t="n">
        <x:v>25581</x:v>
      </x:c>
      <x:c r="L2417" t="n">
        <x:v>33575</x:v>
      </x:c>
      <x:c r="M2417" t="n">
        <x:v>35238</x:v>
      </x:c>
      <x:c r="N2417" t="n">
        <x:v>40549</x:v>
      </x:c>
      <x:c r="O2417" t="n">
        <x:v>41750</x:v>
      </x:c>
    </x:row>
    <x:row r="2418">
      <x:c r="A2418" t="str">
        <x:v>Kerala</x:v>
      </x:c>
      <x:c r="B2418" t="str">
        <x:v>All India except Central University</x:v>
      </x:c>
      <x:c r="C2418" t="str">
        <x:v>200196</x:v>
      </x:c>
      <x:c r="D2418" t="str">
        <x:v>Medical College, Thiruvananthapuram, OFFICE OF THE PRINCIPAL,GOVT.MEDICAL COLLEGE THIRUVANANTHAPURAM,MEDICAL COLLEGE PO,KERALA</x:v>
      </x:c>
      <x:c r="E2418" t="str">
        <x:v>All India</x:v>
      </x:c>
      <x:c r="F2418" t="str">
        <x:v>ST</x:v>
      </x:c>
      <x:c r="G2418" t="n">
        <x:v>3</x:v>
      </x:c>
      <x:c r="H2418" t="n">
        <x:v>3</x:v>
      </x:c>
      <x:c r="I2418" t="n">
        <x:f>G2418-H2418</x:f>
        <x:v>0</x:v>
      </x:c>
      <x:c r="J2418" s="20" t="n">
        <x:f>IFERROR(H2418/G2418,0)</x:f>
        <x:v>1</x:v>
      </x:c>
      <x:c r="K2418" t="n">
        <x:v>53397</x:v>
      </x:c>
      <x:c r="L2418" t="n">
        <x:v>54140.5</x:v>
      </x:c>
      <x:c r="M2418" t="n">
        <x:v>54884</x:v>
      </x:c>
      <x:c r="N2418" t="n">
        <x:v>58622</x:v>
      </x:c>
      <x:c r="O2418" t="n">
        <x:v>62360</x:v>
      </x:c>
    </x:row>
    <x:row r="2419">
      <x:c r="A2419" t="str">
        <x:v>Tamil Nadu</x:v>
      </x:c>
      <x:c r="B2419" t="str">
        <x:v>Deemed University</x:v>
      </x:c>
      <x:c r="C2419" t="str">
        <x:v>200386</x:v>
      </x:c>
      <x:c r="D2419" t="str">
        <x:v>Meenakshi Medical College and Research Institute, Enathur, Enathur, Karaipettai Post, Kanchipuram</x:v>
      </x:c>
      <x:c r="E2419" t="str">
        <x:v>Self-Financed Merit</x:v>
      </x:c>
      <x:c r="F2419" t="str">
        <x:v>Open</x:v>
      </x:c>
      <x:c r="G2419" t="n">
        <x:v>250</x:v>
      </x:c>
      <x:c r="H2419" t="n">
        <x:v>250</x:v>
      </x:c>
      <x:c r="I2419" t="n">
        <x:f>G2419-H2419</x:f>
        <x:v>0</x:v>
      </x:c>
      <x:c r="J2419" s="20" t="n">
        <x:f>IFERROR(H2419/G2419,0)</x:f>
        <x:v>1</x:v>
      </x:c>
      <x:c r="K2419" t="n">
        <x:v>168922</x:v>
      </x:c>
      <x:c r="L2419" t="n">
        <x:v>649241</x:v>
      </x:c>
      <x:c r="M2419" t="n">
        <x:v>798969</x:v>
      </x:c>
      <x:c r="N2419" t="n">
        <x:v>911805.75</x:v>
      </x:c>
      <x:c r="O2419" t="n">
        <x:v>992101</x:v>
      </x:c>
    </x:row>
    <x:row r="2420">
      <x:c r="A2420" t="str">
        <x:v>West Bengal</x:v>
      </x:c>
      <x:c r="B2420" t="str">
        <x:v>All India except Central University</x:v>
      </x:c>
      <x:c r="C2420" t="str">
        <x:v>200317</x:v>
      </x:c>
      <x:c r="D2420" t="str">
        <x:v>Midnapore Medical College, Midnapore, 5, Vidyasagar Road Midnapore 721101 Paschim Medinipur</x:v>
      </x:c>
      <x:c r="E2420" t="str">
        <x:v>All India</x:v>
      </x:c>
      <x:c r="F2420" t="str">
        <x:v>EWS</x:v>
      </x:c>
      <x:c r="G2420" t="n">
        <x:v>3</x:v>
      </x:c>
      <x:c r="H2420" t="n">
        <x:v>3</x:v>
      </x:c>
      <x:c r="I2420" t="n">
        <x:f>G2420-H2420</x:f>
        <x:v>0</x:v>
      </x:c>
      <x:c r="J2420" s="20" t="n">
        <x:f>IFERROR(H2420/G2420,0)</x:f>
        <x:v>1</x:v>
      </x:c>
      <x:c r="K2420" t="n">
        <x:v>15175</x:v>
      </x:c>
      <x:c r="L2420" t="n">
        <x:v>15969</x:v>
      </x:c>
      <x:c r="M2420" t="n">
        <x:v>16763</x:v>
      </x:c>
      <x:c r="N2420" t="n">
        <x:v>16912.5</x:v>
      </x:c>
      <x:c r="O2420" t="n">
        <x:v>17062</x:v>
      </x:c>
    </x:row>
    <x:row r="2421">
      <x:c r="A2421" t="str">
        <x:v>West Bengal</x:v>
      </x:c>
      <x:c r="B2421" t="str">
        <x:v>All India except Central University</x:v>
      </x:c>
      <x:c r="C2421" t="str">
        <x:v>200317</x:v>
      </x:c>
      <x:c r="D2421" t="str">
        <x:v>Midnapore Medical College, Midnapore, 5, Vidyasagar Road Midnapore 721101 Paschim Medinipur</x:v>
      </x:c>
      <x:c r="E2421" t="str">
        <x:v>All India</x:v>
      </x:c>
      <x:c r="F2421" t="str">
        <x:v>EWS PwD</x:v>
      </x:c>
      <x:c r="G2421" t="n">
        <x:v>1</x:v>
      </x:c>
      <x:c r="H2421" t="n">
        <x:v>1</x:v>
      </x:c>
      <x:c r="I2421" t="n">
        <x:f>G2421-H2421</x:f>
        <x:v>0</x:v>
      </x:c>
      <x:c r="J2421" s="20" t="n">
        <x:f>IFERROR(H2421/G2421,0)</x:f>
        <x:v>1</x:v>
      </x:c>
      <x:c r="K2421" t="n">
        <x:v>668751</x:v>
      </x:c>
      <x:c r="L2421" t="n">
        <x:v>668751</x:v>
      </x:c>
      <x:c r="M2421" t="n">
        <x:v>668751</x:v>
      </x:c>
      <x:c r="N2421" t="n">
        <x:v>668751</x:v>
      </x:c>
      <x:c r="O2421" t="n">
        <x:v>668751</x:v>
      </x:c>
    </x:row>
    <x:row r="2422">
      <x:c r="A2422" t="str">
        <x:v>West Bengal</x:v>
      </x:c>
      <x:c r="B2422" t="str">
        <x:v>All India except Central University</x:v>
      </x:c>
      <x:c r="C2422" t="str">
        <x:v>200317</x:v>
      </x:c>
      <x:c r="D2422" t="str">
        <x:v>Midnapore Medical College, Midnapore, 5, Vidyasagar Road Midnapore 721101 Paschim Medinipur</x:v>
      </x:c>
      <x:c r="E2422" t="str">
        <x:v>All India</x:v>
      </x:c>
      <x:c r="F2422" t="str">
        <x:v>OBC</x:v>
      </x:c>
      <x:c r="G2422" t="n">
        <x:v>8</x:v>
      </x:c>
      <x:c r="H2422" t="n">
        <x:v>8</x:v>
      </x:c>
      <x:c r="I2422" t="n">
        <x:f>G2422-H2422</x:f>
        <x:v>0</x:v>
      </x:c>
      <x:c r="J2422" s="20" t="n">
        <x:f>IFERROR(H2422/G2422,0)</x:f>
        <x:v>1</x:v>
      </x:c>
      <x:c r="K2422" t="n">
        <x:v>15217</x:v>
      </x:c>
      <x:c r="L2422" t="n">
        <x:v>15383.25</x:v>
      </x:c>
      <x:c r="M2422" t="n">
        <x:v>15575.5</x:v>
      </x:c>
      <x:c r="N2422" t="n">
        <x:v>15987.25</x:v>
      </x:c>
      <x:c r="O2422" t="n">
        <x:v>16386</x:v>
      </x:c>
    </x:row>
    <x:row r="2423">
      <x:c r="A2423" t="str">
        <x:v>West Bengal</x:v>
      </x:c>
      <x:c r="B2423" t="str">
        <x:v>All India except Central University</x:v>
      </x:c>
      <x:c r="C2423" t="str">
        <x:v>200317</x:v>
      </x:c>
      <x:c r="D2423" t="str">
        <x:v>Midnapore Medical College, Midnapore, 5, Vidyasagar Road Midnapore 721101 Paschim Medinipur</x:v>
      </x:c>
      <x:c r="E2423" t="str">
        <x:v>All India</x:v>
      </x:c>
      <x:c r="F2423" t="str">
        <x:v>Open</x:v>
      </x:c>
      <x:c r="G2423" t="n">
        <x:v>10</x:v>
      </x:c>
      <x:c r="H2423" t="n">
        <x:v>10</x:v>
      </x:c>
      <x:c r="I2423" t="n">
        <x:f>G2423-H2423</x:f>
        <x:v>0</x:v>
      </x:c>
      <x:c r="J2423" s="20" t="n">
        <x:f>IFERROR(H2423/G2423,0)</x:f>
        <x:v>1</x:v>
      </x:c>
      <x:c r="K2423" t="n">
        <x:v>8672</x:v>
      </x:c>
      <x:c r="L2423" t="n">
        <x:v>12623</x:v>
      </x:c>
      <x:c r="M2423" t="n">
        <x:v>13546.5</x:v>
      </x:c>
      <x:c r="N2423" t="n">
        <x:v>14079.25</x:v>
      </x:c>
      <x:c r="O2423" t="n">
        <x:v>14600</x:v>
      </x:c>
    </x:row>
    <x:row r="2424">
      <x:c r="A2424" t="str">
        <x:v>West Bengal</x:v>
      </x:c>
      <x:c r="B2424" t="str">
        <x:v>All India except Central University</x:v>
      </x:c>
      <x:c r="C2424" t="str">
        <x:v>200317</x:v>
      </x:c>
      <x:c r="D2424" t="str">
        <x:v>Midnapore Medical College, Midnapore, 5, Vidyasagar Road Midnapore 721101 Paschim Medinipur</x:v>
      </x:c>
      <x:c r="E2424" t="str">
        <x:v>All India</x:v>
      </x:c>
      <x:c r="F2424" t="str">
        <x:v>Open PwD</x:v>
      </x:c>
      <x:c r="G2424" t="n">
        <x:v>1</x:v>
      </x:c>
      <x:c r="H2424" t="n">
        <x:v>1</x:v>
      </x:c>
      <x:c r="I2424" t="n">
        <x:f>G2424-H2424</x:f>
        <x:v>0</x:v>
      </x:c>
      <x:c r="J2424" s="20" t="n">
        <x:f>IFERROR(H2424/G2424,0)</x:f>
        <x:v>1</x:v>
      </x:c>
      <x:c r="K2424" t="n">
        <x:v>459946</x:v>
      </x:c>
      <x:c r="L2424" t="n">
        <x:v>459946</x:v>
      </x:c>
      <x:c r="M2424" t="n">
        <x:v>459946</x:v>
      </x:c>
      <x:c r="N2424" t="n">
        <x:v>459946</x:v>
      </x:c>
      <x:c r="O2424" t="n">
        <x:v>459946</x:v>
      </x:c>
    </x:row>
    <x:row r="2425">
      <x:c r="A2425" t="str">
        <x:v>West Bengal</x:v>
      </x:c>
      <x:c r="B2425" t="str">
        <x:v>All India except Central University</x:v>
      </x:c>
      <x:c r="C2425" t="str">
        <x:v>200317</x:v>
      </x:c>
      <x:c r="D2425" t="str">
        <x:v>Midnapore Medical College, Midnapore, 5, Vidyasagar Road Midnapore 721101 Paschim Medinipur</x:v>
      </x:c>
      <x:c r="E2425" t="str">
        <x:v>All India</x:v>
      </x:c>
      <x:c r="F2425" t="str">
        <x:v>SC</x:v>
      </x:c>
      <x:c r="G2425" t="n">
        <x:v>5</x:v>
      </x:c>
      <x:c r="H2425" t="n">
        <x:v>5</x:v>
      </x:c>
      <x:c r="I2425" t="n">
        <x:f>G2425-H2425</x:f>
        <x:v>0</x:v>
      </x:c>
      <x:c r="J2425" s="20" t="n">
        <x:f>IFERROR(H2425/G2425,0)</x:f>
        <x:v>1</x:v>
      </x:c>
      <x:c r="K2425" t="n">
        <x:v>45614</x:v>
      </x:c>
      <x:c r="L2425" t="n">
        <x:v>78786</x:v>
      </x:c>
      <x:c r="M2425" t="n">
        <x:v>81021</x:v>
      </x:c>
      <x:c r="N2425" t="n">
        <x:v>81692</x:v>
      </x:c>
      <x:c r="O2425" t="n">
        <x:v>83089</x:v>
      </x:c>
    </x:row>
    <x:row r="2426">
      <x:c r="A2426" t="str">
        <x:v>West Bengal</x:v>
      </x:c>
      <x:c r="B2426" t="str">
        <x:v>All India except Central University</x:v>
      </x:c>
      <x:c r="C2426" t="str">
        <x:v>200317</x:v>
      </x:c>
      <x:c r="D2426" t="str">
        <x:v>Midnapore Medical College, Midnapore, 5, Vidyasagar Road Midnapore 721101 Paschim Medinipur</x:v>
      </x:c>
      <x:c r="E2426" t="str">
        <x:v>All India</x:v>
      </x:c>
      <x:c r="F2426" t="str">
        <x:v>ST</x:v>
      </x:c>
      <x:c r="G2426" t="n">
        <x:v>2</x:v>
      </x:c>
      <x:c r="H2426" t="n">
        <x:v>2</x:v>
      </x:c>
      <x:c r="I2426" t="n">
        <x:f>G2426-H2426</x:f>
        <x:v>0</x:v>
      </x:c>
      <x:c r="J2426" s="20" t="n">
        <x:f>IFERROR(H2426/G2426,0)</x:f>
        <x:v>1</x:v>
      </x:c>
      <x:c r="K2426" t="n">
        <x:v>107785</x:v>
      </x:c>
      <x:c r="L2426" t="n">
        <x:v>109097.75</x:v>
      </x:c>
      <x:c r="M2426" t="n">
        <x:v>110410.5</x:v>
      </x:c>
      <x:c r="N2426" t="n">
        <x:v>111723.25</x:v>
      </x:c>
      <x:c r="O2426" t="n">
        <x:v>113036</x:v>
      </x:c>
    </x:row>
    <x:row r="2427">
      <x:c r="A2427" t="str">
        <x:v>Uttar Pradesh</x:v>
      </x:c>
      <x:c r="B2427" t="str">
        <x:v>All India except Central University</x:v>
      </x:c>
      <x:c r="C2427" t="str">
        <x:v>200299</x:v>
      </x:c>
      <x:c r="D2427" t="str">
        <x:v>Moti Lal Nehru Medical College, Allahabad, Principal Office Moti Lal Nehru Medical College, Lowther Road George Town Prayagraj</x:v>
      </x:c>
      <x:c r="E2427" t="str">
        <x:v>All India</x:v>
      </x:c>
      <x:c r="F2427" t="str">
        <x:v>EWS</x:v>
      </x:c>
      <x:c r="G2427" t="n">
        <x:v>3</x:v>
      </x:c>
      <x:c r="H2427" t="n">
        <x:v>3</x:v>
      </x:c>
      <x:c r="I2427" t="n">
        <x:f>G2427-H2427</x:f>
        <x:v>0</x:v>
      </x:c>
      <x:c r="J2427" s="20" t="n">
        <x:f>IFERROR(H2427/G2427,0)</x:f>
        <x:v>1</x:v>
      </x:c>
      <x:c r="K2427" t="n">
        <x:v>5918</x:v>
      </x:c>
      <x:c r="L2427" t="n">
        <x:v>6443.5</x:v>
      </x:c>
      <x:c r="M2427" t="n">
        <x:v>6969</x:v>
      </x:c>
      <x:c r="N2427" t="n">
        <x:v>6973.5</x:v>
      </x:c>
      <x:c r="O2427" t="n">
        <x:v>6978</x:v>
      </x:c>
    </x:row>
    <x:row r="2428">
      <x:c r="A2428" t="str">
        <x:v>Uttar Pradesh</x:v>
      </x:c>
      <x:c r="B2428" t="str">
        <x:v>All India except Central University</x:v>
      </x:c>
      <x:c r="C2428" t="str">
        <x:v>200299</x:v>
      </x:c>
      <x:c r="D2428" t="str">
        <x:v>Moti Lal Nehru Medical College, Allahabad, Principal Office Moti Lal Nehru Medical College, Lowther Road George Town Prayagraj</x:v>
      </x:c>
      <x:c r="E2428" t="str">
        <x:v>All India</x:v>
      </x:c>
      <x:c r="F2428" t="str">
        <x:v>OBC</x:v>
      </x:c>
      <x:c r="G2428" t="n">
        <x:v>8</x:v>
      </x:c>
      <x:c r="H2428" t="n">
        <x:v>8</x:v>
      </x:c>
      <x:c r="I2428" t="n">
        <x:f>G2428-H2428</x:f>
        <x:v>0</x:v>
      </x:c>
      <x:c r="J2428" s="20" t="n">
        <x:f>IFERROR(H2428/G2428,0)</x:f>
        <x:v>1</x:v>
      </x:c>
      <x:c r="K2428" t="n">
        <x:v>6223</x:v>
      </x:c>
      <x:c r="L2428" t="n">
        <x:v>6310.75</x:v>
      </x:c>
      <x:c r="M2428" t="n">
        <x:v>6432.5</x:v>
      </x:c>
      <x:c r="N2428" t="n">
        <x:v>6611.25</x:v>
      </x:c>
      <x:c r="O2428" t="n">
        <x:v>6692</x:v>
      </x:c>
    </x:row>
    <x:row r="2429">
      <x:c r="A2429" t="str">
        <x:v>Uttar Pradesh</x:v>
      </x:c>
      <x:c r="B2429" t="str">
        <x:v>All India except Central University</x:v>
      </x:c>
      <x:c r="C2429" t="str">
        <x:v>200299</x:v>
      </x:c>
      <x:c r="D2429" t="str">
        <x:v>Moti Lal Nehru Medical College, Allahabad, Principal Office Moti Lal Nehru Medical College, Lowther Road George Town Prayagraj</x:v>
      </x:c>
      <x:c r="E2429" t="str">
        <x:v>All India</x:v>
      </x:c>
      <x:c r="F2429" t="str">
        <x:v>Open</x:v>
      </x:c>
      <x:c r="G2429" t="n">
        <x:v>12</x:v>
      </x:c>
      <x:c r="H2429" t="n">
        <x:v>12</x:v>
      </x:c>
      <x:c r="I2429" t="n">
        <x:f>G2429-H2429</x:f>
        <x:v>0</x:v>
      </x:c>
      <x:c r="J2429" s="20" t="n">
        <x:f>IFERROR(H2429/G2429,0)</x:f>
        <x:v>1</x:v>
      </x:c>
      <x:c r="K2429" t="n">
        <x:v>3095</x:v>
      </x:c>
      <x:c r="L2429" t="n">
        <x:v>4530.5</x:v>
      </x:c>
      <x:c r="M2429" t="n">
        <x:v>5258.5</x:v>
      </x:c>
      <x:c r="N2429" t="n">
        <x:v>5527</x:v>
      </x:c>
      <x:c r="O2429" t="n">
        <x:v>5603</x:v>
      </x:c>
    </x:row>
    <x:row r="2430">
      <x:c r="A2430" t="str">
        <x:v>Uttar Pradesh</x:v>
      </x:c>
      <x:c r="B2430" t="str">
        <x:v>All India except Central University</x:v>
      </x:c>
      <x:c r="C2430" t="str">
        <x:v>200299</x:v>
      </x:c>
      <x:c r="D2430" t="str">
        <x:v>Moti Lal Nehru Medical College, Allahabad, Principal Office Moti Lal Nehru Medical College, Lowther Road George Town Prayagraj</x:v>
      </x:c>
      <x:c r="E2430" t="str">
        <x:v>All India</x:v>
      </x:c>
      <x:c r="F2430" t="str">
        <x:v>Open PwD</x:v>
      </x:c>
      <x:c r="G2430" t="n">
        <x:v>1</x:v>
      </x:c>
      <x:c r="H2430" t="n">
        <x:v>1</x:v>
      </x:c>
      <x:c r="I2430" t="n">
        <x:f>G2430-H2430</x:f>
        <x:v>0</x:v>
      </x:c>
      <x:c r="J2430" s="20" t="n">
        <x:f>IFERROR(H2430/G2430,0)</x:f>
        <x:v>1</x:v>
      </x:c>
      <x:c r="K2430" t="n">
        <x:v>73597</x:v>
      </x:c>
      <x:c r="L2430" t="n">
        <x:v>73597</x:v>
      </x:c>
      <x:c r="M2430" t="n">
        <x:v>73597</x:v>
      </x:c>
      <x:c r="N2430" t="n">
        <x:v>73597</x:v>
      </x:c>
      <x:c r="O2430" t="n">
        <x:v>73597</x:v>
      </x:c>
    </x:row>
    <x:row r="2431">
      <x:c r="A2431" t="str">
        <x:v>Uttar Pradesh</x:v>
      </x:c>
      <x:c r="B2431" t="str">
        <x:v>All India except Central University</x:v>
      </x:c>
      <x:c r="C2431" t="str">
        <x:v>200299</x:v>
      </x:c>
      <x:c r="D2431" t="str">
        <x:v>Moti Lal Nehru Medical College, Allahabad, Principal Office Moti Lal Nehru Medical College, Lowther Road George Town Prayagraj</x:v>
      </x:c>
      <x:c r="E2431" t="str">
        <x:v>All India</x:v>
      </x:c>
      <x:c r="F2431" t="str">
        <x:v>SC</x:v>
      </x:c>
      <x:c r="G2431" t="n">
        <x:v>3</x:v>
      </x:c>
      <x:c r="H2431" t="n">
        <x:v>3</x:v>
      </x:c>
      <x:c r="I2431" t="n">
        <x:f>G2431-H2431</x:f>
        <x:v>0</x:v>
      </x:c>
      <x:c r="J2431" s="20" t="n">
        <x:f>IFERROR(H2431/G2431,0)</x:f>
        <x:v>1</x:v>
      </x:c>
      <x:c r="K2431" t="n">
        <x:v>23165</x:v>
      </x:c>
      <x:c r="L2431" t="n">
        <x:v>25831</x:v>
      </x:c>
      <x:c r="M2431" t="n">
        <x:v>28497</x:v>
      </x:c>
      <x:c r="N2431" t="n">
        <x:v>34364.5</x:v>
      </x:c>
      <x:c r="O2431" t="n">
        <x:v>40232</x:v>
      </x:c>
    </x:row>
    <x:row r="2432">
      <x:c r="A2432" t="str">
        <x:v>Uttar Pradesh</x:v>
      </x:c>
      <x:c r="B2432" t="str">
        <x:v>All India except Central University</x:v>
      </x:c>
      <x:c r="C2432" t="str">
        <x:v>200299</x:v>
      </x:c>
      <x:c r="D2432" t="str">
        <x:v>Moti Lal Nehru Medical College, Allahabad, Principal Office Moti Lal Nehru Medical College, Lowther Road George Town Prayagraj</x:v>
      </x:c>
      <x:c r="E2432" t="str">
        <x:v>All India</x:v>
      </x:c>
      <x:c r="F2432" t="str">
        <x:v>SC PwD</x:v>
      </x:c>
      <x:c r="G2432" t="n">
        <x:v>1</x:v>
      </x:c>
      <x:c r="H2432" t="n">
        <x:v>1</x:v>
      </x:c>
      <x:c r="I2432" t="n">
        <x:f>G2432-H2432</x:f>
        <x:v>0</x:v>
      </x:c>
      <x:c r="J2432" s="20" t="n">
        <x:f>IFERROR(H2432/G2432,0)</x:f>
        <x:v>1</x:v>
      </x:c>
      <x:c r="K2432" t="n">
        <x:v>177419</x:v>
      </x:c>
      <x:c r="L2432" t="n">
        <x:v>177419</x:v>
      </x:c>
      <x:c r="M2432" t="n">
        <x:v>177419</x:v>
      </x:c>
      <x:c r="N2432" t="n">
        <x:v>177419</x:v>
      </x:c>
      <x:c r="O2432" t="n">
        <x:v>177419</x:v>
      </x:c>
    </x:row>
    <x:row r="2433">
      <x:c r="A2433" t="str">
        <x:v>Uttar Pradesh</x:v>
      </x:c>
      <x:c r="B2433" t="str">
        <x:v>All India except Central University</x:v>
      </x:c>
      <x:c r="C2433" t="str">
        <x:v>200299</x:v>
      </x:c>
      <x:c r="D2433" t="str">
        <x:v>Moti Lal Nehru Medical College, Allahabad, Principal Office Moti Lal Nehru Medical College, Lowther Road George Town Prayagraj</x:v>
      </x:c>
      <x:c r="E2433" t="str">
        <x:v>All India</x:v>
      </x:c>
      <x:c r="F2433" t="str">
        <x:v>ST</x:v>
      </x:c>
      <x:c r="G2433" t="n">
        <x:v>2</x:v>
      </x:c>
      <x:c r="H2433" t="n">
        <x:v>2</x:v>
      </x:c>
      <x:c r="I2433" t="n">
        <x:f>G2433-H2433</x:f>
        <x:v>0</x:v>
      </x:c>
      <x:c r="J2433" s="20" t="n">
        <x:f>IFERROR(H2433/G2433,0)</x:f>
        <x:v>1</x:v>
      </x:c>
      <x:c r="K2433" t="n">
        <x:v>60209</x:v>
      </x:c>
      <x:c r="L2433" t="n">
        <x:v>61287</x:v>
      </x:c>
      <x:c r="M2433" t="n">
        <x:v>62365</x:v>
      </x:c>
      <x:c r="N2433" t="n">
        <x:v>63443</x:v>
      </x:c>
      <x:c r="O2433" t="n">
        <x:v>64521</x:v>
      </x:c>
    </x:row>
    <x:row r="2434">
      <x:c r="A2434" t="str">
        <x:v>West Bengal</x:v>
      </x:c>
      <x:c r="B2434" t="str">
        <x:v>All India except Central University</x:v>
      </x:c>
      <x:c r="C2434" t="str">
        <x:v>200318</x:v>
      </x:c>
      <x:c r="D2434" t="str">
        <x:v>Murshidabad Medical College &amp; Hospitals, Murshidabad, STATION ROAD, P.O. AND P.S. BERHAMPORE, DIST. MURSHIDABAD</x:v>
      </x:c>
      <x:c r="E2434" t="str">
        <x:v>All India</x:v>
      </x:c>
      <x:c r="F2434" t="str">
        <x:v>EWS</x:v>
      </x:c>
      <x:c r="G2434" t="n">
        <x:v>1</x:v>
      </x:c>
      <x:c r="H2434" t="n">
        <x:v>1</x:v>
      </x:c>
      <x:c r="I2434" t="n">
        <x:f>G2434-H2434</x:f>
        <x:v>0</x:v>
      </x:c>
      <x:c r="J2434" s="20" t="n">
        <x:f>IFERROR(H2434/G2434,0)</x:f>
        <x:v>1</x:v>
      </x:c>
      <x:c r="K2434" t="n">
        <x:v>17160</x:v>
      </x:c>
      <x:c r="L2434" t="n">
        <x:v>17160</x:v>
      </x:c>
      <x:c r="M2434" t="n">
        <x:v>17160</x:v>
      </x:c>
      <x:c r="N2434" t="n">
        <x:v>17160</x:v>
      </x:c>
      <x:c r="O2434" t="n">
        <x:v>17160</x:v>
      </x:c>
    </x:row>
    <x:row r="2435">
      <x:c r="A2435" t="str">
        <x:v>West Bengal</x:v>
      </x:c>
      <x:c r="B2435" t="str">
        <x:v>All India except Central University</x:v>
      </x:c>
      <x:c r="C2435" t="str">
        <x:v>200318</x:v>
      </x:c>
      <x:c r="D2435" t="str">
        <x:v>Murshidabad Medical College &amp; Hospitals, Murshidabad, STATION ROAD, P.O. AND P.S. BERHAMPORE, DIST. MURSHIDABAD</x:v>
      </x:c>
      <x:c r="E2435" t="str">
        <x:v>All India</x:v>
      </x:c>
      <x:c r="F2435" t="str">
        <x:v>OBC</x:v>
      </x:c>
      <x:c r="G2435" t="n">
        <x:v>6</x:v>
      </x:c>
      <x:c r="H2435" t="n">
        <x:v>6</x:v>
      </x:c>
      <x:c r="I2435" t="n">
        <x:f>G2435-H2435</x:f>
        <x:v>0</x:v>
      </x:c>
      <x:c r="J2435" s="20" t="n">
        <x:f>IFERROR(H2435/G2435,0)</x:f>
        <x:v>1</x:v>
      </x:c>
      <x:c r="K2435" t="n">
        <x:v>17122</x:v>
      </x:c>
      <x:c r="L2435" t="n">
        <x:v>17504.5</x:v>
      </x:c>
      <x:c r="M2435" t="n">
        <x:v>18025</x:v>
      </x:c>
      <x:c r="N2435" t="n">
        <x:v>18212.5</x:v>
      </x:c>
      <x:c r="O2435" t="n">
        <x:v>18336</x:v>
      </x:c>
    </x:row>
    <x:row r="2436">
      <x:c r="A2436" t="str">
        <x:v>West Bengal</x:v>
      </x:c>
      <x:c r="B2436" t="str">
        <x:v>All India except Central University</x:v>
      </x:c>
      <x:c r="C2436" t="str">
        <x:v>200318</x:v>
      </x:c>
      <x:c r="D2436" t="str">
        <x:v>Murshidabad Medical College &amp; Hospitals, Murshidabad, STATION ROAD, P.O. AND P.S. BERHAMPORE, DIST. MURSHIDABAD</x:v>
      </x:c>
      <x:c r="E2436" t="str">
        <x:v>All India</x:v>
      </x:c>
      <x:c r="F2436" t="str">
        <x:v>Open</x:v>
      </x:c>
      <x:c r="G2436" t="n">
        <x:v>10</x:v>
      </x:c>
      <x:c r="H2436" t="n">
        <x:v>10</x:v>
      </x:c>
      <x:c r="I2436" t="n">
        <x:f>G2436-H2436</x:f>
        <x:v>0</x:v>
      </x:c>
      <x:c r="J2436" s="20" t="n">
        <x:f>IFERROR(H2436/G2436,0)</x:f>
        <x:v>1</x:v>
      </x:c>
      <x:c r="K2436" t="n">
        <x:v>5807</x:v>
      </x:c>
      <x:c r="L2436" t="n">
        <x:v>14926</x:v>
      </x:c>
      <x:c r="M2436" t="n">
        <x:v>15434</x:v>
      </x:c>
      <x:c r="N2436" t="n">
        <x:v>16079.5</x:v>
      </x:c>
      <x:c r="O2436" t="n">
        <x:v>16677</x:v>
      </x:c>
    </x:row>
    <x:row r="2437">
      <x:c r="A2437" t="str">
        <x:v>West Bengal</x:v>
      </x:c>
      <x:c r="B2437" t="str">
        <x:v>All India except Central University</x:v>
      </x:c>
      <x:c r="C2437" t="str">
        <x:v>200318</x:v>
      </x:c>
      <x:c r="D2437" t="str">
        <x:v>Murshidabad Medical College &amp; Hospitals, Murshidabad, STATION ROAD, P.O. AND P.S. BERHAMPORE, DIST. MURSHIDABAD</x:v>
      </x:c>
      <x:c r="E2437" t="str">
        <x:v>All India</x:v>
      </x:c>
      <x:c r="F2437" t="str">
        <x:v>SC</x:v>
      </x:c>
      <x:c r="G2437" t="n">
        <x:v>2</x:v>
      </x:c>
      <x:c r="H2437" t="n">
        <x:v>2</x:v>
      </x:c>
      <x:c r="I2437" t="n">
        <x:f>G2437-H2437</x:f>
        <x:v>0</x:v>
      </x:c>
      <x:c r="J2437" s="20" t="n">
        <x:f>IFERROR(H2437/G2437,0)</x:f>
        <x:v>1</x:v>
      </x:c>
      <x:c r="K2437" t="n">
        <x:v>68755</x:v>
      </x:c>
      <x:c r="L2437" t="n">
        <x:v>73060.5</x:v>
      </x:c>
      <x:c r="M2437" t="n">
        <x:v>77366</x:v>
      </x:c>
      <x:c r="N2437" t="n">
        <x:v>81671.5</x:v>
      </x:c>
      <x:c r="O2437" t="n">
        <x:v>85977</x:v>
      </x:c>
    </x:row>
    <x:row r="2438">
      <x:c r="A2438" t="str">
        <x:v>West Bengal</x:v>
      </x:c>
      <x:c r="B2438" t="str">
        <x:v>All India except Central University</x:v>
      </x:c>
      <x:c r="C2438" t="str">
        <x:v>200318</x:v>
      </x:c>
      <x:c r="D2438" t="str">
        <x:v>Murshidabad Medical College &amp; Hospitals, Murshidabad, STATION ROAD, P.O. AND P.S. BERHAMPORE, DIST. MURSHIDABAD</x:v>
      </x:c>
      <x:c r="E2438" t="str">
        <x:v>All India</x:v>
      </x:c>
      <x:c r="F2438" t="str">
        <x:v>SC PwD</x:v>
      </x:c>
      <x:c r="G2438" t="n">
        <x:v>1</x:v>
      </x:c>
      <x:c r="H2438" t="n">
        <x:v>0</x:v>
      </x:c>
      <x:c r="I2438" t="n">
        <x:f>G2438-H2438</x:f>
        <x:v>1</x:v>
      </x:c>
      <x:c r="J2438" s="20" t="n">
        <x:f>IFERROR(H2438/G2438,0)</x:f>
        <x:v>0</x:v>
      </x:c>
      <x:c r="K2438"/>
      <x:c r="L2438"/>
      <x:c r="M2438"/>
      <x:c r="N2438"/>
      <x:c r="O2438"/>
    </x:row>
    <x:row r="2439">
      <x:c r="A2439" t="str">
        <x:v>West Bengal</x:v>
      </x:c>
      <x:c r="B2439" t="str">
        <x:v>All India except Central University</x:v>
      </x:c>
      <x:c r="C2439" t="str">
        <x:v>200318</x:v>
      </x:c>
      <x:c r="D2439" t="str">
        <x:v>Murshidabad Medical College &amp; Hospitals, Murshidabad, STATION ROAD, P.O. AND P.S. BERHAMPORE, DIST. MURSHIDABAD</x:v>
      </x:c>
      <x:c r="E2439" t="str">
        <x:v>All India</x:v>
      </x:c>
      <x:c r="F2439" t="str">
        <x:v>ST</x:v>
      </x:c>
      <x:c r="G2439" t="n">
        <x:v>1</x:v>
      </x:c>
      <x:c r="H2439" t="n">
        <x:v>1</x:v>
      </x:c>
      <x:c r="I2439" t="n">
        <x:f>G2439-H2439</x:f>
        <x:v>0</x:v>
      </x:c>
      <x:c r="J2439" s="20" t="n">
        <x:f>IFERROR(H2439/G2439,0)</x:f>
        <x:v>1</x:v>
      </x:c>
      <x:c r="K2439" t="n">
        <x:v>117048</x:v>
      </x:c>
      <x:c r="L2439" t="n">
        <x:v>117048</x:v>
      </x:c>
      <x:c r="M2439" t="n">
        <x:v>117048</x:v>
      </x:c>
      <x:c r="N2439" t="n">
        <x:v>117048</x:v>
      </x:c>
      <x:c r="O2439" t="n">
        <x:v>117048</x:v>
      </x:c>
    </x:row>
    <x:row r="2440">
      <x:c r="A2440" t="str">
        <x:v>West Bengal</x:v>
      </x:c>
      <x:c r="B2440" t="str">
        <x:v>All India except Central University</x:v>
      </x:c>
      <x:c r="C2440" t="str">
        <x:v>200318</x:v>
      </x:c>
      <x:c r="D2440" t="str">
        <x:v>Murshidabad Medical College &amp; Hospitals, Murshidabad, STATION ROAD, P.O. AND P.S. BERHAMPORE, DIST. MURSHIDABAD</x:v>
      </x:c>
      <x:c r="E2440" t="str">
        <x:v>All India</x:v>
      </x:c>
      <x:c r="F2440" t="str">
        <x:v>ST PwD</x:v>
      </x:c>
      <x:c r="G2440" t="n">
        <x:v>1</x:v>
      </x:c>
      <x:c r="H2440" t="n">
        <x:v>0</x:v>
      </x:c>
      <x:c r="I2440" t="n">
        <x:f>G2440-H2440</x:f>
        <x:v>1</x:v>
      </x:c>
      <x:c r="J2440" s="20" t="n">
        <x:f>IFERROR(H2440/G2440,0)</x:f>
        <x:v>0</x:v>
      </x:c>
      <x:c r="K2440"/>
      <x:c r="L2440"/>
      <x:c r="M2440"/>
      <x:c r="N2440"/>
      <x:c r="O2440"/>
    </x:row>
    <x:row r="2441">
      <x:c r="A2441" t="str">
        <x:v>Karnataka</x:v>
      </x:c>
      <x:c r="B2441" t="str">
        <x:v>All India except Central University</x:v>
      </x:c>
      <x:c r="C2441" t="str">
        <x:v>200178</x:v>
      </x:c>
      <x:c r="D2441" t="str">
        <x:v>Mysore Medical College and Research Instt. (Prev.name Government Medical College), Mysore, Mysore Medical College and Research Institute,Irwin Road, Mysore</x:v>
      </x:c>
      <x:c r="E2441" t="str">
        <x:v>All India</x:v>
      </x:c>
      <x:c r="F2441" t="str">
        <x:v>EWS</x:v>
      </x:c>
      <x:c r="G2441" t="n">
        <x:v>4</x:v>
      </x:c>
      <x:c r="H2441" t="n">
        <x:v>4</x:v>
      </x:c>
      <x:c r="I2441" t="n">
        <x:f>G2441-H2441</x:f>
        <x:v>0</x:v>
      </x:c>
      <x:c r="J2441" s="20" t="n">
        <x:f>IFERROR(H2441/G2441,0)</x:f>
        <x:v>1</x:v>
      </x:c>
      <x:c r="K2441" t="n">
        <x:v>4333</x:v>
      </x:c>
      <x:c r="L2441" t="n">
        <x:v>4399</x:v>
      </x:c>
      <x:c r="M2441" t="n">
        <x:v>5056.5</x:v>
      </x:c>
      <x:c r="N2441" t="n">
        <x:v>5706</x:v>
      </x:c>
      <x:c r="O2441" t="n">
        <x:v>5748</x:v>
      </x:c>
    </x:row>
    <x:row r="2442">
      <x:c r="A2442" t="str">
        <x:v>Karnataka</x:v>
      </x:c>
      <x:c r="B2442" t="str">
        <x:v>All India except Central University</x:v>
      </x:c>
      <x:c r="C2442" t="str">
        <x:v>200178</x:v>
      </x:c>
      <x:c r="D2442" t="str">
        <x:v>Mysore Medical College and Research Instt. (Prev.name Government Medical College), Mysore, Mysore Medical College and Research Institute,Irwin Road, Mysore</x:v>
      </x:c>
      <x:c r="E2442" t="str">
        <x:v>All India</x:v>
      </x:c>
      <x:c r="F2442" t="str">
        <x:v>OBC</x:v>
      </x:c>
      <x:c r="G2442" t="n">
        <x:v>9</x:v>
      </x:c>
      <x:c r="H2442" t="n">
        <x:v>9</x:v>
      </x:c>
      <x:c r="I2442" t="n">
        <x:f>G2442-H2442</x:f>
        <x:v>0</x:v>
      </x:c>
      <x:c r="J2442" s="20" t="n">
        <x:f>IFERROR(H2442/G2442,0)</x:f>
        <x:v>1</x:v>
      </x:c>
      <x:c r="K2442" t="n">
        <x:v>4267</x:v>
      </x:c>
      <x:c r="L2442" t="n">
        <x:v>4455</x:v>
      </x:c>
      <x:c r="M2442" t="n">
        <x:v>4900</x:v>
      </x:c>
      <x:c r="N2442" t="n">
        <x:v>5391</x:v>
      </x:c>
      <x:c r="O2442" t="n">
        <x:v>5435</x:v>
      </x:c>
    </x:row>
    <x:row r="2443">
      <x:c r="A2443" t="str">
        <x:v>Karnataka</x:v>
      </x:c>
      <x:c r="B2443" t="str">
        <x:v>All India except Central University</x:v>
      </x:c>
      <x:c r="C2443" t="str">
        <x:v>200178</x:v>
      </x:c>
      <x:c r="D2443" t="str">
        <x:v>Mysore Medical College and Research Instt. (Prev.name Government Medical College), Mysore, Mysore Medical College and Research Institute,Irwin Road, Mysore</x:v>
      </x:c>
      <x:c r="E2443" t="str">
        <x:v>All India</x:v>
      </x:c>
      <x:c r="F2443" t="str">
        <x:v>OBC PwD</x:v>
      </x:c>
      <x:c r="G2443" t="n">
        <x:v>1</x:v>
      </x:c>
      <x:c r="H2443" t="n">
        <x:v>1</x:v>
      </x:c>
      <x:c r="I2443" t="n">
        <x:f>G2443-H2443</x:f>
        <x:v>0</x:v>
      </x:c>
      <x:c r="J2443" s="20" t="n">
        <x:f>IFERROR(H2443/G2443,0)</x:f>
        <x:v>1</x:v>
      </x:c>
      <x:c r="K2443" t="n">
        <x:v>291807</x:v>
      </x:c>
      <x:c r="L2443" t="n">
        <x:v>291807</x:v>
      </x:c>
      <x:c r="M2443" t="n">
        <x:v>291807</x:v>
      </x:c>
      <x:c r="N2443" t="n">
        <x:v>291807</x:v>
      </x:c>
      <x:c r="O2443" t="n">
        <x:v>291807</x:v>
      </x:c>
    </x:row>
    <x:row r="2444">
      <x:c r="A2444" t="str">
        <x:v>Karnataka</x:v>
      </x:c>
      <x:c r="B2444" t="str">
        <x:v>All India except Central University</x:v>
      </x:c>
      <x:c r="C2444" t="str">
        <x:v>200178</x:v>
      </x:c>
      <x:c r="D2444" t="str">
        <x:v>Mysore Medical College and Research Instt. (Prev.name Government Medical College), Mysore, Mysore Medical College and Research Institute,Irwin Road, Mysore</x:v>
      </x:c>
      <x:c r="E2444" t="str">
        <x:v>All India</x:v>
      </x:c>
      <x:c r="F2444" t="str">
        <x:v>Open</x:v>
      </x:c>
      <x:c r="G2444" t="n">
        <x:v>14</x:v>
      </x:c>
      <x:c r="H2444" t="n">
        <x:v>14</x:v>
      </x:c>
      <x:c r="I2444" t="n">
        <x:f>G2444-H2444</x:f>
        <x:v>0</x:v>
      </x:c>
      <x:c r="J2444" s="20" t="n">
        <x:f>IFERROR(H2444/G2444,0)</x:f>
        <x:v>1</x:v>
      </x:c>
      <x:c r="K2444" t="n">
        <x:v>1811</x:v>
      </x:c>
      <x:c r="L2444" t="n">
        <x:v>2979.75</x:v>
      </x:c>
      <x:c r="M2444" t="n">
        <x:v>3334</x:v>
      </x:c>
      <x:c r="N2444" t="n">
        <x:v>3542.75</x:v>
      </x:c>
      <x:c r="O2444" t="n">
        <x:v>4060</x:v>
      </x:c>
    </x:row>
    <x:row r="2445">
      <x:c r="A2445" t="str">
        <x:v>Karnataka</x:v>
      </x:c>
      <x:c r="B2445" t="str">
        <x:v>All India except Central University</x:v>
      </x:c>
      <x:c r="C2445" t="str">
        <x:v>200178</x:v>
      </x:c>
      <x:c r="D2445" t="str">
        <x:v>Mysore Medical College and Research Instt. (Prev.name Government Medical College), Mysore, Mysore Medical College and Research Institute,Irwin Road, Mysore</x:v>
      </x:c>
      <x:c r="E2445" t="str">
        <x:v>All India</x:v>
      </x:c>
      <x:c r="F2445" t="str">
        <x:v>Open PwD</x:v>
      </x:c>
      <x:c r="G2445" t="n">
        <x:v>1</x:v>
      </x:c>
      <x:c r="H2445" t="n">
        <x:v>1</x:v>
      </x:c>
      <x:c r="I2445" t="n">
        <x:f>G2445-H2445</x:f>
        <x:v>0</x:v>
      </x:c>
      <x:c r="J2445" s="20" t="n">
        <x:f>IFERROR(H2445/G2445,0)</x:f>
        <x:v>1</x:v>
      </x:c>
      <x:c r="K2445" t="n">
        <x:v>189475</x:v>
      </x:c>
      <x:c r="L2445" t="n">
        <x:v>189475</x:v>
      </x:c>
      <x:c r="M2445" t="n">
        <x:v>189475</x:v>
      </x:c>
      <x:c r="N2445" t="n">
        <x:v>189475</x:v>
      </x:c>
      <x:c r="O2445" t="n">
        <x:v>189475</x:v>
      </x:c>
    </x:row>
    <x:row r="2446">
      <x:c r="A2446" t="str">
        <x:v>Karnataka</x:v>
      </x:c>
      <x:c r="B2446" t="str">
        <x:v>All India except Central University</x:v>
      </x:c>
      <x:c r="C2446" t="str">
        <x:v>200178</x:v>
      </x:c>
      <x:c r="D2446" t="str">
        <x:v>Mysore Medical College and Research Instt. (Prev.name Government Medical College), Mysore, Mysore Medical College and Research Institute,Irwin Road, Mysore</x:v>
      </x:c>
      <x:c r="E2446" t="str">
        <x:v>All India</x:v>
      </x:c>
      <x:c r="F2446" t="str">
        <x:v>SC</x:v>
      </x:c>
      <x:c r="G2446" t="n">
        <x:v>6</x:v>
      </x:c>
      <x:c r="H2446" t="n">
        <x:v>6</x:v>
      </x:c>
      <x:c r="I2446" t="n">
        <x:f>G2446-H2446</x:f>
        <x:v>0</x:v>
      </x:c>
      <x:c r="J2446" s="20" t="n">
        <x:f>IFERROR(H2446/G2446,0)</x:f>
        <x:v>1</x:v>
      </x:c>
      <x:c r="K2446" t="n">
        <x:v>6526</x:v>
      </x:c>
      <x:c r="L2446" t="n">
        <x:v>14961.25</x:v>
      </x:c>
      <x:c r="M2446" t="n">
        <x:v>24546.5</x:v>
      </x:c>
      <x:c r="N2446" t="n">
        <x:v>32229</x:v>
      </x:c>
      <x:c r="O2446" t="n">
        <x:v>33878</x:v>
      </x:c>
    </x:row>
    <x:row r="2447">
      <x:c r="A2447" t="str">
        <x:v>Karnataka</x:v>
      </x:c>
      <x:c r="B2447" t="str">
        <x:v>All India except Central University</x:v>
      </x:c>
      <x:c r="C2447" t="str">
        <x:v>200178</x:v>
      </x:c>
      <x:c r="D2447" t="str">
        <x:v>Mysore Medical College and Research Instt. (Prev.name Government Medical College), Mysore, Mysore Medical College and Research Institute,Irwin Road, Mysore</x:v>
      </x:c>
      <x:c r="E2447" t="str">
        <x:v>All India</x:v>
      </x:c>
      <x:c r="F2447" t="str">
        <x:v>ST</x:v>
      </x:c>
      <x:c r="G2447" t="n">
        <x:v>3</x:v>
      </x:c>
      <x:c r="H2447" t="n">
        <x:v>3</x:v>
      </x:c>
      <x:c r="I2447" t="n">
        <x:f>G2447-H2447</x:f>
        <x:v>0</x:v>
      </x:c>
      <x:c r="J2447" s="20" t="n">
        <x:f>IFERROR(H2447/G2447,0)</x:f>
        <x:v>1</x:v>
      </x:c>
      <x:c r="K2447" t="n">
        <x:v>35373</x:v>
      </x:c>
      <x:c r="L2447" t="n">
        <x:v>35739</x:v>
      </x:c>
      <x:c r="M2447" t="n">
        <x:v>36105</x:v>
      </x:c>
      <x:c r="N2447" t="n">
        <x:v>36295.5</x:v>
      </x:c>
      <x:c r="O2447" t="n">
        <x:v>36486</x:v>
      </x:c>
    </x:row>
    <x:row r="2448">
      <x:c r="A2448" t="str">
        <x:v>The Dadra And Nagar Haveli And Daman And Diu</x:v>
      </x:c>
      <x:c r="B2448" t="str">
        <x:v>All India except Central University</x:v>
      </x:c>
      <x:c r="C2448" t="str">
        <x:v>200470</x:v>
      </x:c>
      <x:c r="D2448" t="str">
        <x:v>NAMO Medical Education &amp; Research Institute, Govt Medical College Silvassa, NAMO Medical Education and Research Institute, next to Sayli cricket stadium, Sayli Road, Silvassa</x:v>
      </x:c>
      <x:c r="E2448" t="str">
        <x:v>All India</x:v>
      </x:c>
      <x:c r="F2448" t="str">
        <x:v>EWS</x:v>
      </x:c>
      <x:c r="G2448" t="n">
        <x:v>3</x:v>
      </x:c>
      <x:c r="H2448" t="n">
        <x:v>3</x:v>
      </x:c>
      <x:c r="I2448" t="n">
        <x:f>G2448-H2448</x:f>
        <x:v>0</x:v>
      </x:c>
      <x:c r="J2448" s="20" t="n">
        <x:f>IFERROR(H2448/G2448,0)</x:f>
        <x:v>1</x:v>
      </x:c>
      <x:c r="K2448" t="n">
        <x:v>10143</x:v>
      </x:c>
      <x:c r="L2448" t="n">
        <x:v>10147.5</x:v>
      </x:c>
      <x:c r="M2448" t="n">
        <x:v>10152</x:v>
      </x:c>
      <x:c r="N2448" t="n">
        <x:v>10674</x:v>
      </x:c>
      <x:c r="O2448" t="n">
        <x:v>11196</x:v>
      </x:c>
    </x:row>
    <x:row r="2449">
      <x:c r="A2449" t="str">
        <x:v>The Dadra And Nagar Haveli And Daman And Diu</x:v>
      </x:c>
      <x:c r="B2449" t="str">
        <x:v>All India except Central University</x:v>
      </x:c>
      <x:c r="C2449" t="str">
        <x:v>200470</x:v>
      </x:c>
      <x:c r="D2449" t="str">
        <x:v>NAMO Medical Education &amp; Research Institute, Govt Medical College Silvassa, NAMO Medical Education and Research Institute, next to Sayli cricket stadium, Sayli Road, Silvassa</x:v>
      </x:c>
      <x:c r="E2449" t="str">
        <x:v>All India</x:v>
      </x:c>
      <x:c r="F2449" t="str">
        <x:v>OBC</x:v>
      </x:c>
      <x:c r="G2449" t="n">
        <x:v>8</x:v>
      </x:c>
      <x:c r="H2449" t="n">
        <x:v>8</x:v>
      </x:c>
      <x:c r="I2449" t="n">
        <x:f>G2449-H2449</x:f>
        <x:v>0</x:v>
      </x:c>
      <x:c r="J2449" s="20" t="n">
        <x:f>IFERROR(H2449/G2449,0)</x:f>
        <x:v>1</x:v>
      </x:c>
      <x:c r="K2449" t="n">
        <x:v>9344</x:v>
      </x:c>
      <x:c r="L2449" t="n">
        <x:v>10148</x:v>
      </x:c>
      <x:c r="M2449" t="n">
        <x:v>10430.5</x:v>
      </x:c>
      <x:c r="N2449" t="n">
        <x:v>10539.75</x:v>
      </x:c>
      <x:c r="O2449" t="n">
        <x:v>10735</x:v>
      </x:c>
    </x:row>
    <x:row r="2450">
      <x:c r="A2450" t="str">
        <x:v>The Dadra And Nagar Haveli And Daman And Diu</x:v>
      </x:c>
      <x:c r="B2450" t="str">
        <x:v>All India except Central University</x:v>
      </x:c>
      <x:c r="C2450" t="str">
        <x:v>200470</x:v>
      </x:c>
      <x:c r="D2450" t="str">
        <x:v>NAMO Medical Education &amp; Research Institute, Govt Medical College Silvassa, NAMO Medical Education and Research Institute, next to Sayli cricket stadium, Sayli Road, Silvassa</x:v>
      </x:c>
      <x:c r="E2450" t="str">
        <x:v>All India</x:v>
      </x:c>
      <x:c r="F2450" t="str">
        <x:v>Open</x:v>
      </x:c>
      <x:c r="G2450" t="n">
        <x:v>9</x:v>
      </x:c>
      <x:c r="H2450" t="n">
        <x:v>9</x:v>
      </x:c>
      <x:c r="I2450" t="n">
        <x:f>G2450-H2450</x:f>
        <x:v>0</x:v>
      </x:c>
      <x:c r="J2450" s="20" t="n">
        <x:f>IFERROR(H2450/G2450,0)</x:f>
        <x:v>1</x:v>
      </x:c>
      <x:c r="K2450" t="n">
        <x:v>6979</x:v>
      </x:c>
      <x:c r="L2450" t="n">
        <x:v>7563</x:v>
      </x:c>
      <x:c r="M2450" t="n">
        <x:v>8073</x:v>
      </x:c>
      <x:c r="N2450" t="n">
        <x:v>8707</x:v>
      </x:c>
      <x:c r="O2450" t="n">
        <x:v>9157</x:v>
      </x:c>
    </x:row>
    <x:row r="2451">
      <x:c r="A2451" t="str">
        <x:v>The Dadra And Nagar Haveli And Daman And Diu</x:v>
      </x:c>
      <x:c r="B2451" t="str">
        <x:v>All India except Central University</x:v>
      </x:c>
      <x:c r="C2451" t="str">
        <x:v>200470</x:v>
      </x:c>
      <x:c r="D2451" t="str">
        <x:v>NAMO Medical Education &amp; Research Institute, Govt Medical College Silvassa, NAMO Medical Education and Research Institute, next to Sayli cricket stadium, Sayli Road, Silvassa</x:v>
      </x:c>
      <x:c r="E2451" t="str">
        <x:v>All India</x:v>
      </x:c>
      <x:c r="F2451" t="str">
        <x:v>Open PwD</x:v>
      </x:c>
      <x:c r="G2451" t="n">
        <x:v>1</x:v>
      </x:c>
      <x:c r="H2451" t="n">
        <x:v>1</x:v>
      </x:c>
      <x:c r="I2451" t="n">
        <x:f>G2451-H2451</x:f>
        <x:v>0</x:v>
      </x:c>
      <x:c r="J2451" s="20" t="n">
        <x:f>IFERROR(H2451/G2451,0)</x:f>
        <x:v>1</x:v>
      </x:c>
      <x:c r="K2451" t="n">
        <x:v>383651</x:v>
      </x:c>
      <x:c r="L2451" t="n">
        <x:v>383651</x:v>
      </x:c>
      <x:c r="M2451" t="n">
        <x:v>383651</x:v>
      </x:c>
      <x:c r="N2451" t="n">
        <x:v>383651</x:v>
      </x:c>
      <x:c r="O2451" t="n">
        <x:v>383651</x:v>
      </x:c>
    </x:row>
    <x:row r="2452">
      <x:c r="A2452" t="str">
        <x:v>The Dadra And Nagar Haveli And Daman And Diu</x:v>
      </x:c>
      <x:c r="B2452" t="str">
        <x:v>All India except Central University</x:v>
      </x:c>
      <x:c r="C2452" t="str">
        <x:v>200470</x:v>
      </x:c>
      <x:c r="D2452" t="str">
        <x:v>NAMO Medical Education &amp; Research Institute, Govt Medical College Silvassa, NAMO Medical Education and Research Institute, next to Sayli cricket stadium, Sayli Road, Silvassa</x:v>
      </x:c>
      <x:c r="E2452" t="str">
        <x:v>All India</x:v>
      </x:c>
      <x:c r="F2452" t="str">
        <x:v>SC</x:v>
      </x:c>
      <x:c r="G2452" t="n">
        <x:v>4</x:v>
      </x:c>
      <x:c r="H2452" t="n">
        <x:v>4</x:v>
      </x:c>
      <x:c r="I2452" t="n">
        <x:f>G2452-H2452</x:f>
        <x:v>0</x:v>
      </x:c>
      <x:c r="J2452" s="20" t="n">
        <x:f>IFERROR(H2452/G2452,0)</x:f>
        <x:v>1</x:v>
      </x:c>
      <x:c r="K2452" t="n">
        <x:v>64235</x:v>
      </x:c>
      <x:c r="L2452" t="n">
        <x:v>66281</x:v>
      </x:c>
      <x:c r="M2452" t="n">
        <x:v>69246</x:v>
      </x:c>
      <x:c r="N2452" t="n">
        <x:v>72512.5</x:v>
      </x:c>
      <x:c r="O2452" t="n">
        <x:v>75463</x:v>
      </x:c>
    </x:row>
    <x:row r="2453">
      <x:c r="A2453" t="str">
        <x:v>The Dadra And Nagar Haveli And Daman And Diu</x:v>
      </x:c>
      <x:c r="B2453" t="str">
        <x:v>All India except Central University</x:v>
      </x:c>
      <x:c r="C2453" t="str">
        <x:v>200470</x:v>
      </x:c>
      <x:c r="D2453" t="str">
        <x:v>NAMO Medical Education &amp; Research Institute, Govt Medical College Silvassa, NAMO Medical Education and Research Institute, next to Sayli cricket stadium, Sayli Road, Silvassa</x:v>
      </x:c>
      <x:c r="E2453" t="str">
        <x:v>All India</x:v>
      </x:c>
      <x:c r="F2453" t="str">
        <x:v>ST</x:v>
      </x:c>
      <x:c r="G2453" t="n">
        <x:v>2</x:v>
      </x:c>
      <x:c r="H2453" t="n">
        <x:v>2</x:v>
      </x:c>
      <x:c r="I2453" t="n">
        <x:f>G2453-H2453</x:f>
        <x:v>0</x:v>
      </x:c>
      <x:c r="J2453" s="20" t="n">
        <x:f>IFERROR(H2453/G2453,0)</x:f>
        <x:v>1</x:v>
      </x:c>
      <x:c r="K2453" t="n">
        <x:v>91852</x:v>
      </x:c>
      <x:c r="L2453" t="n">
        <x:v>93547.5</x:v>
      </x:c>
      <x:c r="M2453" t="n">
        <x:v>95243</x:v>
      </x:c>
      <x:c r="N2453" t="n">
        <x:v>96938.5</x:v>
      </x:c>
      <x:c r="O2453" t="n">
        <x:v>98634</x:v>
      </x:c>
    </x:row>
    <x:row r="2454">
      <x:c r="A2454" t="str">
        <x:v>Nagaland</x:v>
      </x:c>
      <x:c r="B2454" t="str">
        <x:v>All India except Central University</x:v>
      </x:c>
      <x:c r="C2454" t="str">
        <x:v>200680</x:v>
      </x:c>
      <x:c r="D2454" t="str">
        <x:v>Nagaland Institute of Medical Sciences &amp; Research, Phreibagei, Kohima</x:v>
      </x:c>
      <x:c r="E2454" t="str">
        <x:v>All India</x:v>
      </x:c>
      <x:c r="F2454" t="str">
        <x:v>EWS</x:v>
      </x:c>
      <x:c r="G2454" t="n">
        <x:v>2</x:v>
      </x:c>
      <x:c r="H2454" t="n">
        <x:v>2</x:v>
      </x:c>
      <x:c r="I2454" t="n">
        <x:f>G2454-H2454</x:f>
        <x:v>0</x:v>
      </x:c>
      <x:c r="J2454" s="20" t="n">
        <x:f>IFERROR(H2454/G2454,0)</x:f>
        <x:v>1</x:v>
      </x:c>
      <x:c r="K2454" t="n">
        <x:v>25990</x:v>
      </x:c>
      <x:c r="L2454" t="n">
        <x:v>26192.25</x:v>
      </x:c>
      <x:c r="M2454" t="n">
        <x:v>26394.5</x:v>
      </x:c>
      <x:c r="N2454" t="n">
        <x:v>26596.75</x:v>
      </x:c>
      <x:c r="O2454" t="n">
        <x:v>26799</x:v>
      </x:c>
    </x:row>
    <x:row r="2455">
      <x:c r="A2455" t="str">
        <x:v>Nagaland</x:v>
      </x:c>
      <x:c r="B2455" t="str">
        <x:v>All India except Central University</x:v>
      </x:c>
      <x:c r="C2455" t="str">
        <x:v>200680</x:v>
      </x:c>
      <x:c r="D2455" t="str">
        <x:v>Nagaland Institute of Medical Sciences &amp; Research, Phreibagei, Kohima</x:v>
      </x:c>
      <x:c r="E2455" t="str">
        <x:v>All India</x:v>
      </x:c>
      <x:c r="F2455" t="str">
        <x:v>OBC</x:v>
      </x:c>
      <x:c r="G2455" t="n">
        <x:v>3</x:v>
      </x:c>
      <x:c r="H2455" t="n">
        <x:v>3</x:v>
      </x:c>
      <x:c r="I2455" t="n">
        <x:f>G2455-H2455</x:f>
        <x:v>0</x:v>
      </x:c>
      <x:c r="J2455" s="20" t="n">
        <x:f>IFERROR(H2455/G2455,0)</x:f>
        <x:v>1</x:v>
      </x:c>
      <x:c r="K2455" t="n">
        <x:v>22372</x:v>
      </x:c>
      <x:c r="L2455" t="n">
        <x:v>22604</x:v>
      </x:c>
      <x:c r="M2455" t="n">
        <x:v>22836</x:v>
      </x:c>
      <x:c r="N2455" t="n">
        <x:v>22884.5</x:v>
      </x:c>
      <x:c r="O2455" t="n">
        <x:v>22933</x:v>
      </x:c>
    </x:row>
    <x:row r="2456">
      <x:c r="A2456" t="str">
        <x:v>Nagaland</x:v>
      </x:c>
      <x:c r="B2456" t="str">
        <x:v>All India except Central University</x:v>
      </x:c>
      <x:c r="C2456" t="str">
        <x:v>200680</x:v>
      </x:c>
      <x:c r="D2456" t="str">
        <x:v>Nagaland Institute of Medical Sciences &amp; Research, Phreibagei, Kohima</x:v>
      </x:c>
      <x:c r="E2456" t="str">
        <x:v>All India</x:v>
      </x:c>
      <x:c r="F2456" t="str">
        <x:v>OBC PwD</x:v>
      </x:c>
      <x:c r="G2456" t="n">
        <x:v>1</x:v>
      </x:c>
      <x:c r="H2456" t="n">
        <x:v>1</x:v>
      </x:c>
      <x:c r="I2456" t="n">
        <x:f>G2456-H2456</x:f>
        <x:v>0</x:v>
      </x:c>
      <x:c r="J2456" s="20" t="n">
        <x:f>IFERROR(H2456/G2456,0)</x:f>
        <x:v>1</x:v>
      </x:c>
      <x:c r="K2456" t="n">
        <x:v>840068</x:v>
      </x:c>
      <x:c r="L2456" t="n">
        <x:v>840068</x:v>
      </x:c>
      <x:c r="M2456" t="n">
        <x:v>840068</x:v>
      </x:c>
      <x:c r="N2456" t="n">
        <x:v>840068</x:v>
      </x:c>
      <x:c r="O2456" t="n">
        <x:v>840068</x:v>
      </x:c>
    </x:row>
    <x:row r="2457">
      <x:c r="A2457" t="str">
        <x:v>Nagaland</x:v>
      </x:c>
      <x:c r="B2457" t="str">
        <x:v>All India except Central University</x:v>
      </x:c>
      <x:c r="C2457" t="str">
        <x:v>200680</x:v>
      </x:c>
      <x:c r="D2457" t="str">
        <x:v>Nagaland Institute of Medical Sciences &amp; Research, Phreibagei, Kohima</x:v>
      </x:c>
      <x:c r="E2457" t="str">
        <x:v>All India</x:v>
      </x:c>
      <x:c r="F2457" t="str">
        <x:v>Open</x:v>
      </x:c>
      <x:c r="G2457" t="n">
        <x:v>5</x:v>
      </x:c>
      <x:c r="H2457" t="n">
        <x:v>5</x:v>
      </x:c>
      <x:c r="I2457" t="n">
        <x:f>G2457-H2457</x:f>
        <x:v>0</x:v>
      </x:c>
      <x:c r="J2457" s="20" t="n">
        <x:f>IFERROR(H2457/G2457,0)</x:f>
        <x:v>1</x:v>
      </x:c>
      <x:c r="K2457" t="n">
        <x:v>16943</x:v>
      </x:c>
      <x:c r="L2457" t="n">
        <x:v>20566</x:v>
      </x:c>
      <x:c r="M2457" t="n">
        <x:v>21150</x:v>
      </x:c>
      <x:c r="N2457" t="n">
        <x:v>21734</x:v>
      </x:c>
      <x:c r="O2457" t="n">
        <x:v>21754</x:v>
      </x:c>
    </x:row>
    <x:row r="2458">
      <x:c r="A2458" t="str">
        <x:v>Nagaland</x:v>
      </x:c>
      <x:c r="B2458" t="str">
        <x:v>All India except Central University</x:v>
      </x:c>
      <x:c r="C2458" t="str">
        <x:v>200680</x:v>
      </x:c>
      <x:c r="D2458" t="str">
        <x:v>Nagaland Institute of Medical Sciences &amp; Research, Phreibagei, Kohima</x:v>
      </x:c>
      <x:c r="E2458" t="str">
        <x:v>All India</x:v>
      </x:c>
      <x:c r="F2458" t="str">
        <x:v>Open PwD</x:v>
      </x:c>
      <x:c r="G2458" t="n">
        <x:v>1</x:v>
      </x:c>
      <x:c r="H2458" t="n">
        <x:v>1</x:v>
      </x:c>
      <x:c r="I2458" t="n">
        <x:f>G2458-H2458</x:f>
        <x:v>0</x:v>
      </x:c>
      <x:c r="J2458" s="20" t="n">
        <x:f>IFERROR(H2458/G2458,0)</x:f>
        <x:v>1</x:v>
      </x:c>
      <x:c r="K2458" t="n">
        <x:v>643482</x:v>
      </x:c>
      <x:c r="L2458" t="n">
        <x:v>643482</x:v>
      </x:c>
      <x:c r="M2458" t="n">
        <x:v>643482</x:v>
      </x:c>
      <x:c r="N2458" t="n">
        <x:v>643482</x:v>
      </x:c>
      <x:c r="O2458" t="n">
        <x:v>643482</x:v>
      </x:c>
    </x:row>
    <x:row r="2459">
      <x:c r="A2459" t="str">
        <x:v>Nagaland</x:v>
      </x:c>
      <x:c r="B2459" t="str">
        <x:v>All India except Central University</x:v>
      </x:c>
      <x:c r="C2459" t="str">
        <x:v>200680</x:v>
      </x:c>
      <x:c r="D2459" t="str">
        <x:v>Nagaland Institute of Medical Sciences &amp; Research, Phreibagei, Kohima</x:v>
      </x:c>
      <x:c r="E2459" t="str">
        <x:v>All India</x:v>
      </x:c>
      <x:c r="F2459" t="str">
        <x:v>SC</x:v>
      </x:c>
      <x:c r="G2459" t="n">
        <x:v>2</x:v>
      </x:c>
      <x:c r="H2459" t="n">
        <x:v>2</x:v>
      </x:c>
      <x:c r="I2459" t="n">
        <x:f>G2459-H2459</x:f>
        <x:v>0</x:v>
      </x:c>
      <x:c r="J2459" s="20" t="n">
        <x:f>IFERROR(H2459/G2459,0)</x:f>
        <x:v>1</x:v>
      </x:c>
      <x:c r="K2459" t="n">
        <x:v>82870</x:v>
      </x:c>
      <x:c r="L2459" t="n">
        <x:v>86638.75</x:v>
      </x:c>
      <x:c r="M2459" t="n">
        <x:v>90407.5</x:v>
      </x:c>
      <x:c r="N2459" t="n">
        <x:v>94176.25</x:v>
      </x:c>
      <x:c r="O2459" t="n">
        <x:v>97945</x:v>
      </x:c>
    </x:row>
    <x:row r="2460">
      <x:c r="A2460" t="str">
        <x:v>Nagaland</x:v>
      </x:c>
      <x:c r="B2460" t="str">
        <x:v>All India except Central University</x:v>
      </x:c>
      <x:c r="C2460" t="str">
        <x:v>200680</x:v>
      </x:c>
      <x:c r="D2460" t="str">
        <x:v>Nagaland Institute of Medical Sciences &amp; Research, Phreibagei, Kohima</x:v>
      </x:c>
      <x:c r="E2460" t="str">
        <x:v>All India</x:v>
      </x:c>
      <x:c r="F2460" t="str">
        <x:v>ST</x:v>
      </x:c>
      <x:c r="G2460" t="n">
        <x:v>1</x:v>
      </x:c>
      <x:c r="H2460" t="n">
        <x:v>1</x:v>
      </x:c>
      <x:c r="I2460" t="n">
        <x:f>G2460-H2460</x:f>
        <x:v>0</x:v>
      </x:c>
      <x:c r="J2460" s="20" t="n">
        <x:f>IFERROR(H2460/G2460,0)</x:f>
        <x:v>1</x:v>
      </x:c>
      <x:c r="K2460" t="n">
        <x:v>121394</x:v>
      </x:c>
      <x:c r="L2460" t="n">
        <x:v>121394</x:v>
      </x:c>
      <x:c r="M2460" t="n">
        <x:v>121394</x:v>
      </x:c>
      <x:c r="N2460" t="n">
        <x:v>121394</x:v>
      </x:c>
      <x:c r="O2460" t="n">
        <x:v>121394</x:v>
      </x:c>
    </x:row>
    <x:row r="2461">
      <x:c r="A2461" t="str">
        <x:v>Assam</x:v>
      </x:c>
      <x:c r="B2461" t="str">
        <x:v>All India except Central University</x:v>
      </x:c>
      <x:c r="C2461" t="str">
        <x:v>200649</x:v>
      </x:c>
      <x:c r="D2461" t="str">
        <x:v>Nagaon Medical College, Dipholu, Mohkhuli Chariali, Laokhua Road, Nagaon</x:v>
      </x:c>
      <x:c r="E2461" t="str">
        <x:v>All India</x:v>
      </x:c>
      <x:c r="F2461" t="str">
        <x:v>EWS</x:v>
      </x:c>
      <x:c r="G2461" t="n">
        <x:v>1</x:v>
      </x:c>
      <x:c r="H2461" t="n">
        <x:v>1</x:v>
      </x:c>
      <x:c r="I2461" t="n">
        <x:f>G2461-H2461</x:f>
        <x:v>0</x:v>
      </x:c>
      <x:c r="J2461" s="20" t="n">
        <x:f>IFERROR(H2461/G2461,0)</x:f>
        <x:v>1</x:v>
      </x:c>
      <x:c r="K2461" t="n">
        <x:v>25134</x:v>
      </x:c>
      <x:c r="L2461" t="n">
        <x:v>25134</x:v>
      </x:c>
      <x:c r="M2461" t="n">
        <x:v>25134</x:v>
      </x:c>
      <x:c r="N2461" t="n">
        <x:v>25134</x:v>
      </x:c>
      <x:c r="O2461" t="n">
        <x:v>25134</x:v>
      </x:c>
    </x:row>
    <x:row r="2462">
      <x:c r="A2462" t="str">
        <x:v>Assam</x:v>
      </x:c>
      <x:c r="B2462" t="str">
        <x:v>All India except Central University</x:v>
      </x:c>
      <x:c r="C2462" t="str">
        <x:v>200649</x:v>
      </x:c>
      <x:c r="D2462" t="str">
        <x:v>Nagaon Medical College, Dipholu, Mohkhuli Chariali, Laokhua Road, Nagaon</x:v>
      </x:c>
      <x:c r="E2462" t="str">
        <x:v>All India</x:v>
      </x:c>
      <x:c r="F2462" t="str">
        <x:v>OBC</x:v>
      </x:c>
      <x:c r="G2462" t="n">
        <x:v>4</x:v>
      </x:c>
      <x:c r="H2462" t="n">
        <x:v>4</x:v>
      </x:c>
      <x:c r="I2462" t="n">
        <x:f>G2462-H2462</x:f>
        <x:v>0</x:v>
      </x:c>
      <x:c r="J2462" s="20" t="n">
        <x:f>IFERROR(H2462/G2462,0)</x:f>
        <x:v>1</x:v>
      </x:c>
      <x:c r="K2462" t="n">
        <x:v>22543</x:v>
      </x:c>
      <x:c r="L2462" t="n">
        <x:v>22565.5</x:v>
      </x:c>
      <x:c r="M2462" t="n">
        <x:v>22620</x:v>
      </x:c>
      <x:c r="N2462" t="n">
        <x:v>22673.75</x:v>
      </x:c>
      <x:c r="O2462" t="n">
        <x:v>22694</x:v>
      </x:c>
    </x:row>
    <x:row r="2463">
      <x:c r="A2463" t="str">
        <x:v>Assam</x:v>
      </x:c>
      <x:c r="B2463" t="str">
        <x:v>All India except Central University</x:v>
      </x:c>
      <x:c r="C2463" t="str">
        <x:v>200649</x:v>
      </x:c>
      <x:c r="D2463" t="str">
        <x:v>Nagaon Medical College, Dipholu, Mohkhuli Chariali, Laokhua Road, Nagaon</x:v>
      </x:c>
      <x:c r="E2463" t="str">
        <x:v>All India</x:v>
      </x:c>
      <x:c r="F2463" t="str">
        <x:v>Open</x:v>
      </x:c>
      <x:c r="G2463" t="n">
        <x:v>6</x:v>
      </x:c>
      <x:c r="H2463" t="n">
        <x:v>6</x:v>
      </x:c>
      <x:c r="I2463" t="n">
        <x:f>G2463-H2463</x:f>
        <x:v>0</x:v>
      </x:c>
      <x:c r="J2463" s="20" t="n">
        <x:f>IFERROR(H2463/G2463,0)</x:f>
        <x:v>1</x:v>
      </x:c>
      <x:c r="K2463" t="n">
        <x:v>11521</x:v>
      </x:c>
      <x:c r="L2463" t="n">
        <x:v>19277</x:v>
      </x:c>
      <x:c r="M2463" t="n">
        <x:v>20271.5</x:v>
      </x:c>
      <x:c r="N2463" t="n">
        <x:v>20700.5</x:v>
      </x:c>
      <x:c r="O2463" t="n">
        <x:v>20981</x:v>
      </x:c>
    </x:row>
    <x:row r="2464">
      <x:c r="A2464" t="str">
        <x:v>Assam</x:v>
      </x:c>
      <x:c r="B2464" t="str">
        <x:v>All India except Central University</x:v>
      </x:c>
      <x:c r="C2464" t="str">
        <x:v>200649</x:v>
      </x:c>
      <x:c r="D2464" t="str">
        <x:v>Nagaon Medical College, Dipholu, Mohkhuli Chariali, Laokhua Road, Nagaon</x:v>
      </x:c>
      <x:c r="E2464" t="str">
        <x:v>All India</x:v>
      </x:c>
      <x:c r="F2464" t="str">
        <x:v>Open PwD</x:v>
      </x:c>
      <x:c r="G2464" t="n">
        <x:v>1</x:v>
      </x:c>
      <x:c r="H2464" t="n">
        <x:v>1</x:v>
      </x:c>
      <x:c r="I2464" t="n">
        <x:f>G2464-H2464</x:f>
        <x:v>0</x:v>
      </x:c>
      <x:c r="J2464" s="20" t="n">
        <x:f>IFERROR(H2464/G2464,0)</x:f>
        <x:v>1</x:v>
      </x:c>
      <x:c r="K2464" t="n">
        <x:v>529453</x:v>
      </x:c>
      <x:c r="L2464" t="n">
        <x:v>529453</x:v>
      </x:c>
      <x:c r="M2464" t="n">
        <x:v>529453</x:v>
      </x:c>
      <x:c r="N2464" t="n">
        <x:v>529453</x:v>
      </x:c>
      <x:c r="O2464" t="n">
        <x:v>529453</x:v>
      </x:c>
    </x:row>
    <x:row r="2465">
      <x:c r="A2465" t="str">
        <x:v>Assam</x:v>
      </x:c>
      <x:c r="B2465" t="str">
        <x:v>All India except Central University</x:v>
      </x:c>
      <x:c r="C2465" t="str">
        <x:v>200649</x:v>
      </x:c>
      <x:c r="D2465" t="str">
        <x:v>Nagaon Medical College, Dipholu, Mohkhuli Chariali, Laokhua Road, Nagaon</x:v>
      </x:c>
      <x:c r="E2465" t="str">
        <x:v>All India</x:v>
      </x:c>
      <x:c r="F2465" t="str">
        <x:v>SC</x:v>
      </x:c>
      <x:c r="G2465" t="n">
        <x:v>2</x:v>
      </x:c>
      <x:c r="H2465" t="n">
        <x:v>2</x:v>
      </x:c>
      <x:c r="I2465" t="n">
        <x:f>G2465-H2465</x:f>
        <x:v>0</x:v>
      </x:c>
      <x:c r="J2465" s="20" t="n">
        <x:f>IFERROR(H2465/G2465,0)</x:f>
        <x:v>1</x:v>
      </x:c>
      <x:c r="K2465" t="n">
        <x:v>103155</x:v>
      </x:c>
      <x:c r="L2465" t="n">
        <x:v>103596.5</x:v>
      </x:c>
      <x:c r="M2465" t="n">
        <x:v>104038</x:v>
      </x:c>
      <x:c r="N2465" t="n">
        <x:v>104479.5</x:v>
      </x:c>
      <x:c r="O2465" t="n">
        <x:v>104921</x:v>
      </x:c>
    </x:row>
    <x:row r="2466">
      <x:c r="A2466" t="str">
        <x:v>Assam</x:v>
      </x:c>
      <x:c r="B2466" t="str">
        <x:v>All India except Central University</x:v>
      </x:c>
      <x:c r="C2466" t="str">
        <x:v>200649</x:v>
      </x:c>
      <x:c r="D2466" t="str">
        <x:v>Nagaon Medical College, Dipholu, Mohkhuli Chariali, Laokhua Road, Nagaon</x:v>
      </x:c>
      <x:c r="E2466" t="str">
        <x:v>All India</x:v>
      </x:c>
      <x:c r="F2466" t="str">
        <x:v>ST</x:v>
      </x:c>
      <x:c r="G2466" t="n">
        <x:v>1</x:v>
      </x:c>
      <x:c r="H2466" t="n">
        <x:v>1</x:v>
      </x:c>
      <x:c r="I2466" t="n">
        <x:f>G2466-H2466</x:f>
        <x:v>0</x:v>
      </x:c>
      <x:c r="J2466" s="20" t="n">
        <x:f>IFERROR(H2466/G2466,0)</x:f>
        <x:v>1</x:v>
      </x:c>
      <x:c r="K2466" t="n">
        <x:v>128312</x:v>
      </x:c>
      <x:c r="L2466" t="n">
        <x:v>128312</x:v>
      </x:c>
      <x:c r="M2466" t="n">
        <x:v>128312</x:v>
      </x:c>
      <x:c r="N2466" t="n">
        <x:v>128312</x:v>
      </x:c>
      <x:c r="O2466" t="n">
        <x:v>128312</x:v>
      </x:c>
    </x:row>
    <x:row r="2467">
      <x:c r="A2467" t="str">
        <x:v>Bihar</x:v>
      </x:c>
      <x:c r="B2467" t="str">
        <x:v>All India except Central University</x:v>
      </x:c>
      <x:c r="C2467" t="str">
        <x:v>200114</x:v>
      </x:c>
      <x:c r="D2467" t="str">
        <x:v>Nalanda Medical College, Patna, OLD BYEPASS ROAD, KANKERBAGH, PATNA</x:v>
      </x:c>
      <x:c r="E2467" t="str">
        <x:v>All India</x:v>
      </x:c>
      <x:c r="F2467" t="str">
        <x:v>EWS</x:v>
      </x:c>
      <x:c r="G2467" t="n">
        <x:v>2</x:v>
      </x:c>
      <x:c r="H2467" t="n">
        <x:v>2</x:v>
      </x:c>
      <x:c r="I2467" t="n">
        <x:f>G2467-H2467</x:f>
        <x:v>0</x:v>
      </x:c>
      <x:c r="J2467" s="20" t="n">
        <x:f>IFERROR(H2467/G2467,0)</x:f>
        <x:v>1</x:v>
      </x:c>
      <x:c r="K2467" t="n">
        <x:v>6304</x:v>
      </x:c>
      <x:c r="L2467" t="n">
        <x:v>6436.5</x:v>
      </x:c>
      <x:c r="M2467" t="n">
        <x:v>6569</x:v>
      </x:c>
      <x:c r="N2467" t="n">
        <x:v>6701.5</x:v>
      </x:c>
      <x:c r="O2467" t="n">
        <x:v>6834</x:v>
      </x:c>
    </x:row>
    <x:row r="2468">
      <x:c r="A2468" t="str">
        <x:v>Bihar</x:v>
      </x:c>
      <x:c r="B2468" t="str">
        <x:v>All India except Central University</x:v>
      </x:c>
      <x:c r="C2468" t="str">
        <x:v>200114</x:v>
      </x:c>
      <x:c r="D2468" t="str">
        <x:v>Nalanda Medical College, Patna, OLD BYEPASS ROAD, KANKERBAGH, PATNA</x:v>
      </x:c>
      <x:c r="E2468" t="str">
        <x:v>All India</x:v>
      </x:c>
      <x:c r="F2468" t="str">
        <x:v>OBC</x:v>
      </x:c>
      <x:c r="G2468" t="n">
        <x:v>7</x:v>
      </x:c>
      <x:c r="H2468" t="n">
        <x:v>7</x:v>
      </x:c>
      <x:c r="I2468" t="n">
        <x:f>G2468-H2468</x:f>
        <x:v>0</x:v>
      </x:c>
      <x:c r="J2468" s="20" t="n">
        <x:f>IFERROR(H2468/G2468,0)</x:f>
        <x:v>1</x:v>
      </x:c>
      <x:c r="K2468" t="n">
        <x:v>6440</x:v>
      </x:c>
      <x:c r="L2468" t="n">
        <x:v>6744.5</x:v>
      </x:c>
      <x:c r="M2468" t="n">
        <x:v>6849</x:v>
      </x:c>
      <x:c r="N2468" t="n">
        <x:v>7095</x:v>
      </x:c>
      <x:c r="O2468" t="n">
        <x:v>7514</x:v>
      </x:c>
    </x:row>
    <x:row r="2469">
      <x:c r="A2469" t="str">
        <x:v>Bihar</x:v>
      </x:c>
      <x:c r="B2469" t="str">
        <x:v>All India except Central University</x:v>
      </x:c>
      <x:c r="C2469" t="str">
        <x:v>200114</x:v>
      </x:c>
      <x:c r="D2469" t="str">
        <x:v>Nalanda Medical College, Patna, OLD BYEPASS ROAD, KANKERBAGH, PATNA</x:v>
      </x:c>
      <x:c r="E2469" t="str">
        <x:v>All India</x:v>
      </x:c>
      <x:c r="F2469" t="str">
        <x:v>OBC PwD</x:v>
      </x:c>
      <x:c r="G2469" t="n">
        <x:v>1</x:v>
      </x:c>
      <x:c r="H2469" t="n">
        <x:v>1</x:v>
      </x:c>
      <x:c r="I2469" t="n">
        <x:f>G2469-H2469</x:f>
        <x:v>0</x:v>
      </x:c>
      <x:c r="J2469" s="20" t="n">
        <x:f>IFERROR(H2469/G2469,0)</x:f>
        <x:v>1</x:v>
      </x:c>
      <x:c r="K2469" t="n">
        <x:v>356759</x:v>
      </x:c>
      <x:c r="L2469" t="n">
        <x:v>356759</x:v>
      </x:c>
      <x:c r="M2469" t="n">
        <x:v>356759</x:v>
      </x:c>
      <x:c r="N2469" t="n">
        <x:v>356759</x:v>
      </x:c>
      <x:c r="O2469" t="n">
        <x:v>356759</x:v>
      </x:c>
    </x:row>
    <x:row r="2470">
      <x:c r="A2470" t="str">
        <x:v>Bihar</x:v>
      </x:c>
      <x:c r="B2470" t="str">
        <x:v>All India except Central University</x:v>
      </x:c>
      <x:c r="C2470" t="str">
        <x:v>200114</x:v>
      </x:c>
      <x:c r="D2470" t="str">
        <x:v>Nalanda Medical College, Patna, OLD BYEPASS ROAD, KANKERBAGH, PATNA</x:v>
      </x:c>
      <x:c r="E2470" t="str">
        <x:v>All India</x:v>
      </x:c>
      <x:c r="F2470" t="str">
        <x:v>Open</x:v>
      </x:c>
      <x:c r="G2470" t="n">
        <x:v>12</x:v>
      </x:c>
      <x:c r="H2470" t="n">
        <x:v>12</x:v>
      </x:c>
      <x:c r="I2470" t="n">
        <x:f>G2470-H2470</x:f>
        <x:v>0</x:v>
      </x:c>
      <x:c r="J2470" s="20" t="n">
        <x:f>IFERROR(H2470/G2470,0)</x:f>
        <x:v>1</x:v>
      </x:c>
      <x:c r="K2470" t="n">
        <x:v>4869</x:v>
      </x:c>
      <x:c r="L2470" t="n">
        <x:v>5016.5</x:v>
      </x:c>
      <x:c r="M2470" t="n">
        <x:v>5355.5</x:v>
      </x:c>
      <x:c r="N2470" t="n">
        <x:v>5725</x:v>
      </x:c>
      <x:c r="O2470" t="n">
        <x:v>6260</x:v>
      </x:c>
    </x:row>
    <x:row r="2471">
      <x:c r="A2471" t="str">
        <x:v>Bihar</x:v>
      </x:c>
      <x:c r="B2471" t="str">
        <x:v>All India except Central University</x:v>
      </x:c>
      <x:c r="C2471" t="str">
        <x:v>200114</x:v>
      </x:c>
      <x:c r="D2471" t="str">
        <x:v>Nalanda Medical College, Patna, OLD BYEPASS ROAD, KANKERBAGH, PATNA</x:v>
      </x:c>
      <x:c r="E2471" t="str">
        <x:v>All India</x:v>
      </x:c>
      <x:c r="F2471" t="str">
        <x:v>SC</x:v>
      </x:c>
      <x:c r="G2471" t="n">
        <x:v>5</x:v>
      </x:c>
      <x:c r="H2471" t="n">
        <x:v>5</x:v>
      </x:c>
      <x:c r="I2471" t="n">
        <x:f>G2471-H2471</x:f>
        <x:v>0</x:v>
      </x:c>
      <x:c r="J2471" s="20" t="n">
        <x:f>IFERROR(H2471/G2471,0)</x:f>
        <x:v>1</x:v>
      </x:c>
      <x:c r="K2471" t="n">
        <x:v>37688</x:v>
      </x:c>
      <x:c r="L2471" t="n">
        <x:v>44297</x:v>
      </x:c>
      <x:c r="M2471" t="n">
        <x:v>46913</x:v>
      </x:c>
      <x:c r="N2471" t="n">
        <x:v>51006</x:v>
      </x:c>
      <x:c r="O2471" t="n">
        <x:v>51086</x:v>
      </x:c>
    </x:row>
    <x:row r="2472">
      <x:c r="A2472" t="str">
        <x:v>Bihar</x:v>
      </x:c>
      <x:c r="B2472" t="str">
        <x:v>All India except Central University</x:v>
      </x:c>
      <x:c r="C2472" t="str">
        <x:v>200114</x:v>
      </x:c>
      <x:c r="D2472" t="str">
        <x:v>Nalanda Medical College, Patna, OLD BYEPASS ROAD, KANKERBAGH, PATNA</x:v>
      </x:c>
      <x:c r="E2472" t="str">
        <x:v>All India</x:v>
      </x:c>
      <x:c r="F2472" t="str">
        <x:v>ST</x:v>
      </x:c>
      <x:c r="G2472" t="n">
        <x:v>3</x:v>
      </x:c>
      <x:c r="H2472" t="n">
        <x:v>3</x:v>
      </x:c>
      <x:c r="I2472" t="n">
        <x:f>G2472-H2472</x:f>
        <x:v>0</x:v>
      </x:c>
      <x:c r="J2472" s="20" t="n">
        <x:f>IFERROR(H2472/G2472,0)</x:f>
        <x:v>1</x:v>
      </x:c>
      <x:c r="K2472" t="n">
        <x:v>72533</x:v>
      </x:c>
      <x:c r="L2472" t="n">
        <x:v>72812.5</x:v>
      </x:c>
      <x:c r="M2472" t="n">
        <x:v>73092</x:v>
      </x:c>
      <x:c r="N2472" t="n">
        <x:v>73382.5</x:v>
      </x:c>
      <x:c r="O2472" t="n">
        <x:v>73673</x:v>
      </x:c>
    </x:row>
    <x:row r="2473">
      <x:c r="A2473" t="str">
        <x:v>Assam</x:v>
      </x:c>
      <x:c r="B2473" t="str">
        <x:v>All India except Central University</x:v>
      </x:c>
      <x:c r="C2473" t="str">
        <x:v>200658</x:v>
      </x:c>
      <x:c r="D2473" t="str">
        <x:v>Nalbari Medical College, Nalbari, PO Dakhingaon Dist Nalbari PS Ghograpar</x:v>
      </x:c>
      <x:c r="E2473" t="str">
        <x:v>All India</x:v>
      </x:c>
      <x:c r="F2473" t="str">
        <x:v>EWS</x:v>
      </x:c>
      <x:c r="G2473" t="n">
        <x:v>2</x:v>
      </x:c>
      <x:c r="H2473" t="n">
        <x:v>2</x:v>
      </x:c>
      <x:c r="I2473" t="n">
        <x:f>G2473-H2473</x:f>
        <x:v>0</x:v>
      </x:c>
      <x:c r="J2473" s="20" t="n">
        <x:f>IFERROR(H2473/G2473,0)</x:f>
        <x:v>1</x:v>
      </x:c>
      <x:c r="K2473" t="n">
        <x:v>25500</x:v>
      </x:c>
      <x:c r="L2473" t="n">
        <x:v>25693</x:v>
      </x:c>
      <x:c r="M2473" t="n">
        <x:v>25886</x:v>
      </x:c>
      <x:c r="N2473" t="n">
        <x:v>26079</x:v>
      </x:c>
      <x:c r="O2473" t="n">
        <x:v>26272</x:v>
      </x:c>
    </x:row>
    <x:row r="2474">
      <x:c r="A2474" t="str">
        <x:v>Assam</x:v>
      </x:c>
      <x:c r="B2474" t="str">
        <x:v>All India except Central University</x:v>
      </x:c>
      <x:c r="C2474" t="str">
        <x:v>200658</x:v>
      </x:c>
      <x:c r="D2474" t="str">
        <x:v>Nalbari Medical College, Nalbari, PO Dakhingaon Dist Nalbari PS Ghograpar</x:v>
      </x:c>
      <x:c r="E2474" t="str">
        <x:v>All India</x:v>
      </x:c>
      <x:c r="F2474" t="str">
        <x:v>OBC</x:v>
      </x:c>
      <x:c r="G2474" t="n">
        <x:v>4</x:v>
      </x:c>
      <x:c r="H2474" t="n">
        <x:v>4</x:v>
      </x:c>
      <x:c r="I2474" t="n">
        <x:f>G2474-H2474</x:f>
        <x:v>0</x:v>
      </x:c>
      <x:c r="J2474" s="20" t="n">
        <x:f>IFERROR(H2474/G2474,0)</x:f>
        <x:v>1</x:v>
      </x:c>
      <x:c r="K2474" t="n">
        <x:v>22414</x:v>
      </x:c>
      <x:c r="L2474" t="n">
        <x:v>22804</x:v>
      </x:c>
      <x:c r="M2474" t="n">
        <x:v>22952</x:v>
      </x:c>
      <x:c r="N2474" t="n">
        <x:v>22982.5</x:v>
      </x:c>
      <x:c r="O2474" t="n">
        <x:v>23020</x:v>
      </x:c>
    </x:row>
    <x:row r="2475">
      <x:c r="A2475" t="str">
        <x:v>Assam</x:v>
      </x:c>
      <x:c r="B2475" t="str">
        <x:v>All India except Central University</x:v>
      </x:c>
      <x:c r="C2475" t="str">
        <x:v>200658</x:v>
      </x:c>
      <x:c r="D2475" t="str">
        <x:v>Nalbari Medical College, Nalbari, PO Dakhingaon Dist Nalbari PS Ghograpar</x:v>
      </x:c>
      <x:c r="E2475" t="str">
        <x:v>All India</x:v>
      </x:c>
      <x:c r="F2475" t="str">
        <x:v>Open</x:v>
      </x:c>
      <x:c r="G2475" t="n">
        <x:v>6</x:v>
      </x:c>
      <x:c r="H2475" t="n">
        <x:v>6</x:v>
      </x:c>
      <x:c r="I2475" t="n">
        <x:f>G2475-H2475</x:f>
        <x:v>0</x:v>
      </x:c>
      <x:c r="J2475" s="20" t="n">
        <x:f>IFERROR(H2475/G2475,0)</x:f>
        <x:v>1</x:v>
      </x:c>
      <x:c r="K2475" t="n">
        <x:v>19201</x:v>
      </x:c>
      <x:c r="L2475" t="n">
        <x:v>20267.5</x:v>
      </x:c>
      <x:c r="M2475" t="n">
        <x:v>20695.5</x:v>
      </x:c>
      <x:c r="N2475" t="n">
        <x:v>21033.5</x:v>
      </x:c>
      <x:c r="O2475" t="n">
        <x:v>21185</x:v>
      </x:c>
    </x:row>
    <x:row r="2476">
      <x:c r="A2476" t="str">
        <x:v>Assam</x:v>
      </x:c>
      <x:c r="B2476" t="str">
        <x:v>All India except Central University</x:v>
      </x:c>
      <x:c r="C2476" t="str">
        <x:v>200658</x:v>
      </x:c>
      <x:c r="D2476" t="str">
        <x:v>Nalbari Medical College, Nalbari, PO Dakhingaon Dist Nalbari PS Ghograpar</x:v>
      </x:c>
      <x:c r="E2476" t="str">
        <x:v>All India</x:v>
      </x:c>
      <x:c r="F2476" t="str">
        <x:v>SC</x:v>
      </x:c>
      <x:c r="G2476" t="n">
        <x:v>2</x:v>
      </x:c>
      <x:c r="H2476" t="n">
        <x:v>2</x:v>
      </x:c>
      <x:c r="I2476" t="n">
        <x:f>G2476-H2476</x:f>
        <x:v>0</x:v>
      </x:c>
      <x:c r="J2476" s="20" t="n">
        <x:f>IFERROR(H2476/G2476,0)</x:f>
        <x:v>1</x:v>
      </x:c>
      <x:c r="K2476" t="n">
        <x:v>98617</x:v>
      </x:c>
      <x:c r="L2476" t="n">
        <x:v>99566.75</x:v>
      </x:c>
      <x:c r="M2476" t="n">
        <x:v>100516.5</x:v>
      </x:c>
      <x:c r="N2476" t="n">
        <x:v>101466.25</x:v>
      </x:c>
      <x:c r="O2476" t="n">
        <x:v>102416</x:v>
      </x:c>
    </x:row>
    <x:row r="2477">
      <x:c r="A2477" t="str">
        <x:v>Assam</x:v>
      </x:c>
      <x:c r="B2477" t="str">
        <x:v>All India except Central University</x:v>
      </x:c>
      <x:c r="C2477" t="str">
        <x:v>200658</x:v>
      </x:c>
      <x:c r="D2477" t="str">
        <x:v>Nalbari Medical College, Nalbari, PO Dakhingaon Dist Nalbari PS Ghograpar</x:v>
      </x:c>
      <x:c r="E2477" t="str">
        <x:v>All India</x:v>
      </x:c>
      <x:c r="F2477" t="str">
        <x:v>ST</x:v>
      </x:c>
      <x:c r="G2477" t="n">
        <x:v>1</x:v>
      </x:c>
      <x:c r="H2477" t="n">
        <x:v>1</x:v>
      </x:c>
      <x:c r="I2477" t="n">
        <x:f>G2477-H2477</x:f>
        <x:v>0</x:v>
      </x:c>
      <x:c r="J2477" s="20" t="n">
        <x:f>IFERROR(H2477/G2477,0)</x:f>
        <x:v>1</x:v>
      </x:c>
      <x:c r="K2477" t="n">
        <x:v>126398</x:v>
      </x:c>
      <x:c r="L2477" t="n">
        <x:v>126398</x:v>
      </x:c>
      <x:c r="M2477" t="n">
        <x:v>126398</x:v>
      </x:c>
      <x:c r="N2477" t="n">
        <x:v>126398</x:v>
      </x:c>
      <x:c r="O2477" t="n">
        <x:v>126398</x:v>
      </x:c>
    </x:row>
    <x:row r="2478">
      <x:c r="A2478" t="str">
        <x:v>Karnataka</x:v>
      </x:c>
      <x:c r="B2478" t="str">
        <x:v>All India except Central University</x:v>
      </x:c>
      <x:c r="C2478" t="str">
        <x:v>200585</x:v>
      </x:c>
      <x:c r="D2478" t="str">
        <x:v>Nandi Medical College and Research Institute Chikkaballapura (Chikkaballapura Institute of Medical Sciences Chikkaballapura ), AROORU VILLAGE,PERESANDRA POST, CHIKKABALLAPUR KARANATAKA</x:v>
      </x:c>
      <x:c r="E2478" t="str">
        <x:v>All India</x:v>
      </x:c>
      <x:c r="F2478" t="str">
        <x:v>EWS</x:v>
      </x:c>
      <x:c r="G2478" t="n">
        <x:v>2</x:v>
      </x:c>
      <x:c r="H2478" t="n">
        <x:v>2</x:v>
      </x:c>
      <x:c r="I2478" t="n">
        <x:f>G2478-H2478</x:f>
        <x:v>0</x:v>
      </x:c>
      <x:c r="J2478" s="20" t="n">
        <x:f>IFERROR(H2478/G2478,0)</x:f>
        <x:v>1</x:v>
      </x:c>
      <x:c r="K2478" t="n">
        <x:v>18881</x:v>
      </x:c>
      <x:c r="L2478" t="n">
        <x:v>19644.25</x:v>
      </x:c>
      <x:c r="M2478" t="n">
        <x:v>20407.5</x:v>
      </x:c>
      <x:c r="N2478" t="n">
        <x:v>21170.75</x:v>
      </x:c>
      <x:c r="O2478" t="n">
        <x:v>21934</x:v>
      </x:c>
    </x:row>
    <x:row r="2479">
      <x:c r="A2479" t="str">
        <x:v>Karnataka</x:v>
      </x:c>
      <x:c r="B2479" t="str">
        <x:v>All India except Central University</x:v>
      </x:c>
      <x:c r="C2479" t="str">
        <x:v>200585</x:v>
      </x:c>
      <x:c r="D2479" t="str">
        <x:v>Nandi Medical College and Research Institute Chikkaballapura (Chikkaballapura Institute of Medical Sciences Chikkaballapura ), AROORU VILLAGE,PERESANDRA POST, CHIKKABALLAPUR KARANATAKA</x:v>
      </x:c>
      <x:c r="E2479" t="str">
        <x:v>All India</x:v>
      </x:c>
      <x:c r="F2479" t="str">
        <x:v>EWS PwD</x:v>
      </x:c>
      <x:c r="G2479" t="n">
        <x:v>1</x:v>
      </x:c>
      <x:c r="H2479" t="n">
        <x:v>1</x:v>
      </x:c>
      <x:c r="I2479" t="n">
        <x:f>G2479-H2479</x:f>
        <x:v>0</x:v>
      </x:c>
      <x:c r="J2479" s="20" t="n">
        <x:f>IFERROR(H2479/G2479,0)</x:f>
        <x:v>1</x:v>
      </x:c>
      <x:c r="K2479" t="n">
        <x:v>899380</x:v>
      </x:c>
      <x:c r="L2479" t="n">
        <x:v>899380</x:v>
      </x:c>
      <x:c r="M2479" t="n">
        <x:v>899380</x:v>
      </x:c>
      <x:c r="N2479" t="n">
        <x:v>899380</x:v>
      </x:c>
      <x:c r="O2479" t="n">
        <x:v>899380</x:v>
      </x:c>
    </x:row>
    <x:row r="2480">
      <x:c r="A2480" t="str">
        <x:v>Karnataka</x:v>
      </x:c>
      <x:c r="B2480" t="str">
        <x:v>All India except Central University</x:v>
      </x:c>
      <x:c r="C2480" t="str">
        <x:v>200585</x:v>
      </x:c>
      <x:c r="D2480" t="str">
        <x:v>Nandi Medical College and Research Institute Chikkaballapura (Chikkaballapura Institute of Medical Sciences Chikkaballapura ), AROORU VILLAGE,PERESANDRA POST, CHIKKABALLAPUR KARANATAKA</x:v>
      </x:c>
      <x:c r="E2480" t="str">
        <x:v>All India</x:v>
      </x:c>
      <x:c r="F2480" t="str">
        <x:v>OBC</x:v>
      </x:c>
      <x:c r="G2480" t="n">
        <x:v>7</x:v>
      </x:c>
      <x:c r="H2480" t="n">
        <x:v>7</x:v>
      </x:c>
      <x:c r="I2480" t="n">
        <x:f>G2480-H2480</x:f>
        <x:v>0</x:v>
      </x:c>
      <x:c r="J2480" s="20" t="n">
        <x:f>IFERROR(H2480/G2480,0)</x:f>
        <x:v>1</x:v>
      </x:c>
      <x:c r="K2480" t="n">
        <x:v>16990</x:v>
      </x:c>
      <x:c r="L2480" t="n">
        <x:v>17121.5</x:v>
      </x:c>
      <x:c r="M2480" t="n">
        <x:v>17498</x:v>
      </x:c>
      <x:c r="N2480" t="n">
        <x:v>17696.5</x:v>
      </x:c>
      <x:c r="O2480" t="n">
        <x:v>17814</x:v>
      </x:c>
    </x:row>
    <x:row r="2481">
      <x:c r="A2481" t="str">
        <x:v>Karnataka</x:v>
      </x:c>
      <x:c r="B2481" t="str">
        <x:v>All India except Central University</x:v>
      </x:c>
      <x:c r="C2481" t="str">
        <x:v>200585</x:v>
      </x:c>
      <x:c r="D2481" t="str">
        <x:v>Nandi Medical College and Research Institute Chikkaballapura (Chikkaballapura Institute of Medical Sciences Chikkaballapura ), AROORU VILLAGE,PERESANDRA POST, CHIKKABALLAPUR KARANATAKA</x:v>
      </x:c>
      <x:c r="E2481" t="str">
        <x:v>All India</x:v>
      </x:c>
      <x:c r="F2481" t="str">
        <x:v>Open</x:v>
      </x:c>
      <x:c r="G2481" t="n">
        <x:v>7</x:v>
      </x:c>
      <x:c r="H2481" t="n">
        <x:v>7</x:v>
      </x:c>
      <x:c r="I2481" t="n">
        <x:f>G2481-H2481</x:f>
        <x:v>0</x:v>
      </x:c>
      <x:c r="J2481" s="20" t="n">
        <x:f>IFERROR(H2481/G2481,0)</x:f>
        <x:v>1</x:v>
      </x:c>
      <x:c r="K2481" t="n">
        <x:v>9967</x:v>
      </x:c>
      <x:c r="L2481" t="n">
        <x:v>11861</x:v>
      </x:c>
      <x:c r="M2481" t="n">
        <x:v>12930</x:v>
      </x:c>
      <x:c r="N2481" t="n">
        <x:v>15111.5</x:v>
      </x:c>
      <x:c r="O2481" t="n">
        <x:v>16478</x:v>
      </x:c>
    </x:row>
    <x:row r="2482">
      <x:c r="A2482" t="str">
        <x:v>Karnataka</x:v>
      </x:c>
      <x:c r="B2482" t="str">
        <x:v>All India except Central University</x:v>
      </x:c>
      <x:c r="C2482" t="str">
        <x:v>200585</x:v>
      </x:c>
      <x:c r="D2482" t="str">
        <x:v>Nandi Medical College and Research Institute Chikkaballapura (Chikkaballapura Institute of Medical Sciences Chikkaballapura ), AROORU VILLAGE,PERESANDRA POST, CHIKKABALLAPUR KARANATAKA</x:v>
      </x:c>
      <x:c r="E2482" t="str">
        <x:v>All India</x:v>
      </x:c>
      <x:c r="F2482" t="str">
        <x:v>SC</x:v>
      </x:c>
      <x:c r="G2482" t="n">
        <x:v>4</x:v>
      </x:c>
      <x:c r="H2482" t="n">
        <x:v>4</x:v>
      </x:c>
      <x:c r="I2482" t="n">
        <x:f>G2482-H2482</x:f>
        <x:v>0</x:v>
      </x:c>
      <x:c r="J2482" s="20" t="n">
        <x:f>IFERROR(H2482/G2482,0)</x:f>
        <x:v>1</x:v>
      </x:c>
      <x:c r="K2482" t="n">
        <x:v>87340</x:v>
      </x:c>
      <x:c r="L2482" t="n">
        <x:v>88642.75</x:v>
      </x:c>
      <x:c r="M2482" t="n">
        <x:v>89259</x:v>
      </x:c>
      <x:c r="N2482" t="n">
        <x:v>91123</x:v>
      </x:c>
      <x:c r="O2482" t="n">
        <x:v>96169</x:v>
      </x:c>
    </x:row>
    <x:row r="2483">
      <x:c r="A2483" t="str">
        <x:v>Karnataka</x:v>
      </x:c>
      <x:c r="B2483" t="str">
        <x:v>All India except Central University</x:v>
      </x:c>
      <x:c r="C2483" t="str">
        <x:v>200585</x:v>
      </x:c>
      <x:c r="D2483" t="str">
        <x:v>Nandi Medical College and Research Institute Chikkaballapura (Chikkaballapura Institute of Medical Sciences Chikkaballapura ), AROORU VILLAGE,PERESANDRA POST, CHIKKABALLAPUR KARANATAKA</x:v>
      </x:c>
      <x:c r="E2483" t="str">
        <x:v>All India</x:v>
      </x:c>
      <x:c r="F2483" t="str">
        <x:v>ST</x:v>
      </x:c>
      <x:c r="G2483" t="n">
        <x:v>2</x:v>
      </x:c>
      <x:c r="H2483" t="n">
        <x:v>2</x:v>
      </x:c>
      <x:c r="I2483" t="n">
        <x:f>G2483-H2483</x:f>
        <x:v>0</x:v>
      </x:c>
      <x:c r="J2483" s="20" t="n">
        <x:f>IFERROR(H2483/G2483,0)</x:f>
        <x:v>1</x:v>
      </x:c>
      <x:c r="K2483" t="n">
        <x:v>98309</x:v>
      </x:c>
      <x:c r="L2483" t="n">
        <x:v>100701.75</x:v>
      </x:c>
      <x:c r="M2483" t="n">
        <x:v>103094.5</x:v>
      </x:c>
      <x:c r="N2483" t="n">
        <x:v>105487.25</x:v>
      </x:c>
      <x:c r="O2483" t="n">
        <x:v>107880</x:v>
      </x:c>
    </x:row>
    <x:row r="2484">
      <x:c r="A2484" t="str">
        <x:v>Madhya Pradesh</x:v>
      </x:c>
      <x:c r="B2484" t="str">
        <x:v>All India except Central University</x:v>
      </x:c>
      <x:c r="C2484" t="str">
        <x:v>200203</x:v>
      </x:c>
      <x:c r="D2484" t="str">
        <x:v>Netaji Subhash Chandra Bose Medical College, Jabalpur, NAGPUR ROAD, JABALPUR, STATE-M.P.PIN-482003</x:v>
      </x:c>
      <x:c r="E2484" t="str">
        <x:v>All India</x:v>
      </x:c>
      <x:c r="F2484" t="str">
        <x:v>EWS</x:v>
      </x:c>
      <x:c r="G2484" t="n">
        <x:v>3</x:v>
      </x:c>
      <x:c r="H2484" t="n">
        <x:v>3</x:v>
      </x:c>
      <x:c r="I2484" t="n">
        <x:f>G2484-H2484</x:f>
        <x:v>0</x:v>
      </x:c>
      <x:c r="J2484" s="20" t="n">
        <x:f>IFERROR(H2484/G2484,0)</x:f>
        <x:v>1</x:v>
      </x:c>
      <x:c r="K2484" t="n">
        <x:v>8098</x:v>
      </x:c>
      <x:c r="L2484" t="n">
        <x:v>8341.5</x:v>
      </x:c>
      <x:c r="M2484" t="n">
        <x:v>8585</x:v>
      </x:c>
      <x:c r="N2484" t="n">
        <x:v>8804</x:v>
      </x:c>
      <x:c r="O2484" t="n">
        <x:v>9023</x:v>
      </x:c>
    </x:row>
    <x:row r="2485">
      <x:c r="A2485" t="str">
        <x:v>Madhya Pradesh</x:v>
      </x:c>
      <x:c r="B2485" t="str">
        <x:v>All India except Central University</x:v>
      </x:c>
      <x:c r="C2485" t="str">
        <x:v>200203</x:v>
      </x:c>
      <x:c r="D2485" t="str">
        <x:v>Netaji Subhash Chandra Bose Medical College, Jabalpur, NAGPUR ROAD, JABALPUR, STATE-M.P.PIN-482003</x:v>
      </x:c>
      <x:c r="E2485" t="str">
        <x:v>All India</x:v>
      </x:c>
      <x:c r="F2485" t="str">
        <x:v>EWS PwD</x:v>
      </x:c>
      <x:c r="G2485" t="n">
        <x:v>1</x:v>
      </x:c>
      <x:c r="H2485" t="n">
        <x:v>1</x:v>
      </x:c>
      <x:c r="I2485" t="n">
        <x:f>G2485-H2485</x:f>
        <x:v>0</x:v>
      </x:c>
      <x:c r="J2485" s="20" t="n">
        <x:f>IFERROR(H2485/G2485,0)</x:f>
        <x:v>1</x:v>
      </x:c>
      <x:c r="K2485" t="n">
        <x:v>495296</x:v>
      </x:c>
      <x:c r="L2485" t="n">
        <x:v>495296</x:v>
      </x:c>
      <x:c r="M2485" t="n">
        <x:v>495296</x:v>
      </x:c>
      <x:c r="N2485" t="n">
        <x:v>495296</x:v>
      </x:c>
      <x:c r="O2485" t="n">
        <x:v>495296</x:v>
      </x:c>
    </x:row>
    <x:row r="2486">
      <x:c r="A2486" t="str">
        <x:v>Madhya Pradesh</x:v>
      </x:c>
      <x:c r="B2486" t="str">
        <x:v>All India except Central University</x:v>
      </x:c>
      <x:c r="C2486" t="str">
        <x:v>200203</x:v>
      </x:c>
      <x:c r="D2486" t="str">
        <x:v>Netaji Subhash Chandra Bose Medical College, Jabalpur, NAGPUR ROAD, JABALPUR, STATE-M.P.PIN-482003</x:v>
      </x:c>
      <x:c r="E2486" t="str">
        <x:v>All India</x:v>
      </x:c>
      <x:c r="F2486" t="str">
        <x:v>OBC</x:v>
      </x:c>
      <x:c r="G2486" t="n">
        <x:v>10</x:v>
      </x:c>
      <x:c r="H2486" t="n">
        <x:v>10</x:v>
      </x:c>
      <x:c r="I2486" t="n">
        <x:f>G2486-H2486</x:f>
        <x:v>0</x:v>
      </x:c>
      <x:c r="J2486" s="20" t="n">
        <x:f>IFERROR(H2486/G2486,0)</x:f>
        <x:v>1</x:v>
      </x:c>
      <x:c r="K2486" t="n">
        <x:v>7808</x:v>
      </x:c>
      <x:c r="L2486" t="n">
        <x:v>8121.75</x:v>
      </x:c>
      <x:c r="M2486" t="n">
        <x:v>8476.5</x:v>
      </x:c>
      <x:c r="N2486" t="n">
        <x:v>8760.5</x:v>
      </x:c>
      <x:c r="O2486" t="n">
        <x:v>8816</x:v>
      </x:c>
    </x:row>
    <x:row r="2487">
      <x:c r="A2487" t="str">
        <x:v>Madhya Pradesh</x:v>
      </x:c>
      <x:c r="B2487" t="str">
        <x:v>All India except Central University</x:v>
      </x:c>
      <x:c r="C2487" t="str">
        <x:v>200203</x:v>
      </x:c>
      <x:c r="D2487" t="str">
        <x:v>Netaji Subhash Chandra Bose Medical College, Jabalpur, NAGPUR ROAD, JABALPUR, STATE-M.P.PIN-482003</x:v>
      </x:c>
      <x:c r="E2487" t="str">
        <x:v>All India</x:v>
      </x:c>
      <x:c r="F2487" t="str">
        <x:v>Open</x:v>
      </x:c>
      <x:c r="G2487" t="n">
        <x:v>13</x:v>
      </x:c>
      <x:c r="H2487" t="n">
        <x:v>13</x:v>
      </x:c>
      <x:c r="I2487" t="n">
        <x:f>G2487-H2487</x:f>
        <x:v>0</x:v>
      </x:c>
      <x:c r="J2487" s="20" t="n">
        <x:f>IFERROR(H2487/G2487,0)</x:f>
        <x:v>1</x:v>
      </x:c>
      <x:c r="K2487" t="n">
        <x:v>6315</x:v>
      </x:c>
      <x:c r="L2487" t="n">
        <x:v>6647</x:v>
      </x:c>
      <x:c r="M2487" t="n">
        <x:v>7063</x:v>
      </x:c>
      <x:c r="N2487" t="n">
        <x:v>7131</x:v>
      </x:c>
      <x:c r="O2487" t="n">
        <x:v>7515</x:v>
      </x:c>
    </x:row>
    <x:row r="2488">
      <x:c r="A2488" t="str">
        <x:v>Madhya Pradesh</x:v>
      </x:c>
      <x:c r="B2488" t="str">
        <x:v>All India except Central University</x:v>
      </x:c>
      <x:c r="C2488" t="str">
        <x:v>200203</x:v>
      </x:c>
      <x:c r="D2488" t="str">
        <x:v>Netaji Subhash Chandra Bose Medical College, Jabalpur, NAGPUR ROAD, JABALPUR, STATE-M.P.PIN-482003</x:v>
      </x:c>
      <x:c r="E2488" t="str">
        <x:v>All India</x:v>
      </x:c>
      <x:c r="F2488" t="str">
        <x:v>Open PwD</x:v>
      </x:c>
      <x:c r="G2488" t="n">
        <x:v>1</x:v>
      </x:c>
      <x:c r="H2488" t="n">
        <x:v>1</x:v>
      </x:c>
      <x:c r="I2488" t="n">
        <x:f>G2488-H2488</x:f>
        <x:v>0</x:v>
      </x:c>
      <x:c r="J2488" s="20" t="n">
        <x:f>IFERROR(H2488/G2488,0)</x:f>
        <x:v>1</x:v>
      </x:c>
      <x:c r="K2488" t="n">
        <x:v>419466</x:v>
      </x:c>
      <x:c r="L2488" t="n">
        <x:v>419466</x:v>
      </x:c>
      <x:c r="M2488" t="n">
        <x:v>419466</x:v>
      </x:c>
      <x:c r="N2488" t="n">
        <x:v>419466</x:v>
      </x:c>
      <x:c r="O2488" t="n">
        <x:v>419466</x:v>
      </x:c>
    </x:row>
    <x:row r="2489">
      <x:c r="A2489" t="str">
        <x:v>Madhya Pradesh</x:v>
      </x:c>
      <x:c r="B2489" t="str">
        <x:v>All India except Central University</x:v>
      </x:c>
      <x:c r="C2489" t="str">
        <x:v>200203</x:v>
      </x:c>
      <x:c r="D2489" t="str">
        <x:v>Netaji Subhash Chandra Bose Medical College, Jabalpur, NAGPUR ROAD, JABALPUR, STATE-M.P.PIN-482003</x:v>
      </x:c>
      <x:c r="E2489" t="str">
        <x:v>All India</x:v>
      </x:c>
      <x:c r="F2489" t="str">
        <x:v>SC</x:v>
      </x:c>
      <x:c r="G2489" t="n">
        <x:v>6</x:v>
      </x:c>
      <x:c r="H2489" t="n">
        <x:v>6</x:v>
      </x:c>
      <x:c r="I2489" t="n">
        <x:f>G2489-H2489</x:f>
        <x:v>0</x:v>
      </x:c>
      <x:c r="J2489" s="20" t="n">
        <x:f>IFERROR(H2489/G2489,0)</x:f>
        <x:v>1</x:v>
      </x:c>
      <x:c r="K2489" t="n">
        <x:v>46655</x:v>
      </x:c>
      <x:c r="L2489" t="n">
        <x:v>49124.75</x:v>
      </x:c>
      <x:c r="M2489" t="n">
        <x:v>52017</x:v>
      </x:c>
      <x:c r="N2489" t="n">
        <x:v>55165</x:v>
      </x:c>
      <x:c r="O2489" t="n">
        <x:v>56031</x:v>
      </x:c>
    </x:row>
    <x:row r="2490">
      <x:c r="A2490" t="str">
        <x:v>Madhya Pradesh</x:v>
      </x:c>
      <x:c r="B2490" t="str">
        <x:v>All India except Central University</x:v>
      </x:c>
      <x:c r="C2490" t="str">
        <x:v>200203</x:v>
      </x:c>
      <x:c r="D2490" t="str">
        <x:v>Netaji Subhash Chandra Bose Medical College, Jabalpur, NAGPUR ROAD, JABALPUR, STATE-M.P.PIN-482003</x:v>
      </x:c>
      <x:c r="E2490" t="str">
        <x:v>All India</x:v>
      </x:c>
      <x:c r="F2490" t="str">
        <x:v>ST</x:v>
      </x:c>
      <x:c r="G2490" t="n">
        <x:v>3</x:v>
      </x:c>
      <x:c r="H2490" t="n">
        <x:v>3</x:v>
      </x:c>
      <x:c r="I2490" t="n">
        <x:f>G2490-H2490</x:f>
        <x:v>0</x:v>
      </x:c>
      <x:c r="J2490" s="20" t="n">
        <x:f>IFERROR(H2490/G2490,0)</x:f>
        <x:v>1</x:v>
      </x:c>
      <x:c r="K2490" t="n">
        <x:v>52518</x:v>
      </x:c>
      <x:c r="L2490" t="n">
        <x:v>61968</x:v>
      </x:c>
      <x:c r="M2490" t="n">
        <x:v>71418</x:v>
      </x:c>
      <x:c r="N2490" t="n">
        <x:v>71654</x:v>
      </x:c>
      <x:c r="O2490" t="n">
        <x:v>71890</x:v>
      </x:c>
    </x:row>
    <x:row r="2491">
      <x:c r="A2491" t="str">
        <x:v>West Bengal</x:v>
      </x:c>
      <x:c r="B2491" t="str">
        <x:v>All India except Central University</x:v>
      </x:c>
      <x:c r="C2491" t="str">
        <x:v>200319</x:v>
      </x:c>
      <x:c r="D2491" t="str">
        <x:v>Nilratan Sircar Medical College, Kolkata, 138 AJC Bose Road, Kolkata - 700014</x:v>
      </x:c>
      <x:c r="E2491" t="str">
        <x:v>All India</x:v>
      </x:c>
      <x:c r="F2491" t="str">
        <x:v>EWS</x:v>
      </x:c>
      <x:c r="G2491" t="n">
        <x:v>4</x:v>
      </x:c>
      <x:c r="H2491" t="n">
        <x:v>4</x:v>
      </x:c>
      <x:c r="I2491" t="n">
        <x:f>G2491-H2491</x:f>
        <x:v>0</x:v>
      </x:c>
      <x:c r="J2491" s="20" t="n">
        <x:f>IFERROR(H2491/G2491,0)</x:f>
        <x:v>1</x:v>
      </x:c>
      <x:c r="K2491" t="n">
        <x:v>6005</x:v>
      </x:c>
      <x:c r="L2491" t="n">
        <x:v>6054.5</x:v>
      </x:c>
      <x:c r="M2491" t="n">
        <x:v>6618.5</x:v>
      </x:c>
      <x:c r="N2491" t="n">
        <x:v>7195.5</x:v>
      </x:c>
      <x:c r="O2491" t="n">
        <x:v>7284</x:v>
      </x:c>
    </x:row>
    <x:row r="2492">
      <x:c r="A2492" t="str">
        <x:v>West Bengal</x:v>
      </x:c>
      <x:c r="B2492" t="str">
        <x:v>All India except Central University</x:v>
      </x:c>
      <x:c r="C2492" t="str">
        <x:v>200319</x:v>
      </x:c>
      <x:c r="D2492" t="str">
        <x:v>Nilratan Sircar Medical College, Kolkata, 138 AJC Bose Road, Kolkata - 700014</x:v>
      </x:c>
      <x:c r="E2492" t="str">
        <x:v>All India</x:v>
      </x:c>
      <x:c r="F2492" t="str">
        <x:v>OBC</x:v>
      </x:c>
      <x:c r="G2492" t="n">
        <x:v>9</x:v>
      </x:c>
      <x:c r="H2492" t="n">
        <x:v>9</x:v>
      </x:c>
      <x:c r="I2492" t="n">
        <x:f>G2492-H2492</x:f>
        <x:v>0</x:v>
      </x:c>
      <x:c r="J2492" s="20" t="n">
        <x:f>IFERROR(H2492/G2492,0)</x:f>
        <x:v>1</x:v>
      </x:c>
      <x:c r="K2492" t="n">
        <x:v>5013</x:v>
      </x:c>
      <x:c r="L2492" t="n">
        <x:v>5225</x:v>
      </x:c>
      <x:c r="M2492" t="n">
        <x:v>5709</x:v>
      </x:c>
      <x:c r="N2492" t="n">
        <x:v>5848</x:v>
      </x:c>
      <x:c r="O2492" t="n">
        <x:v>6421</x:v>
      </x:c>
    </x:row>
    <x:row r="2493">
      <x:c r="A2493" t="str">
        <x:v>West Bengal</x:v>
      </x:c>
      <x:c r="B2493" t="str">
        <x:v>All India except Central University</x:v>
      </x:c>
      <x:c r="C2493" t="str">
        <x:v>200319</x:v>
      </x:c>
      <x:c r="D2493" t="str">
        <x:v>Nilratan Sircar Medical College, Kolkata, 138 AJC Bose Road, Kolkata - 700014</x:v>
      </x:c>
      <x:c r="E2493" t="str">
        <x:v>All India</x:v>
      </x:c>
      <x:c r="F2493" t="str">
        <x:v>OBC PwD</x:v>
      </x:c>
      <x:c r="G2493" t="n">
        <x:v>1</x:v>
      </x:c>
      <x:c r="H2493" t="n">
        <x:v>1</x:v>
      </x:c>
      <x:c r="I2493" t="n">
        <x:f>G2493-H2493</x:f>
        <x:v>0</x:v>
      </x:c>
      <x:c r="J2493" s="20" t="n">
        <x:f>IFERROR(H2493/G2493,0)</x:f>
        <x:v>1</x:v>
      </x:c>
      <x:c r="K2493" t="n">
        <x:v>384020</x:v>
      </x:c>
      <x:c r="L2493" t="n">
        <x:v>384020</x:v>
      </x:c>
      <x:c r="M2493" t="n">
        <x:v>384020</x:v>
      </x:c>
      <x:c r="N2493" t="n">
        <x:v>384020</x:v>
      </x:c>
      <x:c r="O2493" t="n">
        <x:v>384020</x:v>
      </x:c>
    </x:row>
    <x:row r="2494">
      <x:c r="A2494" t="str">
        <x:v>West Bengal</x:v>
      </x:c>
      <x:c r="B2494" t="str">
        <x:v>All India except Central University</x:v>
      </x:c>
      <x:c r="C2494" t="str">
        <x:v>200319</x:v>
      </x:c>
      <x:c r="D2494" t="str">
        <x:v>Nilratan Sircar Medical College, Kolkata, 138 AJC Bose Road, Kolkata - 700014</x:v>
      </x:c>
      <x:c r="E2494" t="str">
        <x:v>All India</x:v>
      </x:c>
      <x:c r="F2494" t="str">
        <x:v>Open</x:v>
      </x:c>
      <x:c r="G2494" t="n">
        <x:v>13</x:v>
      </x:c>
      <x:c r="H2494" t="n">
        <x:v>13</x:v>
      </x:c>
      <x:c r="I2494" t="n">
        <x:f>G2494-H2494</x:f>
        <x:v>0</x:v>
      </x:c>
      <x:c r="J2494" s="20" t="n">
        <x:f>IFERROR(H2494/G2494,0)</x:f>
        <x:v>1</x:v>
      </x:c>
      <x:c r="K2494" t="n">
        <x:v>3496</x:v>
      </x:c>
      <x:c r="L2494" t="n">
        <x:v>3825</x:v>
      </x:c>
      <x:c r="M2494" t="n">
        <x:v>4412</x:v>
      </x:c>
      <x:c r="N2494" t="n">
        <x:v>4653</x:v>
      </x:c>
      <x:c r="O2494" t="n">
        <x:v>4818</x:v>
      </x:c>
    </x:row>
    <x:row r="2495">
      <x:c r="A2495" t="str">
        <x:v>West Bengal</x:v>
      </x:c>
      <x:c r="B2495" t="str">
        <x:v>All India except Central University</x:v>
      </x:c>
      <x:c r="C2495" t="str">
        <x:v>200319</x:v>
      </x:c>
      <x:c r="D2495" t="str">
        <x:v>Nilratan Sircar Medical College, Kolkata, 138 AJC Bose Road, Kolkata - 700014</x:v>
      </x:c>
      <x:c r="E2495" t="str">
        <x:v>All India</x:v>
      </x:c>
      <x:c r="F2495" t="str">
        <x:v>Open PwD</x:v>
      </x:c>
      <x:c r="G2495" t="n">
        <x:v>1</x:v>
      </x:c>
      <x:c r="H2495" t="n">
        <x:v>1</x:v>
      </x:c>
      <x:c r="I2495" t="n">
        <x:f>G2495-H2495</x:f>
        <x:v>0</x:v>
      </x:c>
      <x:c r="J2495" s="20" t="n">
        <x:f>IFERROR(H2495/G2495,0)</x:f>
        <x:v>1</x:v>
      </x:c>
      <x:c r="K2495" t="n">
        <x:v>198410</x:v>
      </x:c>
      <x:c r="L2495" t="n">
        <x:v>198410</x:v>
      </x:c>
      <x:c r="M2495" t="n">
        <x:v>198410</x:v>
      </x:c>
      <x:c r="N2495" t="n">
        <x:v>198410</x:v>
      </x:c>
      <x:c r="O2495" t="n">
        <x:v>198410</x:v>
      </x:c>
    </x:row>
    <x:row r="2496">
      <x:c r="A2496" t="str">
        <x:v>West Bengal</x:v>
      </x:c>
      <x:c r="B2496" t="str">
        <x:v>All India except Central University</x:v>
      </x:c>
      <x:c r="C2496" t="str">
        <x:v>200319</x:v>
      </x:c>
      <x:c r="D2496" t="str">
        <x:v>Nilratan Sircar Medical College, Kolkata, 138 AJC Bose Road, Kolkata - 700014</x:v>
      </x:c>
      <x:c r="E2496" t="str">
        <x:v>All India</x:v>
      </x:c>
      <x:c r="F2496" t="str">
        <x:v>SC</x:v>
      </x:c>
      <x:c r="G2496" t="n">
        <x:v>6</x:v>
      </x:c>
      <x:c r="H2496" t="n">
        <x:v>6</x:v>
      </x:c>
      <x:c r="I2496" t="n">
        <x:f>G2496-H2496</x:f>
        <x:v>0</x:v>
      </x:c>
      <x:c r="J2496" s="20" t="n">
        <x:f>IFERROR(H2496/G2496,0)</x:f>
        <x:v>1</x:v>
      </x:c>
      <x:c r="K2496" t="n">
        <x:v>27712</x:v>
      </x:c>
      <x:c r="L2496" t="n">
        <x:v>28531.75</x:v>
      </x:c>
      <x:c r="M2496" t="n">
        <x:v>29074</x:v>
      </x:c>
      <x:c r="N2496" t="n">
        <x:v>30452.5</x:v>
      </x:c>
      <x:c r="O2496" t="n">
        <x:v>31644</x:v>
      </x:c>
    </x:row>
    <x:row r="2497">
      <x:c r="A2497" t="str">
        <x:v>West Bengal</x:v>
      </x:c>
      <x:c r="B2497" t="str">
        <x:v>All India except Central University</x:v>
      </x:c>
      <x:c r="C2497" t="str">
        <x:v>200319</x:v>
      </x:c>
      <x:c r="D2497" t="str">
        <x:v>Nilratan Sircar Medical College, Kolkata, 138 AJC Bose Road, Kolkata - 700014</x:v>
      </x:c>
      <x:c r="E2497" t="str">
        <x:v>All India</x:v>
      </x:c>
      <x:c r="F2497" t="str">
        <x:v>ST</x:v>
      </x:c>
      <x:c r="G2497" t="n">
        <x:v>3</x:v>
      </x:c>
      <x:c r="H2497" t="n">
        <x:v>3</x:v>
      </x:c>
      <x:c r="I2497" t="n">
        <x:f>G2497-H2497</x:f>
        <x:v>0</x:v>
      </x:c>
      <x:c r="J2497" s="20" t="n">
        <x:f>IFERROR(H2497/G2497,0)</x:f>
        <x:v>1</x:v>
      </x:c>
      <x:c r="K2497" t="n">
        <x:v>78100</x:v>
      </x:c>
      <x:c r="L2497" t="n">
        <x:v>78552.5</x:v>
      </x:c>
      <x:c r="M2497" t="n">
        <x:v>79005</x:v>
      </x:c>
      <x:c r="N2497" t="n">
        <x:v>79028</x:v>
      </x:c>
      <x:c r="O2497" t="n">
        <x:v>79051</x:v>
      </x:c>
    </x:row>
    <x:row r="2498">
      <x:c r="A2498" t="str">
        <x:v>West Bengal</x:v>
      </x:c>
      <x:c r="B2498" t="str">
        <x:v>All India except Central University</x:v>
      </x:c>
      <x:c r="C2498" t="str">
        <x:v>200321</x:v>
      </x:c>
      <x:c r="D2498" t="str">
        <x:v>North Bengal Medical College, Darjeeling, Sushrutanagar, Darjeeling</x:v>
      </x:c>
      <x:c r="E2498" t="str">
        <x:v>All India</x:v>
      </x:c>
      <x:c r="F2498" t="str">
        <x:v>EWS</x:v>
      </x:c>
      <x:c r="G2498" t="n">
        <x:v>4</x:v>
      </x:c>
      <x:c r="H2498" t="n">
        <x:v>4</x:v>
      </x:c>
      <x:c r="I2498" t="n">
        <x:f>G2498-H2498</x:f>
        <x:v>0</x:v>
      </x:c>
      <x:c r="J2498" s="20" t="n">
        <x:f>IFERROR(H2498/G2498,0)</x:f>
        <x:v>1</x:v>
      </x:c>
      <x:c r="K2498" t="n">
        <x:v>14106</x:v>
      </x:c>
      <x:c r="L2498" t="n">
        <x:v>14309.25</x:v>
      </x:c>
      <x:c r="M2498" t="n">
        <x:v>14497</x:v>
      </x:c>
      <x:c r="N2498" t="n">
        <x:v>14717.25</x:v>
      </x:c>
      <x:c r="O2498" t="n">
        <x:v>15018</x:v>
      </x:c>
    </x:row>
    <x:row r="2499">
      <x:c r="A2499" t="str">
        <x:v>West Bengal</x:v>
      </x:c>
      <x:c r="B2499" t="str">
        <x:v>All India except Central University</x:v>
      </x:c>
      <x:c r="C2499" t="str">
        <x:v>200321</x:v>
      </x:c>
      <x:c r="D2499" t="str">
        <x:v>North Bengal Medical College, Darjeeling, Sushrutanagar, Darjeeling</x:v>
      </x:c>
      <x:c r="E2499" t="str">
        <x:v>All India</x:v>
      </x:c>
      <x:c r="F2499" t="str">
        <x:v>OBC</x:v>
      </x:c>
      <x:c r="G2499" t="n">
        <x:v>10</x:v>
      </x:c>
      <x:c r="H2499" t="n">
        <x:v>10</x:v>
      </x:c>
      <x:c r="I2499" t="n">
        <x:f>G2499-H2499</x:f>
        <x:v>0</x:v>
      </x:c>
      <x:c r="J2499" s="20" t="n">
        <x:f>IFERROR(H2499/G2499,0)</x:f>
        <x:v>1</x:v>
      </x:c>
      <x:c r="K2499" t="n">
        <x:v>12356</x:v>
      </x:c>
      <x:c r="L2499" t="n">
        <x:v>12891.5</x:v>
      </x:c>
      <x:c r="M2499" t="n">
        <x:v>13484.5</x:v>
      </x:c>
      <x:c r="N2499" t="n">
        <x:v>13550.25</x:v>
      </x:c>
      <x:c r="O2499" t="n">
        <x:v>13676</x:v>
      </x:c>
    </x:row>
    <x:row r="2500">
      <x:c r="A2500" t="str">
        <x:v>West Bengal</x:v>
      </x:c>
      <x:c r="B2500" t="str">
        <x:v>All India except Central University</x:v>
      </x:c>
      <x:c r="C2500" t="str">
        <x:v>200321</x:v>
      </x:c>
      <x:c r="D2500" t="str">
        <x:v>North Bengal Medical College, Darjeeling, Sushrutanagar, Darjeeling</x:v>
      </x:c>
      <x:c r="E2500" t="str">
        <x:v>All India</x:v>
      </x:c>
      <x:c r="F2500" t="str">
        <x:v>Open</x:v>
      </x:c>
      <x:c r="G2500" t="n">
        <x:v>15</x:v>
      </x:c>
      <x:c r="H2500" t="n">
        <x:v>15</x:v>
      </x:c>
      <x:c r="I2500" t="n">
        <x:f>G2500-H2500</x:f>
        <x:v>0</x:v>
      </x:c>
      <x:c r="J2500" s="20" t="n">
        <x:f>IFERROR(H2500/G2500,0)</x:f>
        <x:v>1</x:v>
      </x:c>
      <x:c r="K2500" t="n">
        <x:v>7667</x:v>
      </x:c>
      <x:c r="L2500" t="n">
        <x:v>9498</x:v>
      </x:c>
      <x:c r="M2500" t="n">
        <x:v>10657</x:v>
      </x:c>
      <x:c r="N2500" t="n">
        <x:v>11045.5</x:v>
      </x:c>
      <x:c r="O2500" t="n">
        <x:v>11792</x:v>
      </x:c>
    </x:row>
    <x:row r="2501">
      <x:c r="A2501" t="str">
        <x:v>West Bengal</x:v>
      </x:c>
      <x:c r="B2501" t="str">
        <x:v>All India except Central University</x:v>
      </x:c>
      <x:c r="C2501" t="str">
        <x:v>200321</x:v>
      </x:c>
      <x:c r="D2501" t="str">
        <x:v>North Bengal Medical College, Darjeeling, Sushrutanagar, Darjeeling</x:v>
      </x:c>
      <x:c r="E2501" t="str">
        <x:v>All India</x:v>
      </x:c>
      <x:c r="F2501" t="str">
        <x:v>Open PwD</x:v>
      </x:c>
      <x:c r="G2501" t="n">
        <x:v>1</x:v>
      </x:c>
      <x:c r="H2501" t="n">
        <x:v>1</x:v>
      </x:c>
      <x:c r="I2501" t="n">
        <x:f>G2501-H2501</x:f>
        <x:v>0</x:v>
      </x:c>
      <x:c r="J2501" s="20" t="n">
        <x:f>IFERROR(H2501/G2501,0)</x:f>
        <x:v>1</x:v>
      </x:c>
      <x:c r="K2501" t="n">
        <x:v>413966</x:v>
      </x:c>
      <x:c r="L2501" t="n">
        <x:v>413966</x:v>
      </x:c>
      <x:c r="M2501" t="n">
        <x:v>413966</x:v>
      </x:c>
      <x:c r="N2501" t="n">
        <x:v>413966</x:v>
      </x:c>
      <x:c r="O2501" t="n">
        <x:v>413966</x:v>
      </x:c>
    </x:row>
    <x:row r="2502">
      <x:c r="A2502" t="str">
        <x:v>West Bengal</x:v>
      </x:c>
      <x:c r="B2502" t="str">
        <x:v>All India except Central University</x:v>
      </x:c>
      <x:c r="C2502" t="str">
        <x:v>200321</x:v>
      </x:c>
      <x:c r="D2502" t="str">
        <x:v>North Bengal Medical College, Darjeeling, Sushrutanagar, Darjeeling</x:v>
      </x:c>
      <x:c r="E2502" t="str">
        <x:v>All India</x:v>
      </x:c>
      <x:c r="F2502" t="str">
        <x:v>SC</x:v>
      </x:c>
      <x:c r="G2502" t="n">
        <x:v>6</x:v>
      </x:c>
      <x:c r="H2502" t="n">
        <x:v>6</x:v>
      </x:c>
      <x:c r="I2502" t="n">
        <x:f>G2502-H2502</x:f>
        <x:v>0</x:v>
      </x:c>
      <x:c r="J2502" s="20" t="n">
        <x:f>IFERROR(H2502/G2502,0)</x:f>
        <x:v>1</x:v>
      </x:c>
      <x:c r="K2502" t="n">
        <x:v>33770</x:v>
      </x:c>
      <x:c r="L2502" t="n">
        <x:v>50986.5</x:v>
      </x:c>
      <x:c r="M2502" t="n">
        <x:v>61094</x:v>
      </x:c>
      <x:c r="N2502" t="n">
        <x:v>64542.25</x:v>
      </x:c>
      <x:c r="O2502" t="n">
        <x:v>71947</x:v>
      </x:c>
    </x:row>
    <x:row r="2503">
      <x:c r="A2503" t="str">
        <x:v>West Bengal</x:v>
      </x:c>
      <x:c r="B2503" t="str">
        <x:v>All India except Central University</x:v>
      </x:c>
      <x:c r="C2503" t="str">
        <x:v>200321</x:v>
      </x:c>
      <x:c r="D2503" t="str">
        <x:v>North Bengal Medical College, Darjeeling, Sushrutanagar, Darjeeling</x:v>
      </x:c>
      <x:c r="E2503" t="str">
        <x:v>All India</x:v>
      </x:c>
      <x:c r="F2503" t="str">
        <x:v>ST</x:v>
      </x:c>
      <x:c r="G2503" t="n">
        <x:v>2</x:v>
      </x:c>
      <x:c r="H2503" t="n">
        <x:v>2</x:v>
      </x:c>
      <x:c r="I2503" t="n">
        <x:f>G2503-H2503</x:f>
        <x:v>0</x:v>
      </x:c>
      <x:c r="J2503" s="20" t="n">
        <x:f>IFERROR(H2503/G2503,0)</x:f>
        <x:v>1</x:v>
      </x:c>
      <x:c r="K2503" t="n">
        <x:v>73336</x:v>
      </x:c>
      <x:c r="L2503" t="n">
        <x:v>73993.75</x:v>
      </x:c>
      <x:c r="M2503" t="n">
        <x:v>74651.5</x:v>
      </x:c>
      <x:c r="N2503" t="n">
        <x:v>75309.25</x:v>
      </x:c>
      <x:c r="O2503" t="n">
        <x:v>75967</x:v>
      </x:c>
    </x:row>
    <x:row r="2504">
      <x:c r="A2504" t="str">
        <x:v>Delhi</x:v>
      </x:c>
      <x:c r="B2504" t="str">
        <x:v>All India except Central University</x:v>
      </x:c>
      <x:c r="C2504" t="str">
        <x:v>200132</x:v>
      </x:c>
      <x:c r="D2504" t="str">
        <x:v>North Delhi Muncipal Corporation Medical College, Delhi, North Delhi Municipal Corporation Medical College and Hindu Rao Hospital, Malka Ganj</x:v>
      </x:c>
      <x:c r="E2504" t="str">
        <x:v>All India</x:v>
      </x:c>
      <x:c r="F2504" t="str">
        <x:v>EWS</x:v>
      </x:c>
      <x:c r="G2504" t="n">
        <x:v>1</x:v>
      </x:c>
      <x:c r="H2504" t="n">
        <x:v>1</x:v>
      </x:c>
      <x:c r="I2504" t="n">
        <x:f>G2504-H2504</x:f>
        <x:v>0</x:v>
      </x:c>
      <x:c r="J2504" s="20" t="n">
        <x:f>IFERROR(H2504/G2504,0)</x:f>
        <x:v>1</x:v>
      </x:c>
      <x:c r="K2504" t="n">
        <x:v>2945</x:v>
      </x:c>
      <x:c r="L2504" t="n">
        <x:v>2945</x:v>
      </x:c>
      <x:c r="M2504" t="n">
        <x:v>2945</x:v>
      </x:c>
      <x:c r="N2504" t="n">
        <x:v>2945</x:v>
      </x:c>
      <x:c r="O2504" t="n">
        <x:v>2945</x:v>
      </x:c>
    </x:row>
    <x:row r="2505">
      <x:c r="A2505" t="str">
        <x:v>Delhi</x:v>
      </x:c>
      <x:c r="B2505" t="str">
        <x:v>All India except Central University</x:v>
      </x:c>
      <x:c r="C2505" t="str">
        <x:v>200132</x:v>
      </x:c>
      <x:c r="D2505" t="str">
        <x:v>North Delhi Muncipal Corporation Medical College, Delhi, North Delhi Municipal Corporation Medical College and Hindu Rao Hospital, Malka Ganj</x:v>
      </x:c>
      <x:c r="E2505" t="str">
        <x:v>All India</x:v>
      </x:c>
      <x:c r="F2505" t="str">
        <x:v>OBC</x:v>
      </x:c>
      <x:c r="G2505" t="n">
        <x:v>2</x:v>
      </x:c>
      <x:c r="H2505" t="n">
        <x:v>2</x:v>
      </x:c>
      <x:c r="I2505" t="n">
        <x:f>G2505-H2505</x:f>
        <x:v>0</x:v>
      </x:c>
      <x:c r="J2505" s="20" t="n">
        <x:f>IFERROR(H2505/G2505,0)</x:f>
        <x:v>1</x:v>
      </x:c>
      <x:c r="K2505" t="n">
        <x:v>2509</x:v>
      </x:c>
      <x:c r="L2505" t="n">
        <x:v>2571.75</x:v>
      </x:c>
      <x:c r="M2505" t="n">
        <x:v>2634.5</x:v>
      </x:c>
      <x:c r="N2505" t="n">
        <x:v>2697.25</x:v>
      </x:c>
      <x:c r="O2505" t="n">
        <x:v>2760</x:v>
      </x:c>
    </x:row>
    <x:row r="2506">
      <x:c r="A2506" t="str">
        <x:v>Delhi</x:v>
      </x:c>
      <x:c r="B2506" t="str">
        <x:v>All India except Central University</x:v>
      </x:c>
      <x:c r="C2506" t="str">
        <x:v>200132</x:v>
      </x:c>
      <x:c r="D2506" t="str">
        <x:v>North Delhi Muncipal Corporation Medical College, Delhi, North Delhi Municipal Corporation Medical College and Hindu Rao Hospital, Malka Ganj</x:v>
      </x:c>
      <x:c r="E2506" t="str">
        <x:v>All India</x:v>
      </x:c>
      <x:c r="F2506" t="str">
        <x:v>Open</x:v>
      </x:c>
      <x:c r="G2506" t="n">
        <x:v>5</x:v>
      </x:c>
      <x:c r="H2506" t="n">
        <x:v>5</x:v>
      </x:c>
      <x:c r="I2506" t="n">
        <x:f>G2506-H2506</x:f>
        <x:v>0</x:v>
      </x:c>
      <x:c r="J2506" s="20" t="n">
        <x:f>IFERROR(H2506/G2506,0)</x:f>
        <x:v>1</x:v>
      </x:c>
      <x:c r="K2506" t="n">
        <x:v>1758</x:v>
      </x:c>
      <x:c r="L2506" t="n">
        <x:v>2101</x:v>
      </x:c>
      <x:c r="M2506" t="n">
        <x:v>2139</x:v>
      </x:c>
      <x:c r="N2506" t="n">
        <x:v>2215</x:v>
      </x:c>
      <x:c r="O2506" t="n">
        <x:v>2217</x:v>
      </x:c>
    </x:row>
    <x:row r="2507">
      <x:c r="A2507" t="str">
        <x:v>Delhi</x:v>
      </x:c>
      <x:c r="B2507" t="str">
        <x:v>All India except Central University</x:v>
      </x:c>
      <x:c r="C2507" t="str">
        <x:v>200132</x:v>
      </x:c>
      <x:c r="D2507" t="str">
        <x:v>North Delhi Muncipal Corporation Medical College, Delhi, North Delhi Municipal Corporation Medical College and Hindu Rao Hospital, Malka Ganj</x:v>
      </x:c>
      <x:c r="E2507" t="str">
        <x:v>All India</x:v>
      </x:c>
      <x:c r="F2507" t="str">
        <x:v>SC</x:v>
      </x:c>
      <x:c r="G2507" t="n">
        <x:v>1</x:v>
      </x:c>
      <x:c r="H2507" t="n">
        <x:v>1</x:v>
      </x:c>
      <x:c r="I2507" t="n">
        <x:f>G2507-H2507</x:f>
        <x:v>0</x:v>
      </x:c>
      <x:c r="J2507" s="20" t="n">
        <x:f>IFERROR(H2507/G2507,0)</x:f>
        <x:v>1</x:v>
      </x:c>
      <x:c r="K2507" t="n">
        <x:v>17405</x:v>
      </x:c>
      <x:c r="L2507" t="n">
        <x:v>17405</x:v>
      </x:c>
      <x:c r="M2507" t="n">
        <x:v>17405</x:v>
      </x:c>
      <x:c r="N2507" t="n">
        <x:v>17405</x:v>
      </x:c>
      <x:c r="O2507" t="n">
        <x:v>17405</x:v>
      </x:c>
    </x:row>
    <x:row r="2508">
      <x:c r="A2508" t="str">
        <x:v>Meghalaya</x:v>
      </x:c>
      <x:c r="B2508" t="str">
        <x:v>All India except Central University</x:v>
      </x:c>
      <x:c r="C2508" t="str">
        <x:v>200234</x:v>
      </x:c>
      <x:c r="D2508" t="str">
        <x:v>North Eastern Indira Gandhi Regional Instt. of Health and Medical Sciences, Shillong, Mawdiangdiang Shillong East Khasi Hills District</x:v>
      </x:c>
      <x:c r="E2508" t="str">
        <x:v>All India</x:v>
      </x:c>
      <x:c r="F2508" t="str">
        <x:v>Open</x:v>
      </x:c>
      <x:c r="G2508" t="n">
        <x:v>8</x:v>
      </x:c>
      <x:c r="H2508" t="n">
        <x:v>8</x:v>
      </x:c>
      <x:c r="I2508" t="n">
        <x:f>G2508-H2508</x:f>
        <x:v>0</x:v>
      </x:c>
      <x:c r="J2508" s="20" t="n">
        <x:f>IFERROR(H2508/G2508,0)</x:f>
        <x:v>1</x:v>
      </x:c>
      <x:c r="K2508" t="n">
        <x:v>5745</x:v>
      </x:c>
      <x:c r="L2508" t="n">
        <x:v>8367</x:v>
      </x:c>
      <x:c r="M2508" t="n">
        <x:v>9681.5</x:v>
      </x:c>
      <x:c r="N2508" t="n">
        <x:v>10059.75</x:v>
      </x:c>
      <x:c r="O2508" t="n">
        <x:v>10093</x:v>
      </x:c>
    </x:row>
    <x:row r="2509">
      <x:c r="A2509" t="str">
        <x:v>Telangana</x:v>
      </x:c>
      <x:c r="B2509" t="str">
        <x:v>All India except Central University</x:v>
      </x:c>
      <x:c r="C2509" t="str">
        <x:v>200454</x:v>
      </x:c>
      <x:c r="D2509" t="str">
        <x:v>Osmania Medical College, Hyderabad, HYDERABAD</x:v>
      </x:c>
      <x:c r="E2509" t="str">
        <x:v>All India</x:v>
      </x:c>
      <x:c r="F2509" t="str">
        <x:v>EWS</x:v>
      </x:c>
      <x:c r="G2509" t="n">
        <x:v>2</x:v>
      </x:c>
      <x:c r="H2509" t="n">
        <x:v>2</x:v>
      </x:c>
      <x:c r="I2509" t="n">
        <x:f>G2509-H2509</x:f>
        <x:v>0</x:v>
      </x:c>
      <x:c r="J2509" s="20" t="n">
        <x:f>IFERROR(H2509/G2509,0)</x:f>
        <x:v>1</x:v>
      </x:c>
      <x:c r="K2509" t="n">
        <x:v>4576</x:v>
      </x:c>
      <x:c r="L2509" t="n">
        <x:v>4608.25</x:v>
      </x:c>
      <x:c r="M2509" t="n">
        <x:v>4640.5</x:v>
      </x:c>
      <x:c r="N2509" t="n">
        <x:v>4672.75</x:v>
      </x:c>
      <x:c r="O2509" t="n">
        <x:v>4705</x:v>
      </x:c>
    </x:row>
    <x:row r="2510">
      <x:c r="A2510" t="str">
        <x:v>Telangana</x:v>
      </x:c>
      <x:c r="B2510" t="str">
        <x:v>All India except Central University</x:v>
      </x:c>
      <x:c r="C2510" t="str">
        <x:v>200454</x:v>
      </x:c>
      <x:c r="D2510" t="str">
        <x:v>Osmania Medical College, Hyderabad, HYDERABAD</x:v>
      </x:c>
      <x:c r="E2510" t="str">
        <x:v>All India</x:v>
      </x:c>
      <x:c r="F2510" t="str">
        <x:v>EWS PwD</x:v>
      </x:c>
      <x:c r="G2510" t="n">
        <x:v>1</x:v>
      </x:c>
      <x:c r="H2510" t="n">
        <x:v>1</x:v>
      </x:c>
      <x:c r="I2510" t="n">
        <x:f>G2510-H2510</x:f>
        <x:v>0</x:v>
      </x:c>
      <x:c r="J2510" s="20" t="n">
        <x:f>IFERROR(H2510/G2510,0)</x:f>
        <x:v>1</x:v>
      </x:c>
      <x:c r="K2510" t="n">
        <x:v>389062</x:v>
      </x:c>
      <x:c r="L2510" t="n">
        <x:v>389062</x:v>
      </x:c>
      <x:c r="M2510" t="n">
        <x:v>389062</x:v>
      </x:c>
      <x:c r="N2510" t="n">
        <x:v>389062</x:v>
      </x:c>
      <x:c r="O2510" t="n">
        <x:v>389062</x:v>
      </x:c>
    </x:row>
    <x:row r="2511">
      <x:c r="A2511" t="str">
        <x:v>Telangana</x:v>
      </x:c>
      <x:c r="B2511" t="str">
        <x:v>All India except Central University</x:v>
      </x:c>
      <x:c r="C2511" t="str">
        <x:v>200454</x:v>
      </x:c>
      <x:c r="D2511" t="str">
        <x:v>Osmania Medical College, Hyderabad, HYDERABAD</x:v>
      </x:c>
      <x:c r="E2511" t="str">
        <x:v>All India</x:v>
      </x:c>
      <x:c r="F2511" t="str">
        <x:v>OBC</x:v>
      </x:c>
      <x:c r="G2511" t="n">
        <x:v>10</x:v>
      </x:c>
      <x:c r="H2511" t="n">
        <x:v>10</x:v>
      </x:c>
      <x:c r="I2511" t="n">
        <x:f>G2511-H2511</x:f>
        <x:v>0</x:v>
      </x:c>
      <x:c r="J2511" s="20" t="n">
        <x:f>IFERROR(H2511/G2511,0)</x:f>
        <x:v>1</x:v>
      </x:c>
      <x:c r="K2511" t="n">
        <x:v>3795</x:v>
      </x:c>
      <x:c r="L2511" t="n">
        <x:v>4432.5</x:v>
      </x:c>
      <x:c r="M2511" t="n">
        <x:v>4950</x:v>
      </x:c>
      <x:c r="N2511" t="n">
        <x:v>5121.5</x:v>
      </x:c>
      <x:c r="O2511" t="n">
        <x:v>5351</x:v>
      </x:c>
    </x:row>
    <x:row r="2512">
      <x:c r="A2512" t="str">
        <x:v>Telangana</x:v>
      </x:c>
      <x:c r="B2512" t="str">
        <x:v>All India except Central University</x:v>
      </x:c>
      <x:c r="C2512" t="str">
        <x:v>200454</x:v>
      </x:c>
      <x:c r="D2512" t="str">
        <x:v>Osmania Medical College, Hyderabad, HYDERABAD</x:v>
      </x:c>
      <x:c r="E2512" t="str">
        <x:v>All India</x:v>
      </x:c>
      <x:c r="F2512" t="str">
        <x:v>Open</x:v>
      </x:c>
      <x:c r="G2512" t="n">
        <x:v>15</x:v>
      </x:c>
      <x:c r="H2512" t="n">
        <x:v>15</x:v>
      </x:c>
      <x:c r="I2512" t="n">
        <x:f>G2512-H2512</x:f>
        <x:v>0</x:v>
      </x:c>
      <x:c r="J2512" s="20" t="n">
        <x:f>IFERROR(H2512/G2512,0)</x:f>
        <x:v>1</x:v>
      </x:c>
      <x:c r="K2512" t="n">
        <x:v>1277</x:v>
      </x:c>
      <x:c r="L2512" t="n">
        <x:v>3040</x:v>
      </x:c>
      <x:c r="M2512" t="n">
        <x:v>3415</x:v>
      </x:c>
      <x:c r="N2512" t="n">
        <x:v>3616.5</x:v>
      </x:c>
      <x:c r="O2512" t="n">
        <x:v>3776</x:v>
      </x:c>
    </x:row>
    <x:row r="2513">
      <x:c r="A2513" t="str">
        <x:v>Telangana</x:v>
      </x:c>
      <x:c r="B2513" t="str">
        <x:v>All India except Central University</x:v>
      </x:c>
      <x:c r="C2513" t="str">
        <x:v>200454</x:v>
      </x:c>
      <x:c r="D2513" t="str">
        <x:v>Osmania Medical College, Hyderabad, HYDERABAD</x:v>
      </x:c>
      <x:c r="E2513" t="str">
        <x:v>All India</x:v>
      </x:c>
      <x:c r="F2513" t="str">
        <x:v>Open PwD</x:v>
      </x:c>
      <x:c r="G2513" t="n">
        <x:v>1</x:v>
      </x:c>
      <x:c r="H2513" t="n">
        <x:v>1</x:v>
      </x:c>
      <x:c r="I2513" t="n">
        <x:f>G2513-H2513</x:f>
        <x:v>0</x:v>
      </x:c>
      <x:c r="J2513" s="20" t="n">
        <x:f>IFERROR(H2513/G2513,0)</x:f>
        <x:v>1</x:v>
      </x:c>
      <x:c r="K2513" t="n">
        <x:v>172565</x:v>
      </x:c>
      <x:c r="L2513" t="n">
        <x:v>172565</x:v>
      </x:c>
      <x:c r="M2513" t="n">
        <x:v>172565</x:v>
      </x:c>
      <x:c r="N2513" t="n">
        <x:v>172565</x:v>
      </x:c>
      <x:c r="O2513" t="n">
        <x:v>172565</x:v>
      </x:c>
    </x:row>
    <x:row r="2514">
      <x:c r="A2514" t="str">
        <x:v>Telangana</x:v>
      </x:c>
      <x:c r="B2514" t="str">
        <x:v>All India except Central University</x:v>
      </x:c>
      <x:c r="C2514" t="str">
        <x:v>200454</x:v>
      </x:c>
      <x:c r="D2514" t="str">
        <x:v>Osmania Medical College, Hyderabad, HYDERABAD</x:v>
      </x:c>
      <x:c r="E2514" t="str">
        <x:v>All India</x:v>
      </x:c>
      <x:c r="F2514" t="str">
        <x:v>SC</x:v>
      </x:c>
      <x:c r="G2514" t="n">
        <x:v>5</x:v>
      </x:c>
      <x:c r="H2514" t="n">
        <x:v>5</x:v>
      </x:c>
      <x:c r="I2514" t="n">
        <x:f>G2514-H2514</x:f>
        <x:v>0</x:v>
      </x:c>
      <x:c r="J2514" s="20" t="n">
        <x:f>IFERROR(H2514/G2514,0)</x:f>
        <x:v>1</x:v>
      </x:c>
      <x:c r="K2514" t="n">
        <x:v>29717</x:v>
      </x:c>
      <x:c r="L2514" t="n">
        <x:v>30435</x:v>
      </x:c>
      <x:c r="M2514" t="n">
        <x:v>32322</x:v>
      </x:c>
      <x:c r="N2514" t="n">
        <x:v>34144</x:v>
      </x:c>
      <x:c r="O2514" t="n">
        <x:v>34962</x:v>
      </x:c>
    </x:row>
    <x:row r="2515">
      <x:c r="A2515" t="str">
        <x:v>Telangana</x:v>
      </x:c>
      <x:c r="B2515" t="str">
        <x:v>All India except Central University</x:v>
      </x:c>
      <x:c r="C2515" t="str">
        <x:v>200454</x:v>
      </x:c>
      <x:c r="D2515" t="str">
        <x:v>Osmania Medical College, Hyderabad, HYDERABAD</x:v>
      </x:c>
      <x:c r="E2515" t="str">
        <x:v>All India</x:v>
      </x:c>
      <x:c r="F2515" t="str">
        <x:v>ST</x:v>
      </x:c>
      <x:c r="G2515" t="n">
        <x:v>3</x:v>
      </x:c>
      <x:c r="H2515" t="n">
        <x:v>3</x:v>
      </x:c>
      <x:c r="I2515" t="n">
        <x:f>G2515-H2515</x:f>
        <x:v>0</x:v>
      </x:c>
      <x:c r="J2515" s="20" t="n">
        <x:f>IFERROR(H2515/G2515,0)</x:f>
        <x:v>1</x:v>
      </x:c>
      <x:c r="K2515" t="n">
        <x:v>36138</x:v>
      </x:c>
      <x:c r="L2515" t="n">
        <x:v>36163</x:v>
      </x:c>
      <x:c r="M2515" t="n">
        <x:v>36188</x:v>
      </x:c>
      <x:c r="N2515" t="n">
        <x:v>40332.5</x:v>
      </x:c>
      <x:c r="O2515" t="n">
        <x:v>44477</x:v>
      </x:c>
    </x:row>
    <x:row r="2516">
      <x:c r="A2516" t="str">
        <x:v>Odisha</x:v>
      </x:c>
      <x:c r="B2516" t="str">
        <x:v>All India except Central University</x:v>
      </x:c>
      <x:c r="C2516" t="str">
        <x:v>904364</x:v>
      </x:c>
      <x:c r="D2516" t="str">
        <x:v>PABITRA MOHAN PRADHAN MEDICAL COLLEGE, TALCHER, AT/PO- DERA, P.S- COLLIERY DERA, TALCHER, DISTRICT-ANGUL, PIN- 759103, ODISHA</x:v>
      </x:c>
      <x:c r="E2516" t="str">
        <x:v>All India</x:v>
      </x:c>
      <x:c r="F2516" t="str">
        <x:v>EWS</x:v>
      </x:c>
      <x:c r="G2516" t="n">
        <x:v>1</x:v>
      </x:c>
      <x:c r="H2516" t="n">
        <x:v>1</x:v>
      </x:c>
      <x:c r="I2516" t="n">
        <x:f>G2516-H2516</x:f>
        <x:v>0</x:v>
      </x:c>
      <x:c r="J2516" s="20" t="n">
        <x:f>IFERROR(H2516/G2516,0)</x:f>
        <x:v>1</x:v>
      </x:c>
      <x:c r="K2516" t="n">
        <x:v>22013</x:v>
      </x:c>
      <x:c r="L2516" t="n">
        <x:v>22013</x:v>
      </x:c>
      <x:c r="M2516" t="n">
        <x:v>22013</x:v>
      </x:c>
      <x:c r="N2516" t="n">
        <x:v>22013</x:v>
      </x:c>
      <x:c r="O2516" t="n">
        <x:v>22013</x:v>
      </x:c>
    </x:row>
    <x:row r="2517">
      <x:c r="A2517" t="str">
        <x:v>Odisha</x:v>
      </x:c>
      <x:c r="B2517" t="str">
        <x:v>All India except Central University</x:v>
      </x:c>
      <x:c r="C2517" t="str">
        <x:v>904364</x:v>
      </x:c>
      <x:c r="D2517" t="str">
        <x:v>PABITRA MOHAN PRADHAN MEDICAL COLLEGE, TALCHER, AT/PO- DERA, P.S- COLLIERY DERA, TALCHER, DISTRICT-ANGUL, PIN- 759103, ODISHA</x:v>
      </x:c>
      <x:c r="E2517" t="str">
        <x:v>All India</x:v>
      </x:c>
      <x:c r="F2517" t="str">
        <x:v>OBC</x:v>
      </x:c>
      <x:c r="G2517" t="n">
        <x:v>4</x:v>
      </x:c>
      <x:c r="H2517" t="n">
        <x:v>4</x:v>
      </x:c>
      <x:c r="I2517" t="n">
        <x:f>G2517-H2517</x:f>
        <x:v>0</x:v>
      </x:c>
      <x:c r="J2517" s="20" t="n">
        <x:f>IFERROR(H2517/G2517,0)</x:f>
        <x:v>1</x:v>
      </x:c>
      <x:c r="K2517" t="n">
        <x:v>17940</x:v>
      </x:c>
      <x:c r="L2517" t="n">
        <x:v>18065.25</x:v>
      </x:c>
      <x:c r="M2517" t="n">
        <x:v>18521.5</x:v>
      </x:c>
      <x:c r="N2517" t="n">
        <x:v>18980.75</x:v>
      </x:c>
      <x:c r="O2517" t="n">
        <x:v>19115</x:v>
      </x:c>
    </x:row>
    <x:row r="2518">
      <x:c r="A2518" t="str">
        <x:v>Odisha</x:v>
      </x:c>
      <x:c r="B2518" t="str">
        <x:v>All India except Central University</x:v>
      </x:c>
      <x:c r="C2518" t="str">
        <x:v>904364</x:v>
      </x:c>
      <x:c r="D2518" t="str">
        <x:v>PABITRA MOHAN PRADHAN MEDICAL COLLEGE, TALCHER, AT/PO- DERA, P.S- COLLIERY DERA, TALCHER, DISTRICT-ANGUL, PIN- 759103, ODISHA</x:v>
      </x:c>
      <x:c r="E2518" t="str">
        <x:v>All India</x:v>
      </x:c>
      <x:c r="F2518" t="str">
        <x:v>Open</x:v>
      </x:c>
      <x:c r="G2518" t="n">
        <x:v>5</x:v>
      </x:c>
      <x:c r="H2518" t="n">
        <x:v>5</x:v>
      </x:c>
      <x:c r="I2518" t="n">
        <x:f>G2518-H2518</x:f>
        <x:v>0</x:v>
      </x:c>
      <x:c r="J2518" s="20" t="n">
        <x:f>IFERROR(H2518/G2518,0)</x:f>
        <x:v>1</x:v>
      </x:c>
      <x:c r="K2518" t="n">
        <x:v>11173</x:v>
      </x:c>
      <x:c r="L2518" t="n">
        <x:v>12212</x:v>
      </x:c>
      <x:c r="M2518" t="n">
        <x:v>13531</x:v>
      </x:c>
      <x:c r="N2518" t="n">
        <x:v>13811</x:v>
      </x:c>
      <x:c r="O2518" t="n">
        <x:v>14500</x:v>
      </x:c>
    </x:row>
    <x:row r="2519">
      <x:c r="A2519" t="str">
        <x:v>Odisha</x:v>
      </x:c>
      <x:c r="B2519" t="str">
        <x:v>All India except Central University</x:v>
      </x:c>
      <x:c r="C2519" t="str">
        <x:v>904364</x:v>
      </x:c>
      <x:c r="D2519" t="str">
        <x:v>PABITRA MOHAN PRADHAN MEDICAL COLLEGE, TALCHER, AT/PO- DERA, P.S- COLLIERY DERA, TALCHER, DISTRICT-ANGUL, PIN- 759103, ODISHA</x:v>
      </x:c>
      <x:c r="E2519" t="str">
        <x:v>All India</x:v>
      </x:c>
      <x:c r="F2519" t="str">
        <x:v>SC</x:v>
      </x:c>
      <x:c r="G2519" t="n">
        <x:v>3</x:v>
      </x:c>
      <x:c r="H2519" t="n">
        <x:v>3</x:v>
      </x:c>
      <x:c r="I2519" t="n">
        <x:f>G2519-H2519</x:f>
        <x:v>0</x:v>
      </x:c>
      <x:c r="J2519" s="20" t="n">
        <x:f>IFERROR(H2519/G2519,0)</x:f>
        <x:v>1</x:v>
      </x:c>
      <x:c r="K2519" t="n">
        <x:v>74516</x:v>
      </x:c>
      <x:c r="L2519" t="n">
        <x:v>82557</x:v>
      </x:c>
      <x:c r="M2519" t="n">
        <x:v>90598</x:v>
      </x:c>
      <x:c r="N2519" t="n">
        <x:v>92107.5</x:v>
      </x:c>
      <x:c r="O2519" t="n">
        <x:v>93617</x:v>
      </x:c>
    </x:row>
    <x:row r="2520">
      <x:c r="A2520" t="str">
        <x:v>Odisha</x:v>
      </x:c>
      <x:c r="B2520" t="str">
        <x:v>All India except Central University</x:v>
      </x:c>
      <x:c r="C2520" t="str">
        <x:v>904364</x:v>
      </x:c>
      <x:c r="D2520" t="str">
        <x:v>PABITRA MOHAN PRADHAN MEDICAL COLLEGE, TALCHER, AT/PO- DERA, P.S- COLLIERY DERA, TALCHER, DISTRICT-ANGUL, PIN- 759103, ODISHA</x:v>
      </x:c>
      <x:c r="E2520" t="str">
        <x:v>All India</x:v>
      </x:c>
      <x:c r="F2520" t="str">
        <x:v>ST</x:v>
      </x:c>
      <x:c r="G2520" t="n">
        <x:v>2</x:v>
      </x:c>
      <x:c r="H2520" t="n">
        <x:v>2</x:v>
      </x:c>
      <x:c r="I2520" t="n">
        <x:f>G2520-H2520</x:f>
        <x:v>0</x:v>
      </x:c>
      <x:c r="J2520" s="20" t="n">
        <x:f>IFERROR(H2520/G2520,0)</x:f>
        <x:v>1</x:v>
      </x:c>
      <x:c r="K2520" t="n">
        <x:v>125647</x:v>
      </x:c>
      <x:c r="L2520" t="n">
        <x:v>126101</x:v>
      </x:c>
      <x:c r="M2520" t="n">
        <x:v>126555</x:v>
      </x:c>
      <x:c r="N2520" t="n">
        <x:v>127009</x:v>
      </x:c>
      <x:c r="O2520" t="n">
        <x:v>127463</x:v>
      </x:c>
    </x:row>
    <x:row r="2521">
      <x:c r="A2521" t="str">
        <x:v>Haryana</x:v>
      </x:c>
      <x:c r="B2521" t="str">
        <x:v>All India except Central University</x:v>
      </x:c>
      <x:c r="C2521" t="str">
        <x:v>904365</x:v>
      </x:c>
      <x:c r="D2521" t="str">
        <x:v>PT NEKI RAM SHARMA GOVERNMENT MEDICAL COLLEGE, BHIWANI, PANDIT NEKI RAM SHARMA GOVERNMENT MEDICAL COLLEGE, HANSI ROAD, NEAR VITA MILK PLANT, BHIWANI, HARYAN</x:v>
      </x:c>
      <x:c r="E2521" t="str">
        <x:v>All India</x:v>
      </x:c>
      <x:c r="F2521" t="str">
        <x:v>EWS</x:v>
      </x:c>
      <x:c r="G2521" t="n">
        <x:v>2</x:v>
      </x:c>
      <x:c r="H2521" t="n">
        <x:v>2</x:v>
      </x:c>
      <x:c r="I2521" t="n">
        <x:f>G2521-H2521</x:f>
        <x:v>0</x:v>
      </x:c>
      <x:c r="J2521" s="20" t="n">
        <x:f>IFERROR(H2521/G2521,0)</x:f>
        <x:v>1</x:v>
      </x:c>
      <x:c r="K2521" t="n">
        <x:v>13267</x:v>
      </x:c>
      <x:c r="L2521" t="n">
        <x:v>13855.25</x:v>
      </x:c>
      <x:c r="M2521" t="n">
        <x:v>14443.5</x:v>
      </x:c>
      <x:c r="N2521" t="n">
        <x:v>15031.75</x:v>
      </x:c>
      <x:c r="O2521" t="n">
        <x:v>15620</x:v>
      </x:c>
    </x:row>
    <x:row r="2522">
      <x:c r="A2522" t="str">
        <x:v>Haryana</x:v>
      </x:c>
      <x:c r="B2522" t="str">
        <x:v>All India except Central University</x:v>
      </x:c>
      <x:c r="C2522" t="str">
        <x:v>904365</x:v>
      </x:c>
      <x:c r="D2522" t="str">
        <x:v>PT NEKI RAM SHARMA GOVERNMENT MEDICAL COLLEGE, BHIWANI, PANDIT NEKI RAM SHARMA GOVERNMENT MEDICAL COLLEGE, HANSI ROAD, NEAR VITA MILK PLANT, BHIWANI, HARYAN</x:v>
      </x:c>
      <x:c r="E2522" t="str">
        <x:v>All India</x:v>
      </x:c>
      <x:c r="F2522" t="str">
        <x:v>OBC</x:v>
      </x:c>
      <x:c r="G2522" t="n">
        <x:v>4</x:v>
      </x:c>
      <x:c r="H2522" t="n">
        <x:v>4</x:v>
      </x:c>
      <x:c r="I2522" t="n">
        <x:f>G2522-H2522</x:f>
        <x:v>0</x:v>
      </x:c>
      <x:c r="J2522" s="20" t="n">
        <x:f>IFERROR(H2522/G2522,0)</x:f>
        <x:v>1</x:v>
      </x:c>
      <x:c r="K2522" t="n">
        <x:v>11562</x:v>
      </x:c>
      <x:c r="L2522" t="n">
        <x:v>12824.25</x:v>
      </x:c>
      <x:c r="M2522" t="n">
        <x:v>13825.5</x:v>
      </x:c>
      <x:c r="N2522" t="n">
        <x:v>14477</x:v>
      </x:c>
      <x:c r="O2522" t="n">
        <x:v>14690</x:v>
      </x:c>
    </x:row>
    <x:row r="2523">
      <x:c r="A2523" t="str">
        <x:v>Haryana</x:v>
      </x:c>
      <x:c r="B2523" t="str">
        <x:v>All India except Central University</x:v>
      </x:c>
      <x:c r="C2523" t="str">
        <x:v>904365</x:v>
      </x:c>
      <x:c r="D2523" t="str">
        <x:v>PT NEKI RAM SHARMA GOVERNMENT MEDICAL COLLEGE, BHIWANI, PANDIT NEKI RAM SHARMA GOVERNMENT MEDICAL COLLEGE, HANSI ROAD, NEAR VITA MILK PLANT, BHIWANI, HARYAN</x:v>
      </x:c>
      <x:c r="E2523" t="str">
        <x:v>All India</x:v>
      </x:c>
      <x:c r="F2523" t="str">
        <x:v>Open</x:v>
      </x:c>
      <x:c r="G2523" t="n">
        <x:v>6</x:v>
      </x:c>
      <x:c r="H2523" t="n">
        <x:v>6</x:v>
      </x:c>
      <x:c r="I2523" t="n">
        <x:f>G2523-H2523</x:f>
        <x:v>0</x:v>
      </x:c>
      <x:c r="J2523" s="20" t="n">
        <x:f>IFERROR(H2523/G2523,0)</x:f>
        <x:v>1</x:v>
      </x:c>
      <x:c r="K2523" t="n">
        <x:v>5666</x:v>
      </x:c>
      <x:c r="L2523" t="n">
        <x:v>8842</x:v>
      </x:c>
      <x:c r="M2523" t="n">
        <x:v>9887.5</x:v>
      </x:c>
      <x:c r="N2523" t="n">
        <x:v>10629.25</x:v>
      </x:c>
      <x:c r="O2523" t="n">
        <x:v>11100</x:v>
      </x:c>
    </x:row>
    <x:row r="2524">
      <x:c r="A2524" t="str">
        <x:v>Haryana</x:v>
      </x:c>
      <x:c r="B2524" t="str">
        <x:v>All India except Central University</x:v>
      </x:c>
      <x:c r="C2524" t="str">
        <x:v>904365</x:v>
      </x:c>
      <x:c r="D2524" t="str">
        <x:v>PT NEKI RAM SHARMA GOVERNMENT MEDICAL COLLEGE, BHIWANI, PANDIT NEKI RAM SHARMA GOVERNMENT MEDICAL COLLEGE, HANSI ROAD, NEAR VITA MILK PLANT, BHIWANI, HARYAN</x:v>
      </x:c>
      <x:c r="E2524" t="str">
        <x:v>All India</x:v>
      </x:c>
      <x:c r="F2524" t="str">
        <x:v>SC</x:v>
      </x:c>
      <x:c r="G2524" t="n">
        <x:v>2</x:v>
      </x:c>
      <x:c r="H2524" t="n">
        <x:v>2</x:v>
      </x:c>
      <x:c r="I2524" t="n">
        <x:f>G2524-H2524</x:f>
        <x:v>0</x:v>
      </x:c>
      <x:c r="J2524" s="20" t="n">
        <x:f>IFERROR(H2524/G2524,0)</x:f>
        <x:v>1</x:v>
      </x:c>
      <x:c r="K2524" t="n">
        <x:v>67048</x:v>
      </x:c>
      <x:c r="L2524" t="n">
        <x:v>67855.75</x:v>
      </x:c>
      <x:c r="M2524" t="n">
        <x:v>68663.5</x:v>
      </x:c>
      <x:c r="N2524" t="n">
        <x:v>69471.25</x:v>
      </x:c>
      <x:c r="O2524" t="n">
        <x:v>70279</x:v>
      </x:c>
    </x:row>
    <x:row r="2525">
      <x:c r="A2525" t="str">
        <x:v>Haryana</x:v>
      </x:c>
      <x:c r="B2525" t="str">
        <x:v>All India except Central University</x:v>
      </x:c>
      <x:c r="C2525" t="str">
        <x:v>904365</x:v>
      </x:c>
      <x:c r="D2525" t="str">
        <x:v>PT NEKI RAM SHARMA GOVERNMENT MEDICAL COLLEGE, BHIWANI, PANDIT NEKI RAM SHARMA GOVERNMENT MEDICAL COLLEGE, HANSI ROAD, NEAR VITA MILK PLANT, BHIWANI, HARYAN</x:v>
      </x:c>
      <x:c r="E2525" t="str">
        <x:v>All India</x:v>
      </x:c>
      <x:c r="F2525" t="str">
        <x:v>ST</x:v>
      </x:c>
      <x:c r="G2525" t="n">
        <x:v>1</x:v>
      </x:c>
      <x:c r="H2525" t="n">
        <x:v>1</x:v>
      </x:c>
      <x:c r="I2525" t="n">
        <x:f>G2525-H2525</x:f>
        <x:v>0</x:v>
      </x:c>
      <x:c r="J2525" s="20" t="n">
        <x:f>IFERROR(H2525/G2525,0)</x:f>
        <x:v>1</x:v>
      </x:c>
      <x:c r="K2525" t="n">
        <x:v>92972</x:v>
      </x:c>
      <x:c r="L2525" t="n">
        <x:v>92972</x:v>
      </x:c>
      <x:c r="M2525" t="n">
        <x:v>92972</x:v>
      </x:c>
      <x:c r="N2525" t="n">
        <x:v>92972</x:v>
      </x:c>
      <x:c r="O2525" t="n">
        <x:v>92972</x:v>
      </x:c>
    </x:row>
    <x:row r="2526">
      <x:c r="A2526" t="str">
        <x:v>Maharashtra</x:v>
      </x:c>
      <x:c r="B2526" t="str">
        <x:v>Deemed University</x:v>
      </x:c>
      <x:c r="C2526" t="str">
        <x:v>904758</x:v>
      </x:c>
      <x:c r="D2526" t="str">
        <x:v>Padmashree Dr. DY. Patil Medical College, Navi Mumbai, Sector 5, Nerul, Navi Mumbai,</x:v>
      </x:c>
      <x:c r="E2526" t="str">
        <x:v>NRI</x:v>
      </x:c>
      <x:c r="F2526" t="str">
        <x:v>Open</x:v>
      </x:c>
      <x:c r="G2526" t="n">
        <x:v>38</x:v>
      </x:c>
      <x:c r="H2526" t="n">
        <x:v>2</x:v>
      </x:c>
      <x:c r="I2526" t="n">
        <x:f>G2526-H2526</x:f>
        <x:v>36</x:v>
      </x:c>
      <x:c r="J2526" s="20" t="n">
        <x:f>IFERROR(H2526/G2526,0)</x:f>
        <x:v>0.05263157894736842</x:v>
      </x:c>
      <x:c r="K2526" t="n">
        <x:v>649386</x:v>
      </x:c>
      <x:c r="L2526" t="n">
        <x:v>722761</x:v>
      </x:c>
      <x:c r="M2526" t="n">
        <x:v>796136</x:v>
      </x:c>
      <x:c r="N2526" t="n">
        <x:v>869511</x:v>
      </x:c>
      <x:c r="O2526" t="n">
        <x:v>942886</x:v>
      </x:c>
    </x:row>
    <x:row r="2527">
      <x:c r="A2527" t="str">
        <x:v>Maharashtra</x:v>
      </x:c>
      <x:c r="B2527" t="str">
        <x:v>Deemed University</x:v>
      </x:c>
      <x:c r="C2527" t="str">
        <x:v>904758</x:v>
      </x:c>
      <x:c r="D2527" t="str">
        <x:v>Padmashree Dr. DY. Patil Medical College, Navi Mumbai, Sector 5, Nerul, Navi Mumbai,</x:v>
      </x:c>
      <x:c r="E2527" t="str">
        <x:v>Self-Financed Merit</x:v>
      </x:c>
      <x:c r="F2527" t="str">
        <x:v>Open</x:v>
      </x:c>
      <x:c r="G2527" t="n">
        <x:v>212</x:v>
      </x:c>
      <x:c r="H2527" t="n">
        <x:v>212</x:v>
      </x:c>
      <x:c r="I2527" t="n">
        <x:f>G2527-H2527</x:f>
        <x:v>0</x:v>
      </x:c>
      <x:c r="J2527" s="20" t="n">
        <x:f>IFERROR(H2527/G2527,0)</x:f>
        <x:v>1</x:v>
      </x:c>
      <x:c r="K2527" t="n">
        <x:v>60529</x:v>
      </x:c>
      <x:c r="L2527" t="n">
        <x:v>332046</x:v>
      </x:c>
      <x:c r="M2527" t="n">
        <x:v>429642</x:v>
      </x:c>
      <x:c r="N2527" t="n">
        <x:v>478500.25</x:v>
      </x:c>
      <x:c r="O2527" t="n">
        <x:v>510432</x:v>
      </x:c>
    </x:row>
    <x:row r="2528">
      <x:c r="A2528" t="str">
        <x:v>Jharkhand</x:v>
      </x:c>
      <x:c r="B2528" t="str">
        <x:v>All India except Central University</x:v>
      </x:c>
      <x:c r="C2528" t="str">
        <x:v>200584</x:v>
      </x:c>
      <x:c r="D2528" t="str">
        <x:v>Palamu Medical College, Palamu, Pokhraha Khurd, P.O- Rajwadih, P.S- Medininagar, Dist. Palamu</x:v>
      </x:c>
      <x:c r="E2528" t="str">
        <x:v>All India</x:v>
      </x:c>
      <x:c r="F2528" t="str">
        <x:v>EWS</x:v>
      </x:c>
      <x:c r="G2528" t="n">
        <x:v>1</x:v>
      </x:c>
      <x:c r="H2528" t="n">
        <x:v>1</x:v>
      </x:c>
      <x:c r="I2528" t="n">
        <x:f>G2528-H2528</x:f>
        <x:v>0</x:v>
      </x:c>
      <x:c r="J2528" s="20" t="n">
        <x:f>IFERROR(H2528/G2528,0)</x:f>
        <x:v>1</x:v>
      </x:c>
      <x:c r="K2528" t="n">
        <x:v>19660</x:v>
      </x:c>
      <x:c r="L2528" t="n">
        <x:v>19660</x:v>
      </x:c>
      <x:c r="M2528" t="n">
        <x:v>19660</x:v>
      </x:c>
      <x:c r="N2528" t="n">
        <x:v>19660</x:v>
      </x:c>
      <x:c r="O2528" t="n">
        <x:v>19660</x:v>
      </x:c>
    </x:row>
    <x:row r="2529">
      <x:c r="A2529" t="str">
        <x:v>Jharkhand</x:v>
      </x:c>
      <x:c r="B2529" t="str">
        <x:v>All India except Central University</x:v>
      </x:c>
      <x:c r="C2529" t="str">
        <x:v>200584</x:v>
      </x:c>
      <x:c r="D2529" t="str">
        <x:v>Palamu Medical College, Palamu, Pokhraha Khurd, P.O- Rajwadih, P.S- Medininagar, Dist. Palamu</x:v>
      </x:c>
      <x:c r="E2529" t="str">
        <x:v>All India</x:v>
      </x:c>
      <x:c r="F2529" t="str">
        <x:v>OBC</x:v>
      </x:c>
      <x:c r="G2529" t="n">
        <x:v>4</x:v>
      </x:c>
      <x:c r="H2529" t="n">
        <x:v>4</x:v>
      </x:c>
      <x:c r="I2529" t="n">
        <x:f>G2529-H2529</x:f>
        <x:v>0</x:v>
      </x:c>
      <x:c r="J2529" s="20" t="n">
        <x:f>IFERROR(H2529/G2529,0)</x:f>
        <x:v>1</x:v>
      </x:c>
      <x:c r="K2529" t="n">
        <x:v>17096</x:v>
      </x:c>
      <x:c r="L2529" t="n">
        <x:v>17113.25</x:v>
      </x:c>
      <x:c r="M2529" t="n">
        <x:v>17353</x:v>
      </x:c>
      <x:c r="N2529" t="n">
        <x:v>17599.5</x:v>
      </x:c>
      <x:c r="O2529" t="n">
        <x:v>17637</x:v>
      </x:c>
    </x:row>
    <x:row r="2530">
      <x:c r="A2530" t="str">
        <x:v>Jharkhand</x:v>
      </x:c>
      <x:c r="B2530" t="str">
        <x:v>All India except Central University</x:v>
      </x:c>
      <x:c r="C2530" t="str">
        <x:v>200584</x:v>
      </x:c>
      <x:c r="D2530" t="str">
        <x:v>Palamu Medical College, Palamu, Pokhraha Khurd, P.O- Rajwadih, P.S- Medininagar, Dist. Palamu</x:v>
      </x:c>
      <x:c r="E2530" t="str">
        <x:v>All India</x:v>
      </x:c>
      <x:c r="F2530" t="str">
        <x:v>Open</x:v>
      </x:c>
      <x:c r="G2530" t="n">
        <x:v>7</x:v>
      </x:c>
      <x:c r="H2530" t="n">
        <x:v>7</x:v>
      </x:c>
      <x:c r="I2530" t="n">
        <x:f>G2530-H2530</x:f>
        <x:v>0</x:v>
      </x:c>
      <x:c r="J2530" s="20" t="n">
        <x:f>IFERROR(H2530/G2530,0)</x:f>
        <x:v>1</x:v>
      </x:c>
      <x:c r="K2530" t="n">
        <x:v>15071</x:v>
      </x:c>
      <x:c r="L2530" t="n">
        <x:v>15331.5</x:v>
      </x:c>
      <x:c r="M2530" t="n">
        <x:v>15813</x:v>
      </x:c>
      <x:c r="N2530" t="n">
        <x:v>16621.5</x:v>
      </x:c>
      <x:c r="O2530" t="n">
        <x:v>16968</x:v>
      </x:c>
    </x:row>
    <x:row r="2531">
      <x:c r="A2531" t="str">
        <x:v>Jharkhand</x:v>
      </x:c>
      <x:c r="B2531" t="str">
        <x:v>All India except Central University</x:v>
      </x:c>
      <x:c r="C2531" t="str">
        <x:v>200584</x:v>
      </x:c>
      <x:c r="D2531" t="str">
        <x:v>Palamu Medical College, Palamu, Pokhraha Khurd, P.O- Rajwadih, P.S- Medininagar, Dist. Palamu</x:v>
      </x:c>
      <x:c r="E2531" t="str">
        <x:v>All India</x:v>
      </x:c>
      <x:c r="F2531" t="str">
        <x:v>SC</x:v>
      </x:c>
      <x:c r="G2531" t="n">
        <x:v>2</x:v>
      </x:c>
      <x:c r="H2531" t="n">
        <x:v>2</x:v>
      </x:c>
      <x:c r="I2531" t="n">
        <x:f>G2531-H2531</x:f>
        <x:v>0</x:v>
      </x:c>
      <x:c r="J2531" s="20" t="n">
        <x:f>IFERROR(H2531/G2531,0)</x:f>
        <x:v>1</x:v>
      </x:c>
      <x:c r="K2531" t="n">
        <x:v>90488</x:v>
      </x:c>
      <x:c r="L2531" t="n">
        <x:v>90930.75</x:v>
      </x:c>
      <x:c r="M2531" t="n">
        <x:v>91373.5</x:v>
      </x:c>
      <x:c r="N2531" t="n">
        <x:v>91816.25</x:v>
      </x:c>
      <x:c r="O2531" t="n">
        <x:v>92259</x:v>
      </x:c>
    </x:row>
    <x:row r="2532">
      <x:c r="A2532" t="str">
        <x:v>Jharkhand</x:v>
      </x:c>
      <x:c r="B2532" t="str">
        <x:v>All India except Central University</x:v>
      </x:c>
      <x:c r="C2532" t="str">
        <x:v>200584</x:v>
      </x:c>
      <x:c r="D2532" t="str">
        <x:v>Palamu Medical College, Palamu, Pokhraha Khurd, P.O- Rajwadih, P.S- Medininagar, Dist. Palamu</x:v>
      </x:c>
      <x:c r="E2532" t="str">
        <x:v>All India</x:v>
      </x:c>
      <x:c r="F2532" t="str">
        <x:v>ST</x:v>
      </x:c>
      <x:c r="G2532" t="n">
        <x:v>1</x:v>
      </x:c>
      <x:c r="H2532" t="n">
        <x:v>1</x:v>
      </x:c>
      <x:c r="I2532" t="n">
        <x:f>G2532-H2532</x:f>
        <x:v>0</x:v>
      </x:c>
      <x:c r="J2532" s="20" t="n">
        <x:f>IFERROR(H2532/G2532,0)</x:f>
        <x:v>1</x:v>
      </x:c>
      <x:c r="K2532" t="n">
        <x:v>107362</x:v>
      </x:c>
      <x:c r="L2532" t="n">
        <x:v>107362</x:v>
      </x:c>
      <x:c r="M2532" t="n">
        <x:v>107362</x:v>
      </x:c>
      <x:c r="N2532" t="n">
        <x:v>107362</x:v>
      </x:c>
      <x:c r="O2532" t="n">
        <x:v>107362</x:v>
      </x:c>
    </x:row>
    <x:row r="2533">
      <x:c r="A2533" t="str">
        <x:v>Gujarat</x:v>
      </x:c>
      <x:c r="B2533" t="str">
        <x:v>All India except Central University</x:v>
      </x:c>
      <x:c r="C2533" t="str">
        <x:v>200144</x:v>
      </x:c>
      <x:c r="D2533" t="str">
        <x:v>Pandit Deendayal Upadhyay Medical College, Rajkot, Civil Hospital Campus, Jamnagar Road Rajkot 360001</x:v>
      </x:c>
      <x:c r="E2533" t="str">
        <x:v>All India</x:v>
      </x:c>
      <x:c r="F2533" t="str">
        <x:v>EWS</x:v>
      </x:c>
      <x:c r="G2533" t="n">
        <x:v>3</x:v>
      </x:c>
      <x:c r="H2533" t="n">
        <x:v>3</x:v>
      </x:c>
      <x:c r="I2533" t="n">
        <x:f>G2533-H2533</x:f>
        <x:v>0</x:v>
      </x:c>
      <x:c r="J2533" s="20" t="n">
        <x:f>IFERROR(H2533/G2533,0)</x:f>
        <x:v>1</x:v>
      </x:c>
      <x:c r="K2533" t="n">
        <x:v>5830</x:v>
      </x:c>
      <x:c r="L2533" t="n">
        <x:v>6498.5</x:v>
      </x:c>
      <x:c r="M2533" t="n">
        <x:v>7167</x:v>
      </x:c>
      <x:c r="N2533" t="n">
        <x:v>7299.5</x:v>
      </x:c>
      <x:c r="O2533" t="n">
        <x:v>7432</x:v>
      </x:c>
    </x:row>
    <x:row r="2534">
      <x:c r="A2534" t="str">
        <x:v>Gujarat</x:v>
      </x:c>
      <x:c r="B2534" t="str">
        <x:v>All India except Central University</x:v>
      </x:c>
      <x:c r="C2534" t="str">
        <x:v>200144</x:v>
      </x:c>
      <x:c r="D2534" t="str">
        <x:v>Pandit Deendayal Upadhyay Medical College, Rajkot, Civil Hospital Campus, Jamnagar Road Rajkot 360001</x:v>
      </x:c>
      <x:c r="E2534" t="str">
        <x:v>All India</x:v>
      </x:c>
      <x:c r="F2534" t="str">
        <x:v>OBC</x:v>
      </x:c>
      <x:c r="G2534" t="n">
        <x:v>7</x:v>
      </x:c>
      <x:c r="H2534" t="n">
        <x:v>7</x:v>
      </x:c>
      <x:c r="I2534" t="n">
        <x:f>G2534-H2534</x:f>
        <x:v>0</x:v>
      </x:c>
      <x:c r="J2534" s="20" t="n">
        <x:f>IFERROR(H2534/G2534,0)</x:f>
        <x:v>1</x:v>
      </x:c>
      <x:c r="K2534" t="n">
        <x:v>5323</x:v>
      </x:c>
      <x:c r="L2534" t="n">
        <x:v>5543</x:v>
      </x:c>
      <x:c r="M2534" t="n">
        <x:v>6378</x:v>
      </x:c>
      <x:c r="N2534" t="n">
        <x:v>6526.5</x:v>
      </x:c>
      <x:c r="O2534" t="n">
        <x:v>6736</x:v>
      </x:c>
    </x:row>
    <x:row r="2535">
      <x:c r="A2535" t="str">
        <x:v>Gujarat</x:v>
      </x:c>
      <x:c r="B2535" t="str">
        <x:v>All India except Central University</x:v>
      </x:c>
      <x:c r="C2535" t="str">
        <x:v>200144</x:v>
      </x:c>
      <x:c r="D2535" t="str">
        <x:v>Pandit Deendayal Upadhyay Medical College, Rajkot, Civil Hospital Campus, Jamnagar Road Rajkot 360001</x:v>
      </x:c>
      <x:c r="E2535" t="str">
        <x:v>All India</x:v>
      </x:c>
      <x:c r="F2535" t="str">
        <x:v>OBC PwD</x:v>
      </x:c>
      <x:c r="G2535" t="n">
        <x:v>1</x:v>
      </x:c>
      <x:c r="H2535" t="n">
        <x:v>1</x:v>
      </x:c>
      <x:c r="I2535" t="n">
        <x:f>G2535-H2535</x:f>
        <x:v>0</x:v>
      </x:c>
      <x:c r="J2535" s="20" t="n">
        <x:f>IFERROR(H2535/G2535,0)</x:f>
        <x:v>1</x:v>
      </x:c>
      <x:c r="K2535" t="n">
        <x:v>451994</x:v>
      </x:c>
      <x:c r="L2535" t="n">
        <x:v>451994</x:v>
      </x:c>
      <x:c r="M2535" t="n">
        <x:v>451994</x:v>
      </x:c>
      <x:c r="N2535" t="n">
        <x:v>451994</x:v>
      </x:c>
      <x:c r="O2535" t="n">
        <x:v>451994</x:v>
      </x:c>
    </x:row>
    <x:row r="2536">
      <x:c r="A2536" t="str">
        <x:v>Gujarat</x:v>
      </x:c>
      <x:c r="B2536" t="str">
        <x:v>All India except Central University</x:v>
      </x:c>
      <x:c r="C2536" t="str">
        <x:v>200144</x:v>
      </x:c>
      <x:c r="D2536" t="str">
        <x:v>Pandit Deendayal Upadhyay Medical College, Rajkot, Civil Hospital Campus, Jamnagar Road Rajkot 360001</x:v>
      </x:c>
      <x:c r="E2536" t="str">
        <x:v>All India</x:v>
      </x:c>
      <x:c r="F2536" t="str">
        <x:v>Open</x:v>
      </x:c>
      <x:c r="G2536" t="n">
        <x:v>12</x:v>
      </x:c>
      <x:c r="H2536" t="n">
        <x:v>12</x:v>
      </x:c>
      <x:c r="I2536" t="n">
        <x:f>G2536-H2536</x:f>
        <x:v>0</x:v>
      </x:c>
      <x:c r="J2536" s="20" t="n">
        <x:f>IFERROR(H2536/G2536,0)</x:f>
        <x:v>1</x:v>
      </x:c>
      <x:c r="K2536" t="n">
        <x:v>3265</x:v>
      </x:c>
      <x:c r="L2536" t="n">
        <x:v>3675.5</x:v>
      </x:c>
      <x:c r="M2536" t="n">
        <x:v>4410</x:v>
      </x:c>
      <x:c r="N2536" t="n">
        <x:v>4913.5</x:v>
      </x:c>
      <x:c r="O2536" t="n">
        <x:v>4950</x:v>
      </x:c>
    </x:row>
    <x:row r="2537">
      <x:c r="A2537" t="str">
        <x:v>Gujarat</x:v>
      </x:c>
      <x:c r="B2537" t="str">
        <x:v>All India except Central University</x:v>
      </x:c>
      <x:c r="C2537" t="str">
        <x:v>200144</x:v>
      </x:c>
      <x:c r="D2537" t="str">
        <x:v>Pandit Deendayal Upadhyay Medical College, Rajkot, Civil Hospital Campus, Jamnagar Road Rajkot 360001</x:v>
      </x:c>
      <x:c r="E2537" t="str">
        <x:v>All India</x:v>
      </x:c>
      <x:c r="F2537" t="str">
        <x:v>Open PwD</x:v>
      </x:c>
      <x:c r="G2537" t="n">
        <x:v>1</x:v>
      </x:c>
      <x:c r="H2537" t="n">
        <x:v>1</x:v>
      </x:c>
      <x:c r="I2537" t="n">
        <x:f>G2537-H2537</x:f>
        <x:v>0</x:v>
      </x:c>
      <x:c r="J2537" s="20" t="n">
        <x:f>IFERROR(H2537/G2537,0)</x:f>
        <x:v>1</x:v>
      </x:c>
      <x:c r="K2537" t="n">
        <x:v>397637</x:v>
      </x:c>
      <x:c r="L2537" t="n">
        <x:v>397637</x:v>
      </x:c>
      <x:c r="M2537" t="n">
        <x:v>397637</x:v>
      </x:c>
      <x:c r="N2537" t="n">
        <x:v>397637</x:v>
      </x:c>
      <x:c r="O2537" t="n">
        <x:v>397637</x:v>
      </x:c>
    </x:row>
    <x:row r="2538">
      <x:c r="A2538" t="str">
        <x:v>Gujarat</x:v>
      </x:c>
      <x:c r="B2538" t="str">
        <x:v>All India except Central University</x:v>
      </x:c>
      <x:c r="C2538" t="str">
        <x:v>200144</x:v>
      </x:c>
      <x:c r="D2538" t="str">
        <x:v>Pandit Deendayal Upadhyay Medical College, Rajkot, Civil Hospital Campus, Jamnagar Road Rajkot 360001</x:v>
      </x:c>
      <x:c r="E2538" t="str">
        <x:v>All India</x:v>
      </x:c>
      <x:c r="F2538" t="str">
        <x:v>SC</x:v>
      </x:c>
      <x:c r="G2538" t="n">
        <x:v>4</x:v>
      </x:c>
      <x:c r="H2538" t="n">
        <x:v>4</x:v>
      </x:c>
      <x:c r="I2538" t="n">
        <x:f>G2538-H2538</x:f>
        <x:v>0</x:v>
      </x:c>
      <x:c r="J2538" s="20" t="n">
        <x:f>IFERROR(H2538/G2538,0)</x:f>
        <x:v>1</x:v>
      </x:c>
      <x:c r="K2538" t="n">
        <x:v>38696</x:v>
      </x:c>
      <x:c r="L2538" t="n">
        <x:v>41048</x:v>
      </x:c>
      <x:c r="M2538" t="n">
        <x:v>42038.5</x:v>
      </x:c>
      <x:c r="N2538" t="n">
        <x:v>42310.25</x:v>
      </x:c>
      <x:c r="O2538" t="n">
        <x:v>42506</x:v>
      </x:c>
    </x:row>
    <x:row r="2539">
      <x:c r="A2539" t="str">
        <x:v>Gujarat</x:v>
      </x:c>
      <x:c r="B2539" t="str">
        <x:v>All India except Central University</x:v>
      </x:c>
      <x:c r="C2539" t="str">
        <x:v>200144</x:v>
      </x:c>
      <x:c r="D2539" t="str">
        <x:v>Pandit Deendayal Upadhyay Medical College, Rajkot, Civil Hospital Campus, Jamnagar Road Rajkot 360001</x:v>
      </x:c>
      <x:c r="E2539" t="str">
        <x:v>All India</x:v>
      </x:c>
      <x:c r="F2539" t="str">
        <x:v>ST</x:v>
      </x:c>
      <x:c r="G2539" t="n">
        <x:v>2</x:v>
      </x:c>
      <x:c r="H2539" t="n">
        <x:v>2</x:v>
      </x:c>
      <x:c r="I2539" t="n">
        <x:f>G2539-H2539</x:f>
        <x:v>0</x:v>
      </x:c>
      <x:c r="J2539" s="20" t="n">
        <x:f>IFERROR(H2539/G2539,0)</x:f>
        <x:v>1</x:v>
      </x:c>
      <x:c r="K2539" t="n">
        <x:v>43650</x:v>
      </x:c>
      <x:c r="L2539" t="n">
        <x:v>44065.5</x:v>
      </x:c>
      <x:c r="M2539" t="n">
        <x:v>44481</x:v>
      </x:c>
      <x:c r="N2539" t="n">
        <x:v>44896.5</x:v>
      </x:c>
      <x:c r="O2539" t="n">
        <x:v>45312</x:v>
      </x:c>
    </x:row>
    <x:row r="2540">
      <x:c r="A2540" t="str">
        <x:v>Bihar</x:v>
      </x:c>
      <x:c r="B2540" t="str">
        <x:v>All India except Central University</x:v>
      </x:c>
      <x:c r="C2540" t="str">
        <x:v>200116</x:v>
      </x:c>
      <x:c r="D2540" t="str">
        <x:v>Patna Medical College, Patna, ASHOK RAJPATH, PATNA</x:v>
      </x:c>
      <x:c r="E2540" t="str">
        <x:v>All India</x:v>
      </x:c>
      <x:c r="F2540" t="str">
        <x:v>EWS</x:v>
      </x:c>
      <x:c r="G2540" t="n">
        <x:v>4</x:v>
      </x:c>
      <x:c r="H2540" t="n">
        <x:v>4</x:v>
      </x:c>
      <x:c r="I2540" t="n">
        <x:f>G2540-H2540</x:f>
        <x:v>0</x:v>
      </x:c>
      <x:c r="J2540" s="20" t="n">
        <x:f>IFERROR(H2540/G2540,0)</x:f>
        <x:v>1</x:v>
      </x:c>
      <x:c r="K2540" t="n">
        <x:v>3846</x:v>
      </x:c>
      <x:c r="L2540" t="n">
        <x:v>3989.25</x:v>
      </x:c>
      <x:c r="M2540" t="n">
        <x:v>4183</x:v>
      </x:c>
      <x:c r="N2540" t="n">
        <x:v>4418</x:v>
      </x:c>
      <x:c r="O2540" t="n">
        <x:v>4685</x:v>
      </x:c>
    </x:row>
    <x:row r="2541">
      <x:c r="A2541" t="str">
        <x:v>Bihar</x:v>
      </x:c>
      <x:c r="B2541" t="str">
        <x:v>All India except Central University</x:v>
      </x:c>
      <x:c r="C2541" t="str">
        <x:v>200116</x:v>
      </x:c>
      <x:c r="D2541" t="str">
        <x:v>Patna Medical College, Patna, ASHOK RAJPATH, PATNA</x:v>
      </x:c>
      <x:c r="E2541" t="str">
        <x:v>All India</x:v>
      </x:c>
      <x:c r="F2541" t="str">
        <x:v>OBC</x:v>
      </x:c>
      <x:c r="G2541" t="n">
        <x:v>10</x:v>
      </x:c>
      <x:c r="H2541" t="n">
        <x:v>10</x:v>
      </x:c>
      <x:c r="I2541" t="n">
        <x:f>G2541-H2541</x:f>
        <x:v>0</x:v>
      </x:c>
      <x:c r="J2541" s="20" t="n">
        <x:f>IFERROR(H2541/G2541,0)</x:f>
        <x:v>1</x:v>
      </x:c>
      <x:c r="K2541" t="n">
        <x:v>3662</x:v>
      </x:c>
      <x:c r="L2541" t="n">
        <x:v>3834.75</x:v>
      </x:c>
      <x:c r="M2541" t="n">
        <x:v>3952</x:v>
      </x:c>
      <x:c r="N2541" t="n">
        <x:v>4202.25</x:v>
      </x:c>
      <x:c r="O2541" t="n">
        <x:v>4344</x:v>
      </x:c>
    </x:row>
    <x:row r="2542">
      <x:c r="A2542" t="str">
        <x:v>Bihar</x:v>
      </x:c>
      <x:c r="B2542" t="str">
        <x:v>All India except Central University</x:v>
      </x:c>
      <x:c r="C2542" t="str">
        <x:v>200116</x:v>
      </x:c>
      <x:c r="D2542" t="str">
        <x:v>Patna Medical College, Patna, ASHOK RAJPATH, PATNA</x:v>
      </x:c>
      <x:c r="E2542" t="str">
        <x:v>All India</x:v>
      </x:c>
      <x:c r="F2542" t="str">
        <x:v>Open</x:v>
      </x:c>
      <x:c r="G2542" t="n">
        <x:v>15</x:v>
      </x:c>
      <x:c r="H2542" t="n">
        <x:v>15</x:v>
      </x:c>
      <x:c r="I2542" t="n">
        <x:f>G2542-H2542</x:f>
        <x:v>0</x:v>
      </x:c>
      <x:c r="J2542" s="20" t="n">
        <x:f>IFERROR(H2542/G2542,0)</x:f>
        <x:v>1</x:v>
      </x:c>
      <x:c r="K2542" t="n">
        <x:v>2157</x:v>
      </x:c>
      <x:c r="L2542" t="n">
        <x:v>2695</x:v>
      </x:c>
      <x:c r="M2542" t="n">
        <x:v>3263</x:v>
      </x:c>
      <x:c r="N2542" t="n">
        <x:v>3364.5</x:v>
      </x:c>
      <x:c r="O2542" t="n">
        <x:v>3570</x:v>
      </x:c>
    </x:row>
    <x:row r="2543">
      <x:c r="A2543" t="str">
        <x:v>Bihar</x:v>
      </x:c>
      <x:c r="B2543" t="str">
        <x:v>All India except Central University</x:v>
      </x:c>
      <x:c r="C2543" t="str">
        <x:v>200116</x:v>
      </x:c>
      <x:c r="D2543" t="str">
        <x:v>Patna Medical College, Patna, ASHOK RAJPATH, PATNA</x:v>
      </x:c>
      <x:c r="E2543" t="str">
        <x:v>All India</x:v>
      </x:c>
      <x:c r="F2543" t="str">
        <x:v>Open PwD</x:v>
      </x:c>
      <x:c r="G2543" t="n">
        <x:v>1</x:v>
      </x:c>
      <x:c r="H2543" t="n">
        <x:v>1</x:v>
      </x:c>
      <x:c r="I2543" t="n">
        <x:f>G2543-H2543</x:f>
        <x:v>0</x:v>
      </x:c>
      <x:c r="J2543" s="20" t="n">
        <x:f>IFERROR(H2543/G2543,0)</x:f>
        <x:v>1</x:v>
      </x:c>
      <x:c r="K2543" t="n">
        <x:v>247624</x:v>
      </x:c>
      <x:c r="L2543" t="n">
        <x:v>247624</x:v>
      </x:c>
      <x:c r="M2543" t="n">
        <x:v>247624</x:v>
      </x:c>
      <x:c r="N2543" t="n">
        <x:v>247624</x:v>
      </x:c>
      <x:c r="O2543" t="n">
        <x:v>247624</x:v>
      </x:c>
    </x:row>
    <x:row r="2544">
      <x:c r="A2544" t="str">
        <x:v>Bihar</x:v>
      </x:c>
      <x:c r="B2544" t="str">
        <x:v>All India except Central University</x:v>
      </x:c>
      <x:c r="C2544" t="str">
        <x:v>200116</x:v>
      </x:c>
      <x:c r="D2544" t="str">
        <x:v>Patna Medical College, Patna, ASHOK RAJPATH, PATNA</x:v>
      </x:c>
      <x:c r="E2544" t="str">
        <x:v>All India</x:v>
      </x:c>
      <x:c r="F2544" t="str">
        <x:v>SC</x:v>
      </x:c>
      <x:c r="G2544" t="n">
        <x:v>6</x:v>
      </x:c>
      <x:c r="H2544" t="n">
        <x:v>6</x:v>
      </x:c>
      <x:c r="I2544" t="n">
        <x:f>G2544-H2544</x:f>
        <x:v>0</x:v>
      </x:c>
      <x:c r="J2544" s="20" t="n">
        <x:f>IFERROR(H2544/G2544,0)</x:f>
        <x:v>1</x:v>
      </x:c>
      <x:c r="K2544" t="n">
        <x:v>27743</x:v>
      </x:c>
      <x:c r="L2544" t="n">
        <x:v>30558</x:v>
      </x:c>
      <x:c r="M2544" t="n">
        <x:v>32435.5</x:v>
      </x:c>
      <x:c r="N2544" t="n">
        <x:v>33879.5</x:v>
      </x:c>
      <x:c r="O2544" t="n">
        <x:v>36069</x:v>
      </x:c>
    </x:row>
    <x:row r="2545">
      <x:c r="A2545" t="str">
        <x:v>Bihar</x:v>
      </x:c>
      <x:c r="B2545" t="str">
        <x:v>All India except Central University</x:v>
      </x:c>
      <x:c r="C2545" t="str">
        <x:v>200116</x:v>
      </x:c>
      <x:c r="D2545" t="str">
        <x:v>Patna Medical College, Patna, ASHOK RAJPATH, PATNA</x:v>
      </x:c>
      <x:c r="E2545" t="str">
        <x:v>All India</x:v>
      </x:c>
      <x:c r="F2545" t="str">
        <x:v>ST</x:v>
      </x:c>
      <x:c r="G2545" t="n">
        <x:v>2</x:v>
      </x:c>
      <x:c r="H2545" t="n">
        <x:v>2</x:v>
      </x:c>
      <x:c r="I2545" t="n">
        <x:f>G2545-H2545</x:f>
        <x:v>0</x:v>
      </x:c>
      <x:c r="J2545" s="20" t="n">
        <x:f>IFERROR(H2545/G2545,0)</x:f>
        <x:v>1</x:v>
      </x:c>
      <x:c r="K2545" t="n">
        <x:v>41357</x:v>
      </x:c>
      <x:c r="L2545" t="n">
        <x:v>41391.75</x:v>
      </x:c>
      <x:c r="M2545" t="n">
        <x:v>41426.5</x:v>
      </x:c>
      <x:c r="N2545" t="n">
        <x:v>41461.25</x:v>
      </x:c>
      <x:c r="O2545" t="n">
        <x:v>41496</x:v>
      </x:c>
    </x:row>
    <x:row r="2546">
      <x:c r="A2546" t="str">
        <x:v>West Bengal</x:v>
      </x:c>
      <x:c r="B2546" t="str">
        <x:v>All India except Central University</x:v>
      </x:c>
      <x:c r="C2546" t="str">
        <x:v>200618</x:v>
      </x:c>
      <x:c r="D2546" t="str">
        <x:v>Prafulla Chandra Sen Government Medical College &amp; Hospital, Arambagh, Hooghly</x:v>
      </x:c>
      <x:c r="E2546" t="str">
        <x:v>All India</x:v>
      </x:c>
      <x:c r="F2546" t="str">
        <x:v>EWS</x:v>
      </x:c>
      <x:c r="G2546" t="n">
        <x:v>2</x:v>
      </x:c>
      <x:c r="H2546" t="n">
        <x:v>2</x:v>
      </x:c>
      <x:c r="I2546" t="n">
        <x:f>G2546-H2546</x:f>
        <x:v>0</x:v>
      </x:c>
      <x:c r="J2546" s="20" t="n">
        <x:f>IFERROR(H2546/G2546,0)</x:f>
        <x:v>1</x:v>
      </x:c>
      <x:c r="K2546" t="n">
        <x:v>20728</x:v>
      </x:c>
      <x:c r="L2546" t="n">
        <x:v>20961.25</x:v>
      </x:c>
      <x:c r="M2546" t="n">
        <x:v>21194.5</x:v>
      </x:c>
      <x:c r="N2546" t="n">
        <x:v>21427.75</x:v>
      </x:c>
      <x:c r="O2546" t="n">
        <x:v>21661</x:v>
      </x:c>
    </x:row>
    <x:row r="2547">
      <x:c r="A2547" t="str">
        <x:v>West Bengal</x:v>
      </x:c>
      <x:c r="B2547" t="str">
        <x:v>All India except Central University</x:v>
      </x:c>
      <x:c r="C2547" t="str">
        <x:v>200618</x:v>
      </x:c>
      <x:c r="D2547" t="str">
        <x:v>Prafulla Chandra Sen Government Medical College &amp; Hospital, Arambagh, Hooghly</x:v>
      </x:c>
      <x:c r="E2547" t="str">
        <x:v>All India</x:v>
      </x:c>
      <x:c r="F2547" t="str">
        <x:v>OBC</x:v>
      </x:c>
      <x:c r="G2547" t="n">
        <x:v>5</x:v>
      </x:c>
      <x:c r="H2547" t="n">
        <x:v>5</x:v>
      </x:c>
      <x:c r="I2547" t="n">
        <x:f>G2547-H2547</x:f>
        <x:v>0</x:v>
      </x:c>
      <x:c r="J2547" s="20" t="n">
        <x:f>IFERROR(H2547/G2547,0)</x:f>
        <x:v>1</x:v>
      </x:c>
      <x:c r="K2547" t="n">
        <x:v>19585</x:v>
      </x:c>
      <x:c r="L2547" t="n">
        <x:v>19620</x:v>
      </x:c>
      <x:c r="M2547" t="n">
        <x:v>19784</x:v>
      </x:c>
      <x:c r="N2547" t="n">
        <x:v>19937</x:v>
      </x:c>
      <x:c r="O2547" t="n">
        <x:v>20018</x:v>
      </x:c>
    </x:row>
    <x:row r="2548">
      <x:c r="A2548" t="str">
        <x:v>West Bengal</x:v>
      </x:c>
      <x:c r="B2548" t="str">
        <x:v>All India except Central University</x:v>
      </x:c>
      <x:c r="C2548" t="str">
        <x:v>200618</x:v>
      </x:c>
      <x:c r="D2548" t="str">
        <x:v>Prafulla Chandra Sen Government Medical College &amp; Hospital, Arambagh, Hooghly</x:v>
      </x:c>
      <x:c r="E2548" t="str">
        <x:v>All India</x:v>
      </x:c>
      <x:c r="F2548" t="str">
        <x:v>OBC PwD</x:v>
      </x:c>
      <x:c r="G2548" t="n">
        <x:v>1</x:v>
      </x:c>
      <x:c r="H2548" t="n">
        <x:v>1</x:v>
      </x:c>
      <x:c r="I2548" t="n">
        <x:f>G2548-H2548</x:f>
        <x:v>0</x:v>
      </x:c>
      <x:c r="J2548" s="20" t="n">
        <x:f>IFERROR(H2548/G2548,0)</x:f>
        <x:v>1</x:v>
      </x:c>
      <x:c r="K2548" t="n">
        <x:v>662332</x:v>
      </x:c>
      <x:c r="L2548" t="n">
        <x:v>662332</x:v>
      </x:c>
      <x:c r="M2548" t="n">
        <x:v>662332</x:v>
      </x:c>
      <x:c r="N2548" t="n">
        <x:v>662332</x:v>
      </x:c>
      <x:c r="O2548" t="n">
        <x:v>662332</x:v>
      </x:c>
    </x:row>
    <x:row r="2549">
      <x:c r="A2549" t="str">
        <x:v>West Bengal</x:v>
      </x:c>
      <x:c r="B2549" t="str">
        <x:v>All India except Central University</x:v>
      </x:c>
      <x:c r="C2549" t="str">
        <x:v>200618</x:v>
      </x:c>
      <x:c r="D2549" t="str">
        <x:v>Prafulla Chandra Sen Government Medical College &amp; Hospital, Arambagh, Hooghly</x:v>
      </x:c>
      <x:c r="E2549" t="str">
        <x:v>All India</x:v>
      </x:c>
      <x:c r="F2549" t="str">
        <x:v>Open</x:v>
      </x:c>
      <x:c r="G2549" t="n">
        <x:v>9</x:v>
      </x:c>
      <x:c r="H2549" t="n">
        <x:v>9</x:v>
      </x:c>
      <x:c r="I2549" t="n">
        <x:f>G2549-H2549</x:f>
        <x:v>0</x:v>
      </x:c>
      <x:c r="J2549" s="20" t="n">
        <x:f>IFERROR(H2549/G2549,0)</x:f>
        <x:v>1</x:v>
      </x:c>
      <x:c r="K2549" t="n">
        <x:v>13910</x:v>
      </x:c>
      <x:c r="L2549" t="n">
        <x:v>17754</x:v>
      </x:c>
      <x:c r="M2549" t="n">
        <x:v>18183</x:v>
      </x:c>
      <x:c r="N2549" t="n">
        <x:v>18252</x:v>
      </x:c>
      <x:c r="O2549" t="n">
        <x:v>18371</x:v>
      </x:c>
    </x:row>
    <x:row r="2550">
      <x:c r="A2550" t="str">
        <x:v>West Bengal</x:v>
      </x:c>
      <x:c r="B2550" t="str">
        <x:v>All India except Central University</x:v>
      </x:c>
      <x:c r="C2550" t="str">
        <x:v>200618</x:v>
      </x:c>
      <x:c r="D2550" t="str">
        <x:v>Prafulla Chandra Sen Government Medical College &amp; Hospital, Arambagh, Hooghly</x:v>
      </x:c>
      <x:c r="E2550" t="str">
        <x:v>All India</x:v>
      </x:c>
      <x:c r="F2550" t="str">
        <x:v>SC</x:v>
      </x:c>
      <x:c r="G2550" t="n">
        <x:v>3</x:v>
      </x:c>
      <x:c r="H2550" t="n">
        <x:v>3</x:v>
      </x:c>
      <x:c r="I2550" t="n">
        <x:f>G2550-H2550</x:f>
        <x:v>0</x:v>
      </x:c>
      <x:c r="J2550" s="20" t="n">
        <x:f>IFERROR(H2550/G2550,0)</x:f>
        <x:v>1</x:v>
      </x:c>
      <x:c r="K2550" t="n">
        <x:v>93659</x:v>
      </x:c>
      <x:c r="L2550" t="n">
        <x:v>95949.5</x:v>
      </x:c>
      <x:c r="M2550" t="n">
        <x:v>98240</x:v>
      </x:c>
      <x:c r="N2550" t="n">
        <x:v>98802.5</x:v>
      </x:c>
      <x:c r="O2550" t="n">
        <x:v>99365</x:v>
      </x:c>
    </x:row>
    <x:row r="2551">
      <x:c r="A2551" t="str">
        <x:v>West Bengal</x:v>
      </x:c>
      <x:c r="B2551" t="str">
        <x:v>All India except Central University</x:v>
      </x:c>
      <x:c r="C2551" t="str">
        <x:v>200618</x:v>
      </x:c>
      <x:c r="D2551" t="str">
        <x:v>Prafulla Chandra Sen Government Medical College &amp; Hospital, Arambagh, Hooghly</x:v>
      </x:c>
      <x:c r="E2551" t="str">
        <x:v>All India</x:v>
      </x:c>
      <x:c r="F2551" t="str">
        <x:v>ST</x:v>
      </x:c>
      <x:c r="G2551" t="n">
        <x:v>2</x:v>
      </x:c>
      <x:c r="H2551" t="n">
        <x:v>2</x:v>
      </x:c>
      <x:c r="I2551" t="n">
        <x:f>G2551-H2551</x:f>
        <x:v>0</x:v>
      </x:c>
      <x:c r="J2551" s="20" t="n">
        <x:f>IFERROR(H2551/G2551,0)</x:f>
        <x:v>1</x:v>
      </x:c>
      <x:c r="K2551" t="n">
        <x:v>122866</x:v>
      </x:c>
      <x:c r="L2551" t="n">
        <x:v>123504.5</x:v>
      </x:c>
      <x:c r="M2551" t="n">
        <x:v>124143</x:v>
      </x:c>
      <x:c r="N2551" t="n">
        <x:v>124781.5</x:v>
      </x:c>
      <x:c r="O2551" t="n">
        <x:v>125420</x:v>
      </x:c>
    </x:row>
    <x:row r="2552">
      <x:c r="A2552" t="str">
        <x:v>Assam</x:v>
      </x:c>
      <x:c r="B2552" t="str">
        <x:v>All India except Central University</x:v>
      </x:c>
      <x:c r="C2552" t="str">
        <x:v>904359</x:v>
      </x:c>
      <x:c r="D2552" t="str">
        <x:v>Pragjyotishpur Medical College, Office of the Principal-Cum-Chief Superintendent, Pragjyotishpur Medical College &amp; Hospital, Guwahat</x:v>
      </x:c>
      <x:c r="E2552" t="str">
        <x:v>All India</x:v>
      </x:c>
      <x:c r="F2552" t="str">
        <x:v>EWS</x:v>
      </x:c>
      <x:c r="G2552" t="n">
        <x:v>1</x:v>
      </x:c>
      <x:c r="H2552" t="n">
        <x:v>1</x:v>
      </x:c>
      <x:c r="I2552" t="n">
        <x:f>G2552-H2552</x:f>
        <x:v>0</x:v>
      </x:c>
      <x:c r="J2552" s="20" t="n">
        <x:f>IFERROR(H2552/G2552,0)</x:f>
        <x:v>1</x:v>
      </x:c>
      <x:c r="K2552" t="n">
        <x:v>24563</x:v>
      </x:c>
      <x:c r="L2552" t="n">
        <x:v>24563</x:v>
      </x:c>
      <x:c r="M2552" t="n">
        <x:v>24563</x:v>
      </x:c>
      <x:c r="N2552" t="n">
        <x:v>24563</x:v>
      </x:c>
      <x:c r="O2552" t="n">
        <x:v>24563</x:v>
      </x:c>
    </x:row>
    <x:row r="2553">
      <x:c r="A2553" t="str">
        <x:v>Assam</x:v>
      </x:c>
      <x:c r="B2553" t="str">
        <x:v>All India except Central University</x:v>
      </x:c>
      <x:c r="C2553" t="str">
        <x:v>904359</x:v>
      </x:c>
      <x:c r="D2553" t="str">
        <x:v>Pragjyotishpur Medical College, Office of the Principal-Cum-Chief Superintendent, Pragjyotishpur Medical College &amp; Hospital, Guwahat</x:v>
      </x:c>
      <x:c r="E2553" t="str">
        <x:v>All India</x:v>
      </x:c>
      <x:c r="F2553" t="str">
        <x:v>OBC</x:v>
      </x:c>
      <x:c r="G2553" t="n">
        <x:v>3</x:v>
      </x:c>
      <x:c r="H2553" t="n">
        <x:v>3</x:v>
      </x:c>
      <x:c r="I2553" t="n">
        <x:f>G2553-H2553</x:f>
        <x:v>0</x:v>
      </x:c>
      <x:c r="J2553" s="20" t="n">
        <x:f>IFERROR(H2553/G2553,0)</x:f>
        <x:v>1</x:v>
      </x:c>
      <x:c r="K2553" t="n">
        <x:v>19478</x:v>
      </x:c>
      <x:c r="L2553" t="n">
        <x:v>19781.5</x:v>
      </x:c>
      <x:c r="M2553" t="n">
        <x:v>20085</x:v>
      </x:c>
      <x:c r="N2553" t="n">
        <x:v>20468</x:v>
      </x:c>
      <x:c r="O2553" t="n">
        <x:v>20851</x:v>
      </x:c>
    </x:row>
    <x:row r="2554">
      <x:c r="A2554" t="str">
        <x:v>Assam</x:v>
      </x:c>
      <x:c r="B2554" t="str">
        <x:v>All India except Central University</x:v>
      </x:c>
      <x:c r="C2554" t="str">
        <x:v>904359</x:v>
      </x:c>
      <x:c r="D2554" t="str">
        <x:v>Pragjyotishpur Medical College, Office of the Principal-Cum-Chief Superintendent, Pragjyotishpur Medical College &amp; Hospital, Guwahat</x:v>
      </x:c>
      <x:c r="E2554" t="str">
        <x:v>All India</x:v>
      </x:c>
      <x:c r="F2554" t="str">
        <x:v>OBC PwD</x:v>
      </x:c>
      <x:c r="G2554" t="n">
        <x:v>1</x:v>
      </x:c>
      <x:c r="H2554" t="n">
        <x:v>1</x:v>
      </x:c>
      <x:c r="I2554" t="n">
        <x:f>G2554-H2554</x:f>
        <x:v>0</x:v>
      </x:c>
      <x:c r="J2554" s="20" t="n">
        <x:f>IFERROR(H2554/G2554,0)</x:f>
        <x:v>1</x:v>
      </x:c>
      <x:c r="K2554" t="n">
        <x:v>773636</x:v>
      </x:c>
      <x:c r="L2554" t="n">
        <x:v>773636</x:v>
      </x:c>
      <x:c r="M2554" t="n">
        <x:v>773636</x:v>
      </x:c>
      <x:c r="N2554" t="n">
        <x:v>773636</x:v>
      </x:c>
      <x:c r="O2554" t="n">
        <x:v>773636</x:v>
      </x:c>
    </x:row>
    <x:row r="2555">
      <x:c r="A2555" t="str">
        <x:v>Assam</x:v>
      </x:c>
      <x:c r="B2555" t="str">
        <x:v>All India except Central University</x:v>
      </x:c>
      <x:c r="C2555" t="str">
        <x:v>904359</x:v>
      </x:c>
      <x:c r="D2555" t="str">
        <x:v>Pragjyotishpur Medical College, Office of the Principal-Cum-Chief Superintendent, Pragjyotishpur Medical College &amp; Hospital, Guwahat</x:v>
      </x:c>
      <x:c r="E2555" t="str">
        <x:v>All India</x:v>
      </x:c>
      <x:c r="F2555" t="str">
        <x:v>Open</x:v>
      </x:c>
      <x:c r="G2555" t="n">
        <x:v>6</x:v>
      </x:c>
      <x:c r="H2555" t="n">
        <x:v>6</x:v>
      </x:c>
      <x:c r="I2555" t="n">
        <x:f>G2555-H2555</x:f>
        <x:v>0</x:v>
      </x:c>
      <x:c r="J2555" s="20" t="n">
        <x:f>IFERROR(H2555/G2555,0)</x:f>
        <x:v>1</x:v>
      </x:c>
      <x:c r="K2555" t="n">
        <x:v>14307</x:v>
      </x:c>
      <x:c r="L2555" t="n">
        <x:v>16474.5</x:v>
      </x:c>
      <x:c r="M2555" t="n">
        <x:v>17534.5</x:v>
      </x:c>
      <x:c r="N2555" t="n">
        <x:v>18788</x:v>
      </x:c>
      <x:c r="O2555" t="n">
        <x:v>19256</x:v>
      </x:c>
    </x:row>
    <x:row r="2556">
      <x:c r="A2556" t="str">
        <x:v>Assam</x:v>
      </x:c>
      <x:c r="B2556" t="str">
        <x:v>All India except Central University</x:v>
      </x:c>
      <x:c r="C2556" t="str">
        <x:v>904359</x:v>
      </x:c>
      <x:c r="D2556" t="str">
        <x:v>Pragjyotishpur Medical College, Office of the Principal-Cum-Chief Superintendent, Pragjyotishpur Medical College &amp; Hospital, Guwahat</x:v>
      </x:c>
      <x:c r="E2556" t="str">
        <x:v>All India</x:v>
      </x:c>
      <x:c r="F2556" t="str">
        <x:v>SC</x:v>
      </x:c>
      <x:c r="G2556" t="n">
        <x:v>3</x:v>
      </x:c>
      <x:c r="H2556" t="n">
        <x:v>3</x:v>
      </x:c>
      <x:c r="I2556" t="n">
        <x:f>G2556-H2556</x:f>
        <x:v>0</x:v>
      </x:c>
      <x:c r="J2556" s="20" t="n">
        <x:f>IFERROR(H2556/G2556,0)</x:f>
        <x:v>1</x:v>
      </x:c>
      <x:c r="K2556" t="n">
        <x:v>66238</x:v>
      </x:c>
      <x:c r="L2556" t="n">
        <x:v>81070.5</x:v>
      </x:c>
      <x:c r="M2556" t="n">
        <x:v>95903</x:v>
      </x:c>
      <x:c r="N2556" t="n">
        <x:v>97598</x:v>
      </x:c>
      <x:c r="O2556" t="n">
        <x:v>99293</x:v>
      </x:c>
    </x:row>
    <x:row r="2557">
      <x:c r="A2557" t="str">
        <x:v>Assam</x:v>
      </x:c>
      <x:c r="B2557" t="str">
        <x:v>All India except Central University</x:v>
      </x:c>
      <x:c r="C2557" t="str">
        <x:v>904359</x:v>
      </x:c>
      <x:c r="D2557" t="str">
        <x:v>Pragjyotishpur Medical College, Office of the Principal-Cum-Chief Superintendent, Pragjyotishpur Medical College &amp; Hospital, Guwahat</x:v>
      </x:c>
      <x:c r="E2557" t="str">
        <x:v>All India</x:v>
      </x:c>
      <x:c r="F2557" t="str">
        <x:v>ST</x:v>
      </x:c>
      <x:c r="G2557" t="n">
        <x:v>1</x:v>
      </x:c>
      <x:c r="H2557" t="n">
        <x:v>1</x:v>
      </x:c>
      <x:c r="I2557" t="n">
        <x:f>G2557-H2557</x:f>
        <x:v>0</x:v>
      </x:c>
      <x:c r="J2557" s="20" t="n">
        <x:f>IFERROR(H2557/G2557,0)</x:f>
        <x:v>1</x:v>
      </x:c>
      <x:c r="K2557" t="n">
        <x:v>68821</x:v>
      </x:c>
      <x:c r="L2557" t="n">
        <x:v>68821</x:v>
      </x:c>
      <x:c r="M2557" t="n">
        <x:v>68821</x:v>
      </x:c>
      <x:c r="N2557" t="n">
        <x:v>68821</x:v>
      </x:c>
      <x:c r="O2557" t="n">
        <x:v>68821</x:v>
      </x:c>
    </x:row>
    <x:row r="2558">
      <x:c r="A2558" t="str">
        <x:v>Haryana</x:v>
      </x:c>
      <x:c r="B2558" t="str">
        <x:v>All India except Central University</x:v>
      </x:c>
      <x:c r="C2558" t="str">
        <x:v>200149</x:v>
      </x:c>
      <x:c r="D2558" t="str">
        <x:v>Pt. B D Sharma Postgraduate Institute of Medical Sciences, Rohtak (Haryana), Pt. B.D. Sharma PGIMS, Rohtak</x:v>
      </x:c>
      <x:c r="E2558" t="str">
        <x:v>All India</x:v>
      </x:c>
      <x:c r="F2558" t="str">
        <x:v>EWS</x:v>
      </x:c>
      <x:c r="G2558" t="n">
        <x:v>4</x:v>
      </x:c>
      <x:c r="H2558" t="n">
        <x:v>4</x:v>
      </x:c>
      <x:c r="I2558" t="n">
        <x:f>G2558-H2558</x:f>
        <x:v>0</x:v>
      </x:c>
      <x:c r="J2558" s="20" t="n">
        <x:f>IFERROR(H2558/G2558,0)</x:f>
        <x:v>1</x:v>
      </x:c>
      <x:c r="K2558" t="n">
        <x:v>5504</x:v>
      </x:c>
      <x:c r="L2558" t="n">
        <x:v>5663.75</x:v>
      </x:c>
      <x:c r="M2558" t="n">
        <x:v>5816</x:v>
      </x:c>
      <x:c r="N2558" t="n">
        <x:v>5958.25</x:v>
      </x:c>
      <x:c r="O2558" t="n">
        <x:v>6088</x:v>
      </x:c>
    </x:row>
    <x:row r="2559">
      <x:c r="A2559" t="str">
        <x:v>Haryana</x:v>
      </x:c>
      <x:c r="B2559" t="str">
        <x:v>All India except Central University</x:v>
      </x:c>
      <x:c r="C2559" t="str">
        <x:v>200149</x:v>
      </x:c>
      <x:c r="D2559" t="str">
        <x:v>Pt. B D Sharma Postgraduate Institute of Medical Sciences, Rohtak (Haryana), Pt. B.D. Sharma PGIMS, Rohtak</x:v>
      </x:c>
      <x:c r="E2559" t="str">
        <x:v>All India</x:v>
      </x:c>
      <x:c r="F2559" t="str">
        <x:v>OBC</x:v>
      </x:c>
      <x:c r="G2559" t="n">
        <x:v>10</x:v>
      </x:c>
      <x:c r="H2559" t="n">
        <x:v>10</x:v>
      </x:c>
      <x:c r="I2559" t="n">
        <x:f>G2559-H2559</x:f>
        <x:v>0</x:v>
      </x:c>
      <x:c r="J2559" s="20" t="n">
        <x:f>IFERROR(H2559/G2559,0)</x:f>
        <x:v>1</x:v>
      </x:c>
      <x:c r="K2559" t="n">
        <x:v>3693</x:v>
      </x:c>
      <x:c r="L2559" t="n">
        <x:v>4020.5</x:v>
      </x:c>
      <x:c r="M2559" t="n">
        <x:v>4165</x:v>
      </x:c>
      <x:c r="N2559" t="n">
        <x:v>4405.5</x:v>
      </x:c>
      <x:c r="O2559" t="n">
        <x:v>4751</x:v>
      </x:c>
    </x:row>
    <x:row r="2560">
      <x:c r="A2560" t="str">
        <x:v>Haryana</x:v>
      </x:c>
      <x:c r="B2560" t="str">
        <x:v>All India except Central University</x:v>
      </x:c>
      <x:c r="C2560" t="str">
        <x:v>200149</x:v>
      </x:c>
      <x:c r="D2560" t="str">
        <x:v>Pt. B D Sharma Postgraduate Institute of Medical Sciences, Rohtak (Haryana), Pt. B.D. Sharma PGIMS, Rohtak</x:v>
      </x:c>
      <x:c r="E2560" t="str">
        <x:v>All India</x:v>
      </x:c>
      <x:c r="F2560" t="str">
        <x:v>Open</x:v>
      </x:c>
      <x:c r="G2560" t="n">
        <x:v>13</x:v>
      </x:c>
      <x:c r="H2560" t="n">
        <x:v>13</x:v>
      </x:c>
      <x:c r="I2560" t="n">
        <x:f>G2560-H2560</x:f>
        <x:v>0</x:v>
      </x:c>
      <x:c r="J2560" s="20" t="n">
        <x:f>IFERROR(H2560/G2560,0)</x:f>
        <x:v>1</x:v>
      </x:c>
      <x:c r="K2560" t="n">
        <x:v>1018</x:v>
      </x:c>
      <x:c r="L2560" t="n">
        <x:v>2467</x:v>
      </x:c>
      <x:c r="M2560" t="n">
        <x:v>2926</x:v>
      </x:c>
      <x:c r="N2560" t="n">
        <x:v>3511</x:v>
      </x:c>
      <x:c r="O2560" t="n">
        <x:v>3653</x:v>
      </x:c>
    </x:row>
    <x:row r="2561">
      <x:c r="A2561" t="str">
        <x:v>Haryana</x:v>
      </x:c>
      <x:c r="B2561" t="str">
        <x:v>All India except Central University</x:v>
      </x:c>
      <x:c r="C2561" t="str">
        <x:v>200149</x:v>
      </x:c>
      <x:c r="D2561" t="str">
        <x:v>Pt. B D Sharma Postgraduate Institute of Medical Sciences, Rohtak (Haryana), Pt. B.D. Sharma PGIMS, Rohtak</x:v>
      </x:c>
      <x:c r="E2561" t="str">
        <x:v>All India</x:v>
      </x:c>
      <x:c r="F2561" t="str">
        <x:v>Open PwD</x:v>
      </x:c>
      <x:c r="G2561" t="n">
        <x:v>1</x:v>
      </x:c>
      <x:c r="H2561" t="n">
        <x:v>1</x:v>
      </x:c>
      <x:c r="I2561" t="n">
        <x:f>G2561-H2561</x:f>
        <x:v>0</x:v>
      </x:c>
      <x:c r="J2561" s="20" t="n">
        <x:f>IFERROR(H2561/G2561,0)</x:f>
        <x:v>1</x:v>
      </x:c>
      <x:c r="K2561" t="n">
        <x:v>118549</x:v>
      </x:c>
      <x:c r="L2561" t="n">
        <x:v>118549</x:v>
      </x:c>
      <x:c r="M2561" t="n">
        <x:v>118549</x:v>
      </x:c>
      <x:c r="N2561" t="n">
        <x:v>118549</x:v>
      </x:c>
      <x:c r="O2561" t="n">
        <x:v>118549</x:v>
      </x:c>
    </x:row>
    <x:row r="2562">
      <x:c r="A2562" t="str">
        <x:v>Haryana</x:v>
      </x:c>
      <x:c r="B2562" t="str">
        <x:v>All India except Central University</x:v>
      </x:c>
      <x:c r="C2562" t="str">
        <x:v>200149</x:v>
      </x:c>
      <x:c r="D2562" t="str">
        <x:v>Pt. B D Sharma Postgraduate Institute of Medical Sciences, Rohtak (Haryana), Pt. B.D. Sharma PGIMS, Rohtak</x:v>
      </x:c>
      <x:c r="E2562" t="str">
        <x:v>All India</x:v>
      </x:c>
      <x:c r="F2562" t="str">
        <x:v>SC</x:v>
      </x:c>
      <x:c r="G2562" t="n">
        <x:v>6</x:v>
      </x:c>
      <x:c r="H2562" t="n">
        <x:v>6</x:v>
      </x:c>
      <x:c r="I2562" t="n">
        <x:f>G2562-H2562</x:f>
        <x:v>0</x:v>
      </x:c>
      <x:c r="J2562" s="20" t="n">
        <x:f>IFERROR(H2562/G2562,0)</x:f>
        <x:v>1</x:v>
      </x:c>
      <x:c r="K2562" t="n">
        <x:v>20994</x:v>
      </x:c>
      <x:c r="L2562" t="n">
        <x:v>27081.75</x:v>
      </x:c>
      <x:c r="M2562" t="n">
        <x:v>30560.5</x:v>
      </x:c>
      <x:c r="N2562" t="n">
        <x:v>33467</x:v>
      </x:c>
      <x:c r="O2562" t="n">
        <x:v>35024</x:v>
      </x:c>
    </x:row>
    <x:row r="2563">
      <x:c r="A2563" t="str">
        <x:v>Haryana</x:v>
      </x:c>
      <x:c r="B2563" t="str">
        <x:v>All India except Central University</x:v>
      </x:c>
      <x:c r="C2563" t="str">
        <x:v>200149</x:v>
      </x:c>
      <x:c r="D2563" t="str">
        <x:v>Pt. B D Sharma Postgraduate Institute of Medical Sciences, Rohtak (Haryana), Pt. B.D. Sharma PGIMS, Rohtak</x:v>
      </x:c>
      <x:c r="E2563" t="str">
        <x:v>All India</x:v>
      </x:c>
      <x:c r="F2563" t="str">
        <x:v>ST</x:v>
      </x:c>
      <x:c r="G2563" t="n">
        <x:v>3</x:v>
      </x:c>
      <x:c r="H2563" t="n">
        <x:v>3</x:v>
      </x:c>
      <x:c r="I2563" t="n">
        <x:f>G2563-H2563</x:f>
        <x:v>0</x:v>
      </x:c>
      <x:c r="J2563" s="20" t="n">
        <x:f>IFERROR(H2563/G2563,0)</x:f>
        <x:v>1</x:v>
      </x:c>
      <x:c r="K2563" t="n">
        <x:v>50572</x:v>
      </x:c>
      <x:c r="L2563" t="n">
        <x:v>55525.5</x:v>
      </x:c>
      <x:c r="M2563" t="n">
        <x:v>60479</x:v>
      </x:c>
      <x:c r="N2563" t="n">
        <x:v>60772.5</x:v>
      </x:c>
      <x:c r="O2563" t="n">
        <x:v>61066</x:v>
      </x:c>
    </x:row>
    <x:row r="2564">
      <x:c r="A2564" t="str">
        <x:v>Chhattisgarh</x:v>
      </x:c>
      <x:c r="B2564" t="str">
        <x:v>All India except Central University</x:v>
      </x:c>
      <x:c r="C2564" t="str">
        <x:v>200126</x:v>
      </x:c>
      <x:c r="D2564" t="str">
        <x:v>Pt. J N M Medical College, Raipur, In front of Central Jail, Jail Road Raipur C.G.</x:v>
      </x:c>
      <x:c r="E2564" t="str">
        <x:v>All India</x:v>
      </x:c>
      <x:c r="F2564" t="str">
        <x:v>EWS</x:v>
      </x:c>
      <x:c r="G2564" t="n">
        <x:v>2</x:v>
      </x:c>
      <x:c r="H2564" t="n">
        <x:v>2</x:v>
      </x:c>
      <x:c r="I2564" t="n">
        <x:f>G2564-H2564</x:f>
        <x:v>0</x:v>
      </x:c>
      <x:c r="J2564" s="20" t="n">
        <x:f>IFERROR(H2564/G2564,0)</x:f>
        <x:v>1</x:v>
      </x:c>
      <x:c r="K2564" t="n">
        <x:v>10906</x:v>
      </x:c>
      <x:c r="L2564" t="n">
        <x:v>10938</x:v>
      </x:c>
      <x:c r="M2564" t="n">
        <x:v>10970</x:v>
      </x:c>
      <x:c r="N2564" t="n">
        <x:v>11002</x:v>
      </x:c>
      <x:c r="O2564" t="n">
        <x:v>11034</x:v>
      </x:c>
    </x:row>
    <x:row r="2565">
      <x:c r="A2565" t="str">
        <x:v>Chhattisgarh</x:v>
      </x:c>
      <x:c r="B2565" t="str">
        <x:v>All India except Central University</x:v>
      </x:c>
      <x:c r="C2565" t="str">
        <x:v>200126</x:v>
      </x:c>
      <x:c r="D2565" t="str">
        <x:v>Pt. J N M Medical College, Raipur, In front of Central Jail, Jail Road Raipur C.G.</x:v>
      </x:c>
      <x:c r="E2565" t="str">
        <x:v>All India</x:v>
      </x:c>
      <x:c r="F2565" t="str">
        <x:v>EWS PwD</x:v>
      </x:c>
      <x:c r="G2565" t="n">
        <x:v>1</x:v>
      </x:c>
      <x:c r="H2565" t="n">
        <x:v>1</x:v>
      </x:c>
      <x:c r="I2565" t="n">
        <x:f>G2565-H2565</x:f>
        <x:v>0</x:v>
      </x:c>
      <x:c r="J2565" s="20" t="n">
        <x:f>IFERROR(H2565/G2565,0)</x:f>
        <x:v>1</x:v>
      </x:c>
      <x:c r="K2565" t="n">
        <x:v>428207</x:v>
      </x:c>
      <x:c r="L2565" t="n">
        <x:v>428207</x:v>
      </x:c>
      <x:c r="M2565" t="n">
        <x:v>428207</x:v>
      </x:c>
      <x:c r="N2565" t="n">
        <x:v>428207</x:v>
      </x:c>
      <x:c r="O2565" t="n">
        <x:v>428207</x:v>
      </x:c>
    </x:row>
    <x:row r="2566">
      <x:c r="A2566" t="str">
        <x:v>Chhattisgarh</x:v>
      </x:c>
      <x:c r="B2566" t="str">
        <x:v>All India except Central University</x:v>
      </x:c>
      <x:c r="C2566" t="str">
        <x:v>200126</x:v>
      </x:c>
      <x:c r="D2566" t="str">
        <x:v>Pt. J N M Medical College, Raipur, In front of Central Jail, Jail Road Raipur C.G.</x:v>
      </x:c>
      <x:c r="E2566" t="str">
        <x:v>All India</x:v>
      </x:c>
      <x:c r="F2566" t="str">
        <x:v>OBC</x:v>
      </x:c>
      <x:c r="G2566" t="n">
        <x:v>9</x:v>
      </x:c>
      <x:c r="H2566" t="n">
        <x:v>9</x:v>
      </x:c>
      <x:c r="I2566" t="n">
        <x:f>G2566-H2566</x:f>
        <x:v>0</x:v>
      </x:c>
      <x:c r="J2566" s="20" t="n">
        <x:f>IFERROR(H2566/G2566,0)</x:f>
        <x:v>1</x:v>
      </x:c>
      <x:c r="K2566" t="n">
        <x:v>7549</x:v>
      </x:c>
      <x:c r="L2566" t="n">
        <x:v>7860</x:v>
      </x:c>
      <x:c r="M2566" t="n">
        <x:v>8117</x:v>
      </x:c>
      <x:c r="N2566" t="n">
        <x:v>8295</x:v>
      </x:c>
      <x:c r="O2566" t="n">
        <x:v>8544</x:v>
      </x:c>
    </x:row>
    <x:row r="2567">
      <x:c r="A2567" t="str">
        <x:v>Chhattisgarh</x:v>
      </x:c>
      <x:c r="B2567" t="str">
        <x:v>All India except Central University</x:v>
      </x:c>
      <x:c r="C2567" t="str">
        <x:v>200126</x:v>
      </x:c>
      <x:c r="D2567" t="str">
        <x:v>Pt. J N M Medical College, Raipur, In front of Central Jail, Jail Road Raipur C.G.</x:v>
      </x:c>
      <x:c r="E2567" t="str">
        <x:v>All India</x:v>
      </x:c>
      <x:c r="F2567" t="str">
        <x:v>OBC PwD</x:v>
      </x:c>
      <x:c r="G2567" t="n">
        <x:v>1</x:v>
      </x:c>
      <x:c r="H2567" t="n">
        <x:v>1</x:v>
      </x:c>
      <x:c r="I2567" t="n">
        <x:f>G2567-H2567</x:f>
        <x:v>0</x:v>
      </x:c>
      <x:c r="J2567" s="20" t="n">
        <x:f>IFERROR(H2567/G2567,0)</x:f>
        <x:v>1</x:v>
      </x:c>
      <x:c r="K2567" t="n">
        <x:v>398268</x:v>
      </x:c>
      <x:c r="L2567" t="n">
        <x:v>398268</x:v>
      </x:c>
      <x:c r="M2567" t="n">
        <x:v>398268</x:v>
      </x:c>
      <x:c r="N2567" t="n">
        <x:v>398268</x:v>
      </x:c>
      <x:c r="O2567" t="n">
        <x:v>398268</x:v>
      </x:c>
    </x:row>
    <x:row r="2568">
      <x:c r="A2568" t="str">
        <x:v>Chhattisgarh</x:v>
      </x:c>
      <x:c r="B2568" t="str">
        <x:v>All India except Central University</x:v>
      </x:c>
      <x:c r="C2568" t="str">
        <x:v>200126</x:v>
      </x:c>
      <x:c r="D2568" t="str">
        <x:v>Pt. J N M Medical College, Raipur, In front of Central Jail, Jail Road Raipur C.G.</x:v>
      </x:c>
      <x:c r="E2568" t="str">
        <x:v>All India</x:v>
      </x:c>
      <x:c r="F2568" t="str">
        <x:v>Open</x:v>
      </x:c>
      <x:c r="G2568" t="n">
        <x:v>14</x:v>
      </x:c>
      <x:c r="H2568" t="n">
        <x:v>14</x:v>
      </x:c>
      <x:c r="I2568" t="n">
        <x:f>G2568-H2568</x:f>
        <x:v>0</x:v>
      </x:c>
      <x:c r="J2568" s="20" t="n">
        <x:f>IFERROR(H2568/G2568,0)</x:f>
        <x:v>1</x:v>
      </x:c>
      <x:c r="K2568" t="n">
        <x:v>3772</x:v>
      </x:c>
      <x:c r="L2568" t="n">
        <x:v>4653.25</x:v>
      </x:c>
      <x:c r="M2568" t="n">
        <x:v>6117</x:v>
      </x:c>
      <x:c r="N2568" t="n">
        <x:v>6780.25</x:v>
      </x:c>
      <x:c r="O2568" t="n">
        <x:v>7525</x:v>
      </x:c>
    </x:row>
    <x:row r="2569">
      <x:c r="A2569" t="str">
        <x:v>Chhattisgarh</x:v>
      </x:c>
      <x:c r="B2569" t="str">
        <x:v>All India except Central University</x:v>
      </x:c>
      <x:c r="C2569" t="str">
        <x:v>200126</x:v>
      </x:c>
      <x:c r="D2569" t="str">
        <x:v>Pt. J N M Medical College, Raipur, In front of Central Jail, Jail Road Raipur C.G.</x:v>
      </x:c>
      <x:c r="E2569" t="str">
        <x:v>All India</x:v>
      </x:c>
      <x:c r="F2569" t="str">
        <x:v>Open PwD</x:v>
      </x:c>
      <x:c r="G2569" t="n">
        <x:v>1</x:v>
      </x:c>
      <x:c r="H2569" t="n">
        <x:v>1</x:v>
      </x:c>
      <x:c r="I2569" t="n">
        <x:f>G2569-H2569</x:f>
        <x:v>0</x:v>
      </x:c>
      <x:c r="J2569" s="20" t="n">
        <x:f>IFERROR(H2569/G2569,0)</x:f>
        <x:v>1</x:v>
      </x:c>
      <x:c r="K2569" t="n">
        <x:v>307772</x:v>
      </x:c>
      <x:c r="L2569" t="n">
        <x:v>307772</x:v>
      </x:c>
      <x:c r="M2569" t="n">
        <x:v>307772</x:v>
      </x:c>
      <x:c r="N2569" t="n">
        <x:v>307772</x:v>
      </x:c>
      <x:c r="O2569" t="n">
        <x:v>307772</x:v>
      </x:c>
    </x:row>
    <x:row r="2570">
      <x:c r="A2570" t="str">
        <x:v>Chhattisgarh</x:v>
      </x:c>
      <x:c r="B2570" t="str">
        <x:v>All India except Central University</x:v>
      </x:c>
      <x:c r="C2570" t="str">
        <x:v>200126</x:v>
      </x:c>
      <x:c r="D2570" t="str">
        <x:v>Pt. J N M Medical College, Raipur, In front of Central Jail, Jail Road Raipur C.G.</x:v>
      </x:c>
      <x:c r="E2570" t="str">
        <x:v>All India</x:v>
      </x:c>
      <x:c r="F2570" t="str">
        <x:v>SC</x:v>
      </x:c>
      <x:c r="G2570" t="n">
        <x:v>5</x:v>
      </x:c>
      <x:c r="H2570" t="n">
        <x:v>5</x:v>
      </x:c>
      <x:c r="I2570" t="n">
        <x:f>G2570-H2570</x:f>
        <x:v>0</x:v>
      </x:c>
      <x:c r="J2570" s="20" t="n">
        <x:f>IFERROR(H2570/G2570,0)</x:f>
        <x:v>1</x:v>
      </x:c>
      <x:c r="K2570" t="n">
        <x:v>40554</x:v>
      </x:c>
      <x:c r="L2570" t="n">
        <x:v>43861</x:v>
      </x:c>
      <x:c r="M2570" t="n">
        <x:v>48042</x:v>
      </x:c>
      <x:c r="N2570" t="n">
        <x:v>53231</x:v>
      </x:c>
      <x:c r="O2570" t="n">
        <x:v>53548</x:v>
      </x:c>
    </x:row>
    <x:row r="2571">
      <x:c r="A2571" t="str">
        <x:v>Chhattisgarh</x:v>
      </x:c>
      <x:c r="B2571" t="str">
        <x:v>All India except Central University</x:v>
      </x:c>
      <x:c r="C2571" t="str">
        <x:v>200126</x:v>
      </x:c>
      <x:c r="D2571" t="str">
        <x:v>Pt. J N M Medical College, Raipur, In front of Central Jail, Jail Road Raipur C.G.</x:v>
      </x:c>
      <x:c r="E2571" t="str">
        <x:v>All India</x:v>
      </x:c>
      <x:c r="F2571" t="str">
        <x:v>SC PwD</x:v>
      </x:c>
      <x:c r="G2571" t="n">
        <x:v>1</x:v>
      </x:c>
      <x:c r="H2571" t="n">
        <x:v>1</x:v>
      </x:c>
      <x:c r="I2571" t="n">
        <x:f>G2571-H2571</x:f>
        <x:v>0</x:v>
      </x:c>
      <x:c r="J2571" s="20" t="n">
        <x:f>IFERROR(H2571/G2571,0)</x:f>
        <x:v>1</x:v>
      </x:c>
      <x:c r="K2571" t="n">
        <x:v>522853</x:v>
      </x:c>
      <x:c r="L2571" t="n">
        <x:v>522853</x:v>
      </x:c>
      <x:c r="M2571" t="n">
        <x:v>522853</x:v>
      </x:c>
      <x:c r="N2571" t="n">
        <x:v>522853</x:v>
      </x:c>
      <x:c r="O2571" t="n">
        <x:v>522853</x:v>
      </x:c>
    </x:row>
    <x:row r="2572">
      <x:c r="A2572" t="str">
        <x:v>Chhattisgarh</x:v>
      </x:c>
      <x:c r="B2572" t="str">
        <x:v>All India except Central University</x:v>
      </x:c>
      <x:c r="C2572" t="str">
        <x:v>200126</x:v>
      </x:c>
      <x:c r="D2572" t="str">
        <x:v>Pt. J N M Medical College, Raipur, In front of Central Jail, Jail Road Raipur C.G.</x:v>
      </x:c>
      <x:c r="E2572" t="str">
        <x:v>All India</x:v>
      </x:c>
      <x:c r="F2572" t="str">
        <x:v>ST</x:v>
      </x:c>
      <x:c r="G2572" t="n">
        <x:v>3</x:v>
      </x:c>
      <x:c r="H2572" t="n">
        <x:v>3</x:v>
      </x:c>
      <x:c r="I2572" t="n">
        <x:f>G2572-H2572</x:f>
        <x:v>0</x:v>
      </x:c>
      <x:c r="J2572" s="20" t="n">
        <x:f>IFERROR(H2572/G2572,0)</x:f>
        <x:v>1</x:v>
      </x:c>
      <x:c r="K2572" t="n">
        <x:v>81991</x:v>
      </x:c>
      <x:c r="L2572" t="n">
        <x:v>82306</x:v>
      </x:c>
      <x:c r="M2572" t="n">
        <x:v>82621</x:v>
      </x:c>
      <x:c r="N2572" t="n">
        <x:v>82681</x:v>
      </x:c>
      <x:c r="O2572" t="n">
        <x:v>82741</x:v>
      </x:c>
    </x:row>
    <x:row r="2573">
      <x:c r="A2573" t="str">
        <x:v>Himachal Pradesh</x:v>
      </x:c>
      <x:c r="B2573" t="str">
        <x:v>All India except Central University</x:v>
      </x:c>
      <x:c r="C2573" t="str">
        <x:v>200155</x:v>
      </x:c>
      <x:c r="D2573" t="str">
        <x:v>Pt. Jawahar Lal Nehru Government Medical College, Chamba, Pt. Jawaharlal Nehru Govt. Medical College Chamba</x:v>
      </x:c>
      <x:c r="E2573" t="str">
        <x:v>All India</x:v>
      </x:c>
      <x:c r="F2573" t="str">
        <x:v>EWS</x:v>
      </x:c>
      <x:c r="G2573" t="n">
        <x:v>2</x:v>
      </x:c>
      <x:c r="H2573" t="n">
        <x:v>2</x:v>
      </x:c>
      <x:c r="I2573" t="n">
        <x:f>G2573-H2573</x:f>
        <x:v>0</x:v>
      </x:c>
      <x:c r="J2573" s="20" t="n">
        <x:f>IFERROR(H2573/G2573,0)</x:f>
        <x:v>1</x:v>
      </x:c>
      <x:c r="K2573" t="n">
        <x:v>10838</x:v>
      </x:c>
      <x:c r="L2573" t="n">
        <x:v>10965.5</x:v>
      </x:c>
      <x:c r="M2573" t="n">
        <x:v>11093</x:v>
      </x:c>
      <x:c r="N2573" t="n">
        <x:v>11220.5</x:v>
      </x:c>
      <x:c r="O2573" t="n">
        <x:v>11348</x:v>
      </x:c>
    </x:row>
    <x:row r="2574">
      <x:c r="A2574" t="str">
        <x:v>Himachal Pradesh</x:v>
      </x:c>
      <x:c r="B2574" t="str">
        <x:v>All India except Central University</x:v>
      </x:c>
      <x:c r="C2574" t="str">
        <x:v>200155</x:v>
      </x:c>
      <x:c r="D2574" t="str">
        <x:v>Pt. Jawahar Lal Nehru Government Medical College, Chamba, Pt. Jawaharlal Nehru Govt. Medical College Chamba</x:v>
      </x:c>
      <x:c r="E2574" t="str">
        <x:v>All India</x:v>
      </x:c>
      <x:c r="F2574" t="str">
        <x:v>OBC</x:v>
      </x:c>
      <x:c r="G2574" t="n">
        <x:v>5</x:v>
      </x:c>
      <x:c r="H2574" t="n">
        <x:v>5</x:v>
      </x:c>
      <x:c r="I2574" t="n">
        <x:f>G2574-H2574</x:f>
        <x:v>0</x:v>
      </x:c>
      <x:c r="J2574" s="20" t="n">
        <x:f>IFERROR(H2574/G2574,0)</x:f>
        <x:v>1</x:v>
      </x:c>
      <x:c r="K2574" t="n">
        <x:v>9433</x:v>
      </x:c>
      <x:c r="L2574" t="n">
        <x:v>9441</x:v>
      </x:c>
      <x:c r="M2574" t="n">
        <x:v>9531</x:v>
      </x:c>
      <x:c r="N2574" t="n">
        <x:v>9664</x:v>
      </x:c>
      <x:c r="O2574" t="n">
        <x:v>9680</x:v>
      </x:c>
    </x:row>
    <x:row r="2575">
      <x:c r="A2575" t="str">
        <x:v>Himachal Pradesh</x:v>
      </x:c>
      <x:c r="B2575" t="str">
        <x:v>All India except Central University</x:v>
      </x:c>
      <x:c r="C2575" t="str">
        <x:v>200155</x:v>
      </x:c>
      <x:c r="D2575" t="str">
        <x:v>Pt. Jawahar Lal Nehru Government Medical College, Chamba, Pt. Jawaharlal Nehru Govt. Medical College Chamba</x:v>
      </x:c>
      <x:c r="E2575" t="str">
        <x:v>All India</x:v>
      </x:c>
      <x:c r="F2575" t="str">
        <x:v>Open</x:v>
      </x:c>
      <x:c r="G2575" t="n">
        <x:v>7</x:v>
      </x:c>
      <x:c r="H2575" t="n">
        <x:v>7</x:v>
      </x:c>
      <x:c r="I2575" t="n">
        <x:f>G2575-H2575</x:f>
        <x:v>0</x:v>
      </x:c>
      <x:c r="J2575" s="20" t="n">
        <x:f>IFERROR(H2575/G2575,0)</x:f>
        <x:v>1</x:v>
      </x:c>
      <x:c r="K2575" t="n">
        <x:v>8233</x:v>
      </x:c>
      <x:c r="L2575" t="n">
        <x:v>8534.5</x:v>
      </x:c>
      <x:c r="M2575" t="n">
        <x:v>8643</x:v>
      </x:c>
      <x:c r="N2575" t="n">
        <x:v>8741</x:v>
      </x:c>
      <x:c r="O2575" t="n">
        <x:v>8797</x:v>
      </x:c>
    </x:row>
    <x:row r="2576">
      <x:c r="A2576" t="str">
        <x:v>Himachal Pradesh</x:v>
      </x:c>
      <x:c r="B2576" t="str">
        <x:v>All India except Central University</x:v>
      </x:c>
      <x:c r="C2576" t="str">
        <x:v>200155</x:v>
      </x:c>
      <x:c r="D2576" t="str">
        <x:v>Pt. Jawahar Lal Nehru Government Medical College, Chamba, Pt. Jawaharlal Nehru Govt. Medical College Chamba</x:v>
      </x:c>
      <x:c r="E2576" t="str">
        <x:v>All India</x:v>
      </x:c>
      <x:c r="F2576" t="str">
        <x:v>Open PwD</x:v>
      </x:c>
      <x:c r="G2576" t="n">
        <x:v>1</x:v>
      </x:c>
      <x:c r="H2576" t="n">
        <x:v>1</x:v>
      </x:c>
      <x:c r="I2576" t="n">
        <x:f>G2576-H2576</x:f>
        <x:v>0</x:v>
      </x:c>
      <x:c r="J2576" s="20" t="n">
        <x:f>IFERROR(H2576/G2576,0)</x:f>
        <x:v>1</x:v>
      </x:c>
      <x:c r="K2576" t="n">
        <x:v>377914</x:v>
      </x:c>
      <x:c r="L2576" t="n">
        <x:v>377914</x:v>
      </x:c>
      <x:c r="M2576" t="n">
        <x:v>377914</x:v>
      </x:c>
      <x:c r="N2576" t="n">
        <x:v>377914</x:v>
      </x:c>
      <x:c r="O2576" t="n">
        <x:v>377914</x:v>
      </x:c>
    </x:row>
    <x:row r="2577">
      <x:c r="A2577" t="str">
        <x:v>Himachal Pradesh</x:v>
      </x:c>
      <x:c r="B2577" t="str">
        <x:v>All India except Central University</x:v>
      </x:c>
      <x:c r="C2577" t="str">
        <x:v>200155</x:v>
      </x:c>
      <x:c r="D2577" t="str">
        <x:v>Pt. Jawahar Lal Nehru Government Medical College, Chamba, Pt. Jawaharlal Nehru Govt. Medical College Chamba</x:v>
      </x:c>
      <x:c r="E2577" t="str">
        <x:v>All India</x:v>
      </x:c>
      <x:c r="F2577" t="str">
        <x:v>SC</x:v>
      </x:c>
      <x:c r="G2577" t="n">
        <x:v>2</x:v>
      </x:c>
      <x:c r="H2577" t="n">
        <x:v>2</x:v>
      </x:c>
      <x:c r="I2577" t="n">
        <x:f>G2577-H2577</x:f>
        <x:v>0</x:v>
      </x:c>
      <x:c r="J2577" s="20" t="n">
        <x:f>IFERROR(H2577/G2577,0)</x:f>
        <x:v>1</x:v>
      </x:c>
      <x:c r="K2577" t="n">
        <x:v>53557</x:v>
      </x:c>
      <x:c r="L2577" t="n">
        <x:v>54685.5</x:v>
      </x:c>
      <x:c r="M2577" t="n">
        <x:v>55814</x:v>
      </x:c>
      <x:c r="N2577" t="n">
        <x:v>56942.5</x:v>
      </x:c>
      <x:c r="O2577" t="n">
        <x:v>58071</x:v>
      </x:c>
    </x:row>
    <x:row r="2578">
      <x:c r="A2578" t="str">
        <x:v>Himachal Pradesh</x:v>
      </x:c>
      <x:c r="B2578" t="str">
        <x:v>All India except Central University</x:v>
      </x:c>
      <x:c r="C2578" t="str">
        <x:v>200155</x:v>
      </x:c>
      <x:c r="D2578" t="str">
        <x:v>Pt. Jawahar Lal Nehru Government Medical College, Chamba, Pt. Jawaharlal Nehru Govt. Medical College Chamba</x:v>
      </x:c>
      <x:c r="E2578" t="str">
        <x:v>All India</x:v>
      </x:c>
      <x:c r="F2578" t="str">
        <x:v>ST</x:v>
      </x:c>
      <x:c r="G2578" t="n">
        <x:v>1</x:v>
      </x:c>
      <x:c r="H2578" t="n">
        <x:v>1</x:v>
      </x:c>
      <x:c r="I2578" t="n">
        <x:f>G2578-H2578</x:f>
        <x:v>0</x:v>
      </x:c>
      <x:c r="J2578" s="20" t="n">
        <x:f>IFERROR(H2578/G2578,0)</x:f>
        <x:v>1</x:v>
      </x:c>
      <x:c r="K2578" t="n">
        <x:v>65615</x:v>
      </x:c>
      <x:c r="L2578" t="n">
        <x:v>65615</x:v>
      </x:c>
      <x:c r="M2578" t="n">
        <x:v>65615</x:v>
      </x:c>
      <x:c r="N2578" t="n">
        <x:v>65615</x:v>
      </x:c>
      <x:c r="O2578" t="n">
        <x:v>65615</x:v>
      </x:c>
    </x:row>
    <x:row r="2579">
      <x:c r="A2579" t="str">
        <x:v>Odisha</x:v>
      </x:c>
      <x:c r="B2579" t="str">
        <x:v>All India except Central University</x:v>
      </x:c>
      <x:c r="C2579" t="str">
        <x:v>200236</x:v>
      </x:c>
      <x:c r="D2579" t="str">
        <x:v>Pt. Raghunath Murmu Medical College and Hospital, Baripada, Odisha, AT-Rangamatia ,PO-Sankhabhanga , Via-Laxmiposi, Dist- Mayurbhanj, Odisha</x:v>
      </x:c>
      <x:c r="E2579" t="str">
        <x:v>All India</x:v>
      </x:c>
      <x:c r="F2579" t="str">
        <x:v>EWS</x:v>
      </x:c>
      <x:c r="G2579" t="n">
        <x:v>2</x:v>
      </x:c>
      <x:c r="H2579" t="n">
        <x:v>2</x:v>
      </x:c>
      <x:c r="I2579" t="n">
        <x:f>G2579-H2579</x:f>
        <x:v>0</x:v>
      </x:c>
      <x:c r="J2579" s="20" t="n">
        <x:f>IFERROR(H2579/G2579,0)</x:f>
        <x:v>1</x:v>
      </x:c>
      <x:c r="K2579" t="n">
        <x:v>14780</x:v>
      </x:c>
      <x:c r="L2579" t="n">
        <x:v>15370.75</x:v>
      </x:c>
      <x:c r="M2579" t="n">
        <x:v>15961.5</x:v>
      </x:c>
      <x:c r="N2579" t="n">
        <x:v>16552.25</x:v>
      </x:c>
      <x:c r="O2579" t="n">
        <x:v>17143</x:v>
      </x:c>
    </x:row>
    <x:row r="2580">
      <x:c r="A2580" t="str">
        <x:v>Odisha</x:v>
      </x:c>
      <x:c r="B2580" t="str">
        <x:v>All India except Central University</x:v>
      </x:c>
      <x:c r="C2580" t="str">
        <x:v>200236</x:v>
      </x:c>
      <x:c r="D2580" t="str">
        <x:v>Pt. Raghunath Murmu Medical College and Hospital, Baripada, Odisha, AT-Rangamatia ,PO-Sankhabhanga , Via-Laxmiposi, Dist- Mayurbhanj, Odisha</x:v>
      </x:c>
      <x:c r="E2580" t="str">
        <x:v>All India</x:v>
      </x:c>
      <x:c r="F2580" t="str">
        <x:v>OBC</x:v>
      </x:c>
      <x:c r="G2580" t="n">
        <x:v>4</x:v>
      </x:c>
      <x:c r="H2580" t="n">
        <x:v>4</x:v>
      </x:c>
      <x:c r="I2580" t="n">
        <x:f>G2580-H2580</x:f>
        <x:v>0</x:v>
      </x:c>
      <x:c r="J2580" s="20" t="n">
        <x:f>IFERROR(H2580/G2580,0)</x:f>
        <x:v>1</x:v>
      </x:c>
      <x:c r="K2580" t="n">
        <x:v>11706</x:v>
      </x:c>
      <x:c r="L2580" t="n">
        <x:v>11911.5</x:v>
      </x:c>
      <x:c r="M2580" t="n">
        <x:v>12174.5</x:v>
      </x:c>
      <x:c r="N2580" t="n">
        <x:v>12447.75</x:v>
      </x:c>
      <x:c r="O2580" t="n">
        <x:v>12684</x:v>
      </x:c>
    </x:row>
    <x:row r="2581">
      <x:c r="A2581" t="str">
        <x:v>Odisha</x:v>
      </x:c>
      <x:c r="B2581" t="str">
        <x:v>All India except Central University</x:v>
      </x:c>
      <x:c r="C2581" t="str">
        <x:v>200236</x:v>
      </x:c>
      <x:c r="D2581" t="str">
        <x:v>Pt. Raghunath Murmu Medical College and Hospital, Baripada, Odisha, AT-Rangamatia ,PO-Sankhabhanga , Via-Laxmiposi, Dist- Mayurbhanj, Odisha</x:v>
      </x:c>
      <x:c r="E2581" t="str">
        <x:v>All India</x:v>
      </x:c>
      <x:c r="F2581" t="str">
        <x:v>OBC PwD</x:v>
      </x:c>
      <x:c r="G2581" t="n">
        <x:v>1</x:v>
      </x:c>
      <x:c r="H2581" t="n">
        <x:v>1</x:v>
      </x:c>
      <x:c r="I2581" t="n">
        <x:f>G2581-H2581</x:f>
        <x:v>0</x:v>
      </x:c>
      <x:c r="J2581" s="20" t="n">
        <x:f>IFERROR(H2581/G2581,0)</x:f>
        <x:v>1</x:v>
      </x:c>
      <x:c r="K2581" t="n">
        <x:v>512835</x:v>
      </x:c>
      <x:c r="L2581" t="n">
        <x:v>512835</x:v>
      </x:c>
      <x:c r="M2581" t="n">
        <x:v>512835</x:v>
      </x:c>
      <x:c r="N2581" t="n">
        <x:v>512835</x:v>
      </x:c>
      <x:c r="O2581" t="n">
        <x:v>512835</x:v>
      </x:c>
    </x:row>
    <x:row r="2582">
      <x:c r="A2582" t="str">
        <x:v>Odisha</x:v>
      </x:c>
      <x:c r="B2582" t="str">
        <x:v>All India except Central University</x:v>
      </x:c>
      <x:c r="C2582" t="str">
        <x:v>200236</x:v>
      </x:c>
      <x:c r="D2582" t="str">
        <x:v>Pt. Raghunath Murmu Medical College and Hospital, Baripada, Odisha, AT-Rangamatia ,PO-Sankhabhanga , Via-Laxmiposi, Dist- Mayurbhanj, Odisha</x:v>
      </x:c>
      <x:c r="E2582" t="str">
        <x:v>All India</x:v>
      </x:c>
      <x:c r="F2582" t="str">
        <x:v>Open</x:v>
      </x:c>
      <x:c r="G2582" t="n">
        <x:v>7</x:v>
      </x:c>
      <x:c r="H2582" t="n">
        <x:v>7</x:v>
      </x:c>
      <x:c r="I2582" t="n">
        <x:f>G2582-H2582</x:f>
        <x:v>0</x:v>
      </x:c>
      <x:c r="J2582" s="20" t="n">
        <x:f>IFERROR(H2582/G2582,0)</x:f>
        <x:v>1</x:v>
      </x:c>
      <x:c r="K2582" t="n">
        <x:v>9690</x:v>
      </x:c>
      <x:c r="L2582" t="n">
        <x:v>9979</x:v>
      </x:c>
      <x:c r="M2582" t="n">
        <x:v>10007</x:v>
      </x:c>
      <x:c r="N2582" t="n">
        <x:v>10462</x:v>
      </x:c>
      <x:c r="O2582" t="n">
        <x:v>10861</x:v>
      </x:c>
    </x:row>
    <x:row r="2583">
      <x:c r="A2583" t="str">
        <x:v>Odisha</x:v>
      </x:c>
      <x:c r="B2583" t="str">
        <x:v>All India except Central University</x:v>
      </x:c>
      <x:c r="C2583" t="str">
        <x:v>200236</x:v>
      </x:c>
      <x:c r="D2583" t="str">
        <x:v>Pt. Raghunath Murmu Medical College and Hospital, Baripada, Odisha, AT-Rangamatia ,PO-Sankhabhanga , Via-Laxmiposi, Dist- Mayurbhanj, Odisha</x:v>
      </x:c>
      <x:c r="E2583" t="str">
        <x:v>All India</x:v>
      </x:c>
      <x:c r="F2583" t="str">
        <x:v>Open PwD</x:v>
      </x:c>
      <x:c r="G2583" t="n">
        <x:v>1</x:v>
      </x:c>
      <x:c r="H2583" t="n">
        <x:v>1</x:v>
      </x:c>
      <x:c r="I2583" t="n">
        <x:f>G2583-H2583</x:f>
        <x:v>0</x:v>
      </x:c>
      <x:c r="J2583" s="20" t="n">
        <x:f>IFERROR(H2583/G2583,0)</x:f>
        <x:v>1</x:v>
      </x:c>
      <x:c r="K2583" t="n">
        <x:v>461277</x:v>
      </x:c>
      <x:c r="L2583" t="n">
        <x:v>461277</x:v>
      </x:c>
      <x:c r="M2583" t="n">
        <x:v>461277</x:v>
      </x:c>
      <x:c r="N2583" t="n">
        <x:v>461277</x:v>
      </x:c>
      <x:c r="O2583" t="n">
        <x:v>461277</x:v>
      </x:c>
    </x:row>
    <x:row r="2584">
      <x:c r="A2584" t="str">
        <x:v>Odisha</x:v>
      </x:c>
      <x:c r="B2584" t="str">
        <x:v>All India except Central University</x:v>
      </x:c>
      <x:c r="C2584" t="str">
        <x:v>200236</x:v>
      </x:c>
      <x:c r="D2584" t="str">
        <x:v>Pt. Raghunath Murmu Medical College and Hospital, Baripada, Odisha, AT-Rangamatia ,PO-Sankhabhanga , Via-Laxmiposi, Dist- Mayurbhanj, Odisha</x:v>
      </x:c>
      <x:c r="E2584" t="str">
        <x:v>All India</x:v>
      </x:c>
      <x:c r="F2584" t="str">
        <x:v>SC</x:v>
      </x:c>
      <x:c r="G2584" t="n">
        <x:v>3</x:v>
      </x:c>
      <x:c r="H2584" t="n">
        <x:v>3</x:v>
      </x:c>
      <x:c r="I2584" t="n">
        <x:f>G2584-H2584</x:f>
        <x:v>0</x:v>
      </x:c>
      <x:c r="J2584" s="20" t="n">
        <x:f>IFERROR(H2584/G2584,0)</x:f>
        <x:v>1</x:v>
      </x:c>
      <x:c r="K2584" t="n">
        <x:v>49075</x:v>
      </x:c>
      <x:c r="L2584" t="n">
        <x:v>52639.5</x:v>
      </x:c>
      <x:c r="M2584" t="n">
        <x:v>56204</x:v>
      </x:c>
      <x:c r="N2584" t="n">
        <x:v>56769.5</x:v>
      </x:c>
      <x:c r="O2584" t="n">
        <x:v>57335</x:v>
      </x:c>
    </x:row>
    <x:row r="2585">
      <x:c r="A2585" t="str">
        <x:v>Odisha</x:v>
      </x:c>
      <x:c r="B2585" t="str">
        <x:v>All India except Central University</x:v>
      </x:c>
      <x:c r="C2585" t="str">
        <x:v>200236</x:v>
      </x:c>
      <x:c r="D2585" t="str">
        <x:v>Pt. Raghunath Murmu Medical College and Hospital, Baripada, Odisha, AT-Rangamatia ,PO-Sankhabhanga , Via-Laxmiposi, Dist- Mayurbhanj, Odisha</x:v>
      </x:c>
      <x:c r="E2585" t="str">
        <x:v>All India</x:v>
      </x:c>
      <x:c r="F2585" t="str">
        <x:v>ST</x:v>
      </x:c>
      <x:c r="G2585" t="n">
        <x:v>1</x:v>
      </x:c>
      <x:c r="H2585" t="n">
        <x:v>1</x:v>
      </x:c>
      <x:c r="I2585" t="n">
        <x:f>G2585-H2585</x:f>
        <x:v>0</x:v>
      </x:c>
      <x:c r="J2585" s="20" t="n">
        <x:f>IFERROR(H2585/G2585,0)</x:f>
        <x:v>1</x:v>
      </x:c>
      <x:c r="K2585" t="n">
        <x:v>119968</x:v>
      </x:c>
      <x:c r="L2585" t="n">
        <x:v>119968</x:v>
      </x:c>
      <x:c r="M2585" t="n">
        <x:v>119968</x:v>
      </x:c>
      <x:c r="N2585" t="n">
        <x:v>119968</x:v>
      </x:c>
      <x:c r="O2585" t="n">
        <x:v>119968</x:v>
      </x:c>
    </x:row>
    <x:row r="2586">
      <x:c r="A2586" t="str">
        <x:v>Uttar Pradesh</x:v>
      </x:c>
      <x:c r="B2586" t="str">
        <x:v>All India except Central University</x:v>
      </x:c>
      <x:c r="C2586" t="str">
        <x:v>902860</x:v>
      </x:c>
      <x:c r="D2586" t="str">
        <x:v>Punyashloka Lokmata Devi Ahilyabai Holkar Autonomous State Medical College Auraiya, Sehud Auraiya</x:v>
      </x:c>
      <x:c r="E2586" t="str">
        <x:v>All India</x:v>
      </x:c>
      <x:c r="F2586" t="str">
        <x:v>EWS</x:v>
      </x:c>
      <x:c r="G2586" t="n">
        <x:v>2</x:v>
      </x:c>
      <x:c r="H2586" t="n">
        <x:v>2</x:v>
      </x:c>
      <x:c r="I2586" t="n">
        <x:f>G2586-H2586</x:f>
        <x:v>0</x:v>
      </x:c>
      <x:c r="J2586" s="20" t="n">
        <x:f>IFERROR(H2586/G2586,0)</x:f>
        <x:v>1</x:v>
      </x:c>
      <x:c r="K2586" t="n">
        <x:v>17509</x:v>
      </x:c>
      <x:c r="L2586" t="n">
        <x:v>17623.75</x:v>
      </x:c>
      <x:c r="M2586" t="n">
        <x:v>17738.5</x:v>
      </x:c>
      <x:c r="N2586" t="n">
        <x:v>17853.25</x:v>
      </x:c>
      <x:c r="O2586" t="n">
        <x:v>17968</x:v>
      </x:c>
    </x:row>
    <x:row r="2587">
      <x:c r="A2587" t="str">
        <x:v>Uttar Pradesh</x:v>
      </x:c>
      <x:c r="B2587" t="str">
        <x:v>All India except Central University</x:v>
      </x:c>
      <x:c r="C2587" t="str">
        <x:v>902860</x:v>
      </x:c>
      <x:c r="D2587" t="str">
        <x:v>Punyashloka Lokmata Devi Ahilyabai Holkar Autonomous State Medical College Auraiya, Sehud Auraiya</x:v>
      </x:c>
      <x:c r="E2587" t="str">
        <x:v>All India</x:v>
      </x:c>
      <x:c r="F2587" t="str">
        <x:v>OBC</x:v>
      </x:c>
      <x:c r="G2587" t="n">
        <x:v>3</x:v>
      </x:c>
      <x:c r="H2587" t="n">
        <x:v>3</x:v>
      </x:c>
      <x:c r="I2587" t="n">
        <x:f>G2587-H2587</x:f>
        <x:v>0</x:v>
      </x:c>
      <x:c r="J2587" s="20" t="n">
        <x:f>IFERROR(H2587/G2587,0)</x:f>
        <x:v>1</x:v>
      </x:c>
      <x:c r="K2587" t="n">
        <x:v>17111</x:v>
      </x:c>
      <x:c r="L2587" t="n">
        <x:v>17277</x:v>
      </x:c>
      <x:c r="M2587" t="n">
        <x:v>17443</x:v>
      </x:c>
      <x:c r="N2587" t="n">
        <x:v>17455</x:v>
      </x:c>
      <x:c r="O2587" t="n">
        <x:v>17467</x:v>
      </x:c>
    </x:row>
    <x:row r="2588">
      <x:c r="A2588" t="str">
        <x:v>Uttar Pradesh</x:v>
      </x:c>
      <x:c r="B2588" t="str">
        <x:v>All India except Central University</x:v>
      </x:c>
      <x:c r="C2588" t="str">
        <x:v>902860</x:v>
      </x:c>
      <x:c r="D2588" t="str">
        <x:v>Punyashloka Lokmata Devi Ahilyabai Holkar Autonomous State Medical College Auraiya, Sehud Auraiya</x:v>
      </x:c>
      <x:c r="E2588" t="str">
        <x:v>All India</x:v>
      </x:c>
      <x:c r="F2588" t="str">
        <x:v>OBC PwD</x:v>
      </x:c>
      <x:c r="G2588" t="n">
        <x:v>1</x:v>
      </x:c>
      <x:c r="H2588" t="n">
        <x:v>1</x:v>
      </x:c>
      <x:c r="I2588" t="n">
        <x:f>G2588-H2588</x:f>
        <x:v>0</x:v>
      </x:c>
      <x:c r="J2588" s="20" t="n">
        <x:f>IFERROR(H2588/G2588,0)</x:f>
        <x:v>1</x:v>
      </x:c>
      <x:c r="K2588" t="n">
        <x:v>518514</x:v>
      </x:c>
      <x:c r="L2588" t="n">
        <x:v>518514</x:v>
      </x:c>
      <x:c r="M2588" t="n">
        <x:v>518514</x:v>
      </x:c>
      <x:c r="N2588" t="n">
        <x:v>518514</x:v>
      </x:c>
      <x:c r="O2588" t="n">
        <x:v>518514</x:v>
      </x:c>
    </x:row>
    <x:row r="2589">
      <x:c r="A2589" t="str">
        <x:v>Uttar Pradesh</x:v>
      </x:c>
      <x:c r="B2589" t="str">
        <x:v>All India except Central University</x:v>
      </x:c>
      <x:c r="C2589" t="str">
        <x:v>902860</x:v>
      </x:c>
      <x:c r="D2589" t="str">
        <x:v>Punyashloka Lokmata Devi Ahilyabai Holkar Autonomous State Medical College Auraiya, Sehud Auraiya</x:v>
      </x:c>
      <x:c r="E2589" t="str">
        <x:v>All India</x:v>
      </x:c>
      <x:c r="F2589" t="str">
        <x:v>Open</x:v>
      </x:c>
      <x:c r="G2589" t="n">
        <x:v>5</x:v>
      </x:c>
      <x:c r="H2589" t="n">
        <x:v>5</x:v>
      </x:c>
      <x:c r="I2589" t="n">
        <x:f>G2589-H2589</x:f>
        <x:v>0</x:v>
      </x:c>
      <x:c r="J2589" s="20" t="n">
        <x:f>IFERROR(H2589/G2589,0)</x:f>
        <x:v>1</x:v>
      </x:c>
      <x:c r="K2589" t="n">
        <x:v>16098</x:v>
      </x:c>
      <x:c r="L2589" t="n">
        <x:v>16159</x:v>
      </x:c>
      <x:c r="M2589" t="n">
        <x:v>16456</x:v>
      </x:c>
      <x:c r="N2589" t="n">
        <x:v>16623</x:v>
      </x:c>
      <x:c r="O2589" t="n">
        <x:v>16682</x:v>
      </x:c>
    </x:row>
    <x:row r="2590">
      <x:c r="A2590" t="str">
        <x:v>Uttar Pradesh</x:v>
      </x:c>
      <x:c r="B2590" t="str">
        <x:v>All India except Central University</x:v>
      </x:c>
      <x:c r="C2590" t="str">
        <x:v>902860</x:v>
      </x:c>
      <x:c r="D2590" t="str">
        <x:v>Punyashloka Lokmata Devi Ahilyabai Holkar Autonomous State Medical College Auraiya, Sehud Auraiya</x:v>
      </x:c>
      <x:c r="E2590" t="str">
        <x:v>All India</x:v>
      </x:c>
      <x:c r="F2590" t="str">
        <x:v>SC</x:v>
      </x:c>
      <x:c r="G2590" t="n">
        <x:v>3</x:v>
      </x:c>
      <x:c r="H2590" t="n">
        <x:v>3</x:v>
      </x:c>
      <x:c r="I2590" t="n">
        <x:f>G2590-H2590</x:f>
        <x:v>0</x:v>
      </x:c>
      <x:c r="J2590" s="20" t="n">
        <x:f>IFERROR(H2590/G2590,0)</x:f>
        <x:v>1</x:v>
      </x:c>
      <x:c r="K2590" t="n">
        <x:v>78302</x:v>
      </x:c>
      <x:c r="L2590" t="n">
        <x:v>80485.5</x:v>
      </x:c>
      <x:c r="M2590" t="n">
        <x:v>82669</x:v>
      </x:c>
      <x:c r="N2590" t="n">
        <x:v>83615</x:v>
      </x:c>
      <x:c r="O2590" t="n">
        <x:v>84561</x:v>
      </x:c>
    </x:row>
    <x:row r="2591">
      <x:c r="A2591" t="str">
        <x:v>Uttar Pradesh</x:v>
      </x:c>
      <x:c r="B2591" t="str">
        <x:v>All India except Central University</x:v>
      </x:c>
      <x:c r="C2591" t="str">
        <x:v>902860</x:v>
      </x:c>
      <x:c r="D2591" t="str">
        <x:v>Punyashloka Lokmata Devi Ahilyabai Holkar Autonomous State Medical College Auraiya, Sehud Auraiya</x:v>
      </x:c>
      <x:c r="E2591" t="str">
        <x:v>All India</x:v>
      </x:c>
      <x:c r="F2591" t="str">
        <x:v>ST</x:v>
      </x:c>
      <x:c r="G2591" t="n">
        <x:v>1</x:v>
      </x:c>
      <x:c r="H2591" t="n">
        <x:v>1</x:v>
      </x:c>
      <x:c r="I2591" t="n">
        <x:f>G2591-H2591</x:f>
        <x:v>0</x:v>
      </x:c>
      <x:c r="J2591" s="20" t="n">
        <x:f>IFERROR(H2591/G2591,0)</x:f>
        <x:v>1</x:v>
      </x:c>
      <x:c r="K2591" t="n">
        <x:v>111415</x:v>
      </x:c>
      <x:c r="L2591" t="n">
        <x:v>111415</x:v>
      </x:c>
      <x:c r="M2591" t="n">
        <x:v>111415</x:v>
      </x:c>
      <x:c r="N2591" t="n">
        <x:v>111415</x:v>
      </x:c>
      <x:c r="O2591" t="n">
        <x:v>111415</x:v>
      </x:c>
    </x:row>
    <x:row r="2592">
      <x:c r="A2592" t="str">
        <x:v>West Bengal</x:v>
      </x:c>
      <x:c r="B2592" t="str">
        <x:v>All India except Central University</x:v>
      </x:c>
      <x:c r="C2592" t="str">
        <x:v>200531</x:v>
      </x:c>
      <x:c r="D2592" t="str">
        <x:v>Purulia Government Medical College &amp; Hospital, Vill Hatuara PO Vivekanandanagar PS Purulia Muffasil Purulia 723147</x:v>
      </x:c>
      <x:c r="E2592" t="str">
        <x:v>All India</x:v>
      </x:c>
      <x:c r="F2592" t="str">
        <x:v>EWS</x:v>
      </x:c>
      <x:c r="G2592" t="n">
        <x:v>2</x:v>
      </x:c>
      <x:c r="H2592" t="n">
        <x:v>2</x:v>
      </x:c>
      <x:c r="I2592" t="n">
        <x:f>G2592-H2592</x:f>
        <x:v>0</x:v>
      </x:c>
      <x:c r="J2592" s="20" t="n">
        <x:f>IFERROR(H2592/G2592,0)</x:f>
        <x:v>1</x:v>
      </x:c>
      <x:c r="K2592" t="n">
        <x:v>21446</x:v>
      </x:c>
      <x:c r="L2592" t="n">
        <x:v>21649.75</x:v>
      </x:c>
      <x:c r="M2592" t="n">
        <x:v>21853.5</x:v>
      </x:c>
      <x:c r="N2592" t="n">
        <x:v>22057.25</x:v>
      </x:c>
      <x:c r="O2592" t="n">
        <x:v>22261</x:v>
      </x:c>
    </x:row>
    <x:row r="2593">
      <x:c r="A2593" t="str">
        <x:v>West Bengal</x:v>
      </x:c>
      <x:c r="B2593" t="str">
        <x:v>All India except Central University</x:v>
      </x:c>
      <x:c r="C2593" t="str">
        <x:v>200531</x:v>
      </x:c>
      <x:c r="D2593" t="str">
        <x:v>Purulia Government Medical College &amp; Hospital, Vill Hatuara PO Vivekanandanagar PS Purulia Muffasil Purulia 723147</x:v>
      </x:c>
      <x:c r="E2593" t="str">
        <x:v>All India</x:v>
      </x:c>
      <x:c r="F2593" t="str">
        <x:v>OBC</x:v>
      </x:c>
      <x:c r="G2593" t="n">
        <x:v>6</x:v>
      </x:c>
      <x:c r="H2593" t="n">
        <x:v>6</x:v>
      </x:c>
      <x:c r="I2593" t="n">
        <x:f>G2593-H2593</x:f>
        <x:v>0</x:v>
      </x:c>
      <x:c r="J2593" s="20" t="n">
        <x:f>IFERROR(H2593/G2593,0)</x:f>
        <x:v>1</x:v>
      </x:c>
      <x:c r="K2593" t="n">
        <x:v>18758</x:v>
      </x:c>
      <x:c r="L2593" t="n">
        <x:v>19256.75</x:v>
      </x:c>
      <x:c r="M2593" t="n">
        <x:v>19637.5</x:v>
      </x:c>
      <x:c r="N2593" t="n">
        <x:v>19896</x:v>
      </x:c>
      <x:c r="O2593" t="n">
        <x:v>20532</x:v>
      </x:c>
    </x:row>
    <x:row r="2594">
      <x:c r="A2594" t="str">
        <x:v>West Bengal</x:v>
      </x:c>
      <x:c r="B2594" t="str">
        <x:v>All India except Central University</x:v>
      </x:c>
      <x:c r="C2594" t="str">
        <x:v>200531</x:v>
      </x:c>
      <x:c r="D2594" t="str">
        <x:v>Purulia Government Medical College &amp; Hospital, Vill Hatuara PO Vivekanandanagar PS Purulia Muffasil Purulia 723147</x:v>
      </x:c>
      <x:c r="E2594" t="str">
        <x:v>All India</x:v>
      </x:c>
      <x:c r="F2594" t="str">
        <x:v>Open</x:v>
      </x:c>
      <x:c r="G2594" t="n">
        <x:v>8</x:v>
      </x:c>
      <x:c r="H2594" t="n">
        <x:v>8</x:v>
      </x:c>
      <x:c r="I2594" t="n">
        <x:f>G2594-H2594</x:f>
        <x:v>0</x:v>
      </x:c>
      <x:c r="J2594" s="20" t="n">
        <x:f>IFERROR(H2594/G2594,0)</x:f>
        <x:v>1</x:v>
      </x:c>
      <x:c r="K2594" t="n">
        <x:v>15631</x:v>
      </x:c>
      <x:c r="L2594" t="n">
        <x:v>17818.5</x:v>
      </x:c>
      <x:c r="M2594" t="n">
        <x:v>18036.5</x:v>
      </x:c>
      <x:c r="N2594" t="n">
        <x:v>18215.5</x:v>
      </x:c>
      <x:c r="O2594" t="n">
        <x:v>18547</x:v>
      </x:c>
    </x:row>
    <x:row r="2595">
      <x:c r="A2595" t="str">
        <x:v>West Bengal</x:v>
      </x:c>
      <x:c r="B2595" t="str">
        <x:v>All India except Central University</x:v>
      </x:c>
      <x:c r="C2595" t="str">
        <x:v>200531</x:v>
      </x:c>
      <x:c r="D2595" t="str">
        <x:v>Purulia Government Medical College &amp; Hospital, Vill Hatuara PO Vivekanandanagar PS Purulia Muffasil Purulia 723147</x:v>
      </x:c>
      <x:c r="E2595" t="str">
        <x:v>All India</x:v>
      </x:c>
      <x:c r="F2595" t="str">
        <x:v>Open PwD</x:v>
      </x:c>
      <x:c r="G2595" t="n">
        <x:v>1</x:v>
      </x:c>
      <x:c r="H2595" t="n">
        <x:v>1</x:v>
      </x:c>
      <x:c r="I2595" t="n">
        <x:f>G2595-H2595</x:f>
        <x:v>0</x:v>
      </x:c>
      <x:c r="J2595" s="20" t="n">
        <x:f>IFERROR(H2595/G2595,0)</x:f>
        <x:v>1</x:v>
      </x:c>
      <x:c r="K2595" t="n">
        <x:v>591870</x:v>
      </x:c>
      <x:c r="L2595" t="n">
        <x:v>591870</x:v>
      </x:c>
      <x:c r="M2595" t="n">
        <x:v>591870</x:v>
      </x:c>
      <x:c r="N2595" t="n">
        <x:v>591870</x:v>
      </x:c>
      <x:c r="O2595" t="n">
        <x:v>591870</x:v>
      </x:c>
    </x:row>
    <x:row r="2596">
      <x:c r="A2596" t="str">
        <x:v>West Bengal</x:v>
      </x:c>
      <x:c r="B2596" t="str">
        <x:v>All India except Central University</x:v>
      </x:c>
      <x:c r="C2596" t="str">
        <x:v>200531</x:v>
      </x:c>
      <x:c r="D2596" t="str">
        <x:v>Purulia Government Medical College &amp; Hospital, Vill Hatuara PO Vivekanandanagar PS Purulia Muffasil Purulia 723147</x:v>
      </x:c>
      <x:c r="E2596" t="str">
        <x:v>All India</x:v>
      </x:c>
      <x:c r="F2596" t="str">
        <x:v>SC</x:v>
      </x:c>
      <x:c r="G2596" t="n">
        <x:v>2</x:v>
      </x:c>
      <x:c r="H2596" t="n">
        <x:v>2</x:v>
      </x:c>
      <x:c r="I2596" t="n">
        <x:f>G2596-H2596</x:f>
        <x:v>0</x:v>
      </x:c>
      <x:c r="J2596" s="20" t="n">
        <x:f>IFERROR(H2596/G2596,0)</x:f>
        <x:v>1</x:v>
      </x:c>
      <x:c r="K2596" t="n">
        <x:v>47872</x:v>
      </x:c>
      <x:c r="L2596" t="n">
        <x:v>60417.5</x:v>
      </x:c>
      <x:c r="M2596" t="n">
        <x:v>72963</x:v>
      </x:c>
      <x:c r="N2596" t="n">
        <x:v>85508.5</x:v>
      </x:c>
      <x:c r="O2596" t="n">
        <x:v>98054</x:v>
      </x:c>
    </x:row>
    <x:row r="2597">
      <x:c r="A2597" t="str">
        <x:v>West Bengal</x:v>
      </x:c>
      <x:c r="B2597" t="str">
        <x:v>All India except Central University</x:v>
      </x:c>
      <x:c r="C2597" t="str">
        <x:v>200531</x:v>
      </x:c>
      <x:c r="D2597" t="str">
        <x:v>Purulia Government Medical College &amp; Hospital, Vill Hatuara PO Vivekanandanagar PS Purulia Muffasil Purulia 723147</x:v>
      </x:c>
      <x:c r="E2597" t="str">
        <x:v>All India</x:v>
      </x:c>
      <x:c r="F2597" t="str">
        <x:v>SC PwD</x:v>
      </x:c>
      <x:c r="G2597" t="n">
        <x:v>1</x:v>
      </x:c>
      <x:c r="H2597" t="n">
        <x:v>1</x:v>
      </x:c>
      <x:c r="I2597" t="n">
        <x:f>G2597-H2597</x:f>
        <x:v>0</x:v>
      </x:c>
      <x:c r="J2597" s="20" t="n">
        <x:f>IFERROR(H2597/G2597,0)</x:f>
        <x:v>1</x:v>
      </x:c>
      <x:c r="K2597" t="n">
        <x:v>1014540</x:v>
      </x:c>
      <x:c r="L2597" t="n">
        <x:v>1014540</x:v>
      </x:c>
      <x:c r="M2597" t="n">
        <x:v>1014540</x:v>
      </x:c>
      <x:c r="N2597" t="n">
        <x:v>1014540</x:v>
      </x:c>
      <x:c r="O2597" t="n">
        <x:v>1014540</x:v>
      </x:c>
    </x:row>
    <x:row r="2598">
      <x:c r="A2598" t="str">
        <x:v>West Bengal</x:v>
      </x:c>
      <x:c r="B2598" t="str">
        <x:v>All India except Central University</x:v>
      </x:c>
      <x:c r="C2598" t="str">
        <x:v>200531</x:v>
      </x:c>
      <x:c r="D2598" t="str">
        <x:v>Purulia Government Medical College &amp; Hospital, Vill Hatuara PO Vivekanandanagar PS Purulia Muffasil Purulia 723147</x:v>
      </x:c>
      <x:c r="E2598" t="str">
        <x:v>All India</x:v>
      </x:c>
      <x:c r="F2598" t="str">
        <x:v>ST</x:v>
      </x:c>
      <x:c r="G2598" t="n">
        <x:v>2</x:v>
      </x:c>
      <x:c r="H2598" t="n">
        <x:v>2</x:v>
      </x:c>
      <x:c r="I2598" t="n">
        <x:f>G2598-H2598</x:f>
        <x:v>0</x:v>
      </x:c>
      <x:c r="J2598" s="20" t="n">
        <x:f>IFERROR(H2598/G2598,0)</x:f>
        <x:v>1</x:v>
      </x:c>
      <x:c r="K2598" t="n">
        <x:v>121020</x:v>
      </x:c>
      <x:c r="L2598" t="n">
        <x:v>121061.25</x:v>
      </x:c>
      <x:c r="M2598" t="n">
        <x:v>121102.5</x:v>
      </x:c>
      <x:c r="N2598" t="n">
        <x:v>121143.75</x:v>
      </x:c>
      <x:c r="O2598" t="n">
        <x:v>121185</x:v>
      </x:c>
    </x:row>
    <x:row r="2599">
      <x:c r="A2599" t="str">
        <x:v>Rajasthan</x:v>
      </x:c>
      <x:c r="B2599" t="str">
        <x:v>All India except Central University</x:v>
      </x:c>
      <x:c r="C2599" t="str">
        <x:v>200253</x:v>
      </x:c>
      <x:c r="D2599" t="str">
        <x:v>R N T Medical College, Udaipur, Opposite Court Chourha, Udaipur</x:v>
      </x:c>
      <x:c r="E2599" t="str">
        <x:v>All India</x:v>
      </x:c>
      <x:c r="F2599" t="str">
        <x:v>EWS</x:v>
      </x:c>
      <x:c r="G2599" t="n">
        <x:v>3</x:v>
      </x:c>
      <x:c r="H2599" t="n">
        <x:v>3</x:v>
      </x:c>
      <x:c r="I2599" t="n">
        <x:f>G2599-H2599</x:f>
        <x:v>0</x:v>
      </x:c>
      <x:c r="J2599" s="20" t="n">
        <x:f>IFERROR(H2599/G2599,0)</x:f>
        <x:v>1</x:v>
      </x:c>
      <x:c r="K2599" t="n">
        <x:v>4765</x:v>
      </x:c>
      <x:c r="L2599" t="n">
        <x:v>4981</x:v>
      </x:c>
      <x:c r="M2599" t="n">
        <x:v>5197</x:v>
      </x:c>
      <x:c r="N2599" t="n">
        <x:v>5262</x:v>
      </x:c>
      <x:c r="O2599" t="n">
        <x:v>5327</x:v>
      </x:c>
    </x:row>
    <x:row r="2600">
      <x:c r="A2600" t="str">
        <x:v>Rajasthan</x:v>
      </x:c>
      <x:c r="B2600" t="str">
        <x:v>All India except Central University</x:v>
      </x:c>
      <x:c r="C2600" t="str">
        <x:v>200253</x:v>
      </x:c>
      <x:c r="D2600" t="str">
        <x:v>R N T Medical College, Udaipur, Opposite Court Chourha, Udaipur</x:v>
      </x:c>
      <x:c r="E2600" t="str">
        <x:v>All India</x:v>
      </x:c>
      <x:c r="F2600" t="str">
        <x:v>OBC</x:v>
      </x:c>
      <x:c r="G2600" t="n">
        <x:v>9</x:v>
      </x:c>
      <x:c r="H2600" t="n">
        <x:v>9</x:v>
      </x:c>
      <x:c r="I2600" t="n">
        <x:f>G2600-H2600</x:f>
        <x:v>0</x:v>
      </x:c>
      <x:c r="J2600" s="20" t="n">
        <x:f>IFERROR(H2600/G2600,0)</x:f>
        <x:v>1</x:v>
      </x:c>
      <x:c r="K2600" t="n">
        <x:v>4066</x:v>
      </x:c>
      <x:c r="L2600" t="n">
        <x:v>4195</x:v>
      </x:c>
      <x:c r="M2600" t="n">
        <x:v>4213</x:v>
      </x:c>
      <x:c r="N2600" t="n">
        <x:v>4355</x:v>
      </x:c>
      <x:c r="O2600" t="n">
        <x:v>4406</x:v>
      </x:c>
    </x:row>
    <x:row r="2601">
      <x:c r="A2601" t="str">
        <x:v>Rajasthan</x:v>
      </x:c>
      <x:c r="B2601" t="str">
        <x:v>All India except Central University</x:v>
      </x:c>
      <x:c r="C2601" t="str">
        <x:v>200253</x:v>
      </x:c>
      <x:c r="D2601" t="str">
        <x:v>R N T Medical College, Udaipur, Opposite Court Chourha, Udaipur</x:v>
      </x:c>
      <x:c r="E2601" t="str">
        <x:v>All India</x:v>
      </x:c>
      <x:c r="F2601" t="str">
        <x:v>OBC PwD</x:v>
      </x:c>
      <x:c r="G2601" t="n">
        <x:v>1</x:v>
      </x:c>
      <x:c r="H2601" t="n">
        <x:v>1</x:v>
      </x:c>
      <x:c r="I2601" t="n">
        <x:f>G2601-H2601</x:f>
        <x:v>0</x:v>
      </x:c>
      <x:c r="J2601" s="20" t="n">
        <x:f>IFERROR(H2601/G2601,0)</x:f>
        <x:v>1</x:v>
      </x:c>
      <x:c r="K2601" t="n">
        <x:v>385988</x:v>
      </x:c>
      <x:c r="L2601" t="n">
        <x:v>385988</x:v>
      </x:c>
      <x:c r="M2601" t="n">
        <x:v>385988</x:v>
      </x:c>
      <x:c r="N2601" t="n">
        <x:v>385988</x:v>
      </x:c>
      <x:c r="O2601" t="n">
        <x:v>385988</x:v>
      </x:c>
    </x:row>
    <x:row r="2602">
      <x:c r="A2602" t="str">
        <x:v>Rajasthan</x:v>
      </x:c>
      <x:c r="B2602" t="str">
        <x:v>All India except Central University</x:v>
      </x:c>
      <x:c r="C2602" t="str">
        <x:v>200253</x:v>
      </x:c>
      <x:c r="D2602" t="str">
        <x:v>R N T Medical College, Udaipur, Opposite Court Chourha, Udaipur</x:v>
      </x:c>
      <x:c r="E2602" t="str">
        <x:v>All India</x:v>
      </x:c>
      <x:c r="F2602" t="str">
        <x:v>Open</x:v>
      </x:c>
      <x:c r="G2602" t="n">
        <x:v>14</x:v>
      </x:c>
      <x:c r="H2602" t="n">
        <x:v>14</x:v>
      </x:c>
      <x:c r="I2602" t="n">
        <x:f>G2602-H2602</x:f>
        <x:v>0</x:v>
      </x:c>
      <x:c r="J2602" s="20" t="n">
        <x:f>IFERROR(H2602/G2602,0)</x:f>
        <x:v>1</x:v>
      </x:c>
      <x:c r="K2602" t="n">
        <x:v>2901</x:v>
      </x:c>
      <x:c r="L2602" t="n">
        <x:v>3201.75</x:v>
      </x:c>
      <x:c r="M2602" t="n">
        <x:v>3619</x:v>
      </x:c>
      <x:c r="N2602" t="n">
        <x:v>3873.5</x:v>
      </x:c>
      <x:c r="O2602" t="n">
        <x:v>3971</x:v>
      </x:c>
    </x:row>
    <x:row r="2603">
      <x:c r="A2603" t="str">
        <x:v>Rajasthan</x:v>
      </x:c>
      <x:c r="B2603" t="str">
        <x:v>All India except Central University</x:v>
      </x:c>
      <x:c r="C2603" t="str">
        <x:v>200253</x:v>
      </x:c>
      <x:c r="D2603" t="str">
        <x:v>R N T Medical College, Udaipur, Opposite Court Chourha, Udaipur</x:v>
      </x:c>
      <x:c r="E2603" t="str">
        <x:v>All India</x:v>
      </x:c>
      <x:c r="F2603" t="str">
        <x:v>Open PwD</x:v>
      </x:c>
      <x:c r="G2603" t="n">
        <x:v>1</x:v>
      </x:c>
      <x:c r="H2603" t="n">
        <x:v>1</x:v>
      </x:c>
      <x:c r="I2603" t="n">
        <x:f>G2603-H2603</x:f>
        <x:v>0</x:v>
      </x:c>
      <x:c r="J2603" s="20" t="n">
        <x:f>IFERROR(H2603/G2603,0)</x:f>
        <x:v>1</x:v>
      </x:c>
      <x:c r="K2603" t="n">
        <x:v>375036</x:v>
      </x:c>
      <x:c r="L2603" t="n">
        <x:v>375036</x:v>
      </x:c>
      <x:c r="M2603" t="n">
        <x:v>375036</x:v>
      </x:c>
      <x:c r="N2603" t="n">
        <x:v>375036</x:v>
      </x:c>
      <x:c r="O2603" t="n">
        <x:v>375036</x:v>
      </x:c>
    </x:row>
    <x:row r="2604">
      <x:c r="A2604" t="str">
        <x:v>Rajasthan</x:v>
      </x:c>
      <x:c r="B2604" t="str">
        <x:v>All India except Central University</x:v>
      </x:c>
      <x:c r="C2604" t="str">
        <x:v>200253</x:v>
      </x:c>
      <x:c r="D2604" t="str">
        <x:v>R N T Medical College, Udaipur, Opposite Court Chourha, Udaipur</x:v>
      </x:c>
      <x:c r="E2604" t="str">
        <x:v>All India</x:v>
      </x:c>
      <x:c r="F2604" t="str">
        <x:v>SC</x:v>
      </x:c>
      <x:c r="G2604" t="n">
        <x:v>5</x:v>
      </x:c>
      <x:c r="H2604" t="n">
        <x:v>5</x:v>
      </x:c>
      <x:c r="I2604" t="n">
        <x:f>G2604-H2604</x:f>
        <x:v>0</x:v>
      </x:c>
      <x:c r="J2604" s="20" t="n">
        <x:f>IFERROR(H2604/G2604,0)</x:f>
        <x:v>1</x:v>
      </x:c>
      <x:c r="K2604" t="n">
        <x:v>17244</x:v>
      </x:c>
      <x:c r="L2604" t="n">
        <x:v>26034</x:v>
      </x:c>
      <x:c r="M2604" t="n">
        <x:v>26735</x:v>
      </x:c>
      <x:c r="N2604" t="n">
        <x:v>26842</x:v>
      </x:c>
      <x:c r="O2604" t="n">
        <x:v>27131</x:v>
      </x:c>
    </x:row>
    <x:row r="2605">
      <x:c r="A2605" t="str">
        <x:v>Rajasthan</x:v>
      </x:c>
      <x:c r="B2605" t="str">
        <x:v>All India except Central University</x:v>
      </x:c>
      <x:c r="C2605" t="str">
        <x:v>200253</x:v>
      </x:c>
      <x:c r="D2605" t="str">
        <x:v>R N T Medical College, Udaipur, Opposite Court Chourha, Udaipur</x:v>
      </x:c>
      <x:c r="E2605" t="str">
        <x:v>All India</x:v>
      </x:c>
      <x:c r="F2605" t="str">
        <x:v>SC PwD</x:v>
      </x:c>
      <x:c r="G2605" t="n">
        <x:v>1</x:v>
      </x:c>
      <x:c r="H2605" t="n">
        <x:v>1</x:v>
      </x:c>
      <x:c r="I2605" t="n">
        <x:f>G2605-H2605</x:f>
        <x:v>0</x:v>
      </x:c>
      <x:c r="J2605" s="20" t="n">
        <x:f>IFERROR(H2605/G2605,0)</x:f>
        <x:v>1</x:v>
      </x:c>
      <x:c r="K2605" t="n">
        <x:v>696574</x:v>
      </x:c>
      <x:c r="L2605" t="n">
        <x:v>696574</x:v>
      </x:c>
      <x:c r="M2605" t="n">
        <x:v>696574</x:v>
      </x:c>
      <x:c r="N2605" t="n">
        <x:v>696574</x:v>
      </x:c>
      <x:c r="O2605" t="n">
        <x:v>696574</x:v>
      </x:c>
    </x:row>
    <x:row r="2606">
      <x:c r="A2606" t="str">
        <x:v>Rajasthan</x:v>
      </x:c>
      <x:c r="B2606" t="str">
        <x:v>All India except Central University</x:v>
      </x:c>
      <x:c r="C2606" t="str">
        <x:v>200253</x:v>
      </x:c>
      <x:c r="D2606" t="str">
        <x:v>R N T Medical College, Udaipur, Opposite Court Chourha, Udaipur</x:v>
      </x:c>
      <x:c r="E2606" t="str">
        <x:v>All India</x:v>
      </x:c>
      <x:c r="F2606" t="str">
        <x:v>ST</x:v>
      </x:c>
      <x:c r="G2606" t="n">
        <x:v>2</x:v>
      </x:c>
      <x:c r="H2606" t="n">
        <x:v>2</x:v>
      </x:c>
      <x:c r="I2606" t="n">
        <x:f>G2606-H2606</x:f>
        <x:v>0</x:v>
      </x:c>
      <x:c r="J2606" s="20" t="n">
        <x:f>IFERROR(H2606/G2606,0)</x:f>
        <x:v>1</x:v>
      </x:c>
      <x:c r="K2606" t="n">
        <x:v>38377</x:v>
      </x:c>
      <x:c r="L2606" t="n">
        <x:v>38521</x:v>
      </x:c>
      <x:c r="M2606" t="n">
        <x:v>38665</x:v>
      </x:c>
      <x:c r="N2606" t="n">
        <x:v>38809</x:v>
      </x:c>
      <x:c r="O2606" t="n">
        <x:v>38953</x:v>
      </x:c>
    </x:row>
    <x:row r="2607">
      <x:c r="A2607" t="str">
        <x:v>Rajasthan</x:v>
      </x:c>
      <x:c r="B2607" t="str">
        <x:v>All India except Central University</x:v>
      </x:c>
      <x:c r="C2607" t="str">
        <x:v>200253</x:v>
      </x:c>
      <x:c r="D2607" t="str">
        <x:v>R N T Medical College, Udaipur, Opposite Court Chourha, Udaipur</x:v>
      </x:c>
      <x:c r="E2607" t="str">
        <x:v>All India</x:v>
      </x:c>
      <x:c r="F2607" t="str">
        <x:v>ST PwD</x:v>
      </x:c>
      <x:c r="G2607" t="n">
        <x:v>1</x:v>
      </x:c>
      <x:c r="H2607" t="n">
        <x:v>1</x:v>
      </x:c>
      <x:c r="I2607" t="n">
        <x:f>G2607-H2607</x:f>
        <x:v>0</x:v>
      </x:c>
      <x:c r="J2607" s="20" t="n">
        <x:f>IFERROR(H2607/G2607,0)</x:f>
        <x:v>1</x:v>
      </x:c>
      <x:c r="K2607" t="n">
        <x:v>743969</x:v>
      </x:c>
      <x:c r="L2607" t="n">
        <x:v>743969</x:v>
      </x:c>
      <x:c r="M2607" t="n">
        <x:v>743969</x:v>
      </x:c>
      <x:c r="N2607" t="n">
        <x:v>743969</x:v>
      </x:c>
      <x:c r="O2607" t="n">
        <x:v>743969</x:v>
      </x:c>
    </x:row>
    <x:row r="2608">
      <x:c r="A2608" t="str">
        <x:v>West Bengal</x:v>
      </x:c>
      <x:c r="B2608" t="str">
        <x:v>All India except Central University</x:v>
      </x:c>
      <x:c r="C2608" t="str">
        <x:v>200322</x:v>
      </x:c>
      <x:c r="D2608" t="str">
        <x:v>RG Kar Medical College, Kolkata, R G Kar Medical College 1 Khudiram bose sarani, Kolkata</x:v>
      </x:c>
      <x:c r="E2608" t="str">
        <x:v>All India</x:v>
      </x:c>
      <x:c r="F2608" t="str">
        <x:v>EWS</x:v>
      </x:c>
      <x:c r="G2608" t="n">
        <x:v>3</x:v>
      </x:c>
      <x:c r="H2608" t="n">
        <x:v>3</x:v>
      </x:c>
      <x:c r="I2608" t="n">
        <x:f>G2608-H2608</x:f>
        <x:v>0</x:v>
      </x:c>
      <x:c r="J2608" s="20" t="n">
        <x:f>IFERROR(H2608/G2608,0)</x:f>
        <x:v>1</x:v>
      </x:c>
      <x:c r="K2608" t="n">
        <x:v>9048</x:v>
      </x:c>
      <x:c r="L2608" t="n">
        <x:v>9058.5</x:v>
      </x:c>
      <x:c r="M2608" t="n">
        <x:v>9069</x:v>
      </x:c>
      <x:c r="N2608" t="n">
        <x:v>9170</x:v>
      </x:c>
      <x:c r="O2608" t="n">
        <x:v>9271</x:v>
      </x:c>
    </x:row>
    <x:row r="2609">
      <x:c r="A2609" t="str">
        <x:v>West Bengal</x:v>
      </x:c>
      <x:c r="B2609" t="str">
        <x:v>All India except Central University</x:v>
      </x:c>
      <x:c r="C2609" t="str">
        <x:v>200322</x:v>
      </x:c>
      <x:c r="D2609" t="str">
        <x:v>RG Kar Medical College, Kolkata, R G Kar Medical College 1 Khudiram bose sarani, Kolkata</x:v>
      </x:c>
      <x:c r="E2609" t="str">
        <x:v>All India</x:v>
      </x:c>
      <x:c r="F2609" t="str">
        <x:v>EWS PwD</x:v>
      </x:c>
      <x:c r="G2609" t="n">
        <x:v>1</x:v>
      </x:c>
      <x:c r="H2609" t="n">
        <x:v>1</x:v>
      </x:c>
      <x:c r="I2609" t="n">
        <x:f>G2609-H2609</x:f>
        <x:v>0</x:v>
      </x:c>
      <x:c r="J2609" s="20" t="n">
        <x:f>IFERROR(H2609/G2609,0)</x:f>
        <x:v>1</x:v>
      </x:c>
      <x:c r="K2609" t="n">
        <x:v>594286</x:v>
      </x:c>
      <x:c r="L2609" t="n">
        <x:v>594286</x:v>
      </x:c>
      <x:c r="M2609" t="n">
        <x:v>594286</x:v>
      </x:c>
      <x:c r="N2609" t="n">
        <x:v>594286</x:v>
      </x:c>
      <x:c r="O2609" t="n">
        <x:v>594286</x:v>
      </x:c>
    </x:row>
    <x:row r="2610">
      <x:c r="A2610" t="str">
        <x:v>West Bengal</x:v>
      </x:c>
      <x:c r="B2610" t="str">
        <x:v>All India except Central University</x:v>
      </x:c>
      <x:c r="C2610" t="str">
        <x:v>200322</x:v>
      </x:c>
      <x:c r="D2610" t="str">
        <x:v>RG Kar Medical College, Kolkata, R G Kar Medical College 1 Khudiram bose sarani, Kolkata</x:v>
      </x:c>
      <x:c r="E2610" t="str">
        <x:v>All India</x:v>
      </x:c>
      <x:c r="F2610" t="str">
        <x:v>OBC</x:v>
      </x:c>
      <x:c r="G2610" t="n">
        <x:v>10</x:v>
      </x:c>
      <x:c r="H2610" t="n">
        <x:v>10</x:v>
      </x:c>
      <x:c r="I2610" t="n">
        <x:f>G2610-H2610</x:f>
        <x:v>0</x:v>
      </x:c>
      <x:c r="J2610" s="20" t="n">
        <x:f>IFERROR(H2610/G2610,0)</x:f>
        <x:v>1</x:v>
      </x:c>
      <x:c r="K2610" t="n">
        <x:v>8132</x:v>
      </x:c>
      <x:c r="L2610" t="n">
        <x:v>8388.5</x:v>
      </x:c>
      <x:c r="M2610" t="n">
        <x:v>8854.5</x:v>
      </x:c>
      <x:c r="N2610" t="n">
        <x:v>9358.75</x:v>
      </x:c>
      <x:c r="O2610" t="n">
        <x:v>9787</x:v>
      </x:c>
    </x:row>
    <x:row r="2611">
      <x:c r="A2611" t="str">
        <x:v>West Bengal</x:v>
      </x:c>
      <x:c r="B2611" t="str">
        <x:v>All India except Central University</x:v>
      </x:c>
      <x:c r="C2611" t="str">
        <x:v>200322</x:v>
      </x:c>
      <x:c r="D2611" t="str">
        <x:v>RG Kar Medical College, Kolkata, R G Kar Medical College 1 Khudiram bose sarani, Kolkata</x:v>
      </x:c>
      <x:c r="E2611" t="str">
        <x:v>All India</x:v>
      </x:c>
      <x:c r="F2611" t="str">
        <x:v>Open</x:v>
      </x:c>
      <x:c r="G2611" t="n">
        <x:v>15</x:v>
      </x:c>
      <x:c r="H2611" t="n">
        <x:v>15</x:v>
      </x:c>
      <x:c r="I2611" t="n">
        <x:f>G2611-H2611</x:f>
        <x:v>0</x:v>
      </x:c>
      <x:c r="J2611" s="20" t="n">
        <x:f>IFERROR(H2611/G2611,0)</x:f>
        <x:v>1</x:v>
      </x:c>
      <x:c r="K2611" t="n">
        <x:v>3932</x:v>
      </x:c>
      <x:c r="L2611" t="n">
        <x:v>6031.5</x:v>
      </x:c>
      <x:c r="M2611" t="n">
        <x:v>6450</x:v>
      </x:c>
      <x:c r="N2611" t="n">
        <x:v>7656.5</x:v>
      </x:c>
      <x:c r="O2611" t="n">
        <x:v>8078</x:v>
      </x:c>
    </x:row>
    <x:row r="2612">
      <x:c r="A2612" t="str">
        <x:v>West Bengal</x:v>
      </x:c>
      <x:c r="B2612" t="str">
        <x:v>All India except Central University</x:v>
      </x:c>
      <x:c r="C2612" t="str">
        <x:v>200322</x:v>
      </x:c>
      <x:c r="D2612" t="str">
        <x:v>RG Kar Medical College, Kolkata, R G Kar Medical College 1 Khudiram bose sarani, Kolkata</x:v>
      </x:c>
      <x:c r="E2612" t="str">
        <x:v>All India</x:v>
      </x:c>
      <x:c r="F2612" t="str">
        <x:v>SC</x:v>
      </x:c>
      <x:c r="G2612" t="n">
        <x:v>6</x:v>
      </x:c>
      <x:c r="H2612" t="n">
        <x:v>6</x:v>
      </x:c>
      <x:c r="I2612" t="n">
        <x:f>G2612-H2612</x:f>
        <x:v>0</x:v>
      </x:c>
      <x:c r="J2612" s="20" t="n">
        <x:f>IFERROR(H2612/G2612,0)</x:f>
        <x:v>1</x:v>
      </x:c>
      <x:c r="K2612" t="n">
        <x:v>31792</x:v>
      </x:c>
      <x:c r="L2612" t="n">
        <x:v>33220.75</x:v>
      </x:c>
      <x:c r="M2612" t="n">
        <x:v>36514.5</x:v>
      </x:c>
      <x:c r="N2612" t="n">
        <x:v>38300.75</x:v>
      </x:c>
      <x:c r="O2612" t="n">
        <x:v>38340</x:v>
      </x:c>
    </x:row>
    <x:row r="2613">
      <x:c r="A2613" t="str">
        <x:v>West Bengal</x:v>
      </x:c>
      <x:c r="B2613" t="str">
        <x:v>All India except Central University</x:v>
      </x:c>
      <x:c r="C2613" t="str">
        <x:v>200322</x:v>
      </x:c>
      <x:c r="D2613" t="str">
        <x:v>RG Kar Medical College, Kolkata, R G Kar Medical College 1 Khudiram bose sarani, Kolkata</x:v>
      </x:c>
      <x:c r="E2613" t="str">
        <x:v>All India</x:v>
      </x:c>
      <x:c r="F2613" t="str">
        <x:v>ST</x:v>
      </x:c>
      <x:c r="G2613" t="n">
        <x:v>3</x:v>
      </x:c>
      <x:c r="H2613" t="n">
        <x:v>3</x:v>
      </x:c>
      <x:c r="I2613" t="n">
        <x:f>G2613-H2613</x:f>
        <x:v>0</x:v>
      </x:c>
      <x:c r="J2613" s="20" t="n">
        <x:f>IFERROR(H2613/G2613,0)</x:f>
        <x:v>1</x:v>
      </x:c>
      <x:c r="K2613" t="n">
        <x:v>68900</x:v>
      </x:c>
      <x:c r="L2613" t="n">
        <x:v>71273.5</x:v>
      </x:c>
      <x:c r="M2613" t="n">
        <x:v>73647</x:v>
      </x:c>
      <x:c r="N2613" t="n">
        <x:v>75629</x:v>
      </x:c>
      <x:c r="O2613" t="n">
        <x:v>77611</x:v>
      </x:c>
    </x:row>
    <x:row r="2614">
      <x:c r="A2614" t="str">
        <x:v>Rajasthan</x:v>
      </x:c>
      <x:c r="B2614" t="str">
        <x:v>All India except Central University</x:v>
      </x:c>
      <x:c r="C2614" t="str">
        <x:v>200255</x:v>
      </x:c>
      <x:c r="D2614" t="str">
        <x:v>RUHS College of Medical Sciences, Jaipur, RUHS COLLEGE OF MEDICAL SCIENCES, SECTOR -11, PRATAP NAGAR, SANGANER, JAIPUR 302033</x:v>
      </x:c>
      <x:c r="E2614" t="str">
        <x:v>All India</x:v>
      </x:c>
      <x:c r="F2614" t="str">
        <x:v>EWS</x:v>
      </x:c>
      <x:c r="G2614" t="n">
        <x:v>3</x:v>
      </x:c>
      <x:c r="H2614" t="n">
        <x:v>3</x:v>
      </x:c>
      <x:c r="I2614" t="n">
        <x:f>G2614-H2614</x:f>
        <x:v>0</x:v>
      </x:c>
      <x:c r="J2614" s="20" t="n">
        <x:f>IFERROR(H2614/G2614,0)</x:f>
        <x:v>1</x:v>
      </x:c>
      <x:c r="K2614" t="n">
        <x:v>3818</x:v>
      </x:c>
      <x:c r="L2614" t="n">
        <x:v>3874</x:v>
      </x:c>
      <x:c r="M2614" t="n">
        <x:v>3930</x:v>
      </x:c>
      <x:c r="N2614" t="n">
        <x:v>3998.5</x:v>
      </x:c>
      <x:c r="O2614" t="n">
        <x:v>4067</x:v>
      </x:c>
    </x:row>
    <x:row r="2615">
      <x:c r="A2615" t="str">
        <x:v>Rajasthan</x:v>
      </x:c>
      <x:c r="B2615" t="str">
        <x:v>All India except Central University</x:v>
      </x:c>
      <x:c r="C2615" t="str">
        <x:v>200255</x:v>
      </x:c>
      <x:c r="D2615" t="str">
        <x:v>RUHS College of Medical Sciences, Jaipur, RUHS COLLEGE OF MEDICAL SCIENCES, SECTOR -11, PRATAP NAGAR, SANGANER, JAIPUR 302033</x:v>
      </x:c>
      <x:c r="E2615" t="str">
        <x:v>All India</x:v>
      </x:c>
      <x:c r="F2615" t="str">
        <x:v>OBC</x:v>
      </x:c>
      <x:c r="G2615" t="n">
        <x:v>6</x:v>
      </x:c>
      <x:c r="H2615" t="n">
        <x:v>6</x:v>
      </x:c>
      <x:c r="I2615" t="n">
        <x:f>G2615-H2615</x:f>
        <x:v>0</x:v>
      </x:c>
      <x:c r="J2615" s="20" t="n">
        <x:f>IFERROR(H2615/G2615,0)</x:f>
        <x:v>1</x:v>
      </x:c>
      <x:c r="K2615" t="n">
        <x:v>3014</x:v>
      </x:c>
      <x:c r="L2615" t="n">
        <x:v>3117.5</x:v>
      </x:c>
      <x:c r="M2615" t="n">
        <x:v>3175.5</x:v>
      </x:c>
      <x:c r="N2615" t="n">
        <x:v>3243.25</x:v>
      </x:c>
      <x:c r="O2615" t="n">
        <x:v>3346</x:v>
      </x:c>
    </x:row>
    <x:row r="2616">
      <x:c r="A2616" t="str">
        <x:v>Rajasthan</x:v>
      </x:c>
      <x:c r="B2616" t="str">
        <x:v>All India except Central University</x:v>
      </x:c>
      <x:c r="C2616" t="str">
        <x:v>200255</x:v>
      </x:c>
      <x:c r="D2616" t="str">
        <x:v>RUHS College of Medical Sciences, Jaipur, RUHS COLLEGE OF MEDICAL SCIENCES, SECTOR -11, PRATAP NAGAR, SANGANER, JAIPUR 302033</x:v>
      </x:c>
      <x:c r="E2616" t="str">
        <x:v>All India</x:v>
      </x:c>
      <x:c r="F2616" t="str">
        <x:v>Open</x:v>
      </x:c>
      <x:c r="G2616" t="n">
        <x:v>9</x:v>
      </x:c>
      <x:c r="H2616" t="n">
        <x:v>9</x:v>
      </x:c>
      <x:c r="I2616" t="n">
        <x:f>G2616-H2616</x:f>
        <x:v>0</x:v>
      </x:c>
      <x:c r="J2616" s="20" t="n">
        <x:f>IFERROR(H2616/G2616,0)</x:f>
        <x:v>1</x:v>
      </x:c>
      <x:c r="K2616" t="n">
        <x:v>1232</x:v>
      </x:c>
      <x:c r="L2616" t="n">
        <x:v>2732</x:v>
      </x:c>
      <x:c r="M2616" t="n">
        <x:v>2894</x:v>
      </x:c>
      <x:c r="N2616" t="n">
        <x:v>2927</x:v>
      </x:c>
      <x:c r="O2616" t="n">
        <x:v>3010</x:v>
      </x:c>
    </x:row>
    <x:row r="2617">
      <x:c r="A2617" t="str">
        <x:v>Rajasthan</x:v>
      </x:c>
      <x:c r="B2617" t="str">
        <x:v>All India except Central University</x:v>
      </x:c>
      <x:c r="C2617" t="str">
        <x:v>200255</x:v>
      </x:c>
      <x:c r="D2617" t="str">
        <x:v>RUHS College of Medical Sciences, Jaipur, RUHS COLLEGE OF MEDICAL SCIENCES, SECTOR -11, PRATAP NAGAR, SANGANER, JAIPUR 302033</x:v>
      </x:c>
      <x:c r="E2617" t="str">
        <x:v>All India</x:v>
      </x:c>
      <x:c r="F2617" t="str">
        <x:v>SC</x:v>
      </x:c>
      <x:c r="G2617" t="n">
        <x:v>3</x:v>
      </x:c>
      <x:c r="H2617" t="n">
        <x:v>3</x:v>
      </x:c>
      <x:c r="I2617" t="n">
        <x:f>G2617-H2617</x:f>
        <x:v>0</x:v>
      </x:c>
      <x:c r="J2617" s="20" t="n">
        <x:f>IFERROR(H2617/G2617,0)</x:f>
        <x:v>1</x:v>
      </x:c>
      <x:c r="K2617" t="n">
        <x:v>22717</x:v>
      </x:c>
      <x:c r="L2617" t="n">
        <x:v>24133.5</x:v>
      </x:c>
      <x:c r="M2617" t="n">
        <x:v>25550</x:v>
      </x:c>
      <x:c r="N2617" t="n">
        <x:v>25558.5</x:v>
      </x:c>
      <x:c r="O2617" t="n">
        <x:v>25567</x:v>
      </x:c>
    </x:row>
    <x:row r="2618">
      <x:c r="A2618" t="str">
        <x:v>Rajasthan</x:v>
      </x:c>
      <x:c r="B2618" t="str">
        <x:v>All India except Central University</x:v>
      </x:c>
      <x:c r="C2618" t="str">
        <x:v>200255</x:v>
      </x:c>
      <x:c r="D2618" t="str">
        <x:v>RUHS College of Medical Sciences, Jaipur, RUHS COLLEGE OF MEDICAL SCIENCES, SECTOR -11, PRATAP NAGAR, SANGANER, JAIPUR 302033</x:v>
      </x:c>
      <x:c r="E2618" t="str">
        <x:v>All India</x:v>
      </x:c>
      <x:c r="F2618" t="str">
        <x:v>ST</x:v>
      </x:c>
      <x:c r="G2618" t="n">
        <x:v>2</x:v>
      </x:c>
      <x:c r="H2618" t="n">
        <x:v>2</x:v>
      </x:c>
      <x:c r="I2618" t="n">
        <x:f>G2618-H2618</x:f>
        <x:v>0</x:v>
      </x:c>
      <x:c r="J2618" s="20" t="n">
        <x:f>IFERROR(H2618/G2618,0)</x:f>
        <x:v>1</x:v>
      </x:c>
      <x:c r="K2618" t="n">
        <x:v>32268</x:v>
      </x:c>
      <x:c r="L2618" t="n">
        <x:v>33205.25</x:v>
      </x:c>
      <x:c r="M2618" t="n">
        <x:v>34142.5</x:v>
      </x:c>
      <x:c r="N2618" t="n">
        <x:v>35079.75</x:v>
      </x:c>
      <x:c r="O2618" t="n">
        <x:v>36017</x:v>
      </x:c>
    </x:row>
    <x:row r="2619">
      <x:c r="A2619" t="str">
        <x:v>Karnataka</x:v>
      </x:c>
      <x:c r="B2619" t="str">
        <x:v>All India except Central University</x:v>
      </x:c>
      <x:c r="C2619" t="str">
        <x:v>200179</x:v>
      </x:c>
      <x:c r="D2619" t="str">
        <x:v>Raichur Institute of Medical Sciences, Raichur, RAICHUR INSTITUTE OF MEDICAL SCIENCES INDUSTRIAL AREA, HYDERABAD ROAD, RAICHUR, Karnataka 584102</x:v>
      </x:c>
      <x:c r="E2619" t="str">
        <x:v>All India</x:v>
      </x:c>
      <x:c r="F2619" t="str">
        <x:v>EWS</x:v>
      </x:c>
      <x:c r="G2619" t="n">
        <x:v>2</x:v>
      </x:c>
      <x:c r="H2619" t="n">
        <x:v>2</x:v>
      </x:c>
      <x:c r="I2619" t="n">
        <x:f>G2619-H2619</x:f>
        <x:v>0</x:v>
      </x:c>
      <x:c r="J2619" s="20" t="n">
        <x:f>IFERROR(H2619/G2619,0)</x:f>
        <x:v>1</x:v>
      </x:c>
      <x:c r="K2619" t="n">
        <x:v>19188</x:v>
      </x:c>
      <x:c r="L2619" t="n">
        <x:v>19604.25</x:v>
      </x:c>
      <x:c r="M2619" t="n">
        <x:v>20020.5</x:v>
      </x:c>
      <x:c r="N2619" t="n">
        <x:v>20436.75</x:v>
      </x:c>
      <x:c r="O2619" t="n">
        <x:v>20853</x:v>
      </x:c>
    </x:row>
    <x:row r="2620">
      <x:c r="A2620" t="str">
        <x:v>Karnataka</x:v>
      </x:c>
      <x:c r="B2620" t="str">
        <x:v>All India except Central University</x:v>
      </x:c>
      <x:c r="C2620" t="str">
        <x:v>200179</x:v>
      </x:c>
      <x:c r="D2620" t="str">
        <x:v>Raichur Institute of Medical Sciences, Raichur, RAICHUR INSTITUTE OF MEDICAL SCIENCES INDUSTRIAL AREA, HYDERABAD ROAD, RAICHUR, Karnataka 584102</x:v>
      </x:c>
      <x:c r="E2620" t="str">
        <x:v>All India</x:v>
      </x:c>
      <x:c r="F2620" t="str">
        <x:v>OBC</x:v>
      </x:c>
      <x:c r="G2620" t="n">
        <x:v>7</x:v>
      </x:c>
      <x:c r="H2620" t="n">
        <x:v>7</x:v>
      </x:c>
      <x:c r="I2620" t="n">
        <x:f>G2620-H2620</x:f>
        <x:v>0</x:v>
      </x:c>
      <x:c r="J2620" s="20" t="n">
        <x:f>IFERROR(H2620/G2620,0)</x:f>
        <x:v>1</x:v>
      </x:c>
      <x:c r="K2620" t="n">
        <x:v>16938</x:v>
      </x:c>
      <x:c r="L2620" t="n">
        <x:v>17220.5</x:v>
      </x:c>
      <x:c r="M2620" t="n">
        <x:v>17771</x:v>
      </x:c>
      <x:c r="N2620" t="n">
        <x:v>17952</x:v>
      </x:c>
      <x:c r="O2620" t="n">
        <x:v>18245</x:v>
      </x:c>
    </x:row>
    <x:row r="2621">
      <x:c r="A2621" t="str">
        <x:v>Karnataka</x:v>
      </x:c>
      <x:c r="B2621" t="str">
        <x:v>All India except Central University</x:v>
      </x:c>
      <x:c r="C2621" t="str">
        <x:v>200179</x:v>
      </x:c>
      <x:c r="D2621" t="str">
        <x:v>Raichur Institute of Medical Sciences, Raichur, RAICHUR INSTITUTE OF MEDICAL SCIENCES INDUSTRIAL AREA, HYDERABAD ROAD, RAICHUR, Karnataka 584102</x:v>
      </x:c>
      <x:c r="E2621" t="str">
        <x:v>All India</x:v>
      </x:c>
      <x:c r="F2621" t="str">
        <x:v>OBC PwD</x:v>
      </x:c>
      <x:c r="G2621" t="n">
        <x:v>1</x:v>
      </x:c>
      <x:c r="H2621" t="n">
        <x:v>1</x:v>
      </x:c>
      <x:c r="I2621" t="n">
        <x:f>G2621-H2621</x:f>
        <x:v>0</x:v>
      </x:c>
      <x:c r="J2621" s="20" t="n">
        <x:f>IFERROR(H2621/G2621,0)</x:f>
        <x:v>1</x:v>
      </x:c>
      <x:c r="K2621" t="n">
        <x:v>651064</x:v>
      </x:c>
      <x:c r="L2621" t="n">
        <x:v>651064</x:v>
      </x:c>
      <x:c r="M2621" t="n">
        <x:v>651064</x:v>
      </x:c>
      <x:c r="N2621" t="n">
        <x:v>651064</x:v>
      </x:c>
      <x:c r="O2621" t="n">
        <x:v>651064</x:v>
      </x:c>
    </x:row>
    <x:row r="2622">
      <x:c r="A2622" t="str">
        <x:v>Karnataka</x:v>
      </x:c>
      <x:c r="B2622" t="str">
        <x:v>All India except Central University</x:v>
      </x:c>
      <x:c r="C2622" t="str">
        <x:v>200179</x:v>
      </x:c>
      <x:c r="D2622" t="str">
        <x:v>Raichur Institute of Medical Sciences, Raichur, RAICHUR INSTITUTE OF MEDICAL SCIENCES INDUSTRIAL AREA, HYDERABAD ROAD, RAICHUR, Karnataka 584102</x:v>
      </x:c>
      <x:c r="E2622" t="str">
        <x:v>All India</x:v>
      </x:c>
      <x:c r="F2622" t="str">
        <x:v>Open</x:v>
      </x:c>
      <x:c r="G2622" t="n">
        <x:v>13</x:v>
      </x:c>
      <x:c r="H2622" t="n">
        <x:v>13</x:v>
      </x:c>
      <x:c r="I2622" t="n">
        <x:f>G2622-H2622</x:f>
        <x:v>0</x:v>
      </x:c>
      <x:c r="J2622" s="20" t="n">
        <x:f>IFERROR(H2622/G2622,0)</x:f>
        <x:v>1</x:v>
      </x:c>
      <x:c r="K2622" t="n">
        <x:v>9152</x:v>
      </x:c>
      <x:c r="L2622" t="n">
        <x:v>13983</x:v>
      </x:c>
      <x:c r="M2622" t="n">
        <x:v>14566</x:v>
      </x:c>
      <x:c r="N2622" t="n">
        <x:v>15811</x:v>
      </x:c>
      <x:c r="O2622" t="n">
        <x:v>16771</x:v>
      </x:c>
    </x:row>
    <x:row r="2623">
      <x:c r="A2623" t="str">
        <x:v>Karnataka</x:v>
      </x:c>
      <x:c r="B2623" t="str">
        <x:v>All India except Central University</x:v>
      </x:c>
      <x:c r="C2623" t="str">
        <x:v>200179</x:v>
      </x:c>
      <x:c r="D2623" t="str">
        <x:v>Raichur Institute of Medical Sciences, Raichur, RAICHUR INSTITUTE OF MEDICAL SCIENCES INDUSTRIAL AREA, HYDERABAD ROAD, RAICHUR, Karnataka 584102</x:v>
      </x:c>
      <x:c r="E2623" t="str">
        <x:v>All India</x:v>
      </x:c>
      <x:c r="F2623" t="str">
        <x:v>Open PwD</x:v>
      </x:c>
      <x:c r="G2623" t="n">
        <x:v>1</x:v>
      </x:c>
      <x:c r="H2623" t="n">
        <x:v>1</x:v>
      </x:c>
      <x:c r="I2623" t="n">
        <x:f>G2623-H2623</x:f>
        <x:v>0</x:v>
      </x:c>
      <x:c r="J2623" s="20" t="n">
        <x:f>IFERROR(H2623/G2623,0)</x:f>
        <x:v>1</x:v>
      </x:c>
      <x:c r="K2623" t="n">
        <x:v>416535</x:v>
      </x:c>
      <x:c r="L2623" t="n">
        <x:v>416535</x:v>
      </x:c>
      <x:c r="M2623" t="n">
        <x:v>416535</x:v>
      </x:c>
      <x:c r="N2623" t="n">
        <x:v>416535</x:v>
      </x:c>
      <x:c r="O2623" t="n">
        <x:v>416535</x:v>
      </x:c>
    </x:row>
    <x:row r="2624">
      <x:c r="A2624" t="str">
        <x:v>Karnataka</x:v>
      </x:c>
      <x:c r="B2624" t="str">
        <x:v>All India except Central University</x:v>
      </x:c>
      <x:c r="C2624" t="str">
        <x:v>200179</x:v>
      </x:c>
      <x:c r="D2624" t="str">
        <x:v>Raichur Institute of Medical Sciences, Raichur, RAICHUR INSTITUTE OF MEDICAL SCIENCES INDUSTRIAL AREA, HYDERABAD ROAD, RAICHUR, Karnataka 584102</x:v>
      </x:c>
      <x:c r="E2624" t="str">
        <x:v>All India</x:v>
      </x:c>
      <x:c r="F2624" t="str">
        <x:v>SC</x:v>
      </x:c>
      <x:c r="G2624" t="n">
        <x:v>4</x:v>
      </x:c>
      <x:c r="H2624" t="n">
        <x:v>4</x:v>
      </x:c>
      <x:c r="I2624" t="n">
        <x:f>G2624-H2624</x:f>
        <x:v>0</x:v>
      </x:c>
      <x:c r="J2624" s="20" t="n">
        <x:f>IFERROR(H2624/G2624,0)</x:f>
        <x:v>1</x:v>
      </x:c>
      <x:c r="K2624" t="n">
        <x:v>64083</x:v>
      </x:c>
      <x:c r="L2624" t="n">
        <x:v>78115.5</x:v>
      </x:c>
      <x:c r="M2624" t="n">
        <x:v>83036</x:v>
      </x:c>
      <x:c r="N2624" t="n">
        <x:v>83547</x:v>
      </x:c>
      <x:c r="O2624" t="n">
        <x:v>84351</x:v>
      </x:c>
    </x:row>
    <x:row r="2625">
      <x:c r="A2625" t="str">
        <x:v>Karnataka</x:v>
      </x:c>
      <x:c r="B2625" t="str">
        <x:v>All India except Central University</x:v>
      </x:c>
      <x:c r="C2625" t="str">
        <x:v>200179</x:v>
      </x:c>
      <x:c r="D2625" t="str">
        <x:v>Raichur Institute of Medical Sciences, Raichur, RAICHUR INSTITUTE OF MEDICAL SCIENCES INDUSTRIAL AREA, HYDERABAD ROAD, RAICHUR, Karnataka 584102</x:v>
      </x:c>
      <x:c r="E2625" t="str">
        <x:v>All India</x:v>
      </x:c>
      <x:c r="F2625" t="str">
        <x:v>ST</x:v>
      </x:c>
      <x:c r="G2625" t="n">
        <x:v>2</x:v>
      </x:c>
      <x:c r="H2625" t="n">
        <x:v>2</x:v>
      </x:c>
      <x:c r="I2625" t="n">
        <x:f>G2625-H2625</x:f>
        <x:v>0</x:v>
      </x:c>
      <x:c r="J2625" s="20" t="n">
        <x:f>IFERROR(H2625/G2625,0)</x:f>
        <x:v>1</x:v>
      </x:c>
      <x:c r="K2625" t="n">
        <x:v>94947</x:v>
      </x:c>
      <x:c r="L2625" t="n">
        <x:v>95100.5</x:v>
      </x:c>
      <x:c r="M2625" t="n">
        <x:v>95254</x:v>
      </x:c>
      <x:c r="N2625" t="n">
        <x:v>95407.5</x:v>
      </x:c>
      <x:c r="O2625" t="n">
        <x:v>95561</x:v>
      </x:c>
    </x:row>
    <x:row r="2626">
      <x:c r="A2626" t="str">
        <x:v>West Bengal</x:v>
      </x:c>
      <x:c r="B2626" t="str">
        <x:v>All India except Central University</x:v>
      </x:c>
      <x:c r="C2626" t="str">
        <x:v>200475</x:v>
      </x:c>
      <x:c r="D2626" t="str">
        <x:v>Raiganj Government Medical College &amp; Hospital, Raiganj, ABDULGHATA CAMPUS, KARNAJORA, PO- KARNAJORA,PS- RAIGANJ, DISTRICT- UTTAR DINAJPUR,PIN-733130, STATE</x:v>
      </x:c>
      <x:c r="E2626" t="str">
        <x:v>All India</x:v>
      </x:c>
      <x:c r="F2626" t="str">
        <x:v>EWS</x:v>
      </x:c>
      <x:c r="G2626" t="n">
        <x:v>2</x:v>
      </x:c>
      <x:c r="H2626" t="n">
        <x:v>2</x:v>
      </x:c>
      <x:c r="I2626" t="n">
        <x:f>G2626-H2626</x:f>
        <x:v>0</x:v>
      </x:c>
      <x:c r="J2626" s="20" t="n">
        <x:f>IFERROR(H2626/G2626,0)</x:f>
        <x:v>1</x:v>
      </x:c>
      <x:c r="K2626" t="n">
        <x:v>20786</x:v>
      </x:c>
      <x:c r="L2626" t="n">
        <x:v>20800.5</x:v>
      </x:c>
      <x:c r="M2626" t="n">
        <x:v>20815</x:v>
      </x:c>
      <x:c r="N2626" t="n">
        <x:v>20829.5</x:v>
      </x:c>
      <x:c r="O2626" t="n">
        <x:v>20844</x:v>
      </x:c>
    </x:row>
    <x:row r="2627">
      <x:c r="A2627" t="str">
        <x:v>West Bengal</x:v>
      </x:c>
      <x:c r="B2627" t="str">
        <x:v>All India except Central University</x:v>
      </x:c>
      <x:c r="C2627" t="str">
        <x:v>200475</x:v>
      </x:c>
      <x:c r="D2627" t="str">
        <x:v>Raiganj Government Medical College &amp; Hospital, Raiganj, ABDULGHATA CAMPUS, KARNAJORA, PO- KARNAJORA,PS- RAIGANJ, DISTRICT- UTTAR DINAJPUR,PIN-733130, STATE</x:v>
      </x:c>
      <x:c r="E2627" t="str">
        <x:v>All India</x:v>
      </x:c>
      <x:c r="F2627" t="str">
        <x:v>OBC</x:v>
      </x:c>
      <x:c r="G2627" t="n">
        <x:v>6</x:v>
      </x:c>
      <x:c r="H2627" t="n">
        <x:v>6</x:v>
      </x:c>
      <x:c r="I2627" t="n">
        <x:f>G2627-H2627</x:f>
        <x:v>0</x:v>
      </x:c>
      <x:c r="J2627" s="20" t="n">
        <x:f>IFERROR(H2627/G2627,0)</x:f>
        <x:v>1</x:v>
      </x:c>
      <x:c r="K2627" t="n">
        <x:v>18886</x:v>
      </x:c>
      <x:c r="L2627" t="n">
        <x:v>19190</x:v>
      </x:c>
      <x:c r="M2627" t="n">
        <x:v>19315</x:v>
      </x:c>
      <x:c r="N2627" t="n">
        <x:v>19623</x:v>
      </x:c>
      <x:c r="O2627" t="n">
        <x:v>19747</x:v>
      </x:c>
    </x:row>
    <x:row r="2628">
      <x:c r="A2628" t="str">
        <x:v>West Bengal</x:v>
      </x:c>
      <x:c r="B2628" t="str">
        <x:v>All India except Central University</x:v>
      </x:c>
      <x:c r="C2628" t="str">
        <x:v>200475</x:v>
      </x:c>
      <x:c r="D2628" t="str">
        <x:v>Raiganj Government Medical College &amp; Hospital, Raiganj, ABDULGHATA CAMPUS, KARNAJORA, PO- KARNAJORA,PS- RAIGANJ, DISTRICT- UTTAR DINAJPUR,PIN-733130, STATE</x:v>
      </x:c>
      <x:c r="E2628" t="str">
        <x:v>All India</x:v>
      </x:c>
      <x:c r="F2628" t="str">
        <x:v>Open</x:v>
      </x:c>
      <x:c r="G2628" t="n">
        <x:v>10</x:v>
      </x:c>
      <x:c r="H2628" t="n">
        <x:v>10</x:v>
      </x:c>
      <x:c r="I2628" t="n">
        <x:f>G2628-H2628</x:f>
        <x:v>0</x:v>
      </x:c>
      <x:c r="J2628" s="20" t="n">
        <x:f>IFERROR(H2628/G2628,0)</x:f>
        <x:v>1</x:v>
      </x:c>
      <x:c r="K2628" t="n">
        <x:v>15445</x:v>
      </x:c>
      <x:c r="L2628" t="n">
        <x:v>17478.25</x:v>
      </x:c>
      <x:c r="M2628" t="n">
        <x:v>18131</x:v>
      </x:c>
      <x:c r="N2628" t="n">
        <x:v>18531.25</x:v>
      </x:c>
      <x:c r="O2628" t="n">
        <x:v>18601</x:v>
      </x:c>
    </x:row>
    <x:row r="2629">
      <x:c r="A2629" t="str">
        <x:v>West Bengal</x:v>
      </x:c>
      <x:c r="B2629" t="str">
        <x:v>All India except Central University</x:v>
      </x:c>
      <x:c r="C2629" t="str">
        <x:v>200475</x:v>
      </x:c>
      <x:c r="D2629" t="str">
        <x:v>Raiganj Government Medical College &amp; Hospital, Raiganj, ABDULGHATA CAMPUS, KARNAJORA, PO- KARNAJORA,PS- RAIGANJ, DISTRICT- UTTAR DINAJPUR,PIN-733130, STATE</x:v>
      </x:c>
      <x:c r="E2629" t="str">
        <x:v>All India</x:v>
      </x:c>
      <x:c r="F2629" t="str">
        <x:v>SC</x:v>
      </x:c>
      <x:c r="G2629" t="n">
        <x:v>4</x:v>
      </x:c>
      <x:c r="H2629" t="n">
        <x:v>4</x:v>
      </x:c>
      <x:c r="I2629" t="n">
        <x:f>G2629-H2629</x:f>
        <x:v>0</x:v>
      </x:c>
      <x:c r="J2629" s="20" t="n">
        <x:f>IFERROR(H2629/G2629,0)</x:f>
        <x:v>1</x:v>
      </x:c>
      <x:c r="K2629" t="n">
        <x:v>93613</x:v>
      </x:c>
      <x:c r="L2629" t="n">
        <x:v>94244.5</x:v>
      </x:c>
      <x:c r="M2629" t="n">
        <x:v>96558</x:v>
      </x:c>
      <x:c r="N2629" t="n">
        <x:v>98874.25</x:v>
      </x:c>
      <x:c r="O2629" t="n">
        <x:v>99514</x:v>
      </x:c>
    </x:row>
    <x:row r="2630">
      <x:c r="A2630" t="str">
        <x:v>West Bengal</x:v>
      </x:c>
      <x:c r="B2630" t="str">
        <x:v>All India except Central University</x:v>
      </x:c>
      <x:c r="C2630" t="str">
        <x:v>200475</x:v>
      </x:c>
      <x:c r="D2630" t="str">
        <x:v>Raiganj Government Medical College &amp; Hospital, Raiganj, ABDULGHATA CAMPUS, KARNAJORA, PO- KARNAJORA,PS- RAIGANJ, DISTRICT- UTTAR DINAJPUR,PIN-733130, STATE</x:v>
      </x:c>
      <x:c r="E2630" t="str">
        <x:v>All India</x:v>
      </x:c>
      <x:c r="F2630" t="str">
        <x:v>ST</x:v>
      </x:c>
      <x:c r="G2630" t="n">
        <x:v>1</x:v>
      </x:c>
      <x:c r="H2630" t="n">
        <x:v>1</x:v>
      </x:c>
      <x:c r="I2630" t="n">
        <x:f>G2630-H2630</x:f>
        <x:v>0</x:v>
      </x:c>
      <x:c r="J2630" s="20" t="n">
        <x:f>IFERROR(H2630/G2630,0)</x:f>
        <x:v>1</x:v>
      </x:c>
      <x:c r="K2630" t="n">
        <x:v>108084</x:v>
      </x:c>
      <x:c r="L2630" t="n">
        <x:v>108084</x:v>
      </x:c>
      <x:c r="M2630" t="n">
        <x:v>108084</x:v>
      </x:c>
      <x:c r="N2630" t="n">
        <x:v>108084</x:v>
      </x:c>
      <x:c r="O2630" t="n">
        <x:v>108084</x:v>
      </x:c>
    </x:row>
    <x:row r="2631">
      <x:c r="A2631" t="str">
        <x:v>Karnataka</x:v>
      </x:c>
      <x:c r="B2631" t="str">
        <x:v>Deemed University</x:v>
      </x:c>
      <x:c r="C2631" t="str">
        <x:v>200469</x:v>
      </x:c>
      <x:c r="D2631" t="str">
        <x:v>Raja Rajeswari Medical College &amp; Hospital, Bangalore, 202, Kambipura, Bengaluru Mysuru High Way,Kengeri Hobli, Bangalore, Karnataka</x:v>
      </x:c>
      <x:c r="E2631" t="str">
        <x:v>NRI</x:v>
      </x:c>
      <x:c r="F2631" t="str">
        <x:v>Open</x:v>
      </x:c>
      <x:c r="G2631" t="n">
        <x:v>38</x:v>
      </x:c>
      <x:c r="H2631" t="n">
        <x:v>4</x:v>
      </x:c>
      <x:c r="I2631" t="n">
        <x:f>G2631-H2631</x:f>
        <x:v>34</x:v>
      </x:c>
      <x:c r="J2631" s="20" t="n">
        <x:f>IFERROR(H2631/G2631,0)</x:f>
        <x:v>0.10526315789473684</x:v>
      </x:c>
      <x:c r="K2631" t="n">
        <x:v>681588</x:v>
      </x:c>
      <x:c r="L2631" t="n">
        <x:v>707742</x:v>
      </x:c>
      <x:c r="M2631" t="n">
        <x:v>740957</x:v>
      </x:c>
      <x:c r="N2631" t="n">
        <x:v>785874.25</x:v>
      </x:c>
      <x:c r="O2631" t="n">
        <x:v>847135</x:v>
      </x:c>
    </x:row>
    <x:row r="2632">
      <x:c r="A2632" t="str">
        <x:v>Karnataka</x:v>
      </x:c>
      <x:c r="B2632" t="str">
        <x:v>Deemed University</x:v>
      </x:c>
      <x:c r="C2632" t="str">
        <x:v>200469</x:v>
      </x:c>
      <x:c r="D2632" t="str">
        <x:v>Raja Rajeswari Medical College &amp; Hospital, Bangalore, 202, Kambipura, Bengaluru Mysuru High Way,Kengeri Hobli, Bangalore, Karnataka</x:v>
      </x:c>
      <x:c r="E2632" t="str">
        <x:v>Self-Financed Merit</x:v>
      </x:c>
      <x:c r="F2632" t="str">
        <x:v>Open</x:v>
      </x:c>
      <x:c r="G2632" t="n">
        <x:v>212</x:v>
      </x:c>
      <x:c r="H2632" t="n">
        <x:v>212</x:v>
      </x:c>
      <x:c r="I2632" t="n">
        <x:f>G2632-H2632</x:f>
        <x:v>0</x:v>
      </x:c>
      <x:c r="J2632" s="20" t="n">
        <x:f>IFERROR(H2632/G2632,0)</x:f>
        <x:v>1</x:v>
      </x:c>
      <x:c r="K2632" t="n">
        <x:v>147550</x:v>
      </x:c>
      <x:c r="L2632" t="n">
        <x:v>302510.75</x:v>
      </x:c>
      <x:c r="M2632" t="n">
        <x:v>376254.5</x:v>
      </x:c>
      <x:c r="N2632" t="n">
        <x:v>422918.75</x:v>
      </x:c>
      <x:c r="O2632" t="n">
        <x:v>460645</x:v>
      </x:c>
    </x:row>
    <x:row r="2633">
      <x:c r="A2633" t="str">
        <x:v>Maharashtra</x:v>
      </x:c>
      <x:c r="B2633" t="str">
        <x:v>All India except Central University</x:v>
      </x:c>
      <x:c r="C2633" t="str">
        <x:v>200225</x:v>
      </x:c>
      <x:c r="D2633" t="str">
        <x:v>Rajashree Chatrapati Shahu Maharaj Government Medical College, Kolhapur, Rajarshee Chhatrapati Shahu Maharaj Government Medical College, R. K. Nagar Road, Shenda Park, Kol</x:v>
      </x:c>
      <x:c r="E2633" t="str">
        <x:v>All India</x:v>
      </x:c>
      <x:c r="F2633" t="str">
        <x:v>EWS</x:v>
      </x:c>
      <x:c r="G2633" t="n">
        <x:v>2</x:v>
      </x:c>
      <x:c r="H2633" t="n">
        <x:v>2</x:v>
      </x:c>
      <x:c r="I2633" t="n">
        <x:f>G2633-H2633</x:f>
        <x:v>0</x:v>
      </x:c>
      <x:c r="J2633" s="20" t="n">
        <x:f>IFERROR(H2633/G2633,0)</x:f>
        <x:v>1</x:v>
      </x:c>
      <x:c r="K2633" t="n">
        <x:v>14486</x:v>
      </x:c>
      <x:c r="L2633" t="n">
        <x:v>14551.25</x:v>
      </x:c>
      <x:c r="M2633" t="n">
        <x:v>14616.5</x:v>
      </x:c>
      <x:c r="N2633" t="n">
        <x:v>14681.75</x:v>
      </x:c>
      <x:c r="O2633" t="n">
        <x:v>14747</x:v>
      </x:c>
    </x:row>
    <x:row r="2634">
      <x:c r="A2634" t="str">
        <x:v>Maharashtra</x:v>
      </x:c>
      <x:c r="B2634" t="str">
        <x:v>All India except Central University</x:v>
      </x:c>
      <x:c r="C2634" t="str">
        <x:v>200225</x:v>
      </x:c>
      <x:c r="D2634" t="str">
        <x:v>Rajashree Chatrapati Shahu Maharaj Government Medical College, Kolhapur, Rajarshee Chhatrapati Shahu Maharaj Government Medical College, R. K. Nagar Road, Shenda Park, Kol</x:v>
      </x:c>
      <x:c r="E2634" t="str">
        <x:v>All India</x:v>
      </x:c>
      <x:c r="F2634" t="str">
        <x:v>OBC</x:v>
      </x:c>
      <x:c r="G2634" t="n">
        <x:v>6</x:v>
      </x:c>
      <x:c r="H2634" t="n">
        <x:v>6</x:v>
      </x:c>
      <x:c r="I2634" t="n">
        <x:f>G2634-H2634</x:f>
        <x:v>0</x:v>
      </x:c>
      <x:c r="J2634" s="20" t="n">
        <x:f>IFERROR(H2634/G2634,0)</x:f>
        <x:v>1</x:v>
      </x:c>
      <x:c r="K2634" t="n">
        <x:v>12395</x:v>
      </x:c>
      <x:c r="L2634" t="n">
        <x:v>12461.25</x:v>
      </x:c>
      <x:c r="M2634" t="n">
        <x:v>12721</x:v>
      </x:c>
      <x:c r="N2634" t="n">
        <x:v>12854</x:v>
      </x:c>
      <x:c r="O2634" t="n">
        <x:v>12899</x:v>
      </x:c>
    </x:row>
    <x:row r="2635">
      <x:c r="A2635" t="str">
        <x:v>Maharashtra</x:v>
      </x:c>
      <x:c r="B2635" t="str">
        <x:v>All India except Central University</x:v>
      </x:c>
      <x:c r="C2635" t="str">
        <x:v>200225</x:v>
      </x:c>
      <x:c r="D2635" t="str">
        <x:v>Rajashree Chatrapati Shahu Maharaj Government Medical College, Kolhapur, Rajarshee Chhatrapati Shahu Maharaj Government Medical College, R. K. Nagar Road, Shenda Park, Kol</x:v>
      </x:c>
      <x:c r="E2635" t="str">
        <x:v>All India</x:v>
      </x:c>
      <x:c r="F2635" t="str">
        <x:v>Open</x:v>
      </x:c>
      <x:c r="G2635" t="n">
        <x:v>9</x:v>
      </x:c>
      <x:c r="H2635" t="n">
        <x:v>9</x:v>
      </x:c>
      <x:c r="I2635" t="n">
        <x:f>G2635-H2635</x:f>
        <x:v>0</x:v>
      </x:c>
      <x:c r="J2635" s="20" t="n">
        <x:f>IFERROR(H2635/G2635,0)</x:f>
        <x:v>1</x:v>
      </x:c>
      <x:c r="K2635" t="n">
        <x:v>8317</x:v>
      </x:c>
      <x:c r="L2635" t="n">
        <x:v>9256</x:v>
      </x:c>
      <x:c r="M2635" t="n">
        <x:v>10189</x:v>
      </x:c>
      <x:c r="N2635" t="n">
        <x:v>10773</x:v>
      </x:c>
      <x:c r="O2635" t="n">
        <x:v>11493</x:v>
      </x:c>
    </x:row>
    <x:row r="2636">
      <x:c r="A2636" t="str">
        <x:v>Maharashtra</x:v>
      </x:c>
      <x:c r="B2636" t="str">
        <x:v>All India except Central University</x:v>
      </x:c>
      <x:c r="C2636" t="str">
        <x:v>200225</x:v>
      </x:c>
      <x:c r="D2636" t="str">
        <x:v>Rajashree Chatrapati Shahu Maharaj Government Medical College, Kolhapur, Rajarshee Chhatrapati Shahu Maharaj Government Medical College, R. K. Nagar Road, Shenda Park, Kol</x:v>
      </x:c>
      <x:c r="E2636" t="str">
        <x:v>All India</x:v>
      </x:c>
      <x:c r="F2636" t="str">
        <x:v>Open PwD</x:v>
      </x:c>
      <x:c r="G2636" t="n">
        <x:v>1</x:v>
      </x:c>
      <x:c r="H2636" t="n">
        <x:v>1</x:v>
      </x:c>
      <x:c r="I2636" t="n">
        <x:f>G2636-H2636</x:f>
        <x:v>0</x:v>
      </x:c>
      <x:c r="J2636" s="20" t="n">
        <x:f>IFERROR(H2636/G2636,0)</x:f>
        <x:v>1</x:v>
      </x:c>
      <x:c r="K2636" t="n">
        <x:v>410878</x:v>
      </x:c>
      <x:c r="L2636" t="n">
        <x:v>410878</x:v>
      </x:c>
      <x:c r="M2636" t="n">
        <x:v>410878</x:v>
      </x:c>
      <x:c r="N2636" t="n">
        <x:v>410878</x:v>
      </x:c>
      <x:c r="O2636" t="n">
        <x:v>410878</x:v>
      </x:c>
    </x:row>
    <x:row r="2637">
      <x:c r="A2637" t="str">
        <x:v>Maharashtra</x:v>
      </x:c>
      <x:c r="B2637" t="str">
        <x:v>All India except Central University</x:v>
      </x:c>
      <x:c r="C2637" t="str">
        <x:v>200225</x:v>
      </x:c>
      <x:c r="D2637" t="str">
        <x:v>Rajashree Chatrapati Shahu Maharaj Government Medical College, Kolhapur, Rajarshee Chhatrapati Shahu Maharaj Government Medical College, R. K. Nagar Road, Shenda Park, Kol</x:v>
      </x:c>
      <x:c r="E2637" t="str">
        <x:v>All India</x:v>
      </x:c>
      <x:c r="F2637" t="str">
        <x:v>SC</x:v>
      </x:c>
      <x:c r="G2637" t="n">
        <x:v>3</x:v>
      </x:c>
      <x:c r="H2637" t="n">
        <x:v>3</x:v>
      </x:c>
      <x:c r="I2637" t="n">
        <x:f>G2637-H2637</x:f>
        <x:v>0</x:v>
      </x:c>
      <x:c r="J2637" s="20" t="n">
        <x:f>IFERROR(H2637/G2637,0)</x:f>
        <x:v>1</x:v>
      </x:c>
      <x:c r="K2637" t="n">
        <x:v>48979</x:v>
      </x:c>
      <x:c r="L2637" t="n">
        <x:v>52318.5</x:v>
      </x:c>
      <x:c r="M2637" t="n">
        <x:v>55658</x:v>
      </x:c>
      <x:c r="N2637" t="n">
        <x:v>59030.5</x:v>
      </x:c>
      <x:c r="O2637" t="n">
        <x:v>62403</x:v>
      </x:c>
    </x:row>
    <x:row r="2638">
      <x:c r="A2638" t="str">
        <x:v>Maharashtra</x:v>
      </x:c>
      <x:c r="B2638" t="str">
        <x:v>All India except Central University</x:v>
      </x:c>
      <x:c r="C2638" t="str">
        <x:v>200225</x:v>
      </x:c>
      <x:c r="D2638" t="str">
        <x:v>Rajashree Chatrapati Shahu Maharaj Government Medical College, Kolhapur, Rajarshee Chhatrapati Shahu Maharaj Government Medical College, R. K. Nagar Road, Shenda Park, Kol</x:v>
      </x:c>
      <x:c r="E2638" t="str">
        <x:v>All India</x:v>
      </x:c>
      <x:c r="F2638" t="str">
        <x:v>ST</x:v>
      </x:c>
      <x:c r="G2638" t="n">
        <x:v>2</x:v>
      </x:c>
      <x:c r="H2638" t="n">
        <x:v>2</x:v>
      </x:c>
      <x:c r="I2638" t="n">
        <x:f>G2638-H2638</x:f>
        <x:v>0</x:v>
      </x:c>
      <x:c r="J2638" s="20" t="n">
        <x:f>IFERROR(H2638/G2638,0)</x:f>
        <x:v>1</x:v>
      </x:c>
      <x:c r="K2638" t="n">
        <x:v>74604</x:v>
      </x:c>
      <x:c r="L2638" t="n">
        <x:v>78520.5</x:v>
      </x:c>
      <x:c r="M2638" t="n">
        <x:v>82437</x:v>
      </x:c>
      <x:c r="N2638" t="n">
        <x:v>86353.5</x:v>
      </x:c>
      <x:c r="O2638" t="n">
        <x:v>90270</x:v>
      </x:c>
    </x:row>
    <x:row r="2639">
      <x:c r="A2639" t="str">
        <x:v>Jharkhand</x:v>
      </x:c>
      <x:c r="B2639" t="str">
        <x:v>All India except Central University</x:v>
      </x:c>
      <x:c r="C2639" t="str">
        <x:v>200160</x:v>
      </x:c>
      <x:c r="D2639" t="str">
        <x:v>Rajendra Institute of Medical Sciences, Ranchi, Director, Rajendra Institute of Medical Sciences, Bariatu,Ranchi</x:v>
      </x:c>
      <x:c r="E2639" t="str">
        <x:v>All India</x:v>
      </x:c>
      <x:c r="F2639" t="str">
        <x:v>EWS</x:v>
      </x:c>
      <x:c r="G2639" t="n">
        <x:v>4</x:v>
      </x:c>
      <x:c r="H2639" t="n">
        <x:v>4</x:v>
      </x:c>
      <x:c r="I2639" t="n">
        <x:f>G2639-H2639</x:f>
        <x:v>0</x:v>
      </x:c>
      <x:c r="J2639" s="20" t="n">
        <x:f>IFERROR(H2639/G2639,0)</x:f>
        <x:v>1</x:v>
      </x:c>
      <x:c r="K2639" t="n">
        <x:v>5344</x:v>
      </x:c>
      <x:c r="L2639" t="n">
        <x:v>5589.25</x:v>
      </x:c>
      <x:c r="M2639" t="n">
        <x:v>5761.5</x:v>
      </x:c>
      <x:c r="N2639" t="n">
        <x:v>5858</x:v>
      </x:c>
      <x:c r="O2639" t="n">
        <x:v>5876</x:v>
      </x:c>
    </x:row>
    <x:row r="2640">
      <x:c r="A2640" t="str">
        <x:v>Jharkhand</x:v>
      </x:c>
      <x:c r="B2640" t="str">
        <x:v>All India except Central University</x:v>
      </x:c>
      <x:c r="C2640" t="str">
        <x:v>200160</x:v>
      </x:c>
      <x:c r="D2640" t="str">
        <x:v>Rajendra Institute of Medical Sciences, Ranchi, Director, Rajendra Institute of Medical Sciences, Bariatu,Ranchi</x:v>
      </x:c>
      <x:c r="E2640" t="str">
        <x:v>All India</x:v>
      </x:c>
      <x:c r="F2640" t="str">
        <x:v>OBC</x:v>
      </x:c>
      <x:c r="G2640" t="n">
        <x:v>9</x:v>
      </x:c>
      <x:c r="H2640" t="n">
        <x:v>9</x:v>
      </x:c>
      <x:c r="I2640" t="n">
        <x:f>G2640-H2640</x:f>
        <x:v>0</x:v>
      </x:c>
      <x:c r="J2640" s="20" t="n">
        <x:f>IFERROR(H2640/G2640,0)</x:f>
        <x:v>1</x:v>
      </x:c>
      <x:c r="K2640" t="n">
        <x:v>5108</x:v>
      </x:c>
      <x:c r="L2640" t="n">
        <x:v>5159</x:v>
      </x:c>
      <x:c r="M2640" t="n">
        <x:v>5292</x:v>
      </x:c>
      <x:c r="N2640" t="n">
        <x:v>5941</x:v>
      </x:c>
      <x:c r="O2640" t="n">
        <x:v>6419</x:v>
      </x:c>
    </x:row>
    <x:row r="2641">
      <x:c r="A2641" t="str">
        <x:v>Jharkhand</x:v>
      </x:c>
      <x:c r="B2641" t="str">
        <x:v>All India except Central University</x:v>
      </x:c>
      <x:c r="C2641" t="str">
        <x:v>200160</x:v>
      </x:c>
      <x:c r="D2641" t="str">
        <x:v>Rajendra Institute of Medical Sciences, Ranchi, Director, Rajendra Institute of Medical Sciences, Bariatu,Ranchi</x:v>
      </x:c>
      <x:c r="E2641" t="str">
        <x:v>All India</x:v>
      </x:c>
      <x:c r="F2641" t="str">
        <x:v>OBC PwD</x:v>
      </x:c>
      <x:c r="G2641" t="n">
        <x:v>1</x:v>
      </x:c>
      <x:c r="H2641" t="n">
        <x:v>1</x:v>
      </x:c>
      <x:c r="I2641" t="n">
        <x:f>G2641-H2641</x:f>
        <x:v>0</x:v>
      </x:c>
      <x:c r="J2641" s="20" t="n">
        <x:f>IFERROR(H2641/G2641,0)</x:f>
        <x:v>1</x:v>
      </x:c>
      <x:c r="K2641" t="n">
        <x:v>312039</x:v>
      </x:c>
      <x:c r="L2641" t="n">
        <x:v>312039</x:v>
      </x:c>
      <x:c r="M2641" t="n">
        <x:v>312039</x:v>
      </x:c>
      <x:c r="N2641" t="n">
        <x:v>312039</x:v>
      </x:c>
      <x:c r="O2641" t="n">
        <x:v>312039</x:v>
      </x:c>
    </x:row>
    <x:row r="2642">
      <x:c r="A2642" t="str">
        <x:v>Jharkhand</x:v>
      </x:c>
      <x:c r="B2642" t="str">
        <x:v>All India except Central University</x:v>
      </x:c>
      <x:c r="C2642" t="str">
        <x:v>200160</x:v>
      </x:c>
      <x:c r="D2642" t="str">
        <x:v>Rajendra Institute of Medical Sciences, Ranchi, Director, Rajendra Institute of Medical Sciences, Bariatu,Ranchi</x:v>
      </x:c>
      <x:c r="E2642" t="str">
        <x:v>All India</x:v>
      </x:c>
      <x:c r="F2642" t="str">
        <x:v>Open</x:v>
      </x:c>
      <x:c r="G2642" t="n">
        <x:v>14</x:v>
      </x:c>
      <x:c r="H2642" t="n">
        <x:v>14</x:v>
      </x:c>
      <x:c r="I2642" t="n">
        <x:f>G2642-H2642</x:f>
        <x:v>0</x:v>
      </x:c>
      <x:c r="J2642" s="20" t="n">
        <x:f>IFERROR(H2642/G2642,0)</x:f>
        <x:v>1</x:v>
      </x:c>
      <x:c r="K2642" t="n">
        <x:v>3157</x:v>
      </x:c>
      <x:c r="L2642" t="n">
        <x:v>4373.5</x:v>
      </x:c>
      <x:c r="M2642" t="n">
        <x:v>4731.5</x:v>
      </x:c>
      <x:c r="N2642" t="n">
        <x:v>4945.75</x:v>
      </x:c>
      <x:c r="O2642" t="n">
        <x:v>5035</x:v>
      </x:c>
    </x:row>
    <x:row r="2643">
      <x:c r="A2643" t="str">
        <x:v>Jharkhand</x:v>
      </x:c>
      <x:c r="B2643" t="str">
        <x:v>All India except Central University</x:v>
      </x:c>
      <x:c r="C2643" t="str">
        <x:v>200160</x:v>
      </x:c>
      <x:c r="D2643" t="str">
        <x:v>Rajendra Institute of Medical Sciences, Ranchi, Director, Rajendra Institute of Medical Sciences, Bariatu,Ranchi</x:v>
      </x:c>
      <x:c r="E2643" t="str">
        <x:v>All India</x:v>
      </x:c>
      <x:c r="F2643" t="str">
        <x:v>Open PwD</x:v>
      </x:c>
      <x:c r="G2643" t="n">
        <x:v>1</x:v>
      </x:c>
      <x:c r="H2643" t="n">
        <x:v>1</x:v>
      </x:c>
      <x:c r="I2643" t="n">
        <x:f>G2643-H2643</x:f>
        <x:v>0</x:v>
      </x:c>
      <x:c r="J2643" s="20" t="n">
        <x:f>IFERROR(H2643/G2643,0)</x:f>
        <x:v>1</x:v>
      </x:c>
      <x:c r="K2643" t="n">
        <x:v>305500</x:v>
      </x:c>
      <x:c r="L2643" t="n">
        <x:v>305500</x:v>
      </x:c>
      <x:c r="M2643" t="n">
        <x:v>305500</x:v>
      </x:c>
      <x:c r="N2643" t="n">
        <x:v>305500</x:v>
      </x:c>
      <x:c r="O2643" t="n">
        <x:v>305500</x:v>
      </x:c>
    </x:row>
    <x:row r="2644">
      <x:c r="A2644" t="str">
        <x:v>Jharkhand</x:v>
      </x:c>
      <x:c r="B2644" t="str">
        <x:v>All India except Central University</x:v>
      </x:c>
      <x:c r="C2644" t="str">
        <x:v>200160</x:v>
      </x:c>
      <x:c r="D2644" t="str">
        <x:v>Rajendra Institute of Medical Sciences, Ranchi, Director, Rajendra Institute of Medical Sciences, Bariatu,Ranchi</x:v>
      </x:c>
      <x:c r="E2644" t="str">
        <x:v>All India</x:v>
      </x:c>
      <x:c r="F2644" t="str">
        <x:v>SC</x:v>
      </x:c>
      <x:c r="G2644" t="n">
        <x:v>6</x:v>
      </x:c>
      <x:c r="H2644" t="n">
        <x:v>6</x:v>
      </x:c>
      <x:c r="I2644" t="n">
        <x:f>G2644-H2644</x:f>
        <x:v>0</x:v>
      </x:c>
      <x:c r="J2644" s="20" t="n">
        <x:f>IFERROR(H2644/G2644,0)</x:f>
        <x:v>1</x:v>
      </x:c>
      <x:c r="K2644" t="n">
        <x:v>22874</x:v>
      </x:c>
      <x:c r="L2644" t="n">
        <x:v>27724.5</x:v>
      </x:c>
      <x:c r="M2644" t="n">
        <x:v>30706.5</x:v>
      </x:c>
      <x:c r="N2644" t="n">
        <x:v>42318</x:v>
      </x:c>
      <x:c r="O2644" t="n">
        <x:v>46265</x:v>
      </x:c>
    </x:row>
    <x:row r="2645">
      <x:c r="A2645" t="str">
        <x:v>Jharkhand</x:v>
      </x:c>
      <x:c r="B2645" t="str">
        <x:v>All India except Central University</x:v>
      </x:c>
      <x:c r="C2645" t="str">
        <x:v>200160</x:v>
      </x:c>
      <x:c r="D2645" t="str">
        <x:v>Rajendra Institute of Medical Sciences, Ranchi, Director, Rajendra Institute of Medical Sciences, Bariatu,Ranchi</x:v>
      </x:c>
      <x:c r="E2645" t="str">
        <x:v>All India</x:v>
      </x:c>
      <x:c r="F2645" t="str">
        <x:v>ST</x:v>
      </x:c>
      <x:c r="G2645" t="n">
        <x:v>2</x:v>
      </x:c>
      <x:c r="H2645" t="n">
        <x:v>2</x:v>
      </x:c>
      <x:c r="I2645" t="n">
        <x:f>G2645-H2645</x:f>
        <x:v>0</x:v>
      </x:c>
      <x:c r="J2645" s="20" t="n">
        <x:f>IFERROR(H2645/G2645,0)</x:f>
        <x:v>1</x:v>
      </x:c>
      <x:c r="K2645" t="n">
        <x:v>51255</x:v>
      </x:c>
      <x:c r="L2645" t="n">
        <x:v>53065.5</x:v>
      </x:c>
      <x:c r="M2645" t="n">
        <x:v>54876</x:v>
      </x:c>
      <x:c r="N2645" t="n">
        <x:v>56686.5</x:v>
      </x:c>
      <x:c r="O2645" t="n">
        <x:v>58497</x:v>
      </x:c>
    </x:row>
    <x:row r="2646">
      <x:c r="A2646" t="str">
        <x:v>Andhra Pradesh</x:v>
      </x:c>
      <x:c r="B2646" t="str">
        <x:v>All India except Central University</x:v>
      </x:c>
      <x:c r="C2646" t="str">
        <x:v>200444</x:v>
      </x:c>
      <x:c r="D2646" t="str">
        <x:v>Rajiv Gandhi Institute of Medical Sciences, Srikakulam, Balaga Srikakulam</x:v>
      </x:c>
      <x:c r="E2646" t="str">
        <x:v>All India</x:v>
      </x:c>
      <x:c r="F2646" t="str">
        <x:v>EWS</x:v>
      </x:c>
      <x:c r="G2646" t="n">
        <x:v>3</x:v>
      </x:c>
      <x:c r="H2646" t="n">
        <x:v>3</x:v>
      </x:c>
      <x:c r="I2646" t="n">
        <x:f>G2646-H2646</x:f>
        <x:v>0</x:v>
      </x:c>
      <x:c r="J2646" s="20" t="n">
        <x:f>IFERROR(H2646/G2646,0)</x:f>
        <x:v>1</x:v>
      </x:c>
      <x:c r="K2646" t="n">
        <x:v>22448</x:v>
      </x:c>
      <x:c r="L2646" t="n">
        <x:v>22814.5</x:v>
      </x:c>
      <x:c r="M2646" t="n">
        <x:v>23181</x:v>
      </x:c>
      <x:c r="N2646" t="n">
        <x:v>23262.5</x:v>
      </x:c>
      <x:c r="O2646" t="n">
        <x:v>23344</x:v>
      </x:c>
    </x:row>
    <x:row r="2647">
      <x:c r="A2647" t="str">
        <x:v>Andhra Pradesh</x:v>
      </x:c>
      <x:c r="B2647" t="str">
        <x:v>All India except Central University</x:v>
      </x:c>
      <x:c r="C2647" t="str">
        <x:v>200444</x:v>
      </x:c>
      <x:c r="D2647" t="str">
        <x:v>Rajiv Gandhi Institute of Medical Sciences, Srikakulam, Balaga Srikakulam</x:v>
      </x:c>
      <x:c r="E2647" t="str">
        <x:v>All India</x:v>
      </x:c>
      <x:c r="F2647" t="str">
        <x:v>OBC</x:v>
      </x:c>
      <x:c r="G2647" t="n">
        <x:v>8</x:v>
      </x:c>
      <x:c r="H2647" t="n">
        <x:v>8</x:v>
      </x:c>
      <x:c r="I2647" t="n">
        <x:f>G2647-H2647</x:f>
        <x:v>0</x:v>
      </x:c>
      <x:c r="J2647" s="20" t="n">
        <x:f>IFERROR(H2647/G2647,0)</x:f>
        <x:v>1</x:v>
      </x:c>
      <x:c r="K2647" t="n">
        <x:v>17989</x:v>
      </x:c>
      <x:c r="L2647" t="n">
        <x:v>18289</x:v>
      </x:c>
      <x:c r="M2647" t="n">
        <x:v>18713.5</x:v>
      </x:c>
      <x:c r="N2647" t="n">
        <x:v>18846.25</x:v>
      </x:c>
      <x:c r="O2647" t="n">
        <x:v>18961</x:v>
      </x:c>
    </x:row>
    <x:row r="2648">
      <x:c r="A2648" t="str">
        <x:v>Andhra Pradesh</x:v>
      </x:c>
      <x:c r="B2648" t="str">
        <x:v>All India except Central University</x:v>
      </x:c>
      <x:c r="C2648" t="str">
        <x:v>200444</x:v>
      </x:c>
      <x:c r="D2648" t="str">
        <x:v>Rajiv Gandhi Institute of Medical Sciences, Srikakulam, Balaga Srikakulam</x:v>
      </x:c>
      <x:c r="E2648" t="str">
        <x:v>All India</x:v>
      </x:c>
      <x:c r="F2648" t="str">
        <x:v>Open</x:v>
      </x:c>
      <x:c r="G2648" t="n">
        <x:v>10</x:v>
      </x:c>
      <x:c r="H2648" t="n">
        <x:v>10</x:v>
      </x:c>
      <x:c r="I2648" t="n">
        <x:f>G2648-H2648</x:f>
        <x:v>0</x:v>
      </x:c>
      <x:c r="J2648" s="20" t="n">
        <x:f>IFERROR(H2648/G2648,0)</x:f>
        <x:v>1</x:v>
      </x:c>
      <x:c r="K2648" t="n">
        <x:v>12203</x:v>
      </x:c>
      <x:c r="L2648" t="n">
        <x:v>15552.5</x:v>
      </x:c>
      <x:c r="M2648" t="n">
        <x:v>16814.5</x:v>
      </x:c>
      <x:c r="N2648" t="n">
        <x:v>17392.25</x:v>
      </x:c>
      <x:c r="O2648" t="n">
        <x:v>17825</x:v>
      </x:c>
    </x:row>
    <x:row r="2649">
      <x:c r="A2649" t="str">
        <x:v>Andhra Pradesh</x:v>
      </x:c>
      <x:c r="B2649" t="str">
        <x:v>All India except Central University</x:v>
      </x:c>
      <x:c r="C2649" t="str">
        <x:v>200444</x:v>
      </x:c>
      <x:c r="D2649" t="str">
        <x:v>Rajiv Gandhi Institute of Medical Sciences, Srikakulam, Balaga Srikakulam</x:v>
      </x:c>
      <x:c r="E2649" t="str">
        <x:v>All India</x:v>
      </x:c>
      <x:c r="F2649" t="str">
        <x:v>Open PwD</x:v>
      </x:c>
      <x:c r="G2649" t="n">
        <x:v>1</x:v>
      </x:c>
      <x:c r="H2649" t="n">
        <x:v>1</x:v>
      </x:c>
      <x:c r="I2649" t="n">
        <x:f>G2649-H2649</x:f>
        <x:v>0</x:v>
      </x:c>
      <x:c r="J2649" s="20" t="n">
        <x:f>IFERROR(H2649/G2649,0)</x:f>
        <x:v>1</x:v>
      </x:c>
      <x:c r="K2649" t="n">
        <x:v>636116</x:v>
      </x:c>
      <x:c r="L2649" t="n">
        <x:v>636116</x:v>
      </x:c>
      <x:c r="M2649" t="n">
        <x:v>636116</x:v>
      </x:c>
      <x:c r="N2649" t="n">
        <x:v>636116</x:v>
      </x:c>
      <x:c r="O2649" t="n">
        <x:v>636116</x:v>
      </x:c>
    </x:row>
    <x:row r="2650">
      <x:c r="A2650" t="str">
        <x:v>Andhra Pradesh</x:v>
      </x:c>
      <x:c r="B2650" t="str">
        <x:v>All India except Central University</x:v>
      </x:c>
      <x:c r="C2650" t="str">
        <x:v>200444</x:v>
      </x:c>
      <x:c r="D2650" t="str">
        <x:v>Rajiv Gandhi Institute of Medical Sciences, Srikakulam, Balaga Srikakulam</x:v>
      </x:c>
      <x:c r="E2650" t="str">
        <x:v>All India</x:v>
      </x:c>
      <x:c r="F2650" t="str">
        <x:v>SC</x:v>
      </x:c>
      <x:c r="G2650" t="n">
        <x:v>5</x:v>
      </x:c>
      <x:c r="H2650" t="n">
        <x:v>5</x:v>
      </x:c>
      <x:c r="I2650" t="n">
        <x:f>G2650-H2650</x:f>
        <x:v>0</x:v>
      </x:c>
      <x:c r="J2650" s="20" t="n">
        <x:f>IFERROR(H2650/G2650,0)</x:f>
        <x:v>1</x:v>
      </x:c>
      <x:c r="K2650" t="n">
        <x:v>66688</x:v>
      </x:c>
      <x:c r="L2650" t="n">
        <x:v>67823</x:v>
      </x:c>
      <x:c r="M2650" t="n">
        <x:v>71446</x:v>
      </x:c>
      <x:c r="N2650" t="n">
        <x:v>77157</x:v>
      </x:c>
      <x:c r="O2650" t="n">
        <x:v>83582</x:v>
      </x:c>
    </x:row>
    <x:row r="2651">
      <x:c r="A2651" t="str">
        <x:v>Andhra Pradesh</x:v>
      </x:c>
      <x:c r="B2651" t="str">
        <x:v>All India except Central University</x:v>
      </x:c>
      <x:c r="C2651" t="str">
        <x:v>200444</x:v>
      </x:c>
      <x:c r="D2651" t="str">
        <x:v>Rajiv Gandhi Institute of Medical Sciences, Srikakulam, Balaga Srikakulam</x:v>
      </x:c>
      <x:c r="E2651" t="str">
        <x:v>All India</x:v>
      </x:c>
      <x:c r="F2651" t="str">
        <x:v>ST</x:v>
      </x:c>
      <x:c r="G2651" t="n">
        <x:v>3</x:v>
      </x:c>
      <x:c r="H2651" t="n">
        <x:v>3</x:v>
      </x:c>
      <x:c r="I2651" t="n">
        <x:f>G2651-H2651</x:f>
        <x:v>0</x:v>
      </x:c>
      <x:c r="J2651" s="20" t="n">
        <x:f>IFERROR(H2651/G2651,0)</x:f>
        <x:v>1</x:v>
      </x:c>
      <x:c r="K2651" t="n">
        <x:v>91001</x:v>
      </x:c>
      <x:c r="L2651" t="n">
        <x:v>91355.5</x:v>
      </x:c>
      <x:c r="M2651" t="n">
        <x:v>91710</x:v>
      </x:c>
      <x:c r="N2651" t="n">
        <x:v>100448</x:v>
      </x:c>
      <x:c r="O2651" t="n">
        <x:v>109186</x:v>
      </x:c>
    </x:row>
    <x:row r="2652">
      <x:c r="A2652" t="str">
        <x:v>Telangana</x:v>
      </x:c>
      <x:c r="B2652" t="str">
        <x:v>All India except Central University</x:v>
      </x:c>
      <x:c r="C2652" t="str">
        <x:v>200455</x:v>
      </x:c>
      <x:c r="D2652" t="str">
        <x:v>Rajiv Gandhi Institute of Medical Sciences, adilabad, MAIN ROAD, OLD NH 07, ADILABAD TOWN ADILABAD DISTRICT, TELANGANA STATE-504001</x:v>
      </x:c>
      <x:c r="E2652" t="str">
        <x:v>All India</x:v>
      </x:c>
      <x:c r="F2652" t="str">
        <x:v>EWS</x:v>
      </x:c>
      <x:c r="G2652" t="n">
        <x:v>2</x:v>
      </x:c>
      <x:c r="H2652" t="n">
        <x:v>2</x:v>
      </x:c>
      <x:c r="I2652" t="n">
        <x:f>G2652-H2652</x:f>
        <x:v>0</x:v>
      </x:c>
      <x:c r="J2652" s="20" t="n">
        <x:f>IFERROR(H2652/G2652,0)</x:f>
        <x:v>1</x:v>
      </x:c>
      <x:c r="K2652" t="n">
        <x:v>17281</x:v>
      </x:c>
      <x:c r="L2652" t="n">
        <x:v>17488.5</x:v>
      </x:c>
      <x:c r="M2652" t="n">
        <x:v>17696</x:v>
      </x:c>
      <x:c r="N2652" t="n">
        <x:v>17903.5</x:v>
      </x:c>
      <x:c r="O2652" t="n">
        <x:v>18111</x:v>
      </x:c>
    </x:row>
    <x:row r="2653">
      <x:c r="A2653" t="str">
        <x:v>Telangana</x:v>
      </x:c>
      <x:c r="B2653" t="str">
        <x:v>All India except Central University</x:v>
      </x:c>
      <x:c r="C2653" t="str">
        <x:v>200455</x:v>
      </x:c>
      <x:c r="D2653" t="str">
        <x:v>Rajiv Gandhi Institute of Medical Sciences, adilabad, MAIN ROAD, OLD NH 07, ADILABAD TOWN ADILABAD DISTRICT, TELANGANA STATE-504001</x:v>
      </x:c>
      <x:c r="E2653" t="str">
        <x:v>All India</x:v>
      </x:c>
      <x:c r="F2653" t="str">
        <x:v>OBC</x:v>
      </x:c>
      <x:c r="G2653" t="n">
        <x:v>4</x:v>
      </x:c>
      <x:c r="H2653" t="n">
        <x:v>4</x:v>
      </x:c>
      <x:c r="I2653" t="n">
        <x:f>G2653-H2653</x:f>
        <x:v>0</x:v>
      </x:c>
      <x:c r="J2653" s="20" t="n">
        <x:f>IFERROR(H2653/G2653,0)</x:f>
        <x:v>1</x:v>
      </x:c>
      <x:c r="K2653" t="n">
        <x:v>17072</x:v>
      </x:c>
      <x:c r="L2653" t="n">
        <x:v>17114</x:v>
      </x:c>
      <x:c r="M2653" t="n">
        <x:v>17159.5</x:v>
      </x:c>
      <x:c r="N2653" t="n">
        <x:v>17201.75</x:v>
      </x:c>
      <x:c r="O2653" t="n">
        <x:v>17234</x:v>
      </x:c>
    </x:row>
    <x:row r="2654">
      <x:c r="A2654" t="str">
        <x:v>Telangana</x:v>
      </x:c>
      <x:c r="B2654" t="str">
        <x:v>All India except Central University</x:v>
      </x:c>
      <x:c r="C2654" t="str">
        <x:v>200455</x:v>
      </x:c>
      <x:c r="D2654" t="str">
        <x:v>Rajiv Gandhi Institute of Medical Sciences, adilabad, MAIN ROAD, OLD NH 07, ADILABAD TOWN ADILABAD DISTRICT, TELANGANA STATE-504001</x:v>
      </x:c>
      <x:c r="E2654" t="str">
        <x:v>All India</x:v>
      </x:c>
      <x:c r="F2654" t="str">
        <x:v>OBC PwD</x:v>
      </x:c>
      <x:c r="G2654" t="n">
        <x:v>1</x:v>
      </x:c>
      <x:c r="H2654" t="n">
        <x:v>1</x:v>
      </x:c>
      <x:c r="I2654" t="n">
        <x:f>G2654-H2654</x:f>
        <x:v>0</x:v>
      </x:c>
      <x:c r="J2654" s="20" t="n">
        <x:f>IFERROR(H2654/G2654,0)</x:f>
        <x:v>1</x:v>
      </x:c>
      <x:c r="K2654" t="n">
        <x:v>536741</x:v>
      </x:c>
      <x:c r="L2654" t="n">
        <x:v>536741</x:v>
      </x:c>
      <x:c r="M2654" t="n">
        <x:v>536741</x:v>
      </x:c>
      <x:c r="N2654" t="n">
        <x:v>536741</x:v>
      </x:c>
      <x:c r="O2654" t="n">
        <x:v>536741</x:v>
      </x:c>
    </x:row>
    <x:row r="2655">
      <x:c r="A2655" t="str">
        <x:v>Telangana</x:v>
      </x:c>
      <x:c r="B2655" t="str">
        <x:v>All India except Central University</x:v>
      </x:c>
      <x:c r="C2655" t="str">
        <x:v>200455</x:v>
      </x:c>
      <x:c r="D2655" t="str">
        <x:v>Rajiv Gandhi Institute of Medical Sciences, adilabad, MAIN ROAD, OLD NH 07, ADILABAD TOWN ADILABAD DISTRICT, TELANGANA STATE-504001</x:v>
      </x:c>
      <x:c r="E2655" t="str">
        <x:v>All India</x:v>
      </x:c>
      <x:c r="F2655" t="str">
        <x:v>Open</x:v>
      </x:c>
      <x:c r="G2655" t="n">
        <x:v>8</x:v>
      </x:c>
      <x:c r="H2655" t="n">
        <x:v>8</x:v>
      </x:c>
      <x:c r="I2655" t="n">
        <x:f>G2655-H2655</x:f>
        <x:v>0</x:v>
      </x:c>
      <x:c r="J2655" s="20" t="n">
        <x:f>IFERROR(H2655/G2655,0)</x:f>
        <x:v>1</x:v>
      </x:c>
      <x:c r="K2655" t="n">
        <x:v>12603</x:v>
      </x:c>
      <x:c r="L2655" t="n">
        <x:v>13405.5</x:v>
      </x:c>
      <x:c r="M2655" t="n">
        <x:v>14609.5</x:v>
      </x:c>
      <x:c r="N2655" t="n">
        <x:v>15013.5</x:v>
      </x:c>
      <x:c r="O2655" t="n">
        <x:v>16059</x:v>
      </x:c>
    </x:row>
    <x:row r="2656">
      <x:c r="A2656" t="str">
        <x:v>Telangana</x:v>
      </x:c>
      <x:c r="B2656" t="str">
        <x:v>All India except Central University</x:v>
      </x:c>
      <x:c r="C2656" t="str">
        <x:v>200455</x:v>
      </x:c>
      <x:c r="D2656" t="str">
        <x:v>Rajiv Gandhi Institute of Medical Sciences, adilabad, MAIN ROAD, OLD NH 07, ADILABAD TOWN ADILABAD DISTRICT, TELANGANA STATE-504001</x:v>
      </x:c>
      <x:c r="E2656" t="str">
        <x:v>All India</x:v>
      </x:c>
      <x:c r="F2656" t="str">
        <x:v>SC</x:v>
      </x:c>
      <x:c r="G2656" t="n">
        <x:v>3</x:v>
      </x:c>
      <x:c r="H2656" t="n">
        <x:v>3</x:v>
      </x:c>
      <x:c r="I2656" t="n">
        <x:f>G2656-H2656</x:f>
        <x:v>0</x:v>
      </x:c>
      <x:c r="J2656" s="20" t="n">
        <x:f>IFERROR(H2656/G2656,0)</x:f>
        <x:v>1</x:v>
      </x:c>
      <x:c r="K2656" t="n">
        <x:v>72025</x:v>
      </x:c>
      <x:c r="L2656" t="n">
        <x:v>73305.5</x:v>
      </x:c>
      <x:c r="M2656" t="n">
        <x:v>74586</x:v>
      </x:c>
      <x:c r="N2656" t="n">
        <x:v>75701.5</x:v>
      </x:c>
      <x:c r="O2656" t="n">
        <x:v>76817</x:v>
      </x:c>
    </x:row>
    <x:row r="2657">
      <x:c r="A2657" t="str">
        <x:v>Telangana</x:v>
      </x:c>
      <x:c r="B2657" t="str">
        <x:v>All India except Central University</x:v>
      </x:c>
      <x:c r="C2657" t="str">
        <x:v>200455</x:v>
      </x:c>
      <x:c r="D2657" t="str">
        <x:v>Rajiv Gandhi Institute of Medical Sciences, adilabad, MAIN ROAD, OLD NH 07, ADILABAD TOWN ADILABAD DISTRICT, TELANGANA STATE-504001</x:v>
      </x:c>
      <x:c r="E2657" t="str">
        <x:v>All India</x:v>
      </x:c>
      <x:c r="F2657" t="str">
        <x:v>ST</x:v>
      </x:c>
      <x:c r="G2657" t="n">
        <x:v>1</x:v>
      </x:c>
      <x:c r="H2657" t="n">
        <x:v>1</x:v>
      </x:c>
      <x:c r="I2657" t="n">
        <x:f>G2657-H2657</x:f>
        <x:v>0</x:v>
      </x:c>
      <x:c r="J2657" s="20" t="n">
        <x:f>IFERROR(H2657/G2657,0)</x:f>
        <x:v>1</x:v>
      </x:c>
      <x:c r="K2657" t="n">
        <x:v>63365</x:v>
      </x:c>
      <x:c r="L2657" t="n">
        <x:v>63365</x:v>
      </x:c>
      <x:c r="M2657" t="n">
        <x:v>63365</x:v>
      </x:c>
      <x:c r="N2657" t="n">
        <x:v>63365</x:v>
      </x:c>
      <x:c r="O2657" t="n">
        <x:v>63365</x:v>
      </x:c>
    </x:row>
    <x:row r="2658">
      <x:c r="A2658" t="str">
        <x:v>Maharashtra</x:v>
      </x:c>
      <x:c r="B2658" t="str">
        <x:v>All India except Central University</x:v>
      </x:c>
      <x:c r="C2658" t="str">
        <x:v>200224</x:v>
      </x:c>
      <x:c r="D2658" t="str">
        <x:v>Rajiv Gandhi Medical College and Chhatrapati Shivaji Maharaj Hospital, Thane, THANE BELAPUR ROAD KALWA THANE WEST</x:v>
      </x:c>
      <x:c r="E2658" t="str">
        <x:v>All India</x:v>
      </x:c>
      <x:c r="F2658" t="str">
        <x:v>EWS</x:v>
      </x:c>
      <x:c r="G2658" t="n">
        <x:v>1</x:v>
      </x:c>
      <x:c r="H2658" t="n">
        <x:v>1</x:v>
      </x:c>
      <x:c r="I2658" t="n">
        <x:f>G2658-H2658</x:f>
        <x:v>0</x:v>
      </x:c>
      <x:c r="J2658" s="20" t="n">
        <x:f>IFERROR(H2658/G2658,0)</x:f>
        <x:v>1</x:v>
      </x:c>
      <x:c r="K2658" t="n">
        <x:v>8099</x:v>
      </x:c>
      <x:c r="L2658" t="n">
        <x:v>8099</x:v>
      </x:c>
      <x:c r="M2658" t="n">
        <x:v>8099</x:v>
      </x:c>
      <x:c r="N2658" t="n">
        <x:v>8099</x:v>
      </x:c>
      <x:c r="O2658" t="n">
        <x:v>8099</x:v>
      </x:c>
    </x:row>
    <x:row r="2659">
      <x:c r="A2659" t="str">
        <x:v>Maharashtra</x:v>
      </x:c>
      <x:c r="B2659" t="str">
        <x:v>All India except Central University</x:v>
      </x:c>
      <x:c r="C2659" t="str">
        <x:v>200224</x:v>
      </x:c>
      <x:c r="D2659" t="str">
        <x:v>Rajiv Gandhi Medical College and Chhatrapati Shivaji Maharaj Hospital, Thane, THANE BELAPUR ROAD KALWA THANE WEST</x:v>
      </x:c>
      <x:c r="E2659" t="str">
        <x:v>All India</x:v>
      </x:c>
      <x:c r="F2659" t="str">
        <x:v>OBC</x:v>
      </x:c>
      <x:c r="G2659" t="n">
        <x:v>5</x:v>
      </x:c>
      <x:c r="H2659" t="n">
        <x:v>5</x:v>
      </x:c>
      <x:c r="I2659" t="n">
        <x:f>G2659-H2659</x:f>
        <x:v>0</x:v>
      </x:c>
      <x:c r="J2659" s="20" t="n">
        <x:f>IFERROR(H2659/G2659,0)</x:f>
        <x:v>1</x:v>
      </x:c>
      <x:c r="K2659" t="n">
        <x:v>7222</x:v>
      </x:c>
      <x:c r="L2659" t="n">
        <x:v>7533</x:v>
      </x:c>
      <x:c r="M2659" t="n">
        <x:v>7828</x:v>
      </x:c>
      <x:c r="N2659" t="n">
        <x:v>7886</x:v>
      </x:c>
      <x:c r="O2659" t="n">
        <x:v>8010</x:v>
      </x:c>
    </x:row>
    <x:row r="2660">
      <x:c r="A2660" t="str">
        <x:v>Maharashtra</x:v>
      </x:c>
      <x:c r="B2660" t="str">
        <x:v>All India except Central University</x:v>
      </x:c>
      <x:c r="C2660" t="str">
        <x:v>200224</x:v>
      </x:c>
      <x:c r="D2660" t="str">
        <x:v>Rajiv Gandhi Medical College and Chhatrapati Shivaji Maharaj Hospital, Thane, THANE BELAPUR ROAD KALWA THANE WEST</x:v>
      </x:c>
      <x:c r="E2660" t="str">
        <x:v>All India</x:v>
      </x:c>
      <x:c r="F2660" t="str">
        <x:v>Open</x:v>
      </x:c>
      <x:c r="G2660" t="n">
        <x:v>6</x:v>
      </x:c>
      <x:c r="H2660" t="n">
        <x:v>6</x:v>
      </x:c>
      <x:c r="I2660" t="n">
        <x:f>G2660-H2660</x:f>
        <x:v>0</x:v>
      </x:c>
      <x:c r="J2660" s="20" t="n">
        <x:f>IFERROR(H2660/G2660,0)</x:f>
        <x:v>1</x:v>
      </x:c>
      <x:c r="K2660" t="n">
        <x:v>4324</x:v>
      </x:c>
      <x:c r="L2660" t="n">
        <x:v>4834.5</x:v>
      </x:c>
      <x:c r="M2660" t="n">
        <x:v>5422</x:v>
      </x:c>
      <x:c r="N2660" t="n">
        <x:v>5525.75</x:v>
      </x:c>
      <x:c r="O2660" t="n">
        <x:v>5777</x:v>
      </x:c>
    </x:row>
    <x:row r="2661">
      <x:c r="A2661" t="str">
        <x:v>Maharashtra</x:v>
      </x:c>
      <x:c r="B2661" t="str">
        <x:v>All India except Central University</x:v>
      </x:c>
      <x:c r="C2661" t="str">
        <x:v>200224</x:v>
      </x:c>
      <x:c r="D2661" t="str">
        <x:v>Rajiv Gandhi Medical College and Chhatrapati Shivaji Maharaj Hospital, Thane, THANE BELAPUR ROAD KALWA THANE WEST</x:v>
      </x:c>
      <x:c r="E2661" t="str">
        <x:v>All India</x:v>
      </x:c>
      <x:c r="F2661" t="str">
        <x:v>SC</x:v>
      </x:c>
      <x:c r="G2661" t="n">
        <x:v>2</x:v>
      </x:c>
      <x:c r="H2661" t="n">
        <x:v>2</x:v>
      </x:c>
      <x:c r="I2661" t="n">
        <x:f>G2661-H2661</x:f>
        <x:v>0</x:v>
      </x:c>
      <x:c r="J2661" s="20" t="n">
        <x:f>IFERROR(H2661/G2661,0)</x:f>
        <x:v>1</x:v>
      </x:c>
      <x:c r="K2661" t="n">
        <x:v>45599</x:v>
      </x:c>
      <x:c r="L2661" t="n">
        <x:v>47090.75</x:v>
      </x:c>
      <x:c r="M2661" t="n">
        <x:v>48582.5</x:v>
      </x:c>
      <x:c r="N2661" t="n">
        <x:v>50074.25</x:v>
      </x:c>
      <x:c r="O2661" t="n">
        <x:v>51566</x:v>
      </x:c>
    </x:row>
    <x:row r="2662">
      <x:c r="A2662" t="str">
        <x:v>Maharashtra</x:v>
      </x:c>
      <x:c r="B2662" t="str">
        <x:v>All India except Central University</x:v>
      </x:c>
      <x:c r="C2662" t="str">
        <x:v>200224</x:v>
      </x:c>
      <x:c r="D2662" t="str">
        <x:v>Rajiv Gandhi Medical College and Chhatrapati Shivaji Maharaj Hospital, Thane, THANE BELAPUR ROAD KALWA THANE WEST</x:v>
      </x:c>
      <x:c r="E2662" t="str">
        <x:v>All India</x:v>
      </x:c>
      <x:c r="F2662" t="str">
        <x:v>ST</x:v>
      </x:c>
      <x:c r="G2662" t="n">
        <x:v>1</x:v>
      </x:c>
      <x:c r="H2662" t="n">
        <x:v>1</x:v>
      </x:c>
      <x:c r="I2662" t="n">
        <x:f>G2662-H2662</x:f>
        <x:v>0</x:v>
      </x:c>
      <x:c r="J2662" s="20" t="n">
        <x:f>IFERROR(H2662/G2662,0)</x:f>
        <x:v>1</x:v>
      </x:c>
      <x:c r="K2662" t="n">
        <x:v>66081</x:v>
      </x:c>
      <x:c r="L2662" t="n">
        <x:v>66081</x:v>
      </x:c>
      <x:c r="M2662" t="n">
        <x:v>66081</x:v>
      </x:c>
      <x:c r="N2662" t="n">
        <x:v>66081</x:v>
      </x:c>
      <x:c r="O2662" t="n">
        <x:v>66081</x:v>
      </x:c>
    </x:row>
    <x:row r="2663">
      <x:c r="A2663" t="str">
        <x:v>Uttar Pradesh</x:v>
      </x:c>
      <x:c r="B2663" t="str">
        <x:v>All India except Central University</x:v>
      </x:c>
      <x:c r="C2663" t="str">
        <x:v>200492</x:v>
      </x:c>
      <x:c r="D2663" t="str">
        <x:v>Rajkiya Allopathic Medical College, Bahraich, UP, K.D.C Road Bahraich-271801</x:v>
      </x:c>
      <x:c r="E2663" t="str">
        <x:v>All India</x:v>
      </x:c>
      <x:c r="F2663" t="str">
        <x:v>EWS</x:v>
      </x:c>
      <x:c r="G2663" t="n">
        <x:v>1</x:v>
      </x:c>
      <x:c r="H2663" t="n">
        <x:v>1</x:v>
      </x:c>
      <x:c r="I2663" t="n">
        <x:f>G2663-H2663</x:f>
        <x:v>0</x:v>
      </x:c>
      <x:c r="J2663" s="20" t="n">
        <x:f>IFERROR(H2663/G2663,0)</x:f>
        <x:v>1</x:v>
      </x:c>
      <x:c r="K2663" t="n">
        <x:v>14344</x:v>
      </x:c>
      <x:c r="L2663" t="n">
        <x:v>14344</x:v>
      </x:c>
      <x:c r="M2663" t="n">
        <x:v>14344</x:v>
      </x:c>
      <x:c r="N2663" t="n">
        <x:v>14344</x:v>
      </x:c>
      <x:c r="O2663" t="n">
        <x:v>14344</x:v>
      </x:c>
    </x:row>
    <x:row r="2664">
      <x:c r="A2664" t="str">
        <x:v>Uttar Pradesh</x:v>
      </x:c>
      <x:c r="B2664" t="str">
        <x:v>All India except Central University</x:v>
      </x:c>
      <x:c r="C2664" t="str">
        <x:v>200492</x:v>
      </x:c>
      <x:c r="D2664" t="str">
        <x:v>Rajkiya Allopathic Medical College, Bahraich, UP, K.D.C Road Bahraich-271801</x:v>
      </x:c>
      <x:c r="E2664" t="str">
        <x:v>All India</x:v>
      </x:c>
      <x:c r="F2664" t="str">
        <x:v>OBC</x:v>
      </x:c>
      <x:c r="G2664" t="n">
        <x:v>5</x:v>
      </x:c>
      <x:c r="H2664" t="n">
        <x:v>5</x:v>
      </x:c>
      <x:c r="I2664" t="n">
        <x:f>G2664-H2664</x:f>
        <x:v>0</x:v>
      </x:c>
      <x:c r="J2664" s="20" t="n">
        <x:f>IFERROR(H2664/G2664,0)</x:f>
        <x:v>1</x:v>
      </x:c>
      <x:c r="K2664" t="n">
        <x:v>12317</x:v>
      </x:c>
      <x:c r="L2664" t="n">
        <x:v>12550</x:v>
      </x:c>
      <x:c r="M2664" t="n">
        <x:v>12553</x:v>
      </x:c>
      <x:c r="N2664" t="n">
        <x:v>12942</x:v>
      </x:c>
      <x:c r="O2664" t="n">
        <x:v>13124</x:v>
      </x:c>
    </x:row>
    <x:row r="2665">
      <x:c r="A2665" t="str">
        <x:v>Uttar Pradesh</x:v>
      </x:c>
      <x:c r="B2665" t="str">
        <x:v>All India except Central University</x:v>
      </x:c>
      <x:c r="C2665" t="str">
        <x:v>200492</x:v>
      </x:c>
      <x:c r="D2665" t="str">
        <x:v>Rajkiya Allopathic Medical College, Bahraich, UP, K.D.C Road Bahraich-271801</x:v>
      </x:c>
      <x:c r="E2665" t="str">
        <x:v>All India</x:v>
      </x:c>
      <x:c r="F2665" t="str">
        <x:v>Open</x:v>
      </x:c>
      <x:c r="G2665" t="n">
        <x:v>5</x:v>
      </x:c>
      <x:c r="H2665" t="n">
        <x:v>5</x:v>
      </x:c>
      <x:c r="I2665" t="n">
        <x:f>G2665-H2665</x:f>
        <x:v>0</x:v>
      </x:c>
      <x:c r="J2665" s="20" t="n">
        <x:f>IFERROR(H2665/G2665,0)</x:f>
        <x:v>1</x:v>
      </x:c>
      <x:c r="K2665" t="n">
        <x:v>9436</x:v>
      </x:c>
      <x:c r="L2665" t="n">
        <x:v>11243</x:v>
      </x:c>
      <x:c r="M2665" t="n">
        <x:v>11358</x:v>
      </x:c>
      <x:c r="N2665" t="n">
        <x:v>12088</x:v>
      </x:c>
      <x:c r="O2665" t="n">
        <x:v>12179</x:v>
      </x:c>
    </x:row>
    <x:row r="2666">
      <x:c r="A2666" t="str">
        <x:v>Uttar Pradesh</x:v>
      </x:c>
      <x:c r="B2666" t="str">
        <x:v>All India except Central University</x:v>
      </x:c>
      <x:c r="C2666" t="str">
        <x:v>200492</x:v>
      </x:c>
      <x:c r="D2666" t="str">
        <x:v>Rajkiya Allopathic Medical College, Bahraich, UP, K.D.C Road Bahraich-271801</x:v>
      </x:c>
      <x:c r="E2666" t="str">
        <x:v>All India</x:v>
      </x:c>
      <x:c r="F2666" t="str">
        <x:v>SC</x:v>
      </x:c>
      <x:c r="G2666" t="n">
        <x:v>2</x:v>
      </x:c>
      <x:c r="H2666" t="n">
        <x:v>2</x:v>
      </x:c>
      <x:c r="I2666" t="n">
        <x:f>G2666-H2666</x:f>
        <x:v>0</x:v>
      </x:c>
      <x:c r="J2666" s="20" t="n">
        <x:f>IFERROR(H2666/G2666,0)</x:f>
        <x:v>1</x:v>
      </x:c>
      <x:c r="K2666" t="n">
        <x:v>74885</x:v>
      </x:c>
      <x:c r="L2666" t="n">
        <x:v>75024.5</x:v>
      </x:c>
      <x:c r="M2666" t="n">
        <x:v>75164</x:v>
      </x:c>
      <x:c r="N2666" t="n">
        <x:v>75303.5</x:v>
      </x:c>
      <x:c r="O2666" t="n">
        <x:v>75443</x:v>
      </x:c>
    </x:row>
    <x:row r="2667">
      <x:c r="A2667" t="str">
        <x:v>Uttar Pradesh</x:v>
      </x:c>
      <x:c r="B2667" t="str">
        <x:v>All India except Central University</x:v>
      </x:c>
      <x:c r="C2667" t="str">
        <x:v>200492</x:v>
      </x:c>
      <x:c r="D2667" t="str">
        <x:v>Rajkiya Allopathic Medical College, Bahraich, UP, K.D.C Road Bahraich-271801</x:v>
      </x:c>
      <x:c r="E2667" t="str">
        <x:v>All India</x:v>
      </x:c>
      <x:c r="F2667" t="str">
        <x:v>ST</x:v>
      </x:c>
      <x:c r="G2667" t="n">
        <x:v>2</x:v>
      </x:c>
      <x:c r="H2667" t="n">
        <x:v>2</x:v>
      </x:c>
      <x:c r="I2667" t="n">
        <x:f>G2667-H2667</x:f>
        <x:v>0</x:v>
      </x:c>
      <x:c r="J2667" s="20" t="n">
        <x:f>IFERROR(H2667/G2667,0)</x:f>
        <x:v>1</x:v>
      </x:c>
      <x:c r="K2667" t="n">
        <x:v>87744</x:v>
      </x:c>
      <x:c r="L2667" t="n">
        <x:v>91406.5</x:v>
      </x:c>
      <x:c r="M2667" t="n">
        <x:v>95069</x:v>
      </x:c>
      <x:c r="N2667" t="n">
        <x:v>98731.5</x:v>
      </x:c>
      <x:c r="O2667" t="n">
        <x:v>102394</x:v>
      </x:c>
    </x:row>
    <x:row r="2668">
      <x:c r="A2668" t="str">
        <x:v>Uttar Pradesh</x:v>
      </x:c>
      <x:c r="B2668" t="str">
        <x:v>All India except Central University</x:v>
      </x:c>
      <x:c r="C2668" t="str">
        <x:v>200291</x:v>
      </x:c>
      <x:c r="D2668" t="str">
        <x:v>Rajkiya Medical College Jalaun, Orai, Uttar Pradesh, Kalpi Road Orai Jalaun</x:v>
      </x:c>
      <x:c r="E2668" t="str">
        <x:v>All India</x:v>
      </x:c>
      <x:c r="F2668" t="str">
        <x:v>EWS</x:v>
      </x:c>
      <x:c r="G2668" t="n">
        <x:v>1</x:v>
      </x:c>
      <x:c r="H2668" t="n">
        <x:v>1</x:v>
      </x:c>
      <x:c r="I2668" t="n">
        <x:f>G2668-H2668</x:f>
        <x:v>0</x:v>
      </x:c>
      <x:c r="J2668" s="20" t="n">
        <x:f>IFERROR(H2668/G2668,0)</x:f>
        <x:v>1</x:v>
      </x:c>
      <x:c r="K2668" t="n">
        <x:v>13184</x:v>
      </x:c>
      <x:c r="L2668" t="n">
        <x:v>13184</x:v>
      </x:c>
      <x:c r="M2668" t="n">
        <x:v>13184</x:v>
      </x:c>
      <x:c r="N2668" t="n">
        <x:v>13184</x:v>
      </x:c>
      <x:c r="O2668" t="n">
        <x:v>13184</x:v>
      </x:c>
    </x:row>
    <x:row r="2669">
      <x:c r="A2669" t="str">
        <x:v>Uttar Pradesh</x:v>
      </x:c>
      <x:c r="B2669" t="str">
        <x:v>All India except Central University</x:v>
      </x:c>
      <x:c r="C2669" t="str">
        <x:v>200291</x:v>
      </x:c>
      <x:c r="D2669" t="str">
        <x:v>Rajkiya Medical College Jalaun, Orai, Uttar Pradesh, Kalpi Road Orai Jalaun</x:v>
      </x:c>
      <x:c r="E2669" t="str">
        <x:v>All India</x:v>
      </x:c>
      <x:c r="F2669" t="str">
        <x:v>EWS PwD</x:v>
      </x:c>
      <x:c r="G2669" t="n">
        <x:v>1</x:v>
      </x:c>
      <x:c r="H2669" t="n">
        <x:v>1</x:v>
      </x:c>
      <x:c r="I2669" t="n">
        <x:f>G2669-H2669</x:f>
        <x:v>0</x:v>
      </x:c>
      <x:c r="J2669" s="20" t="n">
        <x:f>IFERROR(H2669/G2669,0)</x:f>
        <x:v>1</x:v>
      </x:c>
      <x:c r="K2669" t="n">
        <x:v>660365</x:v>
      </x:c>
      <x:c r="L2669" t="n">
        <x:v>660365</x:v>
      </x:c>
      <x:c r="M2669" t="n">
        <x:v>660365</x:v>
      </x:c>
      <x:c r="N2669" t="n">
        <x:v>660365</x:v>
      </x:c>
      <x:c r="O2669" t="n">
        <x:v>660365</x:v>
      </x:c>
    </x:row>
    <x:row r="2670">
      <x:c r="A2670" t="str">
        <x:v>Uttar Pradesh</x:v>
      </x:c>
      <x:c r="B2670" t="str">
        <x:v>All India except Central University</x:v>
      </x:c>
      <x:c r="C2670" t="str">
        <x:v>200291</x:v>
      </x:c>
      <x:c r="D2670" t="str">
        <x:v>Rajkiya Medical College Jalaun, Orai, Uttar Pradesh, Kalpi Road Orai Jalaun</x:v>
      </x:c>
      <x:c r="E2670" t="str">
        <x:v>All India</x:v>
      </x:c>
      <x:c r="F2670" t="str">
        <x:v>OBC</x:v>
      </x:c>
      <x:c r="G2670" t="n">
        <x:v>4</x:v>
      </x:c>
      <x:c r="H2670" t="n">
        <x:v>4</x:v>
      </x:c>
      <x:c r="I2670" t="n">
        <x:f>G2670-H2670</x:f>
        <x:v>0</x:v>
      </x:c>
      <x:c r="J2670" s="20" t="n">
        <x:f>IFERROR(H2670/G2670,0)</x:f>
        <x:v>1</x:v>
      </x:c>
      <x:c r="K2670" t="n">
        <x:v>11339</x:v>
      </x:c>
      <x:c r="L2670" t="n">
        <x:v>11635.25</x:v>
      </x:c>
      <x:c r="M2670" t="n">
        <x:v>11849</x:v>
      </x:c>
      <x:c r="N2670" t="n">
        <x:v>11967</x:v>
      </x:c>
      <x:c r="O2670" t="n">
        <x:v>11976</x:v>
      </x:c>
    </x:row>
    <x:row r="2671">
      <x:c r="A2671" t="str">
        <x:v>Uttar Pradesh</x:v>
      </x:c>
      <x:c r="B2671" t="str">
        <x:v>All India except Central University</x:v>
      </x:c>
      <x:c r="C2671" t="str">
        <x:v>200291</x:v>
      </x:c>
      <x:c r="D2671" t="str">
        <x:v>Rajkiya Medical College Jalaun, Orai, Uttar Pradesh, Kalpi Road Orai Jalaun</x:v>
      </x:c>
      <x:c r="E2671" t="str">
        <x:v>All India</x:v>
      </x:c>
      <x:c r="F2671" t="str">
        <x:v>Open</x:v>
      </x:c>
      <x:c r="G2671" t="n">
        <x:v>5</x:v>
      </x:c>
      <x:c r="H2671" t="n">
        <x:v>5</x:v>
      </x:c>
      <x:c r="I2671" t="n">
        <x:f>G2671-H2671</x:f>
        <x:v>0</x:v>
      </x:c>
      <x:c r="J2671" s="20" t="n">
        <x:f>IFERROR(H2671/G2671,0)</x:f>
        <x:v>1</x:v>
      </x:c>
      <x:c r="K2671" t="n">
        <x:v>10458</x:v>
      </x:c>
      <x:c r="L2671" t="n">
        <x:v>10599</x:v>
      </x:c>
      <x:c r="M2671" t="n">
        <x:v>10700</x:v>
      </x:c>
      <x:c r="N2671" t="n">
        <x:v>10868</x:v>
      </x:c>
      <x:c r="O2671" t="n">
        <x:v>11184</x:v>
      </x:c>
    </x:row>
    <x:row r="2672">
      <x:c r="A2672" t="str">
        <x:v>Uttar Pradesh</x:v>
      </x:c>
      <x:c r="B2672" t="str">
        <x:v>All India except Central University</x:v>
      </x:c>
      <x:c r="C2672" t="str">
        <x:v>200291</x:v>
      </x:c>
      <x:c r="D2672" t="str">
        <x:v>Rajkiya Medical College Jalaun, Orai, Uttar Pradesh, Kalpi Road Orai Jalaun</x:v>
      </x:c>
      <x:c r="E2672" t="str">
        <x:v>All India</x:v>
      </x:c>
      <x:c r="F2672" t="str">
        <x:v>Open PwD</x:v>
      </x:c>
      <x:c r="G2672" t="n">
        <x:v>1</x:v>
      </x:c>
      <x:c r="H2672" t="n">
        <x:v>1</x:v>
      </x:c>
      <x:c r="I2672" t="n">
        <x:f>G2672-H2672</x:f>
        <x:v>0</x:v>
      </x:c>
      <x:c r="J2672" s="20" t="n">
        <x:f>IFERROR(H2672/G2672,0)</x:f>
        <x:v>1</x:v>
      </x:c>
      <x:c r="K2672" t="n">
        <x:v>474361</x:v>
      </x:c>
      <x:c r="L2672" t="n">
        <x:v>474361</x:v>
      </x:c>
      <x:c r="M2672" t="n">
        <x:v>474361</x:v>
      </x:c>
      <x:c r="N2672" t="n">
        <x:v>474361</x:v>
      </x:c>
      <x:c r="O2672" t="n">
        <x:v>474361</x:v>
      </x:c>
    </x:row>
    <x:row r="2673">
      <x:c r="A2673" t="str">
        <x:v>Uttar Pradesh</x:v>
      </x:c>
      <x:c r="B2673" t="str">
        <x:v>All India except Central University</x:v>
      </x:c>
      <x:c r="C2673" t="str">
        <x:v>200291</x:v>
      </x:c>
      <x:c r="D2673" t="str">
        <x:v>Rajkiya Medical College Jalaun, Orai, Uttar Pradesh, Kalpi Road Orai Jalaun</x:v>
      </x:c>
      <x:c r="E2673" t="str">
        <x:v>All India</x:v>
      </x:c>
      <x:c r="F2673" t="str">
        <x:v>SC</x:v>
      </x:c>
      <x:c r="G2673" t="n">
        <x:v>2</x:v>
      </x:c>
      <x:c r="H2673" t="n">
        <x:v>2</x:v>
      </x:c>
      <x:c r="I2673" t="n">
        <x:f>G2673-H2673</x:f>
        <x:v>0</x:v>
      </x:c>
      <x:c r="J2673" s="20" t="n">
        <x:f>IFERROR(H2673/G2673,0)</x:f>
        <x:v>1</x:v>
      </x:c>
      <x:c r="K2673" t="n">
        <x:v>58448</x:v>
      </x:c>
      <x:c r="L2673" t="n">
        <x:v>58542.25</x:v>
      </x:c>
      <x:c r="M2673" t="n">
        <x:v>58636.5</x:v>
      </x:c>
      <x:c r="N2673" t="n">
        <x:v>58730.75</x:v>
      </x:c>
      <x:c r="O2673" t="n">
        <x:v>58825</x:v>
      </x:c>
    </x:row>
    <x:row r="2674">
      <x:c r="A2674" t="str">
        <x:v>Uttar Pradesh</x:v>
      </x:c>
      <x:c r="B2674" t="str">
        <x:v>All India except Central University</x:v>
      </x:c>
      <x:c r="C2674" t="str">
        <x:v>200291</x:v>
      </x:c>
      <x:c r="D2674" t="str">
        <x:v>Rajkiya Medical College Jalaun, Orai, Uttar Pradesh, Kalpi Road Orai Jalaun</x:v>
      </x:c>
      <x:c r="E2674" t="str">
        <x:v>All India</x:v>
      </x:c>
      <x:c r="F2674" t="str">
        <x:v>ST</x:v>
      </x:c>
      <x:c r="G2674" t="n">
        <x:v>1</x:v>
      </x:c>
      <x:c r="H2674" t="n">
        <x:v>1</x:v>
      </x:c>
      <x:c r="I2674" t="n">
        <x:f>G2674-H2674</x:f>
        <x:v>0</x:v>
      </x:c>
      <x:c r="J2674" s="20" t="n">
        <x:f>IFERROR(H2674/G2674,0)</x:f>
        <x:v>1</x:v>
      </x:c>
      <x:c r="K2674" t="n">
        <x:v>93248</x:v>
      </x:c>
      <x:c r="L2674" t="n">
        <x:v>93248</x:v>
      </x:c>
      <x:c r="M2674" t="n">
        <x:v>93248</x:v>
      </x:c>
      <x:c r="N2674" t="n">
        <x:v>93248</x:v>
      </x:c>
      <x:c r="O2674" t="n">
        <x:v>93248</x:v>
      </x:c>
    </x:row>
    <x:row r="2675">
      <x:c r="A2675" t="str">
        <x:v>Chhattisgarh</x:v>
      </x:c>
      <x:c r="B2675" t="str">
        <x:v>All India except Central University</x:v>
      </x:c>
      <x:c r="C2675" t="str">
        <x:v>200121</x:v>
      </x:c>
      <x:c r="D2675" t="str">
        <x:v>Rajmata Shrimata Devendra Kumari Singhdeo Government Medical College, Ambikapur (Surguja), Chhattisgarh, Kanyaparisar Road Gangapur Ambikapur District Surguja</x:v>
      </x:c>
      <x:c r="E2675" t="str">
        <x:v>All India</x:v>
      </x:c>
      <x:c r="F2675" t="str">
        <x:v>EWS</x:v>
      </x:c>
      <x:c r="G2675" t="n">
        <x:v>2</x:v>
      </x:c>
      <x:c r="H2675" t="n">
        <x:v>2</x:v>
      </x:c>
      <x:c r="I2675" t="n">
        <x:f>G2675-H2675</x:f>
        <x:v>0</x:v>
      </x:c>
      <x:c r="J2675" s="20" t="n">
        <x:f>IFERROR(H2675/G2675,0)</x:f>
        <x:v>1</x:v>
      </x:c>
      <x:c r="K2675" t="n">
        <x:v>17583</x:v>
      </x:c>
      <x:c r="L2675" t="n">
        <x:v>17651.25</x:v>
      </x:c>
      <x:c r="M2675" t="n">
        <x:v>17719.5</x:v>
      </x:c>
      <x:c r="N2675" t="n">
        <x:v>17787.75</x:v>
      </x:c>
      <x:c r="O2675" t="n">
        <x:v>17856</x:v>
      </x:c>
    </x:row>
    <x:row r="2676">
      <x:c r="A2676" t="str">
        <x:v>Chhattisgarh</x:v>
      </x:c>
      <x:c r="B2676" t="str">
        <x:v>All India except Central University</x:v>
      </x:c>
      <x:c r="C2676" t="str">
        <x:v>200121</x:v>
      </x:c>
      <x:c r="D2676" t="str">
        <x:v>Rajmata Shrimata Devendra Kumari Singhdeo Government Medical College, Ambikapur (Surguja), Chhattisgarh, Kanyaparisar Road Gangapur Ambikapur District Surguja</x:v>
      </x:c>
      <x:c r="E2676" t="str">
        <x:v>All India</x:v>
      </x:c>
      <x:c r="F2676" t="str">
        <x:v>OBC</x:v>
      </x:c>
      <x:c r="G2676" t="n">
        <x:v>5</x:v>
      </x:c>
      <x:c r="H2676" t="n">
        <x:v>5</x:v>
      </x:c>
      <x:c r="I2676" t="n">
        <x:f>G2676-H2676</x:f>
        <x:v>0</x:v>
      </x:c>
      <x:c r="J2676" s="20" t="n">
        <x:f>IFERROR(H2676/G2676,0)</x:f>
        <x:v>1</x:v>
      </x:c>
      <x:c r="K2676" t="n">
        <x:v>17522</x:v>
      </x:c>
      <x:c r="L2676" t="n">
        <x:v>17950</x:v>
      </x:c>
      <x:c r="M2676" t="n">
        <x:v>18102</x:v>
      </x:c>
      <x:c r="N2676" t="n">
        <x:v>18238</x:v>
      </x:c>
      <x:c r="O2676" t="n">
        <x:v>18294</x:v>
      </x:c>
    </x:row>
    <x:row r="2677">
      <x:c r="A2677" t="str">
        <x:v>Chhattisgarh</x:v>
      </x:c>
      <x:c r="B2677" t="str">
        <x:v>All India except Central University</x:v>
      </x:c>
      <x:c r="C2677" t="str">
        <x:v>200121</x:v>
      </x:c>
      <x:c r="D2677" t="str">
        <x:v>Rajmata Shrimata Devendra Kumari Singhdeo Government Medical College, Ambikapur (Surguja), Chhattisgarh, Kanyaparisar Road Gangapur Ambikapur District Surguja</x:v>
      </x:c>
      <x:c r="E2677" t="str">
        <x:v>All India</x:v>
      </x:c>
      <x:c r="F2677" t="str">
        <x:v>Open</x:v>
      </x:c>
      <x:c r="G2677" t="n">
        <x:v>8</x:v>
      </x:c>
      <x:c r="H2677" t="n">
        <x:v>8</x:v>
      </x:c>
      <x:c r="I2677" t="n">
        <x:f>G2677-H2677</x:f>
        <x:v>0</x:v>
      </x:c>
      <x:c r="J2677" s="20" t="n">
        <x:f>IFERROR(H2677/G2677,0)</x:f>
        <x:v>1</x:v>
      </x:c>
      <x:c r="K2677" t="n">
        <x:v>14592</x:v>
      </x:c>
      <x:c r="L2677" t="n">
        <x:v>14987.5</x:v>
      </x:c>
      <x:c r="M2677" t="n">
        <x:v>16763</x:v>
      </x:c>
      <x:c r="N2677" t="n">
        <x:v>16990</x:v>
      </x:c>
      <x:c r="O2677" t="n">
        <x:v>17155</x:v>
      </x:c>
    </x:row>
    <x:row r="2678">
      <x:c r="A2678" t="str">
        <x:v>Chhattisgarh</x:v>
      </x:c>
      <x:c r="B2678" t="str">
        <x:v>All India except Central University</x:v>
      </x:c>
      <x:c r="C2678" t="str">
        <x:v>200121</x:v>
      </x:c>
      <x:c r="D2678" t="str">
        <x:v>Rajmata Shrimata Devendra Kumari Singhdeo Government Medical College, Ambikapur (Surguja), Chhattisgarh, Kanyaparisar Road Gangapur Ambikapur District Surguja</x:v>
      </x:c>
      <x:c r="E2678" t="str">
        <x:v>All India</x:v>
      </x:c>
      <x:c r="F2678" t="str">
        <x:v>SC</x:v>
      </x:c>
      <x:c r="G2678" t="n">
        <x:v>2</x:v>
      </x:c>
      <x:c r="H2678" t="n">
        <x:v>2</x:v>
      </x:c>
      <x:c r="I2678" t="n">
        <x:f>G2678-H2678</x:f>
        <x:v>0</x:v>
      </x:c>
      <x:c r="J2678" s="20" t="n">
        <x:f>IFERROR(H2678/G2678,0)</x:f>
        <x:v>1</x:v>
      </x:c>
      <x:c r="K2678" t="n">
        <x:v>75402</x:v>
      </x:c>
      <x:c r="L2678" t="n">
        <x:v>75759</x:v>
      </x:c>
      <x:c r="M2678" t="n">
        <x:v>76116</x:v>
      </x:c>
      <x:c r="N2678" t="n">
        <x:v>76473</x:v>
      </x:c>
      <x:c r="O2678" t="n">
        <x:v>76830</x:v>
      </x:c>
    </x:row>
    <x:row r="2679">
      <x:c r="A2679" t="str">
        <x:v>Chhattisgarh</x:v>
      </x:c>
      <x:c r="B2679" t="str">
        <x:v>All India except Central University</x:v>
      </x:c>
      <x:c r="C2679" t="str">
        <x:v>200121</x:v>
      </x:c>
      <x:c r="D2679" t="str">
        <x:v>Rajmata Shrimata Devendra Kumari Singhdeo Government Medical College, Ambikapur (Surguja), Chhattisgarh, Kanyaparisar Road Gangapur Ambikapur District Surguja</x:v>
      </x:c>
      <x:c r="E2679" t="str">
        <x:v>All India</x:v>
      </x:c>
      <x:c r="F2679" t="str">
        <x:v>ST</x:v>
      </x:c>
      <x:c r="G2679" t="n">
        <x:v>1</x:v>
      </x:c>
      <x:c r="H2679" t="n">
        <x:v>1</x:v>
      </x:c>
      <x:c r="I2679" t="n">
        <x:f>G2679-H2679</x:f>
        <x:v>0</x:v>
      </x:c>
      <x:c r="J2679" s="20" t="n">
        <x:f>IFERROR(H2679/G2679,0)</x:f>
        <x:v>1</x:v>
      </x:c>
      <x:c r="K2679" t="n">
        <x:v>111286</x:v>
      </x:c>
      <x:c r="L2679" t="n">
        <x:v>111286</x:v>
      </x:c>
      <x:c r="M2679" t="n">
        <x:v>111286</x:v>
      </x:c>
      <x:c r="N2679" t="n">
        <x:v>111286</x:v>
      </x:c>
      <x:c r="O2679" t="n">
        <x:v>111286</x:v>
      </x:c>
    </x:row>
    <x:row r="2680">
      <x:c r="A2680" t="str">
        <x:v>West Bengal</x:v>
      </x:c>
      <x:c r="B2680" t="str">
        <x:v>All India except Central University</x:v>
      </x:c>
      <x:c r="C2680" t="str">
        <x:v>200551</x:v>
      </x:c>
      <x:c r="D2680" t="str">
        <x:v>Rampurhat Government Medical College &amp; Hospital, Rampurhat, prinrampurhatgmch@gmail.com</x:v>
      </x:c>
      <x:c r="E2680" t="str">
        <x:v>All India</x:v>
      </x:c>
      <x:c r="F2680" t="str">
        <x:v>EWS</x:v>
      </x:c>
      <x:c r="G2680" t="n">
        <x:v>3</x:v>
      </x:c>
      <x:c r="H2680" t="n">
        <x:v>3</x:v>
      </x:c>
      <x:c r="I2680" t="n">
        <x:f>G2680-H2680</x:f>
        <x:v>0</x:v>
      </x:c>
      <x:c r="J2680" s="20" t="n">
        <x:f>IFERROR(H2680/G2680,0)</x:f>
        <x:v>1</x:v>
      </x:c>
      <x:c r="K2680" t="n">
        <x:v>19853</x:v>
      </x:c>
      <x:c r="L2680" t="n">
        <x:v>20436</x:v>
      </x:c>
      <x:c r="M2680" t="n">
        <x:v>21019</x:v>
      </x:c>
      <x:c r="N2680" t="n">
        <x:v>21038.5</x:v>
      </x:c>
      <x:c r="O2680" t="n">
        <x:v>21058</x:v>
      </x:c>
    </x:row>
    <x:row r="2681">
      <x:c r="A2681" t="str">
        <x:v>West Bengal</x:v>
      </x:c>
      <x:c r="B2681" t="str">
        <x:v>All India except Central University</x:v>
      </x:c>
      <x:c r="C2681" t="str">
        <x:v>200551</x:v>
      </x:c>
      <x:c r="D2681" t="str">
        <x:v>Rampurhat Government Medical College &amp; Hospital, Rampurhat, prinrampurhatgmch@gmail.com</x:v>
      </x:c>
      <x:c r="E2681" t="str">
        <x:v>All India</x:v>
      </x:c>
      <x:c r="F2681" t="str">
        <x:v>OBC</x:v>
      </x:c>
      <x:c r="G2681" t="n">
        <x:v>5</x:v>
      </x:c>
      <x:c r="H2681" t="n">
        <x:v>5</x:v>
      </x:c>
      <x:c r="I2681" t="n">
        <x:f>G2681-H2681</x:f>
        <x:v>0</x:v>
      </x:c>
      <x:c r="J2681" s="20" t="n">
        <x:f>IFERROR(H2681/G2681,0)</x:f>
        <x:v>1</x:v>
      </x:c>
      <x:c r="K2681" t="n">
        <x:v>18333</x:v>
      </x:c>
      <x:c r="L2681" t="n">
        <x:v>18447</x:v>
      </x:c>
      <x:c r="M2681" t="n">
        <x:v>18784</x:v>
      </x:c>
      <x:c r="N2681" t="n">
        <x:v>18895</x:v>
      </x:c>
      <x:c r="O2681" t="n">
        <x:v>19255</x:v>
      </x:c>
    </x:row>
    <x:row r="2682">
      <x:c r="A2682" t="str">
        <x:v>West Bengal</x:v>
      </x:c>
      <x:c r="B2682" t="str">
        <x:v>All India except Central University</x:v>
      </x:c>
      <x:c r="C2682" t="str">
        <x:v>200551</x:v>
      </x:c>
      <x:c r="D2682" t="str">
        <x:v>Rampurhat Government Medical College &amp; Hospital, Rampurhat, prinrampurhatgmch@gmail.com</x:v>
      </x:c>
      <x:c r="E2682" t="str">
        <x:v>All India</x:v>
      </x:c>
      <x:c r="F2682" t="str">
        <x:v>OBC PwD</x:v>
      </x:c>
      <x:c r="G2682" t="n">
        <x:v>1</x:v>
      </x:c>
      <x:c r="H2682" t="n">
        <x:v>1</x:v>
      </x:c>
      <x:c r="I2682" t="n">
        <x:f>G2682-H2682</x:f>
        <x:v>0</x:v>
      </x:c>
      <x:c r="J2682" s="20" t="n">
        <x:f>IFERROR(H2682/G2682,0)</x:f>
        <x:v>1</x:v>
      </x:c>
      <x:c r="K2682" t="n">
        <x:v>706769</x:v>
      </x:c>
      <x:c r="L2682" t="n">
        <x:v>706769</x:v>
      </x:c>
      <x:c r="M2682" t="n">
        <x:v>706769</x:v>
      </x:c>
      <x:c r="N2682" t="n">
        <x:v>706769</x:v>
      </x:c>
      <x:c r="O2682" t="n">
        <x:v>706769</x:v>
      </x:c>
    </x:row>
    <x:row r="2683">
      <x:c r="A2683" t="str">
        <x:v>West Bengal</x:v>
      </x:c>
      <x:c r="B2683" t="str">
        <x:v>All India except Central University</x:v>
      </x:c>
      <x:c r="C2683" t="str">
        <x:v>200551</x:v>
      </x:c>
      <x:c r="D2683" t="str">
        <x:v>Rampurhat Government Medical College &amp; Hospital, Rampurhat, prinrampurhatgmch@gmail.com</x:v>
      </x:c>
      <x:c r="E2683" t="str">
        <x:v>All India</x:v>
      </x:c>
      <x:c r="F2683" t="str">
        <x:v>Open</x:v>
      </x:c>
      <x:c r="G2683" t="n">
        <x:v>7</x:v>
      </x:c>
      <x:c r="H2683" t="n">
        <x:v>7</x:v>
      </x:c>
      <x:c r="I2683" t="n">
        <x:f>G2683-H2683</x:f>
        <x:v>0</x:v>
      </x:c>
      <x:c r="J2683" s="20" t="n">
        <x:f>IFERROR(H2683/G2683,0)</x:f>
        <x:v>1</x:v>
      </x:c>
      <x:c r="K2683" t="n">
        <x:v>14900</x:v>
      </x:c>
      <x:c r="L2683" t="n">
        <x:v>16914.5</x:v>
      </x:c>
      <x:c r="M2683" t="n">
        <x:v>17775</x:v>
      </x:c>
      <x:c r="N2683" t="n">
        <x:v>17965.5</x:v>
      </x:c>
      <x:c r="O2683" t="n">
        <x:v>18214</x:v>
      </x:c>
    </x:row>
    <x:row r="2684">
      <x:c r="A2684" t="str">
        <x:v>West Bengal</x:v>
      </x:c>
      <x:c r="B2684" t="str">
        <x:v>All India except Central University</x:v>
      </x:c>
      <x:c r="C2684" t="str">
        <x:v>200551</x:v>
      </x:c>
      <x:c r="D2684" t="str">
        <x:v>Rampurhat Government Medical College &amp; Hospital, Rampurhat, prinrampurhatgmch@gmail.com</x:v>
      </x:c>
      <x:c r="E2684" t="str">
        <x:v>All India</x:v>
      </x:c>
      <x:c r="F2684" t="str">
        <x:v>Open PwD</x:v>
      </x:c>
      <x:c r="G2684" t="n">
        <x:v>1</x:v>
      </x:c>
      <x:c r="H2684" t="n">
        <x:v>1</x:v>
      </x:c>
      <x:c r="I2684" t="n">
        <x:f>G2684-H2684</x:f>
        <x:v>0</x:v>
      </x:c>
      <x:c r="J2684" s="20" t="n">
        <x:f>IFERROR(H2684/G2684,0)</x:f>
        <x:v>1</x:v>
      </x:c>
      <x:c r="K2684" t="n">
        <x:v>592613</x:v>
      </x:c>
      <x:c r="L2684" t="n">
        <x:v>592613</x:v>
      </x:c>
      <x:c r="M2684" t="n">
        <x:v>592613</x:v>
      </x:c>
      <x:c r="N2684" t="n">
        <x:v>592613</x:v>
      </x:c>
      <x:c r="O2684" t="n">
        <x:v>592613</x:v>
      </x:c>
    </x:row>
    <x:row r="2685">
      <x:c r="A2685" t="str">
        <x:v>West Bengal</x:v>
      </x:c>
      <x:c r="B2685" t="str">
        <x:v>All India except Central University</x:v>
      </x:c>
      <x:c r="C2685" t="str">
        <x:v>200551</x:v>
      </x:c>
      <x:c r="D2685" t="str">
        <x:v>Rampurhat Government Medical College &amp; Hospital, Rampurhat, prinrampurhatgmch@gmail.com</x:v>
      </x:c>
      <x:c r="E2685" t="str">
        <x:v>All India</x:v>
      </x:c>
      <x:c r="F2685" t="str">
        <x:v>SC</x:v>
      </x:c>
      <x:c r="G2685" t="n">
        <x:v>3</x:v>
      </x:c>
      <x:c r="H2685" t="n">
        <x:v>3</x:v>
      </x:c>
      <x:c r="I2685" t="n">
        <x:f>G2685-H2685</x:f>
        <x:v>0</x:v>
      </x:c>
      <x:c r="J2685" s="20" t="n">
        <x:f>IFERROR(H2685/G2685,0)</x:f>
        <x:v>1</x:v>
      </x:c>
      <x:c r="K2685" t="n">
        <x:v>96958</x:v>
      </x:c>
      <x:c r="L2685" t="n">
        <x:v>97113</x:v>
      </x:c>
      <x:c r="M2685" t="n">
        <x:v>97268</x:v>
      </x:c>
      <x:c r="N2685" t="n">
        <x:v>97758</x:v>
      </x:c>
      <x:c r="O2685" t="n">
        <x:v>98248</x:v>
      </x:c>
    </x:row>
    <x:row r="2686">
      <x:c r="A2686" t="str">
        <x:v>West Bengal</x:v>
      </x:c>
      <x:c r="B2686" t="str">
        <x:v>All India except Central University</x:v>
      </x:c>
      <x:c r="C2686" t="str">
        <x:v>200551</x:v>
      </x:c>
      <x:c r="D2686" t="str">
        <x:v>Rampurhat Government Medical College &amp; Hospital, Rampurhat, prinrampurhatgmch@gmail.com</x:v>
      </x:c>
      <x:c r="E2686" t="str">
        <x:v>All India</x:v>
      </x:c>
      <x:c r="F2686" t="str">
        <x:v>ST</x:v>
      </x:c>
      <x:c r="G2686" t="n">
        <x:v>2</x:v>
      </x:c>
      <x:c r="H2686" t="n">
        <x:v>2</x:v>
      </x:c>
      <x:c r="I2686" t="n">
        <x:f>G2686-H2686</x:f>
        <x:v>0</x:v>
      </x:c>
      <x:c r="J2686" s="20" t="n">
        <x:f>IFERROR(H2686/G2686,0)</x:f>
        <x:v>1</x:v>
      </x:c>
      <x:c r="K2686" t="n">
        <x:v>115880</x:v>
      </x:c>
      <x:c r="L2686" t="n">
        <x:v>116633</x:v>
      </x:c>
      <x:c r="M2686" t="n">
        <x:v>117386</x:v>
      </x:c>
      <x:c r="N2686" t="n">
        <x:v>118139</x:v>
      </x:c>
      <x:c r="O2686" t="n">
        <x:v>118892</x:v>
      </x:c>
    </x:row>
    <x:row r="2687">
      <x:c r="A2687" t="str">
        <x:v>Andhra Pradesh</x:v>
      </x:c>
      <x:c r="B2687" t="str">
        <x:v>All India except Central University</x:v>
      </x:c>
      <x:c r="C2687" t="str">
        <x:v>200420</x:v>
      </x:c>
      <x:c r="D2687" t="str">
        <x:v>Rangaraya Medical College, Kakinada, PITHAPURAM ROAD, KAKINADA</x:v>
      </x:c>
      <x:c r="E2687" t="str">
        <x:v>All India</x:v>
      </x:c>
      <x:c r="F2687" t="str">
        <x:v>EWS</x:v>
      </x:c>
      <x:c r="G2687" t="n">
        <x:v>3</x:v>
      </x:c>
      <x:c r="H2687" t="n">
        <x:v>3</x:v>
      </x:c>
      <x:c r="I2687" t="n">
        <x:f>G2687-H2687</x:f>
        <x:v>0</x:v>
      </x:c>
      <x:c r="J2687" s="20" t="n">
        <x:f>IFERROR(H2687/G2687,0)</x:f>
        <x:v>1</x:v>
      </x:c>
      <x:c r="K2687" t="n">
        <x:v>13473</x:v>
      </x:c>
      <x:c r="L2687" t="n">
        <x:v>13999</x:v>
      </x:c>
      <x:c r="M2687" t="n">
        <x:v>14525</x:v>
      </x:c>
      <x:c r="N2687" t="n">
        <x:v>14577</x:v>
      </x:c>
      <x:c r="O2687" t="n">
        <x:v>14629</x:v>
      </x:c>
    </x:row>
    <x:row r="2688">
      <x:c r="A2688" t="str">
        <x:v>Andhra Pradesh</x:v>
      </x:c>
      <x:c r="B2688" t="str">
        <x:v>All India except Central University</x:v>
      </x:c>
      <x:c r="C2688" t="str">
        <x:v>200420</x:v>
      </x:c>
      <x:c r="D2688" t="str">
        <x:v>Rangaraya Medical College, Kakinada, PITHAPURAM ROAD, KAKINADA</x:v>
      </x:c>
      <x:c r="E2688" t="str">
        <x:v>All India</x:v>
      </x:c>
      <x:c r="F2688" t="str">
        <x:v>OBC</x:v>
      </x:c>
      <x:c r="G2688" t="n">
        <x:v>9</x:v>
      </x:c>
      <x:c r="H2688" t="n">
        <x:v>9</x:v>
      </x:c>
      <x:c r="I2688" t="n">
        <x:f>G2688-H2688</x:f>
        <x:v>0</x:v>
      </x:c>
      <x:c r="J2688" s="20" t="n">
        <x:f>IFERROR(H2688/G2688,0)</x:f>
        <x:v>1</x:v>
      </x:c>
      <x:c r="K2688" t="n">
        <x:v>9319</x:v>
      </x:c>
      <x:c r="L2688" t="n">
        <x:v>9491</x:v>
      </x:c>
      <x:c r="M2688" t="n">
        <x:v>9847</x:v>
      </x:c>
      <x:c r="N2688" t="n">
        <x:v>10241</x:v>
      </x:c>
      <x:c r="O2688" t="n">
        <x:v>10900</x:v>
      </x:c>
    </x:row>
    <x:row r="2689">
      <x:c r="A2689" t="str">
        <x:v>Andhra Pradesh</x:v>
      </x:c>
      <x:c r="B2689" t="str">
        <x:v>All India except Central University</x:v>
      </x:c>
      <x:c r="C2689" t="str">
        <x:v>200420</x:v>
      </x:c>
      <x:c r="D2689" t="str">
        <x:v>Rangaraya Medical College, Kakinada, PITHAPURAM ROAD, KAKINADA</x:v>
      </x:c>
      <x:c r="E2689" t="str">
        <x:v>All India</x:v>
      </x:c>
      <x:c r="F2689" t="str">
        <x:v>OBC PwD</x:v>
      </x:c>
      <x:c r="G2689" t="n">
        <x:v>1</x:v>
      </x:c>
      <x:c r="H2689" t="n">
        <x:v>1</x:v>
      </x:c>
      <x:c r="I2689" t="n">
        <x:f>G2689-H2689</x:f>
        <x:v>0</x:v>
      </x:c>
      <x:c r="J2689" s="20" t="n">
        <x:f>IFERROR(H2689/G2689,0)</x:f>
        <x:v>1</x:v>
      </x:c>
      <x:c r="K2689" t="n">
        <x:v>206957</x:v>
      </x:c>
      <x:c r="L2689" t="n">
        <x:v>206957</x:v>
      </x:c>
      <x:c r="M2689" t="n">
        <x:v>206957</x:v>
      </x:c>
      <x:c r="N2689" t="n">
        <x:v>206957</x:v>
      </x:c>
      <x:c r="O2689" t="n">
        <x:v>206957</x:v>
      </x:c>
    </x:row>
    <x:row r="2690">
      <x:c r="A2690" t="str">
        <x:v>Andhra Pradesh</x:v>
      </x:c>
      <x:c r="B2690" t="str">
        <x:v>All India except Central University</x:v>
      </x:c>
      <x:c r="C2690" t="str">
        <x:v>200420</x:v>
      </x:c>
      <x:c r="D2690" t="str">
        <x:v>Rangaraya Medical College, Kakinada, PITHAPURAM ROAD, KAKINADA</x:v>
      </x:c>
      <x:c r="E2690" t="str">
        <x:v>All India</x:v>
      </x:c>
      <x:c r="F2690" t="str">
        <x:v>Open</x:v>
      </x:c>
      <x:c r="G2690" t="n">
        <x:v>16</x:v>
      </x:c>
      <x:c r="H2690" t="n">
        <x:v>16</x:v>
      </x:c>
      <x:c r="I2690" t="n">
        <x:f>G2690-H2690</x:f>
        <x:v>0</x:v>
      </x:c>
      <x:c r="J2690" s="20" t="n">
        <x:f>IFERROR(H2690/G2690,0)</x:f>
        <x:v>1</x:v>
      </x:c>
      <x:c r="K2690" t="n">
        <x:v>2255</x:v>
      </x:c>
      <x:c r="L2690" t="n">
        <x:v>5985.5</x:v>
      </x:c>
      <x:c r="M2690" t="n">
        <x:v>7002.5</x:v>
      </x:c>
      <x:c r="N2690" t="n">
        <x:v>8240.25</x:v>
      </x:c>
      <x:c r="O2690" t="n">
        <x:v>9316</x:v>
      </x:c>
    </x:row>
    <x:row r="2691">
      <x:c r="A2691" t="str">
        <x:v>Andhra Pradesh</x:v>
      </x:c>
      <x:c r="B2691" t="str">
        <x:v>All India except Central University</x:v>
      </x:c>
      <x:c r="C2691" t="str">
        <x:v>200420</x:v>
      </x:c>
      <x:c r="D2691" t="str">
        <x:v>Rangaraya Medical College, Kakinada, PITHAPURAM ROAD, KAKINADA</x:v>
      </x:c>
      <x:c r="E2691" t="str">
        <x:v>All India</x:v>
      </x:c>
      <x:c r="F2691" t="str">
        <x:v>Open PwD</x:v>
      </x:c>
      <x:c r="G2691" t="n">
        <x:v>1</x:v>
      </x:c>
      <x:c r="H2691" t="n">
        <x:v>1</x:v>
      </x:c>
      <x:c r="I2691" t="n">
        <x:f>G2691-H2691</x:f>
        <x:v>0</x:v>
      </x:c>
      <x:c r="J2691" s="20" t="n">
        <x:f>IFERROR(H2691/G2691,0)</x:f>
        <x:v>1</x:v>
      </x:c>
      <x:c r="K2691" t="n">
        <x:v>199543</x:v>
      </x:c>
      <x:c r="L2691" t="n">
        <x:v>199543</x:v>
      </x:c>
      <x:c r="M2691" t="n">
        <x:v>199543</x:v>
      </x:c>
      <x:c r="N2691" t="n">
        <x:v>199543</x:v>
      </x:c>
      <x:c r="O2691" t="n">
        <x:v>199543</x:v>
      </x:c>
    </x:row>
    <x:row r="2692">
      <x:c r="A2692" t="str">
        <x:v>Andhra Pradesh</x:v>
      </x:c>
      <x:c r="B2692" t="str">
        <x:v>All India except Central University</x:v>
      </x:c>
      <x:c r="C2692" t="str">
        <x:v>200420</x:v>
      </x:c>
      <x:c r="D2692" t="str">
        <x:v>Rangaraya Medical College, Kakinada, PITHAPURAM ROAD, KAKINADA</x:v>
      </x:c>
      <x:c r="E2692" t="str">
        <x:v>All India</x:v>
      </x:c>
      <x:c r="F2692" t="str">
        <x:v>SC</x:v>
      </x:c>
      <x:c r="G2692" t="n">
        <x:v>5</x:v>
      </x:c>
      <x:c r="H2692" t="n">
        <x:v>5</x:v>
      </x:c>
      <x:c r="I2692" t="n">
        <x:f>G2692-H2692</x:f>
        <x:v>0</x:v>
      </x:c>
      <x:c r="J2692" s="20" t="n">
        <x:f>IFERROR(H2692/G2692,0)</x:f>
        <x:v>1</x:v>
      </x:c>
      <x:c r="K2692" t="n">
        <x:v>37113</x:v>
      </x:c>
      <x:c r="L2692" t="n">
        <x:v>40438</x:v>
      </x:c>
      <x:c r="M2692" t="n">
        <x:v>41776</x:v>
      </x:c>
      <x:c r="N2692" t="n">
        <x:v>41895</x:v>
      </x:c>
      <x:c r="O2692" t="n">
        <x:v>45246</x:v>
      </x:c>
    </x:row>
    <x:row r="2693">
      <x:c r="A2693" t="str">
        <x:v>Andhra Pradesh</x:v>
      </x:c>
      <x:c r="B2693" t="str">
        <x:v>All India except Central University</x:v>
      </x:c>
      <x:c r="C2693" t="str">
        <x:v>200420</x:v>
      </x:c>
      <x:c r="D2693" t="str">
        <x:v>Rangaraya Medical College, Kakinada, PITHAPURAM ROAD, KAKINADA</x:v>
      </x:c>
      <x:c r="E2693" t="str">
        <x:v>All India</x:v>
      </x:c>
      <x:c r="F2693" t="str">
        <x:v>ST</x:v>
      </x:c>
      <x:c r="G2693" t="n">
        <x:v>2</x:v>
      </x:c>
      <x:c r="H2693" t="n">
        <x:v>2</x:v>
      </x:c>
      <x:c r="I2693" t="n">
        <x:f>G2693-H2693</x:f>
        <x:v>0</x:v>
      </x:c>
      <x:c r="J2693" s="20" t="n">
        <x:f>IFERROR(H2693/G2693,0)</x:f>
        <x:v>1</x:v>
      </x:c>
      <x:c r="K2693" t="n">
        <x:v>64310</x:v>
      </x:c>
      <x:c r="L2693" t="n">
        <x:v>67399.75</x:v>
      </x:c>
      <x:c r="M2693" t="n">
        <x:v>70489.5</x:v>
      </x:c>
      <x:c r="N2693" t="n">
        <x:v>73579.25</x:v>
      </x:c>
      <x:c r="O2693" t="n">
        <x:v>76669</x:v>
      </x:c>
    </x:row>
    <x:row r="2694">
      <x:c r="A2694" t="str">
        <x:v>Manipur</x:v>
      </x:c>
      <x:c r="B2694" t="str">
        <x:v>All India except Central University</x:v>
      </x:c>
      <x:c r="C2694" t="str">
        <x:v>200233</x:v>
      </x:c>
      <x:c r="D2694" t="str">
        <x:v>Regional Institute of Medical Sciences, Imphal, PO Lamphelpat, Imphal West District</x:v>
      </x:c>
      <x:c r="E2694" t="str">
        <x:v>All India</x:v>
      </x:c>
      <x:c r="F2694" t="str">
        <x:v>EWS</x:v>
      </x:c>
      <x:c r="G2694" t="n">
        <x:v>2</x:v>
      </x:c>
      <x:c r="H2694" t="n">
        <x:v>2</x:v>
      </x:c>
      <x:c r="I2694" t="n">
        <x:f>G2694-H2694</x:f>
        <x:v>0</x:v>
      </x:c>
      <x:c r="J2694" s="20" t="n">
        <x:f>IFERROR(H2694/G2694,0)</x:f>
        <x:v>1</x:v>
      </x:c>
      <x:c r="K2694" t="n">
        <x:v>16331</x:v>
      </x:c>
      <x:c r="L2694" t="n">
        <x:v>17326.5</x:v>
      </x:c>
      <x:c r="M2694" t="n">
        <x:v>18322</x:v>
      </x:c>
      <x:c r="N2694" t="n">
        <x:v>19317.5</x:v>
      </x:c>
      <x:c r="O2694" t="n">
        <x:v>20313</x:v>
      </x:c>
    </x:row>
    <x:row r="2695">
      <x:c r="A2695" t="str">
        <x:v>Manipur</x:v>
      </x:c>
      <x:c r="B2695" t="str">
        <x:v>All India except Central University</x:v>
      </x:c>
      <x:c r="C2695" t="str">
        <x:v>200233</x:v>
      </x:c>
      <x:c r="D2695" t="str">
        <x:v>Regional Institute of Medical Sciences, Imphal, PO Lamphelpat, Imphal West District</x:v>
      </x:c>
      <x:c r="E2695" t="str">
        <x:v>All India</x:v>
      </x:c>
      <x:c r="F2695" t="str">
        <x:v>OBC</x:v>
      </x:c>
      <x:c r="G2695" t="n">
        <x:v>6</x:v>
      </x:c>
      <x:c r="H2695" t="n">
        <x:v>6</x:v>
      </x:c>
      <x:c r="I2695" t="n">
        <x:f>G2695-H2695</x:f>
        <x:v>0</x:v>
      </x:c>
      <x:c r="J2695" s="20" t="n">
        <x:f>IFERROR(H2695/G2695,0)</x:f>
        <x:v>1</x:v>
      </x:c>
      <x:c r="K2695" t="n">
        <x:v>15402</x:v>
      </x:c>
      <x:c r="L2695" t="n">
        <x:v>15909.5</x:v>
      </x:c>
      <x:c r="M2695" t="n">
        <x:v>16624</x:v>
      </x:c>
      <x:c r="N2695" t="n">
        <x:v>17382.75</x:v>
      </x:c>
      <x:c r="O2695" t="n">
        <x:v>17486</x:v>
      </x:c>
    </x:row>
    <x:row r="2696">
      <x:c r="A2696" t="str">
        <x:v>Manipur</x:v>
      </x:c>
      <x:c r="B2696" t="str">
        <x:v>All India except Central University</x:v>
      </x:c>
      <x:c r="C2696" t="str">
        <x:v>200233</x:v>
      </x:c>
      <x:c r="D2696" t="str">
        <x:v>Regional Institute of Medical Sciences, Imphal, PO Lamphelpat, Imphal West District</x:v>
      </x:c>
      <x:c r="E2696" t="str">
        <x:v>All India</x:v>
      </x:c>
      <x:c r="F2696" t="str">
        <x:v>Open</x:v>
      </x:c>
      <x:c r="G2696" t="n">
        <x:v>8</x:v>
      </x:c>
      <x:c r="H2696" t="n">
        <x:v>8</x:v>
      </x:c>
      <x:c r="I2696" t="n">
        <x:f>G2696-H2696</x:f>
        <x:v>0</x:v>
      </x:c>
      <x:c r="J2696" s="20" t="n">
        <x:f>IFERROR(H2696/G2696,0)</x:f>
        <x:v>1</x:v>
      </x:c>
      <x:c r="K2696" t="n">
        <x:v>2948</x:v>
      </x:c>
      <x:c r="L2696" t="n">
        <x:v>9391.75</x:v>
      </x:c>
      <x:c r="M2696" t="n">
        <x:v>13574</x:v>
      </x:c>
      <x:c r="N2696" t="n">
        <x:v>14063.75</x:v>
      </x:c>
      <x:c r="O2696" t="n">
        <x:v>14249</x:v>
      </x:c>
    </x:row>
    <x:row r="2697">
      <x:c r="A2697" t="str">
        <x:v>Manipur</x:v>
      </x:c>
      <x:c r="B2697" t="str">
        <x:v>All India except Central University</x:v>
      </x:c>
      <x:c r="C2697" t="str">
        <x:v>200233</x:v>
      </x:c>
      <x:c r="D2697" t="str">
        <x:v>Regional Institute of Medical Sciences, Imphal, PO Lamphelpat, Imphal West District</x:v>
      </x:c>
      <x:c r="E2697" t="str">
        <x:v>All India</x:v>
      </x:c>
      <x:c r="F2697" t="str">
        <x:v>Open PwD</x:v>
      </x:c>
      <x:c r="G2697" t="n">
        <x:v>1</x:v>
      </x:c>
      <x:c r="H2697" t="n">
        <x:v>1</x:v>
      </x:c>
      <x:c r="I2697" t="n">
        <x:f>G2697-H2697</x:f>
        <x:v>0</x:v>
      </x:c>
      <x:c r="J2697" s="20" t="n">
        <x:f>IFERROR(H2697/G2697,0)</x:f>
        <x:v>1</x:v>
      </x:c>
      <x:c r="K2697" t="n">
        <x:v>469364</x:v>
      </x:c>
      <x:c r="L2697" t="n">
        <x:v>469364</x:v>
      </x:c>
      <x:c r="M2697" t="n">
        <x:v>469364</x:v>
      </x:c>
      <x:c r="N2697" t="n">
        <x:v>469364</x:v>
      </x:c>
      <x:c r="O2697" t="n">
        <x:v>469364</x:v>
      </x:c>
    </x:row>
    <x:row r="2698">
      <x:c r="A2698" t="str">
        <x:v>Manipur</x:v>
      </x:c>
      <x:c r="B2698" t="str">
        <x:v>All India except Central University</x:v>
      </x:c>
      <x:c r="C2698" t="str">
        <x:v>200233</x:v>
      </x:c>
      <x:c r="D2698" t="str">
        <x:v>Regional Institute of Medical Sciences, Imphal, PO Lamphelpat, Imphal West District</x:v>
      </x:c>
      <x:c r="E2698" t="str">
        <x:v>All India</x:v>
      </x:c>
      <x:c r="F2698" t="str">
        <x:v>SC</x:v>
      </x:c>
      <x:c r="G2698" t="n">
        <x:v>4</x:v>
      </x:c>
      <x:c r="H2698" t="n">
        <x:v>4</x:v>
      </x:c>
      <x:c r="I2698" t="n">
        <x:f>G2698-H2698</x:f>
        <x:v>0</x:v>
      </x:c>
      <x:c r="J2698" s="20" t="n">
        <x:f>IFERROR(H2698/G2698,0)</x:f>
        <x:v>1</x:v>
      </x:c>
      <x:c r="K2698" t="n">
        <x:v>41100</x:v>
      </x:c>
      <x:c r="L2698" t="n">
        <x:v>42668.25</x:v>
      </x:c>
      <x:c r="M2698" t="n">
        <x:v>46789</x:v>
      </x:c>
      <x:c r="N2698" t="n">
        <x:v>51340</x:v>
      </x:c>
      <x:c r="O2698" t="n">
        <x:v>54199</x:v>
      </x:c>
    </x:row>
    <x:row r="2699">
      <x:c r="A2699" t="str">
        <x:v>Manipur</x:v>
      </x:c>
      <x:c r="B2699" t="str">
        <x:v>All India except Central University</x:v>
      </x:c>
      <x:c r="C2699" t="str">
        <x:v>200233</x:v>
      </x:c>
      <x:c r="D2699" t="str">
        <x:v>Regional Institute of Medical Sciences, Imphal, PO Lamphelpat, Imphal West District</x:v>
      </x:c>
      <x:c r="E2699" t="str">
        <x:v>All India</x:v>
      </x:c>
      <x:c r="F2699" t="str">
        <x:v>ST</x:v>
      </x:c>
      <x:c r="G2699" t="n">
        <x:v>2</x:v>
      </x:c>
      <x:c r="H2699" t="n">
        <x:v>2</x:v>
      </x:c>
      <x:c r="I2699" t="n">
        <x:f>G2699-H2699</x:f>
        <x:v>0</x:v>
      </x:c>
      <x:c r="J2699" s="20" t="n">
        <x:f>IFERROR(H2699/G2699,0)</x:f>
        <x:v>1</x:v>
      </x:c>
      <x:c r="K2699" t="n">
        <x:v>39057</x:v>
      </x:c>
      <x:c r="L2699" t="n">
        <x:v>43298</x:v>
      </x:c>
      <x:c r="M2699" t="n">
        <x:v>47539</x:v>
      </x:c>
      <x:c r="N2699" t="n">
        <x:v>51780</x:v>
      </x:c>
      <x:c r="O2699" t="n">
        <x:v>56021</x:v>
      </x:c>
    </x:row>
    <x:row r="2700">
      <x:c r="A2700" t="str">
        <x:v>Maharashtra</x:v>
      </x:c>
      <x:c r="B2700" t="str">
        <x:v>Deemed University</x:v>
      </x:c>
      <x:c r="C2700" t="str">
        <x:v>200370</x:v>
      </x:c>
      <x:c r="D2700" t="str">
        <x:v>Rural Medical College, Loni, Dr. Balasheb Vikhe Patil Rural Medical College At Loni BK Tal Rahata Dist. Ahilyanagar Maha</x:v>
      </x:c>
      <x:c r="E2700" t="str">
        <x:v>NRI</x:v>
      </x:c>
      <x:c r="F2700" t="str">
        <x:v>Open</x:v>
      </x:c>
      <x:c r="G2700" t="n">
        <x:v>30</x:v>
      </x:c>
      <x:c r="H2700" t="n">
        <x:v>1</x:v>
      </x:c>
      <x:c r="I2700" t="n">
        <x:f>G2700-H2700</x:f>
        <x:v>29</x:v>
      </x:c>
      <x:c r="J2700" s="20" t="n">
        <x:f>IFERROR(H2700/G2700,0)</x:f>
        <x:v>0.03333333333333333</x:v>
      </x:c>
      <x:c r="K2700" t="n">
        <x:v>646268</x:v>
      </x:c>
      <x:c r="L2700" t="n">
        <x:v>646268</x:v>
      </x:c>
      <x:c r="M2700" t="n">
        <x:v>646268</x:v>
      </x:c>
      <x:c r="N2700" t="n">
        <x:v>646268</x:v>
      </x:c>
      <x:c r="O2700" t="n">
        <x:v>646268</x:v>
      </x:c>
    </x:row>
    <x:row r="2701">
      <x:c r="A2701" t="str">
        <x:v>Maharashtra</x:v>
      </x:c>
      <x:c r="B2701" t="str">
        <x:v>Deemed University</x:v>
      </x:c>
      <x:c r="C2701" t="str">
        <x:v>200370</x:v>
      </x:c>
      <x:c r="D2701" t="str">
        <x:v>Rural Medical College, Loni, Dr. Balasheb Vikhe Patil Rural Medical College At Loni BK Tal Rahata Dist. Ahilyanagar Maha</x:v>
      </x:c>
      <x:c r="E2701" t="str">
        <x:v>Self-Financed Merit</x:v>
      </x:c>
      <x:c r="F2701" t="str">
        <x:v>Open</x:v>
      </x:c>
      <x:c r="G2701" t="n">
        <x:v>170</x:v>
      </x:c>
      <x:c r="H2701" t="n">
        <x:v>170</x:v>
      </x:c>
      <x:c r="I2701" t="n">
        <x:f>G2701-H2701</x:f>
        <x:v>0</x:v>
      </x:c>
      <x:c r="J2701" s="20" t="n">
        <x:f>IFERROR(H2701/G2701,0)</x:f>
        <x:v>1</x:v>
      </x:c>
      <x:c r="K2701" t="n">
        <x:v>64506</x:v>
      </x:c>
      <x:c r="L2701" t="n">
        <x:v>101597.25</x:v>
      </x:c>
      <x:c r="M2701" t="n">
        <x:v>118219</x:v>
      </x:c>
      <x:c r="N2701" t="n">
        <x:v>133020.25</x:v>
      </x:c>
      <x:c r="O2701" t="n">
        <x:v>142869</x:v>
      </x:c>
    </x:row>
    <x:row r="2702">
      <x:c r="A2702" t="str">
        <x:v>Uttar Pradesh</x:v>
      </x:c>
      <x:c r="B2702" t="str">
        <x:v>All India except Central University</x:v>
      </x:c>
      <x:c r="C2702" t="str">
        <x:v>200302</x:v>
      </x:c>
      <x:c r="D2702" t="str">
        <x:v>S N Medical College, Agra, HOSPITAL ROAD AGRA</x:v>
      </x:c>
      <x:c r="E2702" t="str">
        <x:v>All India</x:v>
      </x:c>
      <x:c r="F2702" t="str">
        <x:v>EWS</x:v>
      </x:c>
      <x:c r="G2702" t="n">
        <x:v>3</x:v>
      </x:c>
      <x:c r="H2702" t="n">
        <x:v>3</x:v>
      </x:c>
      <x:c r="I2702" t="n">
        <x:f>G2702-H2702</x:f>
        <x:v>0</x:v>
      </x:c>
      <x:c r="J2702" s="20" t="n">
        <x:f>IFERROR(H2702/G2702,0)</x:f>
        <x:v>1</x:v>
      </x:c>
      <x:c r="K2702" t="n">
        <x:v>7016</x:v>
      </x:c>
      <x:c r="L2702" t="n">
        <x:v>7052</x:v>
      </x:c>
      <x:c r="M2702" t="n">
        <x:v>7088</x:v>
      </x:c>
      <x:c r="N2702" t="n">
        <x:v>7317.5</x:v>
      </x:c>
      <x:c r="O2702" t="n">
        <x:v>7547</x:v>
      </x:c>
    </x:row>
    <x:row r="2703">
      <x:c r="A2703" t="str">
        <x:v>Uttar Pradesh</x:v>
      </x:c>
      <x:c r="B2703" t="str">
        <x:v>All India except Central University</x:v>
      </x:c>
      <x:c r="C2703" t="str">
        <x:v>200302</x:v>
      </x:c>
      <x:c r="D2703" t="str">
        <x:v>S N Medical College, Agra, HOSPITAL ROAD AGRA</x:v>
      </x:c>
      <x:c r="E2703" t="str">
        <x:v>All India</x:v>
      </x:c>
      <x:c r="F2703" t="str">
        <x:v>OBC</x:v>
      </x:c>
      <x:c r="G2703" t="n">
        <x:v>8</x:v>
      </x:c>
      <x:c r="H2703" t="n">
        <x:v>8</x:v>
      </x:c>
      <x:c r="I2703" t="n">
        <x:f>G2703-H2703</x:f>
        <x:v>0</x:v>
      </x:c>
      <x:c r="J2703" s="20" t="n">
        <x:f>IFERROR(H2703/G2703,0)</x:f>
        <x:v>1</x:v>
      </x:c>
      <x:c r="K2703" t="n">
        <x:v>5669</x:v>
      </x:c>
      <x:c r="L2703" t="n">
        <x:v>5843.5</x:v>
      </x:c>
      <x:c r="M2703" t="n">
        <x:v>6176</x:v>
      </x:c>
      <x:c r="N2703" t="n">
        <x:v>6582.5</x:v>
      </x:c>
      <x:c r="O2703" t="n">
        <x:v>6637</x:v>
      </x:c>
    </x:row>
    <x:row r="2704">
      <x:c r="A2704" t="str">
        <x:v>Uttar Pradesh</x:v>
      </x:c>
      <x:c r="B2704" t="str">
        <x:v>All India except Central University</x:v>
      </x:c>
      <x:c r="C2704" t="str">
        <x:v>200302</x:v>
      </x:c>
      <x:c r="D2704" t="str">
        <x:v>S N Medical College, Agra, HOSPITAL ROAD AGRA</x:v>
      </x:c>
      <x:c r="E2704" t="str">
        <x:v>All India</x:v>
      </x:c>
      <x:c r="F2704" t="str">
        <x:v>Open</x:v>
      </x:c>
      <x:c r="G2704" t="n">
        <x:v>13</x:v>
      </x:c>
      <x:c r="H2704" t="n">
        <x:v>13</x:v>
      </x:c>
      <x:c r="I2704" t="n">
        <x:f>G2704-H2704</x:f>
        <x:v>0</x:v>
      </x:c>
      <x:c r="J2704" s="20" t="n">
        <x:f>IFERROR(H2704/G2704,0)</x:f>
        <x:v>1</x:v>
      </x:c>
      <x:c r="K2704" t="n">
        <x:v>4877</x:v>
      </x:c>
      <x:c r="L2704" t="n">
        <x:v>5024</x:v>
      </x:c>
      <x:c r="M2704" t="n">
        <x:v>5276</x:v>
      </x:c>
      <x:c r="N2704" t="n">
        <x:v>5490</x:v>
      </x:c>
      <x:c r="O2704" t="n">
        <x:v>5563</x:v>
      </x:c>
    </x:row>
    <x:row r="2705">
      <x:c r="A2705" t="str">
        <x:v>Uttar Pradesh</x:v>
      </x:c>
      <x:c r="B2705" t="str">
        <x:v>All India except Central University</x:v>
      </x:c>
      <x:c r="C2705" t="str">
        <x:v>200302</x:v>
      </x:c>
      <x:c r="D2705" t="str">
        <x:v>S N Medical College, Agra, HOSPITAL ROAD AGRA</x:v>
      </x:c>
      <x:c r="E2705" t="str">
        <x:v>All India</x:v>
      </x:c>
      <x:c r="F2705" t="str">
        <x:v>SC</x:v>
      </x:c>
      <x:c r="G2705" t="n">
        <x:v>4</x:v>
      </x:c>
      <x:c r="H2705" t="n">
        <x:v>4</x:v>
      </x:c>
      <x:c r="I2705" t="n">
        <x:f>G2705-H2705</x:f>
        <x:v>0</x:v>
      </x:c>
      <x:c r="J2705" s="20" t="n">
        <x:f>IFERROR(H2705/G2705,0)</x:f>
        <x:v>1</x:v>
      </x:c>
      <x:c r="K2705" t="n">
        <x:v>28728</x:v>
      </x:c>
      <x:c r="L2705" t="n">
        <x:v>30475.5</x:v>
      </x:c>
      <x:c r="M2705" t="n">
        <x:v>34338.5</x:v>
      </x:c>
      <x:c r="N2705" t="n">
        <x:v>38335.75</x:v>
      </x:c>
      <x:c r="O2705" t="n">
        <x:v>40486</x:v>
      </x:c>
    </x:row>
    <x:row r="2706">
      <x:c r="A2706" t="str">
        <x:v>Uttar Pradesh</x:v>
      </x:c>
      <x:c r="B2706" t="str">
        <x:v>All India except Central University</x:v>
      </x:c>
      <x:c r="C2706" t="str">
        <x:v>200302</x:v>
      </x:c>
      <x:c r="D2706" t="str">
        <x:v>S N Medical College, Agra, HOSPITAL ROAD AGRA</x:v>
      </x:c>
      <x:c r="E2706" t="str">
        <x:v>All India</x:v>
      </x:c>
      <x:c r="F2706" t="str">
        <x:v>ST</x:v>
      </x:c>
      <x:c r="G2706" t="n">
        <x:v>2</x:v>
      </x:c>
      <x:c r="H2706" t="n">
        <x:v>2</x:v>
      </x:c>
      <x:c r="I2706" t="n">
        <x:f>G2706-H2706</x:f>
        <x:v>0</x:v>
      </x:c>
      <x:c r="J2706" s="20" t="n">
        <x:f>IFERROR(H2706/G2706,0)</x:f>
        <x:v>1</x:v>
      </x:c>
      <x:c r="K2706" t="n">
        <x:v>48020</x:v>
      </x:c>
      <x:c r="L2706" t="n">
        <x:v>48866</x:v>
      </x:c>
      <x:c r="M2706" t="n">
        <x:v>49712</x:v>
      </x:c>
      <x:c r="N2706" t="n">
        <x:v>50558</x:v>
      </x:c>
      <x:c r="O2706" t="n">
        <x:v>51404</x:v>
      </x:c>
    </x:row>
    <x:row r="2707">
      <x:c r="A2707" t="str">
        <x:v>Andhra Pradesh</x:v>
      </x:c>
      <x:c r="B2707" t="str">
        <x:v>All India except Central University</x:v>
      </x:c>
      <x:c r="C2707" t="str">
        <x:v>200426</x:v>
      </x:c>
      <x:c r="D2707" t="str">
        <x:v>S V Medical College, Tirupati, NEAR VIVEKANDANDA CIRCLE, ALIPIRI ROAD TIRUPATI</x:v>
      </x:c>
      <x:c r="E2707" t="str">
        <x:v>All India</x:v>
      </x:c>
      <x:c r="F2707" t="str">
        <x:v>EWS</x:v>
      </x:c>
      <x:c r="G2707" t="n">
        <x:v>4</x:v>
      </x:c>
      <x:c r="H2707" t="n">
        <x:v>4</x:v>
      </x:c>
      <x:c r="I2707" t="n">
        <x:f>G2707-H2707</x:f>
        <x:v>0</x:v>
      </x:c>
      <x:c r="J2707" s="20" t="n">
        <x:f>IFERROR(H2707/G2707,0)</x:f>
        <x:v>1</x:v>
      </x:c>
      <x:c r="K2707" t="n">
        <x:v>10822</x:v>
      </x:c>
      <x:c r="L2707" t="n">
        <x:v>11365.75</x:v>
      </x:c>
      <x:c r="M2707" t="n">
        <x:v>11773.5</x:v>
      </x:c>
      <x:c r="N2707" t="n">
        <x:v>12260.25</x:v>
      </x:c>
      <x:c r="O2707" t="n">
        <x:v>13041</x:v>
      </x:c>
    </x:row>
    <x:row r="2708">
      <x:c r="A2708" t="str">
        <x:v>Andhra Pradesh</x:v>
      </x:c>
      <x:c r="B2708" t="str">
        <x:v>All India except Central University</x:v>
      </x:c>
      <x:c r="C2708" t="str">
        <x:v>200426</x:v>
      </x:c>
      <x:c r="D2708" t="str">
        <x:v>S V Medical College, Tirupati, NEAR VIVEKANDANDA CIRCLE, ALIPIRI ROAD TIRUPATI</x:v>
      </x:c>
      <x:c r="E2708" t="str">
        <x:v>All India</x:v>
      </x:c>
      <x:c r="F2708" t="str">
        <x:v>EWS PwD</x:v>
      </x:c>
      <x:c r="G2708" t="n">
        <x:v>1</x:v>
      </x:c>
      <x:c r="H2708" t="n">
        <x:v>1</x:v>
      </x:c>
      <x:c r="I2708" t="n">
        <x:f>G2708-H2708</x:f>
        <x:v>0</x:v>
      </x:c>
      <x:c r="J2708" s="20" t="n">
        <x:f>IFERROR(H2708/G2708,0)</x:f>
        <x:v>1</x:v>
      </x:c>
      <x:c r="K2708" t="n">
        <x:v>485853</x:v>
      </x:c>
      <x:c r="L2708" t="n">
        <x:v>485853</x:v>
      </x:c>
      <x:c r="M2708" t="n">
        <x:v>485853</x:v>
      </x:c>
      <x:c r="N2708" t="n">
        <x:v>485853</x:v>
      </x:c>
      <x:c r="O2708" t="n">
        <x:v>485853</x:v>
      </x:c>
    </x:row>
    <x:row r="2709">
      <x:c r="A2709" t="str">
        <x:v>Andhra Pradesh</x:v>
      </x:c>
      <x:c r="B2709" t="str">
        <x:v>All India except Central University</x:v>
      </x:c>
      <x:c r="C2709" t="str">
        <x:v>200426</x:v>
      </x:c>
      <x:c r="D2709" t="str">
        <x:v>S V Medical College, Tirupati, NEAR VIVEKANDANDA CIRCLE, ALIPIRI ROAD TIRUPATI</x:v>
      </x:c>
      <x:c r="E2709" t="str">
        <x:v>All India</x:v>
      </x:c>
      <x:c r="F2709" t="str">
        <x:v>OBC</x:v>
      </x:c>
      <x:c r="G2709" t="n">
        <x:v>9</x:v>
      </x:c>
      <x:c r="H2709" t="n">
        <x:v>9</x:v>
      </x:c>
      <x:c r="I2709" t="n">
        <x:f>G2709-H2709</x:f>
        <x:v>0</x:v>
      </x:c>
      <x:c r="J2709" s="20" t="n">
        <x:f>IFERROR(H2709/G2709,0)</x:f>
        <x:v>1</x:v>
      </x:c>
      <x:c r="K2709" t="n">
        <x:v>10508</x:v>
      </x:c>
      <x:c r="L2709" t="n">
        <x:v>11490</x:v>
      </x:c>
      <x:c r="M2709" t="n">
        <x:v>12444</x:v>
      </x:c>
      <x:c r="N2709" t="n">
        <x:v>13601</x:v>
      </x:c>
      <x:c r="O2709" t="n">
        <x:v>13947</x:v>
      </x:c>
    </x:row>
    <x:row r="2710">
      <x:c r="A2710" t="str">
        <x:v>Andhra Pradesh</x:v>
      </x:c>
      <x:c r="B2710" t="str">
        <x:v>All India except Central University</x:v>
      </x:c>
      <x:c r="C2710" t="str">
        <x:v>200426</x:v>
      </x:c>
      <x:c r="D2710" t="str">
        <x:v>S V Medical College, Tirupati, NEAR VIVEKANDANDA CIRCLE, ALIPIRI ROAD TIRUPATI</x:v>
      </x:c>
      <x:c r="E2710" t="str">
        <x:v>All India</x:v>
      </x:c>
      <x:c r="F2710" t="str">
        <x:v>Open</x:v>
      </x:c>
      <x:c r="G2710" t="n">
        <x:v>13</x:v>
      </x:c>
      <x:c r="H2710" t="n">
        <x:v>13</x:v>
      </x:c>
      <x:c r="I2710" t="n">
        <x:f>G2710-H2710</x:f>
        <x:v>0</x:v>
      </x:c>
      <x:c r="J2710" s="20" t="n">
        <x:f>IFERROR(H2710/G2710,0)</x:f>
        <x:v>1</x:v>
      </x:c>
      <x:c r="K2710" t="n">
        <x:v>3718</x:v>
      </x:c>
      <x:c r="L2710" t="n">
        <x:v>7019</x:v>
      </x:c>
      <x:c r="M2710" t="n">
        <x:v>8271</x:v>
      </x:c>
      <x:c r="N2710" t="n">
        <x:v>9173</x:v>
      </x:c>
      <x:c r="O2710" t="n">
        <x:v>9385</x:v>
      </x:c>
    </x:row>
    <x:row r="2711">
      <x:c r="A2711" t="str">
        <x:v>Andhra Pradesh</x:v>
      </x:c>
      <x:c r="B2711" t="str">
        <x:v>All India except Central University</x:v>
      </x:c>
      <x:c r="C2711" t="str">
        <x:v>200426</x:v>
      </x:c>
      <x:c r="D2711" t="str">
        <x:v>S V Medical College, Tirupati, NEAR VIVEKANDANDA CIRCLE, ALIPIRI ROAD TIRUPATI</x:v>
      </x:c>
      <x:c r="E2711" t="str">
        <x:v>All India</x:v>
      </x:c>
      <x:c r="F2711" t="str">
        <x:v>SC</x:v>
      </x:c>
      <x:c r="G2711" t="n">
        <x:v>6</x:v>
      </x:c>
      <x:c r="H2711" t="n">
        <x:v>6</x:v>
      </x:c>
      <x:c r="I2711" t="n">
        <x:f>G2711-H2711</x:f>
        <x:v>0</x:v>
      </x:c>
      <x:c r="J2711" s="20" t="n">
        <x:f>IFERROR(H2711/G2711,0)</x:f>
        <x:v>1</x:v>
      </x:c>
      <x:c r="K2711" t="n">
        <x:v>30364</x:v>
      </x:c>
      <x:c r="L2711" t="n">
        <x:v>46901.75</x:v>
      </x:c>
      <x:c r="M2711" t="n">
        <x:v>49741</x:v>
      </x:c>
      <x:c r="N2711" t="n">
        <x:v>52218.75</x:v>
      </x:c>
      <x:c r="O2711" t="n">
        <x:v>54062</x:v>
      </x:c>
    </x:row>
    <x:row r="2712">
      <x:c r="A2712" t="str">
        <x:v>Andhra Pradesh</x:v>
      </x:c>
      <x:c r="B2712" t="str">
        <x:v>All India except Central University</x:v>
      </x:c>
      <x:c r="C2712" t="str">
        <x:v>200426</x:v>
      </x:c>
      <x:c r="D2712" t="str">
        <x:v>S V Medical College, Tirupati, NEAR VIVEKANDANDA CIRCLE, ALIPIRI ROAD TIRUPATI</x:v>
      </x:c>
      <x:c r="E2712" t="str">
        <x:v>All India</x:v>
      </x:c>
      <x:c r="F2712" t="str">
        <x:v>ST</x:v>
      </x:c>
      <x:c r="G2712" t="n">
        <x:v>3</x:v>
      </x:c>
      <x:c r="H2712" t="n">
        <x:v>3</x:v>
      </x:c>
      <x:c r="I2712" t="n">
        <x:f>G2712-H2712</x:f>
        <x:v>0</x:v>
      </x:c>
      <x:c r="J2712" s="20" t="n">
        <x:f>IFERROR(H2712/G2712,0)</x:f>
        <x:v>1</x:v>
      </x:c>
      <x:c r="K2712" t="n">
        <x:v>71038</x:v>
      </x:c>
      <x:c r="L2712" t="n">
        <x:v>79660</x:v>
      </x:c>
      <x:c r="M2712" t="n">
        <x:v>88282</x:v>
      </x:c>
      <x:c r="N2712" t="n">
        <x:v>91454.5</x:v>
      </x:c>
      <x:c r="O2712" t="n">
        <x:v>94627</x:v>
      </x:c>
    </x:row>
    <x:row r="2713">
      <x:c r="A2713" t="str">
        <x:v>Gujarat</x:v>
      </x:c>
      <x:c r="B2713" t="str">
        <x:v>Deemed University</x:v>
      </x:c>
      <x:c r="C2713" t="str">
        <x:v>200330</x:v>
      </x:c>
      <x:c r="D2713" t="str">
        <x:v>SBKS Medical Instt. &amp; Research Centre, Vadodra, Sumandeep Vidyapeeth Deemed to be University Campus, At. Po.Piparia, Tal.Waghodia, Dist.Vadodara</x:v>
      </x:c>
      <x:c r="E2713" t="str">
        <x:v>Jain Minority Quota</x:v>
      </x:c>
      <x:c r="F2713" t="str">
        <x:v>Open</x:v>
      </x:c>
      <x:c r="G2713" t="n">
        <x:v>106</x:v>
      </x:c>
      <x:c r="H2713" t="n">
        <x:v>78</x:v>
      </x:c>
      <x:c r="I2713" t="n">
        <x:f>G2713-H2713</x:f>
        <x:v>28</x:v>
      </x:c>
      <x:c r="J2713" s="20" t="n">
        <x:f>IFERROR(H2713/G2713,0)</x:f>
        <x:v>0.7358490566037735</x:v>
      </x:c>
      <x:c r="K2713" t="n">
        <x:v>145217</x:v>
      </x:c>
      <x:c r="L2713" t="n">
        <x:v>468188.75</x:v>
      </x:c>
      <x:c r="M2713" t="n">
        <x:v>667911.5</x:v>
      </x:c>
      <x:c r="N2713" t="n">
        <x:v>803970.75</x:v>
      </x:c>
      <x:c r="O2713" t="n">
        <x:v>1040306</x:v>
      </x:c>
    </x:row>
    <x:row r="2714">
      <x:c r="A2714" t="str">
        <x:v>Gujarat</x:v>
      </x:c>
      <x:c r="B2714" t="str">
        <x:v>Deemed University</x:v>
      </x:c>
      <x:c r="C2714" t="str">
        <x:v>200330</x:v>
      </x:c>
      <x:c r="D2714" t="str">
        <x:v>SBKS Medical Instt. &amp; Research Centre, Vadodra, Sumandeep Vidyapeeth Deemed to be University Campus, At. Po.Piparia, Tal.Waghodia, Dist.Vadodara</x:v>
      </x:c>
      <x:c r="E2714" t="str">
        <x:v>NRI</x:v>
      </x:c>
      <x:c r="F2714" t="str">
        <x:v>Open</x:v>
      </x:c>
      <x:c r="G2714" t="n">
        <x:v>37</x:v>
      </x:c>
      <x:c r="H2714" t="n">
        <x:v>0</x:v>
      </x:c>
      <x:c r="I2714" t="n">
        <x:f>G2714-H2714</x:f>
        <x:v>37</x:v>
      </x:c>
      <x:c r="J2714" s="20" t="n">
        <x:f>IFERROR(H2714/G2714,0)</x:f>
        <x:v>0</x:v>
      </x:c>
      <x:c r="K2714"/>
      <x:c r="L2714"/>
      <x:c r="M2714"/>
      <x:c r="N2714"/>
      <x:c r="O2714"/>
    </x:row>
    <x:row r="2715">
      <x:c r="A2715" t="str">
        <x:v>Gujarat</x:v>
      </x:c>
      <x:c r="B2715" t="str">
        <x:v>Deemed University</x:v>
      </x:c>
      <x:c r="C2715" t="str">
        <x:v>200330</x:v>
      </x:c>
      <x:c r="D2715" t="str">
        <x:v>SBKS Medical Instt. &amp; Research Centre, Vadodra, Sumandeep Vidyapeeth Deemed to be University Campus, At. Po.Piparia, Tal.Waghodia, Dist.Vadodara</x:v>
      </x:c>
      <x:c r="E2715" t="str">
        <x:v>Self-Financed Merit</x:v>
      </x:c>
      <x:c r="F2715" t="str">
        <x:v>Open</x:v>
      </x:c>
      <x:c r="G2715" t="n">
        <x:v>107</x:v>
      </x:c>
      <x:c r="H2715" t="n">
        <x:v>107</x:v>
      </x:c>
      <x:c r="I2715" t="n">
        <x:f>G2715-H2715</x:f>
        <x:v>0</x:v>
      </x:c>
      <x:c r="J2715" s="20" t="n">
        <x:f>IFERROR(H2715/G2715,0)</x:f>
        <x:v>1</x:v>
      </x:c>
      <x:c r="K2715" t="n">
        <x:v>49259</x:v>
      </x:c>
      <x:c r="L2715" t="n">
        <x:v>342353</x:v>
      </x:c>
      <x:c r="M2715" t="n">
        <x:v>428223</x:v>
      </x:c>
      <x:c r="N2715" t="n">
        <x:v>490119</x:v>
      </x:c>
      <x:c r="O2715" t="n">
        <x:v>528721</x:v>
      </x:c>
    </x:row>
    <x:row r="2716">
      <x:c r="A2716" t="str">
        <x:v>Odisha</x:v>
      </x:c>
      <x:c r="B2716" t="str">
        <x:v>All India except Central University</x:v>
      </x:c>
      <x:c r="C2716" t="str">
        <x:v>200238</x:v>
      </x:c>
      <x:c r="D2716" t="str">
        <x:v>SCB Medical College, Cuttack, Mangalabag, Kataka</x:v>
      </x:c>
      <x:c r="E2716" t="str">
        <x:v>All India</x:v>
      </x:c>
      <x:c r="F2716" t="str">
        <x:v>EWS</x:v>
      </x:c>
      <x:c r="G2716" t="n">
        <x:v>4</x:v>
      </x:c>
      <x:c r="H2716" t="n">
        <x:v>4</x:v>
      </x:c>
      <x:c r="I2716" t="n">
        <x:f>G2716-H2716</x:f>
        <x:v>0</x:v>
      </x:c>
      <x:c r="J2716" s="20" t="n">
        <x:f>IFERROR(H2716/G2716,0)</x:f>
        <x:v>1</x:v>
      </x:c>
      <x:c r="K2716" t="n">
        <x:v>3860</x:v>
      </x:c>
      <x:c r="L2716" t="n">
        <x:v>4698.5</x:v>
      </x:c>
      <x:c r="M2716" t="n">
        <x:v>5019</x:v>
      </x:c>
      <x:c r="N2716" t="n">
        <x:v>5107</x:v>
      </x:c>
      <x:c r="O2716" t="n">
        <x:v>5248</x:v>
      </x:c>
    </x:row>
    <x:row r="2717">
      <x:c r="A2717" t="str">
        <x:v>Odisha</x:v>
      </x:c>
      <x:c r="B2717" t="str">
        <x:v>All India except Central University</x:v>
      </x:c>
      <x:c r="C2717" t="str">
        <x:v>200238</x:v>
      </x:c>
      <x:c r="D2717" t="str">
        <x:v>SCB Medical College, Cuttack, Mangalabag, Kataka</x:v>
      </x:c>
      <x:c r="E2717" t="str">
        <x:v>All India</x:v>
      </x:c>
      <x:c r="F2717" t="str">
        <x:v>OBC</x:v>
      </x:c>
      <x:c r="G2717" t="n">
        <x:v>10</x:v>
      </x:c>
      <x:c r="H2717" t="n">
        <x:v>10</x:v>
      </x:c>
      <x:c r="I2717" t="n">
        <x:f>G2717-H2717</x:f>
        <x:v>0</x:v>
      </x:c>
      <x:c r="J2717" s="20" t="n">
        <x:f>IFERROR(H2717/G2717,0)</x:f>
        <x:v>1</x:v>
      </x:c>
      <x:c r="K2717" t="n">
        <x:v>3072</x:v>
      </x:c>
      <x:c r="L2717" t="n">
        <x:v>3884</x:v>
      </x:c>
      <x:c r="M2717" t="n">
        <x:v>3921.5</x:v>
      </x:c>
      <x:c r="N2717" t="n">
        <x:v>4174</x:v>
      </x:c>
      <x:c r="O2717" t="n">
        <x:v>4496</x:v>
      </x:c>
    </x:row>
    <x:row r="2718">
      <x:c r="A2718" t="str">
        <x:v>Odisha</x:v>
      </x:c>
      <x:c r="B2718" t="str">
        <x:v>All India except Central University</x:v>
      </x:c>
      <x:c r="C2718" t="str">
        <x:v>200238</x:v>
      </x:c>
      <x:c r="D2718" t="str">
        <x:v>SCB Medical College, Cuttack, Mangalabag, Kataka</x:v>
      </x:c>
      <x:c r="E2718" t="str">
        <x:v>All India</x:v>
      </x:c>
      <x:c r="F2718" t="str">
        <x:v>OBC PwD</x:v>
      </x:c>
      <x:c r="G2718" t="n">
        <x:v>1</x:v>
      </x:c>
      <x:c r="H2718" t="n">
        <x:v>1</x:v>
      </x:c>
      <x:c r="I2718" t="n">
        <x:f>G2718-H2718</x:f>
        <x:v>0</x:v>
      </x:c>
      <x:c r="J2718" s="20" t="n">
        <x:f>IFERROR(H2718/G2718,0)</x:f>
        <x:v>1</x:v>
      </x:c>
      <x:c r="K2718" t="n">
        <x:v>239285</x:v>
      </x:c>
      <x:c r="L2718" t="n">
        <x:v>239285</x:v>
      </x:c>
      <x:c r="M2718" t="n">
        <x:v>239285</x:v>
      </x:c>
      <x:c r="N2718" t="n">
        <x:v>239285</x:v>
      </x:c>
      <x:c r="O2718" t="n">
        <x:v>239285</x:v>
      </x:c>
    </x:row>
    <x:row r="2719">
      <x:c r="A2719" t="str">
        <x:v>Odisha</x:v>
      </x:c>
      <x:c r="B2719" t="str">
        <x:v>All India except Central University</x:v>
      </x:c>
      <x:c r="C2719" t="str">
        <x:v>200238</x:v>
      </x:c>
      <x:c r="D2719" t="str">
        <x:v>SCB Medical College, Cuttack, Mangalabag, Kataka</x:v>
      </x:c>
      <x:c r="E2719" t="str">
        <x:v>All India</x:v>
      </x:c>
      <x:c r="F2719" t="str">
        <x:v>Open</x:v>
      </x:c>
      <x:c r="G2719" t="n">
        <x:v>15</x:v>
      </x:c>
      <x:c r="H2719" t="n">
        <x:v>15</x:v>
      </x:c>
      <x:c r="I2719" t="n">
        <x:f>G2719-H2719</x:f>
        <x:v>0</x:v>
      </x:c>
      <x:c r="J2719" s="20" t="n">
        <x:f>IFERROR(H2719/G2719,0)</x:f>
        <x:v>1</x:v>
      </x:c>
      <x:c r="K2719" t="n">
        <x:v>949</x:v>
      </x:c>
      <x:c r="L2719" t="n">
        <x:v>1207.5</x:v>
      </x:c>
      <x:c r="M2719" t="n">
        <x:v>2170</x:v>
      </x:c>
      <x:c r="N2719" t="n">
        <x:v>2687.5</x:v>
      </x:c>
      <x:c r="O2719" t="n">
        <x:v>3035</x:v>
      </x:c>
    </x:row>
    <x:row r="2720">
      <x:c r="A2720" t="str">
        <x:v>Odisha</x:v>
      </x:c>
      <x:c r="B2720" t="str">
        <x:v>All India except Central University</x:v>
      </x:c>
      <x:c r="C2720" t="str">
        <x:v>200238</x:v>
      </x:c>
      <x:c r="D2720" t="str">
        <x:v>SCB Medical College, Cuttack, Mangalabag, Kataka</x:v>
      </x:c>
      <x:c r="E2720" t="str">
        <x:v>All India</x:v>
      </x:c>
      <x:c r="F2720" t="str">
        <x:v>Open PwD</x:v>
      </x:c>
      <x:c r="G2720" t="n">
        <x:v>1</x:v>
      </x:c>
      <x:c r="H2720" t="n">
        <x:v>1</x:v>
      </x:c>
      <x:c r="I2720" t="n">
        <x:f>G2720-H2720</x:f>
        <x:v>0</x:v>
      </x:c>
      <x:c r="J2720" s="20" t="n">
        <x:f>IFERROR(H2720/G2720,0)</x:f>
        <x:v>1</x:v>
      </x:c>
      <x:c r="K2720" t="n">
        <x:v>49689</x:v>
      </x:c>
      <x:c r="L2720" t="n">
        <x:v>49689</x:v>
      </x:c>
      <x:c r="M2720" t="n">
        <x:v>49689</x:v>
      </x:c>
      <x:c r="N2720" t="n">
        <x:v>49689</x:v>
      </x:c>
      <x:c r="O2720" t="n">
        <x:v>49689</x:v>
      </x:c>
    </x:row>
    <x:row r="2721">
      <x:c r="A2721" t="str">
        <x:v>Odisha</x:v>
      </x:c>
      <x:c r="B2721" t="str">
        <x:v>All India except Central University</x:v>
      </x:c>
      <x:c r="C2721" t="str">
        <x:v>200238</x:v>
      </x:c>
      <x:c r="D2721" t="str">
        <x:v>SCB Medical College, Cuttack, Mangalabag, Kataka</x:v>
      </x:c>
      <x:c r="E2721" t="str">
        <x:v>All India</x:v>
      </x:c>
      <x:c r="F2721" t="str">
        <x:v>SC</x:v>
      </x:c>
      <x:c r="G2721" t="n">
        <x:v>5</x:v>
      </x:c>
      <x:c r="H2721" t="n">
        <x:v>5</x:v>
      </x:c>
      <x:c r="I2721" t="n">
        <x:f>G2721-H2721</x:f>
        <x:v>0</x:v>
      </x:c>
      <x:c r="J2721" s="20" t="n">
        <x:f>IFERROR(H2721/G2721,0)</x:f>
        <x:v>1</x:v>
      </x:c>
      <x:c r="K2721" t="n">
        <x:v>17733</x:v>
      </x:c>
      <x:c r="L2721" t="n">
        <x:v>24567</x:v>
      </x:c>
      <x:c r="M2721" t="n">
        <x:v>26262</x:v>
      </x:c>
      <x:c r="N2721" t="n">
        <x:v>27587</x:v>
      </x:c>
      <x:c r="O2721" t="n">
        <x:v>29170</x:v>
      </x:c>
    </x:row>
    <x:row r="2722">
      <x:c r="A2722" t="str">
        <x:v>Odisha</x:v>
      </x:c>
      <x:c r="B2722" t="str">
        <x:v>All India except Central University</x:v>
      </x:c>
      <x:c r="C2722" t="str">
        <x:v>200238</x:v>
      </x:c>
      <x:c r="D2722" t="str">
        <x:v>SCB Medical College, Cuttack, Mangalabag, Kataka</x:v>
      </x:c>
      <x:c r="E2722" t="str">
        <x:v>All India</x:v>
      </x:c>
      <x:c r="F2722" t="str">
        <x:v>ST</x:v>
      </x:c>
      <x:c r="G2722" t="n">
        <x:v>2</x:v>
      </x:c>
      <x:c r="H2722" t="n">
        <x:v>2</x:v>
      </x:c>
      <x:c r="I2722" t="n">
        <x:f>G2722-H2722</x:f>
        <x:v>0</x:v>
      </x:c>
      <x:c r="J2722" s="20" t="n">
        <x:f>IFERROR(H2722/G2722,0)</x:f>
        <x:v>1</x:v>
      </x:c>
      <x:c r="K2722" t="n">
        <x:v>51532</x:v>
      </x:c>
      <x:c r="L2722" t="n">
        <x:v>51662.75</x:v>
      </x:c>
      <x:c r="M2722" t="n">
        <x:v>51793.5</x:v>
      </x:c>
      <x:c r="N2722" t="n">
        <x:v>51924.25</x:v>
      </x:c>
      <x:c r="O2722" t="n">
        <x:v>52055</x:v>
      </x:c>
    </x:row>
    <x:row r="2723">
      <x:c r="A2723" t="str">
        <x:v>Rajasthan</x:v>
      </x:c>
      <x:c r="B2723" t="str">
        <x:v>All India except Central University</x:v>
      </x:c>
      <x:c r="C2723" t="str">
        <x:v>200256</x:v>
      </x:c>
      <x:c r="D2723" t="str">
        <x:v>SMS Medical College, Jaipur, JLN Marg, Jaipur</x:v>
      </x:c>
      <x:c r="E2723" t="str">
        <x:v>All India</x:v>
      </x:c>
      <x:c r="F2723" t="str">
        <x:v>EWS</x:v>
      </x:c>
      <x:c r="G2723" t="n">
        <x:v>3</x:v>
      </x:c>
      <x:c r="H2723" t="n">
        <x:v>3</x:v>
      </x:c>
      <x:c r="I2723" t="n">
        <x:f>G2723-H2723</x:f>
        <x:v>0</x:v>
      </x:c>
      <x:c r="J2723" s="20" t="n">
        <x:f>IFERROR(H2723/G2723,0)</x:f>
        <x:v>1</x:v>
      </x:c>
      <x:c r="K2723" t="n">
        <x:v>1700</x:v>
      </x:c>
      <x:c r="L2723" t="n">
        <x:v>2270</x:v>
      </x:c>
      <x:c r="M2723" t="n">
        <x:v>2840</x:v>
      </x:c>
      <x:c r="N2723" t="n">
        <x:v>2964.5</x:v>
      </x:c>
      <x:c r="O2723" t="n">
        <x:v>3089</x:v>
      </x:c>
    </x:row>
    <x:row r="2724">
      <x:c r="A2724" t="str">
        <x:v>Rajasthan</x:v>
      </x:c>
      <x:c r="B2724" t="str">
        <x:v>All India except Central University</x:v>
      </x:c>
      <x:c r="C2724" t="str">
        <x:v>200256</x:v>
      </x:c>
      <x:c r="D2724" t="str">
        <x:v>SMS Medical College, Jaipur, JLN Marg, Jaipur</x:v>
      </x:c>
      <x:c r="E2724" t="str">
        <x:v>All India</x:v>
      </x:c>
      <x:c r="F2724" t="str">
        <x:v>EWS PwD</x:v>
      </x:c>
      <x:c r="G2724" t="n">
        <x:v>1</x:v>
      </x:c>
      <x:c r="H2724" t="n">
        <x:v>1</x:v>
      </x:c>
      <x:c r="I2724" t="n">
        <x:f>G2724-H2724</x:f>
        <x:v>0</x:v>
      </x:c>
      <x:c r="J2724" s="20" t="n">
        <x:f>IFERROR(H2724/G2724,0)</x:f>
        <x:v>1</x:v>
      </x:c>
      <x:c r="K2724" t="n">
        <x:v>344101</x:v>
      </x:c>
      <x:c r="L2724" t="n">
        <x:v>344101</x:v>
      </x:c>
      <x:c r="M2724" t="n">
        <x:v>344101</x:v>
      </x:c>
      <x:c r="N2724" t="n">
        <x:v>344101</x:v>
      </x:c>
      <x:c r="O2724" t="n">
        <x:v>344101</x:v>
      </x:c>
    </x:row>
    <x:row r="2725">
      <x:c r="A2725" t="str">
        <x:v>Rajasthan</x:v>
      </x:c>
      <x:c r="B2725" t="str">
        <x:v>All India except Central University</x:v>
      </x:c>
      <x:c r="C2725" t="str">
        <x:v>200256</x:v>
      </x:c>
      <x:c r="D2725" t="str">
        <x:v>SMS Medical College, Jaipur, JLN Marg, Jaipur</x:v>
      </x:c>
      <x:c r="E2725" t="str">
        <x:v>All India</x:v>
      </x:c>
      <x:c r="F2725" t="str">
        <x:v>OBC</x:v>
      </x:c>
      <x:c r="G2725" t="n">
        <x:v>10</x:v>
      </x:c>
      <x:c r="H2725" t="n">
        <x:v>10</x:v>
      </x:c>
      <x:c r="I2725" t="n">
        <x:f>G2725-H2725</x:f>
        <x:v>0</x:v>
      </x:c>
      <x:c r="J2725" s="20" t="n">
        <x:f>IFERROR(H2725/G2725,0)</x:f>
        <x:v>1</x:v>
      </x:c>
      <x:c r="K2725" t="n">
        <x:v>1214</x:v>
      </x:c>
      <x:c r="L2725" t="n">
        <x:v>1372.25</x:v>
      </x:c>
      <x:c r="M2725" t="n">
        <x:v>1738</x:v>
      </x:c>
      <x:c r="N2725" t="n">
        <x:v>1809.75</x:v>
      </x:c>
      <x:c r="O2725" t="n">
        <x:v>1920</x:v>
      </x:c>
    </x:row>
    <x:row r="2726">
      <x:c r="A2726" t="str">
        <x:v>Rajasthan</x:v>
      </x:c>
      <x:c r="B2726" t="str">
        <x:v>All India except Central University</x:v>
      </x:c>
      <x:c r="C2726" t="str">
        <x:v>200256</x:v>
      </x:c>
      <x:c r="D2726" t="str">
        <x:v>SMS Medical College, Jaipur, JLN Marg, Jaipur</x:v>
      </x:c>
      <x:c r="E2726" t="str">
        <x:v>All India</x:v>
      </x:c>
      <x:c r="F2726" t="str">
        <x:v>Open</x:v>
      </x:c>
      <x:c r="G2726" t="n">
        <x:v>13</x:v>
      </x:c>
      <x:c r="H2726" t="n">
        <x:v>13</x:v>
      </x:c>
      <x:c r="I2726" t="n">
        <x:f>G2726-H2726</x:f>
        <x:v>0</x:v>
      </x:c>
      <x:c r="J2726" s="20" t="n">
        <x:f>IFERROR(H2726/G2726,0)</x:f>
        <x:v>1</x:v>
      </x:c>
      <x:c r="K2726" t="n">
        <x:v>584</x:v>
      </x:c>
      <x:c r="L2726" t="n">
        <x:v>702</x:v>
      </x:c>
      <x:c r="M2726" t="n">
        <x:v>938</x:v>
      </x:c>
      <x:c r="N2726" t="n">
        <x:v>1105</x:v>
      </x:c>
      <x:c r="O2726" t="n">
        <x:v>1144</x:v>
      </x:c>
    </x:row>
    <x:row r="2727">
      <x:c r="A2727" t="str">
        <x:v>Rajasthan</x:v>
      </x:c>
      <x:c r="B2727" t="str">
        <x:v>All India except Central University</x:v>
      </x:c>
      <x:c r="C2727" t="str">
        <x:v>200256</x:v>
      </x:c>
      <x:c r="D2727" t="str">
        <x:v>SMS Medical College, Jaipur, JLN Marg, Jaipur</x:v>
      </x:c>
      <x:c r="E2727" t="str">
        <x:v>All India</x:v>
      </x:c>
      <x:c r="F2727" t="str">
        <x:v>Open PwD</x:v>
      </x:c>
      <x:c r="G2727" t="n">
        <x:v>1</x:v>
      </x:c>
      <x:c r="H2727" t="n">
        <x:v>1</x:v>
      </x:c>
      <x:c r="I2727" t="n">
        <x:f>G2727-H2727</x:f>
        <x:v>0</x:v>
      </x:c>
      <x:c r="J2727" s="20" t="n">
        <x:f>IFERROR(H2727/G2727,0)</x:f>
        <x:v>1</x:v>
      </x:c>
      <x:c r="K2727" t="n">
        <x:v>87035</x:v>
      </x:c>
      <x:c r="L2727" t="n">
        <x:v>87035</x:v>
      </x:c>
      <x:c r="M2727" t="n">
        <x:v>87035</x:v>
      </x:c>
      <x:c r="N2727" t="n">
        <x:v>87035</x:v>
      </x:c>
      <x:c r="O2727" t="n">
        <x:v>87035</x:v>
      </x:c>
    </x:row>
    <x:row r="2728">
      <x:c r="A2728" t="str">
        <x:v>Rajasthan</x:v>
      </x:c>
      <x:c r="B2728" t="str">
        <x:v>All India except Central University</x:v>
      </x:c>
      <x:c r="C2728" t="str">
        <x:v>200256</x:v>
      </x:c>
      <x:c r="D2728" t="str">
        <x:v>SMS Medical College, Jaipur, JLN Marg, Jaipur</x:v>
      </x:c>
      <x:c r="E2728" t="str">
        <x:v>All India</x:v>
      </x:c>
      <x:c r="F2728" t="str">
        <x:v>SC</x:v>
      </x:c>
      <x:c r="G2728" t="n">
        <x:v>5</x:v>
      </x:c>
      <x:c r="H2728" t="n">
        <x:v>5</x:v>
      </x:c>
      <x:c r="I2728" t="n">
        <x:f>G2728-H2728</x:f>
        <x:v>0</x:v>
      </x:c>
      <x:c r="J2728" s="20" t="n">
        <x:f>IFERROR(H2728/G2728,0)</x:f>
        <x:v>1</x:v>
      </x:c>
      <x:c r="K2728" t="n">
        <x:v>9797</x:v>
      </x:c>
      <x:c r="L2728" t="n">
        <x:v>13576</x:v>
      </x:c>
      <x:c r="M2728" t="n">
        <x:v>14776</x:v>
      </x:c>
      <x:c r="N2728" t="n">
        <x:v>15423</x:v>
      </x:c>
      <x:c r="O2728" t="n">
        <x:v>15696</x:v>
      </x:c>
    </x:row>
    <x:row r="2729">
      <x:c r="A2729" t="str">
        <x:v>Rajasthan</x:v>
      </x:c>
      <x:c r="B2729" t="str">
        <x:v>All India except Central University</x:v>
      </x:c>
      <x:c r="C2729" t="str">
        <x:v>200256</x:v>
      </x:c>
      <x:c r="D2729" t="str">
        <x:v>SMS Medical College, Jaipur, JLN Marg, Jaipur</x:v>
      </x:c>
      <x:c r="E2729" t="str">
        <x:v>All India</x:v>
      </x:c>
      <x:c r="F2729" t="str">
        <x:v>SC PwD</x:v>
      </x:c>
      <x:c r="G2729" t="n">
        <x:v>1</x:v>
      </x:c>
      <x:c r="H2729" t="n">
        <x:v>1</x:v>
      </x:c>
      <x:c r="I2729" t="n">
        <x:f>G2729-H2729</x:f>
        <x:v>0</x:v>
      </x:c>
      <x:c r="J2729" s="20" t="n">
        <x:f>IFERROR(H2729/G2729,0)</x:f>
        <x:v>1</x:v>
      </x:c>
      <x:c r="K2729" t="n">
        <x:v>250974</x:v>
      </x:c>
      <x:c r="L2729" t="n">
        <x:v>250974</x:v>
      </x:c>
      <x:c r="M2729" t="n">
        <x:v>250974</x:v>
      </x:c>
      <x:c r="N2729" t="n">
        <x:v>250974</x:v>
      </x:c>
      <x:c r="O2729" t="n">
        <x:v>250974</x:v>
      </x:c>
    </x:row>
    <x:row r="2730">
      <x:c r="A2730" t="str">
        <x:v>Rajasthan</x:v>
      </x:c>
      <x:c r="B2730" t="str">
        <x:v>All India except Central University</x:v>
      </x:c>
      <x:c r="C2730" t="str">
        <x:v>200256</x:v>
      </x:c>
      <x:c r="D2730" t="str">
        <x:v>SMS Medical College, Jaipur, JLN Marg, Jaipur</x:v>
      </x:c>
      <x:c r="E2730" t="str">
        <x:v>All India</x:v>
      </x:c>
      <x:c r="F2730" t="str">
        <x:v>ST</x:v>
      </x:c>
      <x:c r="G2730" t="n">
        <x:v>3</x:v>
      </x:c>
      <x:c r="H2730" t="n">
        <x:v>3</x:v>
      </x:c>
      <x:c r="I2730" t="n">
        <x:f>G2730-H2730</x:f>
        <x:v>0</x:v>
      </x:c>
      <x:c r="J2730" s="20" t="n">
        <x:f>IFERROR(H2730/G2730,0)</x:f>
        <x:v>1</x:v>
      </x:c>
      <x:c r="K2730" t="n">
        <x:v>1887</x:v>
      </x:c>
      <x:c r="L2730" t="n">
        <x:v>5331</x:v>
      </x:c>
      <x:c r="M2730" t="n">
        <x:v>8775</x:v>
      </x:c>
      <x:c r="N2730" t="n">
        <x:v>9130.5</x:v>
      </x:c>
      <x:c r="O2730" t="n">
        <x:v>9486</x:v>
      </x:c>
    </x:row>
    <x:row r="2731">
      <x:c r="A2731" t="str">
        <x:v>Tamil Nadu</x:v>
      </x:c>
      <x:c r="B2731" t="str">
        <x:v>Deemed University</x:v>
      </x:c>
      <x:c r="C2731" t="str">
        <x:v>200399</x:v>
      </x:c>
      <x:c r="D2731" t="str">
        <x:v>SRM Medical College Hospital &amp; Research Centre, Kancheepuram, SRM MEDICAL COLLEGE HOSPITAL AND RESEARCH CENTRE, POTHERI, KATTANKULATHUR 603203, CHENGALPATTU DIST.</x:v>
      </x:c>
      <x:c r="E2731" t="str">
        <x:v>NRI</x:v>
      </x:c>
      <x:c r="F2731" t="str">
        <x:v>Open</x:v>
      </x:c>
      <x:c r="G2731" t="n">
        <x:v>3</x:v>
      </x:c>
      <x:c r="H2731" t="n">
        <x:v>1</x:v>
      </x:c>
      <x:c r="I2731" t="n">
        <x:f>G2731-H2731</x:f>
        <x:v>2</x:v>
      </x:c>
      <x:c r="J2731" s="20" t="n">
        <x:f>IFERROR(H2731/G2731,0)</x:f>
        <x:v>0.3333333333333333</x:v>
      </x:c>
      <x:c r="K2731" t="n">
        <x:v>905223</x:v>
      </x:c>
      <x:c r="L2731" t="n">
        <x:v>905223</x:v>
      </x:c>
      <x:c r="M2731" t="n">
        <x:v>905223</x:v>
      </x:c>
      <x:c r="N2731" t="n">
        <x:v>905223</x:v>
      </x:c>
      <x:c r="O2731" t="n">
        <x:v>905223</x:v>
      </x:c>
    </x:row>
    <x:row r="2732">
      <x:c r="A2732" t="str">
        <x:v>Tamil Nadu</x:v>
      </x:c>
      <x:c r="B2732" t="str">
        <x:v>Deemed University</x:v>
      </x:c>
      <x:c r="C2732" t="str">
        <x:v>200399</x:v>
      </x:c>
      <x:c r="D2732" t="str">
        <x:v>SRM Medical College Hospital &amp; Research Centre, Kancheepuram, SRM MEDICAL COLLEGE HOSPITAL AND RESEARCH CENTRE, POTHERI, KATTANKULATHUR 603203, CHENGALPATTU DIST.</x:v>
      </x:c>
      <x:c r="E2732" t="str">
        <x:v>Self-Financed Merit</x:v>
      </x:c>
      <x:c r="F2732" t="str">
        <x:v>Open</x:v>
      </x:c>
      <x:c r="G2732" t="n">
        <x:v>247</x:v>
      </x:c>
      <x:c r="H2732" t="n">
        <x:v>247</x:v>
      </x:c>
      <x:c r="I2732" t="n">
        <x:f>G2732-H2732</x:f>
        <x:v>0</x:v>
      </x:c>
      <x:c r="J2732" s="20" t="n">
        <x:f>IFERROR(H2732/G2732,0)</x:f>
        <x:v>1</x:v>
      </x:c>
      <x:c r="K2732" t="n">
        <x:v>154633</x:v>
      </x:c>
      <x:c r="L2732" t="n">
        <x:v>469766</x:v>
      </x:c>
      <x:c r="M2732" t="n">
        <x:v>608264</x:v>
      </x:c>
      <x:c r="N2732" t="n">
        <x:v>658981</x:v>
      </x:c>
      <x:c r="O2732" t="n">
        <x:v>700830</x:v>
      </x:c>
    </x:row>
    <x:row r="2733">
      <x:c r="A2733" t="str">
        <x:v>Maharashtra</x:v>
      </x:c>
      <x:c r="B2733" t="str">
        <x:v>All India except Central University</x:v>
      </x:c>
      <x:c r="C2733" t="str">
        <x:v>200229</x:v>
      </x:c>
      <x:c r="D2733" t="str">
        <x:v>SRTR Medical College, Ambajogai, SWAMI RAMNAND TEERTH RURAL GOVERNMENT MEDICAL COLLEGE AMBAJOGAI DIST BEED MAHARASHTRA PIN-431517</x:v>
      </x:c>
      <x:c r="E2733" t="str">
        <x:v>All India</x:v>
      </x:c>
      <x:c r="F2733" t="str">
        <x:v>EWS</x:v>
      </x:c>
      <x:c r="G2733" t="n">
        <x:v>2</x:v>
      </x:c>
      <x:c r="H2733" t="n">
        <x:v>2</x:v>
      </x:c>
      <x:c r="I2733" t="n">
        <x:f>G2733-H2733</x:f>
        <x:v>0</x:v>
      </x:c>
      <x:c r="J2733" s="20" t="n">
        <x:f>IFERROR(H2733/G2733,0)</x:f>
        <x:v>1</x:v>
      </x:c>
      <x:c r="K2733" t="n">
        <x:v>16922</x:v>
      </x:c>
      <x:c r="L2733" t="n">
        <x:v>17361.5</x:v>
      </x:c>
      <x:c r="M2733" t="n">
        <x:v>17801</x:v>
      </x:c>
      <x:c r="N2733" t="n">
        <x:v>18240.5</x:v>
      </x:c>
      <x:c r="O2733" t="n">
        <x:v>18680</x:v>
      </x:c>
    </x:row>
    <x:row r="2734">
      <x:c r="A2734" t="str">
        <x:v>Maharashtra</x:v>
      </x:c>
      <x:c r="B2734" t="str">
        <x:v>All India except Central University</x:v>
      </x:c>
      <x:c r="C2734" t="str">
        <x:v>200229</x:v>
      </x:c>
      <x:c r="D2734" t="str">
        <x:v>SRTR Medical College, Ambajogai, SWAMI RAMNAND TEERTH RURAL GOVERNMENT MEDICAL COLLEGE AMBAJOGAI DIST BEED MAHARASHTRA PIN-431517</x:v>
      </x:c>
      <x:c r="E2734" t="str">
        <x:v>All India</x:v>
      </x:c>
      <x:c r="F2734" t="str">
        <x:v>OBC</x:v>
      </x:c>
      <x:c r="G2734" t="n">
        <x:v>6</x:v>
      </x:c>
      <x:c r="H2734" t="n">
        <x:v>6</x:v>
      </x:c>
      <x:c r="I2734" t="n">
        <x:f>G2734-H2734</x:f>
        <x:v>0</x:v>
      </x:c>
      <x:c r="J2734" s="20" t="n">
        <x:f>IFERROR(H2734/G2734,0)</x:f>
        <x:v>1</x:v>
      </x:c>
      <x:c r="K2734" t="n">
        <x:v>15212</x:v>
      </x:c>
      <x:c r="L2734" t="n">
        <x:v>15240.5</x:v>
      </x:c>
      <x:c r="M2734" t="n">
        <x:v>15301.5</x:v>
      </x:c>
      <x:c r="N2734" t="n">
        <x:v>15454</x:v>
      </x:c>
      <x:c r="O2734" t="n">
        <x:v>15650</x:v>
      </x:c>
    </x:row>
    <x:row r="2735">
      <x:c r="A2735" t="str">
        <x:v>Maharashtra</x:v>
      </x:c>
      <x:c r="B2735" t="str">
        <x:v>All India except Central University</x:v>
      </x:c>
      <x:c r="C2735" t="str">
        <x:v>200229</x:v>
      </x:c>
      <x:c r="D2735" t="str">
        <x:v>SRTR Medical College, Ambajogai, SWAMI RAMNAND TEERTH RURAL GOVERNMENT MEDICAL COLLEGE AMBAJOGAI DIST BEED MAHARASHTRA PIN-431517</x:v>
      </x:c>
      <x:c r="E2735" t="str">
        <x:v>All India</x:v>
      </x:c>
      <x:c r="F2735" t="str">
        <x:v>Open</x:v>
      </x:c>
      <x:c r="G2735" t="n">
        <x:v>10</x:v>
      </x:c>
      <x:c r="H2735" t="n">
        <x:v>10</x:v>
      </x:c>
      <x:c r="I2735" t="n">
        <x:f>G2735-H2735</x:f>
        <x:v>0</x:v>
      </x:c>
      <x:c r="J2735" s="20" t="n">
        <x:f>IFERROR(H2735/G2735,0)</x:f>
        <x:v>1</x:v>
      </x:c>
      <x:c r="K2735" t="n">
        <x:v>12368</x:v>
      </x:c>
      <x:c r="L2735" t="n">
        <x:v>13237.5</x:v>
      </x:c>
      <x:c r="M2735" t="n">
        <x:v>14199.5</x:v>
      </x:c>
      <x:c r="N2735" t="n">
        <x:v>14295</x:v>
      </x:c>
      <x:c r="O2735" t="n">
        <x:v>14536</x:v>
      </x:c>
    </x:row>
    <x:row r="2736">
      <x:c r="A2736" t="str">
        <x:v>Maharashtra</x:v>
      </x:c>
      <x:c r="B2736" t="str">
        <x:v>All India except Central University</x:v>
      </x:c>
      <x:c r="C2736" t="str">
        <x:v>200229</x:v>
      </x:c>
      <x:c r="D2736" t="str">
        <x:v>SRTR Medical College, Ambajogai, SWAMI RAMNAND TEERTH RURAL GOVERNMENT MEDICAL COLLEGE AMBAJOGAI DIST BEED MAHARASHTRA PIN-431517</x:v>
      </x:c>
      <x:c r="E2736" t="str">
        <x:v>All India</x:v>
      </x:c>
      <x:c r="F2736" t="str">
        <x:v>SC</x:v>
      </x:c>
      <x:c r="G2736" t="n">
        <x:v>3</x:v>
      </x:c>
      <x:c r="H2736" t="n">
        <x:v>3</x:v>
      </x:c>
      <x:c r="I2736" t="n">
        <x:f>G2736-H2736</x:f>
        <x:v>0</x:v>
      </x:c>
      <x:c r="J2736" s="20" t="n">
        <x:f>IFERROR(H2736/G2736,0)</x:f>
        <x:v>1</x:v>
      </x:c>
      <x:c r="K2736" t="n">
        <x:v>65934</x:v>
      </x:c>
      <x:c r="L2736" t="n">
        <x:v>68056.5</x:v>
      </x:c>
      <x:c r="M2736" t="n">
        <x:v>70179</x:v>
      </x:c>
      <x:c r="N2736" t="n">
        <x:v>71744</x:v>
      </x:c>
      <x:c r="O2736" t="n">
        <x:v>73309</x:v>
      </x:c>
    </x:row>
    <x:row r="2737">
      <x:c r="A2737" t="str">
        <x:v>Maharashtra</x:v>
      </x:c>
      <x:c r="B2737" t="str">
        <x:v>All India except Central University</x:v>
      </x:c>
      <x:c r="C2737" t="str">
        <x:v>200229</x:v>
      </x:c>
      <x:c r="D2737" t="str">
        <x:v>SRTR Medical College, Ambajogai, SWAMI RAMNAND TEERTH RURAL GOVERNMENT MEDICAL COLLEGE AMBAJOGAI DIST BEED MAHARASHTRA PIN-431517</x:v>
      </x:c>
      <x:c r="E2737" t="str">
        <x:v>All India</x:v>
      </x:c>
      <x:c r="F2737" t="str">
        <x:v>ST</x:v>
      </x:c>
      <x:c r="G2737" t="n">
        <x:v>1</x:v>
      </x:c>
      <x:c r="H2737" t="n">
        <x:v>1</x:v>
      </x:c>
      <x:c r="I2737" t="n">
        <x:f>G2737-H2737</x:f>
        <x:v>0</x:v>
      </x:c>
      <x:c r="J2737" s="20" t="n">
        <x:f>IFERROR(H2737/G2737,0)</x:f>
        <x:v>1</x:v>
      </x:c>
      <x:c r="K2737" t="n">
        <x:v>97728</x:v>
      </x:c>
      <x:c r="L2737" t="n">
        <x:v>97728</x:v>
      </x:c>
      <x:c r="M2737" t="n">
        <x:v>97728</x:v>
      </x:c>
      <x:c r="N2737" t="n">
        <x:v>97728</x:v>
      </x:c>
      <x:c r="O2737" t="n">
        <x:v>97728</x:v>
      </x:c>
    </x:row>
    <x:row r="2738">
      <x:c r="A2738" t="str">
        <x:v>Tamil Nadu</x:v>
      </x:c>
      <x:c r="B2738" t="str">
        <x:v>Deemed University</x:v>
      </x:c>
      <x:c r="C2738" t="str">
        <x:v>904746</x:v>
      </x:c>
      <x:c r="D2738" t="str">
        <x:v>ST Peters Medical College, Hospital &amp; Research Institute, Dr MGR Nagar, Near AERI Campus, Opp SIPCOT –II, Hosur, Krishnagiri District</x:v>
      </x:c>
      <x:c r="E2738" t="str">
        <x:v>NRI</x:v>
      </x:c>
      <x:c r="F2738" t="str">
        <x:v>Open</x:v>
      </x:c>
      <x:c r="G2738" t="n">
        <x:v>20</x:v>
      </x:c>
      <x:c r="H2738" t="n">
        <x:v>0</x:v>
      </x:c>
      <x:c r="I2738" t="n">
        <x:f>G2738-H2738</x:f>
        <x:v>20</x:v>
      </x:c>
      <x:c r="J2738" s="20" t="n">
        <x:f>IFERROR(H2738/G2738,0)</x:f>
        <x:v>0</x:v>
      </x:c>
      <x:c r="K2738"/>
      <x:c r="L2738"/>
      <x:c r="M2738"/>
      <x:c r="N2738"/>
      <x:c r="O2738"/>
    </x:row>
    <x:row r="2739">
      <x:c r="A2739" t="str">
        <x:v>Tamil Nadu</x:v>
      </x:c>
      <x:c r="B2739" t="str">
        <x:v>Deemed University</x:v>
      </x:c>
      <x:c r="C2739" t="str">
        <x:v>904746</x:v>
      </x:c>
      <x:c r="D2739" t="str">
        <x:v>ST Peters Medical College, Hospital &amp; Research Institute, Dr MGR Nagar, Near AERI Campus, Opp SIPCOT –II, Hosur, Krishnagiri District</x:v>
      </x:c>
      <x:c r="E2739" t="str">
        <x:v>Self-Financed Merit</x:v>
      </x:c>
      <x:c r="F2739" t="str">
        <x:v>Open</x:v>
      </x:c>
      <x:c r="G2739" t="n">
        <x:v>230</x:v>
      </x:c>
      <x:c r="H2739" t="n">
        <x:v>230</x:v>
      </x:c>
      <x:c r="I2739" t="n">
        <x:f>G2739-H2739</x:f>
        <x:v>0</x:v>
      </x:c>
      <x:c r="J2739" s="20" t="n">
        <x:f>IFERROR(H2739/G2739,0)</x:f>
        <x:v>1</x:v>
      </x:c>
      <x:c r="K2739" t="n">
        <x:v>129465</x:v>
      </x:c>
      <x:c r="L2739" t="n">
        <x:v>579310.75</x:v>
      </x:c>
      <x:c r="M2739" t="n">
        <x:v>703545</x:v>
      </x:c>
      <x:c r="N2739" t="n">
        <x:v>797604.25</x:v>
      </x:c>
      <x:c r="O2739" t="n">
        <x:v>874702</x:v>
      </x:c>
    </x:row>
    <x:row r="2740">
      <x:c r="A2740" t="str">
        <x:v>Andhra Pradesh</x:v>
      </x:c>
      <x:c r="B2740" t="str">
        <x:v>All India except Central University</x:v>
      </x:c>
      <x:c r="C2740" t="str">
        <x:v>200434</x:v>
      </x:c>
      <x:c r="D2740" t="str">
        <x:v>SVIMS - Sri Padmavathi Medical College for Women, Alipiri Road, Tirupati, SVIMS, ALIPIRI ROAD, TIRUPATI</x:v>
      </x:c>
      <x:c r="E2740" t="str">
        <x:v>All India</x:v>
      </x:c>
      <x:c r="F2740" t="str">
        <x:v>EWS</x:v>
      </x:c>
      <x:c r="G2740" t="n">
        <x:v>2</x:v>
      </x:c>
      <x:c r="H2740" t="n">
        <x:v>2</x:v>
      </x:c>
      <x:c r="I2740" t="n">
        <x:f>G2740-H2740</x:f>
        <x:v>0</x:v>
      </x:c>
      <x:c r="J2740" s="20" t="n">
        <x:f>IFERROR(H2740/G2740,0)</x:f>
        <x:v>1</x:v>
      </x:c>
      <x:c r="K2740" t="n">
        <x:v>22458</x:v>
      </x:c>
      <x:c r="L2740" t="n">
        <x:v>23021</x:v>
      </x:c>
      <x:c r="M2740" t="n">
        <x:v>23584</x:v>
      </x:c>
      <x:c r="N2740" t="n">
        <x:v>24147</x:v>
      </x:c>
      <x:c r="O2740" t="n">
        <x:v>24710</x:v>
      </x:c>
    </x:row>
    <x:row r="2741">
      <x:c r="A2741" t="str">
        <x:v>Andhra Pradesh</x:v>
      </x:c>
      <x:c r="B2741" t="str">
        <x:v>All India except Central University</x:v>
      </x:c>
      <x:c r="C2741" t="str">
        <x:v>200434</x:v>
      </x:c>
      <x:c r="D2741" t="str">
        <x:v>SVIMS - Sri Padmavathi Medical College for Women, Alipiri Road, Tirupati, SVIMS, ALIPIRI ROAD, TIRUPATI</x:v>
      </x:c>
      <x:c r="E2741" t="str">
        <x:v>All India</x:v>
      </x:c>
      <x:c r="F2741" t="str">
        <x:v>OBC</x:v>
      </x:c>
      <x:c r="G2741" t="n">
        <x:v>6</x:v>
      </x:c>
      <x:c r="H2741" t="n">
        <x:v>6</x:v>
      </x:c>
      <x:c r="I2741" t="n">
        <x:f>G2741-H2741</x:f>
        <x:v>0</x:v>
      </x:c>
      <x:c r="J2741" s="20" t="n">
        <x:f>IFERROR(H2741/G2741,0)</x:f>
        <x:v>1</x:v>
      </x:c>
      <x:c r="K2741" t="n">
        <x:v>14668</x:v>
      </x:c>
      <x:c r="L2741" t="n">
        <x:v>14992.25</x:v>
      </x:c>
      <x:c r="M2741" t="n">
        <x:v>15847.5</x:v>
      </x:c>
      <x:c r="N2741" t="n">
        <x:v>16274.5</x:v>
      </x:c>
      <x:c r="O2741" t="n">
        <x:v>16408</x:v>
      </x:c>
    </x:row>
    <x:row r="2742">
      <x:c r="A2742" t="str">
        <x:v>Andhra Pradesh</x:v>
      </x:c>
      <x:c r="B2742" t="str">
        <x:v>All India except Central University</x:v>
      </x:c>
      <x:c r="C2742" t="str">
        <x:v>200434</x:v>
      </x:c>
      <x:c r="D2742" t="str">
        <x:v>SVIMS - Sri Padmavathi Medical College for Women, Alipiri Road, Tirupati, SVIMS, ALIPIRI ROAD, TIRUPATI</x:v>
      </x:c>
      <x:c r="E2742" t="str">
        <x:v>All India</x:v>
      </x:c>
      <x:c r="F2742" t="str">
        <x:v>OBC PwD</x:v>
      </x:c>
      <x:c r="G2742" t="n">
        <x:v>1</x:v>
      </x:c>
      <x:c r="H2742" t="n">
        <x:v>1</x:v>
      </x:c>
      <x:c r="I2742" t="n">
        <x:f>G2742-H2742</x:f>
        <x:v>0</x:v>
      </x:c>
      <x:c r="J2742" s="20" t="n">
        <x:f>IFERROR(H2742/G2742,0)</x:f>
        <x:v>1</x:v>
      </x:c>
      <x:c r="K2742" t="n">
        <x:v>481671</x:v>
      </x:c>
      <x:c r="L2742" t="n">
        <x:v>481671</x:v>
      </x:c>
      <x:c r="M2742" t="n">
        <x:v>481671</x:v>
      </x:c>
      <x:c r="N2742" t="n">
        <x:v>481671</x:v>
      </x:c>
      <x:c r="O2742" t="n">
        <x:v>481671</x:v>
      </x:c>
    </x:row>
    <x:row r="2743">
      <x:c r="A2743" t="str">
        <x:v>Andhra Pradesh</x:v>
      </x:c>
      <x:c r="B2743" t="str">
        <x:v>All India except Central University</x:v>
      </x:c>
      <x:c r="C2743" t="str">
        <x:v>200434</x:v>
      </x:c>
      <x:c r="D2743" t="str">
        <x:v>SVIMS - Sri Padmavathi Medical College for Women, Alipiri Road, Tirupati, SVIMS, ALIPIRI ROAD, TIRUPATI</x:v>
      </x:c>
      <x:c r="E2743" t="str">
        <x:v>All India</x:v>
      </x:c>
      <x:c r="F2743" t="str">
        <x:v>Open</x:v>
      </x:c>
      <x:c r="G2743" t="n">
        <x:v>10</x:v>
      </x:c>
      <x:c r="H2743" t="n">
        <x:v>10</x:v>
      </x:c>
      <x:c r="I2743" t="n">
        <x:f>G2743-H2743</x:f>
        <x:v>0</x:v>
      </x:c>
      <x:c r="J2743" s="20" t="n">
        <x:f>IFERROR(H2743/G2743,0)</x:f>
        <x:v>1</x:v>
      </x:c>
      <x:c r="K2743" t="n">
        <x:v>9542</x:v>
      </x:c>
      <x:c r="L2743" t="n">
        <x:v>10998.25</x:v>
      </x:c>
      <x:c r="M2743" t="n">
        <x:v>12530.5</x:v>
      </x:c>
      <x:c r="N2743" t="n">
        <x:v>13621</x:v>
      </x:c>
      <x:c r="O2743" t="n">
        <x:v>13858</x:v>
      </x:c>
    </x:row>
    <x:row r="2744">
      <x:c r="A2744" t="str">
        <x:v>Andhra Pradesh</x:v>
      </x:c>
      <x:c r="B2744" t="str">
        <x:v>All India except Central University</x:v>
      </x:c>
      <x:c r="C2744" t="str">
        <x:v>200434</x:v>
      </x:c>
      <x:c r="D2744" t="str">
        <x:v>SVIMS - Sri Padmavathi Medical College for Women, Alipiri Road, Tirupati, SVIMS, ALIPIRI ROAD, TIRUPATI</x:v>
      </x:c>
      <x:c r="E2744" t="str">
        <x:v>All India</x:v>
      </x:c>
      <x:c r="F2744" t="str">
        <x:v>Open PwD</x:v>
      </x:c>
      <x:c r="G2744" t="n">
        <x:v>1</x:v>
      </x:c>
      <x:c r="H2744" t="n">
        <x:v>1</x:v>
      </x:c>
      <x:c r="I2744" t="n">
        <x:f>G2744-H2744</x:f>
        <x:v>0</x:v>
      </x:c>
      <x:c r="J2744" s="20" t="n">
        <x:f>IFERROR(H2744/G2744,0)</x:f>
        <x:v>1</x:v>
      </x:c>
      <x:c r="K2744" t="n">
        <x:v>203102</x:v>
      </x:c>
      <x:c r="L2744" t="n">
        <x:v>203102</x:v>
      </x:c>
      <x:c r="M2744" t="n">
        <x:v>203102</x:v>
      </x:c>
      <x:c r="N2744" t="n">
        <x:v>203102</x:v>
      </x:c>
      <x:c r="O2744" t="n">
        <x:v>203102</x:v>
      </x:c>
    </x:row>
    <x:row r="2745">
      <x:c r="A2745" t="str">
        <x:v>Andhra Pradesh</x:v>
      </x:c>
      <x:c r="B2745" t="str">
        <x:v>All India except Central University</x:v>
      </x:c>
      <x:c r="C2745" t="str">
        <x:v>200434</x:v>
      </x:c>
      <x:c r="D2745" t="str">
        <x:v>SVIMS - Sri Padmavathi Medical College for Women, Alipiri Road, Tirupati, SVIMS, ALIPIRI ROAD, TIRUPATI</x:v>
      </x:c>
      <x:c r="E2745" t="str">
        <x:v>All India</x:v>
      </x:c>
      <x:c r="F2745" t="str">
        <x:v>SC</x:v>
      </x:c>
      <x:c r="G2745" t="n">
        <x:v>3</x:v>
      </x:c>
      <x:c r="H2745" t="n">
        <x:v>3</x:v>
      </x:c>
      <x:c r="I2745" t="n">
        <x:f>G2745-H2745</x:f>
        <x:v>0</x:v>
      </x:c>
      <x:c r="J2745" s="20" t="n">
        <x:f>IFERROR(H2745/G2745,0)</x:f>
        <x:v>1</x:v>
      </x:c>
      <x:c r="K2745" t="n">
        <x:v>63299</x:v>
      </x:c>
      <x:c r="L2745" t="n">
        <x:v>69892.5</x:v>
      </x:c>
      <x:c r="M2745" t="n">
        <x:v>76486</x:v>
      </x:c>
      <x:c r="N2745" t="n">
        <x:v>79114</x:v>
      </x:c>
      <x:c r="O2745" t="n">
        <x:v>81742</x:v>
      </x:c>
    </x:row>
    <x:row r="2746">
      <x:c r="A2746" t="str">
        <x:v>Andhra Pradesh</x:v>
      </x:c>
      <x:c r="B2746" t="str">
        <x:v>All India except Central University</x:v>
      </x:c>
      <x:c r="C2746" t="str">
        <x:v>200434</x:v>
      </x:c>
      <x:c r="D2746" t="str">
        <x:v>SVIMS - Sri Padmavathi Medical College for Women, Alipiri Road, Tirupati, SVIMS, ALIPIRI ROAD, TIRUPATI</x:v>
      </x:c>
      <x:c r="E2746" t="str">
        <x:v>All India</x:v>
      </x:c>
      <x:c r="F2746" t="str">
        <x:v>SC PwD</x:v>
      </x:c>
      <x:c r="G2746" t="n">
        <x:v>1</x:v>
      </x:c>
      <x:c r="H2746" t="n">
        <x:v>0</x:v>
      </x:c>
      <x:c r="I2746" t="n">
        <x:f>G2746-H2746</x:f>
        <x:v>1</x:v>
      </x:c>
      <x:c r="J2746" s="20" t="n">
        <x:f>IFERROR(H2746/G2746,0)</x:f>
        <x:v>0</x:v>
      </x:c>
      <x:c r="K2746"/>
      <x:c r="L2746"/>
      <x:c r="M2746"/>
      <x:c r="N2746"/>
      <x:c r="O2746"/>
    </x:row>
    <x:row r="2747">
      <x:c r="A2747" t="str">
        <x:v>Andhra Pradesh</x:v>
      </x:c>
      <x:c r="B2747" t="str">
        <x:v>All India except Central University</x:v>
      </x:c>
      <x:c r="C2747" t="str">
        <x:v>200434</x:v>
      </x:c>
      <x:c r="D2747" t="str">
        <x:v>SVIMS - Sri Padmavathi Medical College for Women, Alipiri Road, Tirupati, SVIMS, ALIPIRI ROAD, TIRUPATI</x:v>
      </x:c>
      <x:c r="E2747" t="str">
        <x:v>All India</x:v>
      </x:c>
      <x:c r="F2747" t="str">
        <x:v>ST</x:v>
      </x:c>
      <x:c r="G2747" t="n">
        <x:v>2</x:v>
      </x:c>
      <x:c r="H2747" t="n">
        <x:v>2</x:v>
      </x:c>
      <x:c r="I2747" t="n">
        <x:f>G2747-H2747</x:f>
        <x:v>0</x:v>
      </x:c>
      <x:c r="J2747" s="20" t="n">
        <x:f>IFERROR(H2747/G2747,0)</x:f>
        <x:v>1</x:v>
      </x:c>
      <x:c r="K2747" t="n">
        <x:v>104373</x:v>
      </x:c>
      <x:c r="L2747" t="n">
        <x:v>107222.25</x:v>
      </x:c>
      <x:c r="M2747" t="n">
        <x:v>110071.5</x:v>
      </x:c>
      <x:c r="N2747" t="n">
        <x:v>112920.75</x:v>
      </x:c>
      <x:c r="O2747" t="n">
        <x:v>115770</x:v>
      </x:c>
    </x:row>
    <x:row r="2748">
      <x:c r="A2748" t="str">
        <x:v>Odisha</x:v>
      </x:c>
      <x:c r="B2748" t="str">
        <x:v>All India except Central University</x:v>
      </x:c>
      <x:c r="C2748" t="str">
        <x:v>200239</x:v>
      </x:c>
      <x:c r="D2748" t="str">
        <x:v>Saheed Laxman Nayak Medical College &amp; Hospital, Koraput, AT- JANIGUDA,KORAPUT</x:v>
      </x:c>
      <x:c r="E2748" t="str">
        <x:v>All India</x:v>
      </x:c>
      <x:c r="F2748" t="str">
        <x:v>EWS</x:v>
      </x:c>
      <x:c r="G2748" t="n">
        <x:v>2</x:v>
      </x:c>
      <x:c r="H2748" t="n">
        <x:v>2</x:v>
      </x:c>
      <x:c r="I2748" t="n">
        <x:f>G2748-H2748</x:f>
        <x:v>0</x:v>
      </x:c>
      <x:c r="J2748" s="20" t="n">
        <x:f>IFERROR(H2748/G2748,0)</x:f>
        <x:v>1</x:v>
      </x:c>
      <x:c r="K2748" t="n">
        <x:v>18987</x:v>
      </x:c>
      <x:c r="L2748" t="n">
        <x:v>19089.5</x:v>
      </x:c>
      <x:c r="M2748" t="n">
        <x:v>19192</x:v>
      </x:c>
      <x:c r="N2748" t="n">
        <x:v>19294.5</x:v>
      </x:c>
      <x:c r="O2748" t="n">
        <x:v>19397</x:v>
      </x:c>
    </x:row>
    <x:row r="2749">
      <x:c r="A2749" t="str">
        <x:v>Odisha</x:v>
      </x:c>
      <x:c r="B2749" t="str">
        <x:v>All India except Central University</x:v>
      </x:c>
      <x:c r="C2749" t="str">
        <x:v>200239</x:v>
      </x:c>
      <x:c r="D2749" t="str">
        <x:v>Saheed Laxman Nayak Medical College &amp; Hospital, Koraput, AT- JANIGUDA,KORAPUT</x:v>
      </x:c>
      <x:c r="E2749" t="str">
        <x:v>All India</x:v>
      </x:c>
      <x:c r="F2749" t="str">
        <x:v>OBC</x:v>
      </x:c>
      <x:c r="G2749" t="n">
        <x:v>5</x:v>
      </x:c>
      <x:c r="H2749" t="n">
        <x:v>5</x:v>
      </x:c>
      <x:c r="I2749" t="n">
        <x:f>G2749-H2749</x:f>
        <x:v>0</x:v>
      </x:c>
      <x:c r="J2749" s="20" t="n">
        <x:f>IFERROR(H2749/G2749,0)</x:f>
        <x:v>1</x:v>
      </x:c>
      <x:c r="K2749" t="n">
        <x:v>14419</x:v>
      </x:c>
      <x:c r="L2749" t="n">
        <x:v>14570</x:v>
      </x:c>
      <x:c r="M2749" t="n">
        <x:v>14616</x:v>
      </x:c>
      <x:c r="N2749" t="n">
        <x:v>15169</x:v>
      </x:c>
      <x:c r="O2749" t="n">
        <x:v>15686</x:v>
      </x:c>
    </x:row>
    <x:row r="2750">
      <x:c r="A2750" t="str">
        <x:v>Odisha</x:v>
      </x:c>
      <x:c r="B2750" t="str">
        <x:v>All India except Central University</x:v>
      </x:c>
      <x:c r="C2750" t="str">
        <x:v>200239</x:v>
      </x:c>
      <x:c r="D2750" t="str">
        <x:v>Saheed Laxman Nayak Medical College &amp; Hospital, Koraput, AT- JANIGUDA,KORAPUT</x:v>
      </x:c>
      <x:c r="E2750" t="str">
        <x:v>All India</x:v>
      </x:c>
      <x:c r="F2750" t="str">
        <x:v>Open</x:v>
      </x:c>
      <x:c r="G2750" t="n">
        <x:v>9</x:v>
      </x:c>
      <x:c r="H2750" t="n">
        <x:v>9</x:v>
      </x:c>
      <x:c r="I2750" t="n">
        <x:f>G2750-H2750</x:f>
        <x:v>0</x:v>
      </x:c>
      <x:c r="J2750" s="20" t="n">
        <x:f>IFERROR(H2750/G2750,0)</x:f>
        <x:v>1</x:v>
      </x:c>
      <x:c r="K2750" t="n">
        <x:v>10604</x:v>
      </x:c>
      <x:c r="L2750" t="n">
        <x:v>11247</x:v>
      </x:c>
      <x:c r="M2750" t="n">
        <x:v>12310</x:v>
      </x:c>
      <x:c r="N2750" t="n">
        <x:v>12771</x:v>
      </x:c>
      <x:c r="O2750" t="n">
        <x:v>13157</x:v>
      </x:c>
    </x:row>
    <x:row r="2751">
      <x:c r="A2751" t="str">
        <x:v>Odisha</x:v>
      </x:c>
      <x:c r="B2751" t="str">
        <x:v>All India except Central University</x:v>
      </x:c>
      <x:c r="C2751" t="str">
        <x:v>200239</x:v>
      </x:c>
      <x:c r="D2751" t="str">
        <x:v>Saheed Laxman Nayak Medical College &amp; Hospital, Koraput, AT- JANIGUDA,KORAPUT</x:v>
      </x:c>
      <x:c r="E2751" t="str">
        <x:v>All India</x:v>
      </x:c>
      <x:c r="F2751" t="str">
        <x:v>SC</x:v>
      </x:c>
      <x:c r="G2751" t="n">
        <x:v>2</x:v>
      </x:c>
      <x:c r="H2751" t="n">
        <x:v>2</x:v>
      </x:c>
      <x:c r="I2751" t="n">
        <x:f>G2751-H2751</x:f>
        <x:v>0</x:v>
      </x:c>
      <x:c r="J2751" s="20" t="n">
        <x:f>IFERROR(H2751/G2751,0)</x:f>
        <x:v>1</x:v>
      </x:c>
      <x:c r="K2751" t="n">
        <x:v>69158</x:v>
      </x:c>
      <x:c r="L2751" t="n">
        <x:v>69314.5</x:v>
      </x:c>
      <x:c r="M2751" t="n">
        <x:v>69471</x:v>
      </x:c>
      <x:c r="N2751" t="n">
        <x:v>69627.5</x:v>
      </x:c>
      <x:c r="O2751" t="n">
        <x:v>69784</x:v>
      </x:c>
    </x:row>
    <x:row r="2752">
      <x:c r="A2752" t="str">
        <x:v>Odisha</x:v>
      </x:c>
      <x:c r="B2752" t="str">
        <x:v>All India except Central University</x:v>
      </x:c>
      <x:c r="C2752" t="str">
        <x:v>200239</x:v>
      </x:c>
      <x:c r="D2752" t="str">
        <x:v>Saheed Laxman Nayak Medical College &amp; Hospital, Koraput, AT- JANIGUDA,KORAPUT</x:v>
      </x:c>
      <x:c r="E2752" t="str">
        <x:v>All India</x:v>
      </x:c>
      <x:c r="F2752" t="str">
        <x:v>ST</x:v>
      </x:c>
      <x:c r="G2752" t="n">
        <x:v>1</x:v>
      </x:c>
      <x:c r="H2752" t="n">
        <x:v>1</x:v>
      </x:c>
      <x:c r="I2752" t="n">
        <x:f>G2752-H2752</x:f>
        <x:v>0</x:v>
      </x:c>
      <x:c r="J2752" s="20" t="n">
        <x:f>IFERROR(H2752/G2752,0)</x:f>
        <x:v>1</x:v>
      </x:c>
      <x:c r="K2752" t="n">
        <x:v>123994</x:v>
      </x:c>
      <x:c r="L2752" t="n">
        <x:v>123994</x:v>
      </x:c>
      <x:c r="M2752" t="n">
        <x:v>123994</x:v>
      </x:c>
      <x:c r="N2752" t="n">
        <x:v>123994</x:v>
      </x:c>
      <x:c r="O2752" t="n">
        <x:v>123994</x:v>
      </x:c>
    </x:row>
    <x:row r="2753">
      <x:c r="A2753" t="str">
        <x:v>Odisha</x:v>
      </x:c>
      <x:c r="B2753" t="str">
        <x:v>All India except Central University</x:v>
      </x:c>
      <x:c r="C2753" t="str">
        <x:v>200675</x:v>
      </x:c>
      <x:c r="D2753" t="str">
        <x:v>Saheed Rendo Majhi Medical College and Hospital, Bhawanipatna, Kalahandi, Odisha (erstwhile Government Medical College, Bhawanipatna) , At - Bhangabari, P.O. - Uditnarayanpur, Bhawanipatna, Dist - Kalahandi</x:v>
      </x:c>
      <x:c r="E2753" t="str">
        <x:v>All India</x:v>
      </x:c>
      <x:c r="F2753" t="str">
        <x:v>EWS</x:v>
      </x:c>
      <x:c r="G2753" t="n">
        <x:v>1</x:v>
      </x:c>
      <x:c r="H2753" t="n">
        <x:v>1</x:v>
      </x:c>
      <x:c r="I2753" t="n">
        <x:f>G2753-H2753</x:f>
        <x:v>0</x:v>
      </x:c>
      <x:c r="J2753" s="20" t="n">
        <x:f>IFERROR(H2753/G2753,0)</x:f>
        <x:v>1</x:v>
      </x:c>
      <x:c r="K2753" t="n">
        <x:v>20575</x:v>
      </x:c>
      <x:c r="L2753" t="n">
        <x:v>20575</x:v>
      </x:c>
      <x:c r="M2753" t="n">
        <x:v>20575</x:v>
      </x:c>
      <x:c r="N2753" t="n">
        <x:v>20575</x:v>
      </x:c>
      <x:c r="O2753" t="n">
        <x:v>20575</x:v>
      </x:c>
    </x:row>
    <x:row r="2754">
      <x:c r="A2754" t="str">
        <x:v>Odisha</x:v>
      </x:c>
      <x:c r="B2754" t="str">
        <x:v>All India except Central University</x:v>
      </x:c>
      <x:c r="C2754" t="str">
        <x:v>200675</x:v>
      </x:c>
      <x:c r="D2754" t="str">
        <x:v>Saheed Rendo Majhi Medical College and Hospital, Bhawanipatna, Kalahandi, Odisha (erstwhile Government Medical College, Bhawanipatna) , At - Bhangabari, P.O. - Uditnarayanpur, Bhawanipatna, Dist - Kalahandi</x:v>
      </x:c>
      <x:c r="E2754" t="str">
        <x:v>All India</x:v>
      </x:c>
      <x:c r="F2754" t="str">
        <x:v>OBC</x:v>
      </x:c>
      <x:c r="G2754" t="n">
        <x:v>4</x:v>
      </x:c>
      <x:c r="H2754" t="n">
        <x:v>4</x:v>
      </x:c>
      <x:c r="I2754" t="n">
        <x:f>G2754-H2754</x:f>
        <x:v>0</x:v>
      </x:c>
      <x:c r="J2754" s="20" t="n">
        <x:f>IFERROR(H2754/G2754,0)</x:f>
        <x:v>1</x:v>
      </x:c>
      <x:c r="K2754" t="n">
        <x:v>16054</x:v>
      </x:c>
      <x:c r="L2754" t="n">
        <x:v>16514.5</x:v>
      </x:c>
      <x:c r="M2754" t="n">
        <x:v>16820.5</x:v>
      </x:c>
      <x:c r="N2754" t="n">
        <x:v>16986</x:v>
      </x:c>
      <x:c r="O2754" t="n">
        <x:v>17025</x:v>
      </x:c>
    </x:row>
    <x:row r="2755">
      <x:c r="A2755" t="str">
        <x:v>Odisha</x:v>
      </x:c>
      <x:c r="B2755" t="str">
        <x:v>All India except Central University</x:v>
      </x:c>
      <x:c r="C2755" t="str">
        <x:v>200675</x:v>
      </x:c>
      <x:c r="D2755" t="str">
        <x:v>Saheed Rendo Majhi Medical College and Hospital, Bhawanipatna, Kalahandi, Odisha (erstwhile Government Medical College, Bhawanipatna) , At - Bhangabari, P.O. - Uditnarayanpur, Bhawanipatna, Dist - Kalahandi</x:v>
      </x:c>
      <x:c r="E2755" t="str">
        <x:v>All India</x:v>
      </x:c>
      <x:c r="F2755" t="str">
        <x:v>Open</x:v>
      </x:c>
      <x:c r="G2755" t="n">
        <x:v>5</x:v>
      </x:c>
      <x:c r="H2755" t="n">
        <x:v>5</x:v>
      </x:c>
      <x:c r="I2755" t="n">
        <x:f>G2755-H2755</x:f>
        <x:v>0</x:v>
      </x:c>
      <x:c r="J2755" s="20" t="n">
        <x:f>IFERROR(H2755/G2755,0)</x:f>
        <x:v>1</x:v>
      </x:c>
      <x:c r="K2755" t="n">
        <x:v>8421</x:v>
      </x:c>
      <x:c r="L2755" t="n">
        <x:v>11729</x:v>
      </x:c>
      <x:c r="M2755" t="n">
        <x:v>12301</x:v>
      </x:c>
      <x:c r="N2755" t="n">
        <x:v>14177</x:v>
      </x:c>
      <x:c r="O2755" t="n">
        <x:v>14214</x:v>
      </x:c>
    </x:row>
    <x:row r="2756">
      <x:c r="A2756" t="str">
        <x:v>Odisha</x:v>
      </x:c>
      <x:c r="B2756" t="str">
        <x:v>All India except Central University</x:v>
      </x:c>
      <x:c r="C2756" t="str">
        <x:v>200675</x:v>
      </x:c>
      <x:c r="D2756" t="str">
        <x:v>Saheed Rendo Majhi Medical College and Hospital, Bhawanipatna, Kalahandi, Odisha (erstwhile Government Medical College, Bhawanipatna) , At - Bhangabari, P.O. - Uditnarayanpur, Bhawanipatna, Dist - Kalahandi</x:v>
      </x:c>
      <x:c r="E2756" t="str">
        <x:v>All India</x:v>
      </x:c>
      <x:c r="F2756" t="str">
        <x:v>SC</x:v>
      </x:c>
      <x:c r="G2756" t="n">
        <x:v>2</x:v>
      </x:c>
      <x:c r="H2756" t="n">
        <x:v>2</x:v>
      </x:c>
      <x:c r="I2756" t="n">
        <x:f>G2756-H2756</x:f>
        <x:v>0</x:v>
      </x:c>
      <x:c r="J2756" s="20" t="n">
        <x:f>IFERROR(H2756/G2756,0)</x:f>
        <x:v>1</x:v>
      </x:c>
      <x:c r="K2756" t="n">
        <x:v>57321</x:v>
      </x:c>
      <x:c r="L2756" t="n">
        <x:v>61062</x:v>
      </x:c>
      <x:c r="M2756" t="n">
        <x:v>64803</x:v>
      </x:c>
      <x:c r="N2756" t="n">
        <x:v>68544</x:v>
      </x:c>
      <x:c r="O2756" t="n">
        <x:v>72285</x:v>
      </x:c>
    </x:row>
    <x:row r="2757">
      <x:c r="A2757" t="str">
        <x:v>Odisha</x:v>
      </x:c>
      <x:c r="B2757" t="str">
        <x:v>All India except Central University</x:v>
      </x:c>
      <x:c r="C2757" t="str">
        <x:v>200675</x:v>
      </x:c>
      <x:c r="D2757" t="str">
        <x:v>Saheed Rendo Majhi Medical College and Hospital, Bhawanipatna, Kalahandi, Odisha (erstwhile Government Medical College, Bhawanipatna) , At - Bhangabari, P.O. - Uditnarayanpur, Bhawanipatna, Dist - Kalahandi</x:v>
      </x:c>
      <x:c r="E2757" t="str">
        <x:v>All India</x:v>
      </x:c>
      <x:c r="F2757" t="str">
        <x:v>SC PwD</x:v>
      </x:c>
      <x:c r="G2757" t="n">
        <x:v>1</x:v>
      </x:c>
      <x:c r="H2757" t="n">
        <x:v>1</x:v>
      </x:c>
      <x:c r="I2757" t="n">
        <x:f>G2757-H2757</x:f>
        <x:v>0</x:v>
      </x:c>
      <x:c r="J2757" s="20" t="n">
        <x:f>IFERROR(H2757/G2757,0)</x:f>
        <x:v>1</x:v>
      </x:c>
      <x:c r="K2757" t="n">
        <x:v>1095255</x:v>
      </x:c>
      <x:c r="L2757" t="n">
        <x:v>1095255</x:v>
      </x:c>
      <x:c r="M2757" t="n">
        <x:v>1095255</x:v>
      </x:c>
      <x:c r="N2757" t="n">
        <x:v>1095255</x:v>
      </x:c>
      <x:c r="O2757" t="n">
        <x:v>1095255</x:v>
      </x:c>
    </x:row>
    <x:row r="2758">
      <x:c r="A2758" t="str">
        <x:v>Odisha</x:v>
      </x:c>
      <x:c r="B2758" t="str">
        <x:v>All India except Central University</x:v>
      </x:c>
      <x:c r="C2758" t="str">
        <x:v>200675</x:v>
      </x:c>
      <x:c r="D2758" t="str">
        <x:v>Saheed Rendo Majhi Medical College and Hospital, Bhawanipatna, Kalahandi, Odisha (erstwhile Government Medical College, Bhawanipatna) , At - Bhangabari, P.O. - Uditnarayanpur, Bhawanipatna, Dist - Kalahandi</x:v>
      </x:c>
      <x:c r="E2758" t="str">
        <x:v>All India</x:v>
      </x:c>
      <x:c r="F2758" t="str">
        <x:v>ST</x:v>
      </x:c>
      <x:c r="G2758" t="n">
        <x:v>1</x:v>
      </x:c>
      <x:c r="H2758" t="n">
        <x:v>1</x:v>
      </x:c>
      <x:c r="I2758" t="n">
        <x:f>G2758-H2758</x:f>
        <x:v>0</x:v>
      </x:c>
      <x:c r="J2758" s="20" t="n">
        <x:f>IFERROR(H2758/G2758,0)</x:f>
        <x:v>1</x:v>
      </x:c>
      <x:c r="K2758" t="n">
        <x:v>119973</x:v>
      </x:c>
      <x:c r="L2758" t="n">
        <x:v>119973</x:v>
      </x:c>
      <x:c r="M2758" t="n">
        <x:v>119973</x:v>
      </x:c>
      <x:c r="N2758" t="n">
        <x:v>119973</x:v>
      </x:c>
      <x:c r="O2758" t="n">
        <x:v>119973</x:v>
      </x:c>
    </x:row>
    <x:row r="2759">
      <x:c r="A2759" t="str">
        <x:v>Odisha</x:v>
      </x:c>
      <x:c r="B2759" t="str">
        <x:v>All India except Central University</x:v>
      </x:c>
      <x:c r="C2759" t="str">
        <x:v>200675</x:v>
      </x:c>
      <x:c r="D2759" t="str">
        <x:v>Saheed Rendo Majhi Medical College and Hospital, Bhawanipatna, Kalahandi, Odisha (erstwhile Government Medical College, Bhawanipatna) , At - Bhangabari, P.O. - Uditnarayanpur, Bhawanipatna, Dist - Kalahandi</x:v>
      </x:c>
      <x:c r="E2759" t="str">
        <x:v>All India</x:v>
      </x:c>
      <x:c r="F2759" t="str">
        <x:v>ST PwD</x:v>
      </x:c>
      <x:c r="G2759" t="n">
        <x:v>1</x:v>
      </x:c>
      <x:c r="H2759" t="n">
        <x:v>1</x:v>
      </x:c>
      <x:c r="I2759" t="n">
        <x:f>G2759-H2759</x:f>
        <x:v>0</x:v>
      </x:c>
      <x:c r="J2759" s="20" t="n">
        <x:f>IFERROR(H2759/G2759,0)</x:f>
        <x:v>1</x:v>
      </x:c>
      <x:c r="K2759" t="n">
        <x:v>594703</x:v>
      </x:c>
      <x:c r="L2759" t="n">
        <x:v>594703</x:v>
      </x:c>
      <x:c r="M2759" t="n">
        <x:v>594703</x:v>
      </x:c>
      <x:c r="N2759" t="n">
        <x:v>594703</x:v>
      </x:c>
      <x:c r="O2759" t="n">
        <x:v>594703</x:v>
      </x:c>
    </x:row>
    <x:row r="2760">
      <x:c r="A2760" t="str">
        <x:v>Uttar Pradesh</x:v>
      </x:c>
      <x:c r="B2760" t="str">
        <x:v>Deemed University</x:v>
      </x:c>
      <x:c r="C2760" t="str">
        <x:v>200408</x:v>
      </x:c>
      <x:c r="D2760" t="str">
        <x:v>Santosh Medical College, Ghaziabad, No.1, Santosh Nagar, Ghaziabad, Delhi NCR</x:v>
      </x:c>
      <x:c r="E2760" t="str">
        <x:v>NRI</x:v>
      </x:c>
      <x:c r="F2760" t="str">
        <x:v>Open</x:v>
      </x:c>
      <x:c r="G2760" t="n">
        <x:v>23</x:v>
      </x:c>
      <x:c r="H2760" t="n">
        <x:v>5</x:v>
      </x:c>
      <x:c r="I2760" t="n">
        <x:f>G2760-H2760</x:f>
        <x:v>18</x:v>
      </x:c>
      <x:c r="J2760" s="20" t="n">
        <x:f>IFERROR(H2760/G2760,0)</x:f>
        <x:v>0.21739130434782608</x:v>
      </x:c>
      <x:c r="K2760" t="n">
        <x:v>741289</x:v>
      </x:c>
      <x:c r="L2760" t="n">
        <x:v>769081</x:v>
      </x:c>
      <x:c r="M2760" t="n">
        <x:v>924298</x:v>
      </x:c>
      <x:c r="N2760" t="n">
        <x:v>948559</x:v>
      </x:c>
      <x:c r="O2760" t="n">
        <x:v>993507</x:v>
      </x:c>
    </x:row>
    <x:row r="2761">
      <x:c r="A2761" t="str">
        <x:v>Uttar Pradesh</x:v>
      </x:c>
      <x:c r="B2761" t="str">
        <x:v>Deemed University</x:v>
      </x:c>
      <x:c r="C2761" t="str">
        <x:v>200408</x:v>
      </x:c>
      <x:c r="D2761" t="str">
        <x:v>Santosh Medical College, Ghaziabad, No.1, Santosh Nagar, Ghaziabad, Delhi NCR</x:v>
      </x:c>
      <x:c r="E2761" t="str">
        <x:v>Self-Financed Merit</x:v>
      </x:c>
      <x:c r="F2761" t="str">
        <x:v>Open</x:v>
      </x:c>
      <x:c r="G2761" t="n">
        <x:v>127</x:v>
      </x:c>
      <x:c r="H2761" t="n">
        <x:v>127</x:v>
      </x:c>
      <x:c r="I2761" t="n">
        <x:f>G2761-H2761</x:f>
        <x:v>0</x:v>
      </x:c>
      <x:c r="J2761" s="20" t="n">
        <x:f>IFERROR(H2761/G2761,0)</x:f>
        <x:v>1</x:v>
      </x:c>
      <x:c r="K2761" t="n">
        <x:v>106401</x:v>
      </x:c>
      <x:c r="L2761" t="n">
        <x:v>403347</x:v>
      </x:c>
      <x:c r="M2761" t="n">
        <x:v>511348</x:v>
      </x:c>
      <x:c r="N2761" t="n">
        <x:v>541185</x:v>
      </x:c>
      <x:c r="O2761" t="n">
        <x:v>582133</x:v>
      </x:c>
    </x:row>
    <x:row r="2762">
      <x:c r="A2762" t="str">
        <x:v>West Bengal</x:v>
      </x:c>
      <x:c r="B2762" t="str">
        <x:v>All India except Central University</x:v>
      </x:c>
      <x:c r="C2762" t="str">
        <x:v>200620</x:v>
      </x:c>
      <x:c r="D2762" t="str">
        <x:v>Sarat Chandra Chattopadhyay Government Medical College &amp; Hospital, , NH-16, Jadurberia, Uluberia, Howrah - 711316</x:v>
      </x:c>
      <x:c r="E2762" t="str">
        <x:v>All India</x:v>
      </x:c>
      <x:c r="F2762" t="str">
        <x:v>EWS</x:v>
      </x:c>
      <x:c r="G2762" t="n">
        <x:v>2</x:v>
      </x:c>
      <x:c r="H2762" t="n">
        <x:v>2</x:v>
      </x:c>
      <x:c r="I2762" t="n">
        <x:f>G2762-H2762</x:f>
        <x:v>0</x:v>
      </x:c>
      <x:c r="J2762" s="20" t="n">
        <x:f>IFERROR(H2762/G2762,0)</x:f>
        <x:v>1</x:v>
      </x:c>
      <x:c r="K2762" t="n">
        <x:v>20738</x:v>
      </x:c>
      <x:c r="L2762" t="n">
        <x:v>20855.75</x:v>
      </x:c>
      <x:c r="M2762" t="n">
        <x:v>20973.5</x:v>
      </x:c>
      <x:c r="N2762" t="n">
        <x:v>21091.25</x:v>
      </x:c>
      <x:c r="O2762" t="n">
        <x:v>21209</x:v>
      </x:c>
    </x:row>
    <x:row r="2763">
      <x:c r="A2763" t="str">
        <x:v>West Bengal</x:v>
      </x:c>
      <x:c r="B2763" t="str">
        <x:v>All India except Central University</x:v>
      </x:c>
      <x:c r="C2763" t="str">
        <x:v>200620</x:v>
      </x:c>
      <x:c r="D2763" t="str">
        <x:v>Sarat Chandra Chattopadhyay Government Medical College &amp; Hospital, , NH-16, Jadurberia, Uluberia, Howrah - 711316</x:v>
      </x:c>
      <x:c r="E2763" t="str">
        <x:v>All India</x:v>
      </x:c>
      <x:c r="F2763" t="str">
        <x:v>OBC</x:v>
      </x:c>
      <x:c r="G2763" t="n">
        <x:v>6</x:v>
      </x:c>
      <x:c r="H2763" t="n">
        <x:v>6</x:v>
      </x:c>
      <x:c r="I2763" t="n">
        <x:f>G2763-H2763</x:f>
        <x:v>0</x:v>
      </x:c>
      <x:c r="J2763" s="20" t="n">
        <x:f>IFERROR(H2763/G2763,0)</x:f>
        <x:v>1</x:v>
      </x:c>
      <x:c r="K2763" t="n">
        <x:v>18487</x:v>
      </x:c>
      <x:c r="L2763" t="n">
        <x:v>18668.75</x:v>
      </x:c>
      <x:c r="M2763" t="n">
        <x:v>19150.5</x:v>
      </x:c>
      <x:c r="N2763" t="n">
        <x:v>19274.5</x:v>
      </x:c>
      <x:c r="O2763" t="n">
        <x:v>19671</x:v>
      </x:c>
    </x:row>
    <x:row r="2764">
      <x:c r="A2764" t="str">
        <x:v>West Bengal</x:v>
      </x:c>
      <x:c r="B2764" t="str">
        <x:v>All India except Central University</x:v>
      </x:c>
      <x:c r="C2764" t="str">
        <x:v>200620</x:v>
      </x:c>
      <x:c r="D2764" t="str">
        <x:v>Sarat Chandra Chattopadhyay Government Medical College &amp; Hospital, , NH-16, Jadurberia, Uluberia, Howrah - 711316</x:v>
      </x:c>
      <x:c r="E2764" t="str">
        <x:v>All India</x:v>
      </x:c>
      <x:c r="F2764" t="str">
        <x:v>Open</x:v>
      </x:c>
      <x:c r="G2764" t="n">
        <x:v>9</x:v>
      </x:c>
      <x:c r="H2764" t="n">
        <x:v>9</x:v>
      </x:c>
      <x:c r="I2764" t="n">
        <x:f>G2764-H2764</x:f>
        <x:v>0</x:v>
      </x:c>
      <x:c r="J2764" s="20" t="n">
        <x:f>IFERROR(H2764/G2764,0)</x:f>
        <x:v>1</x:v>
      </x:c>
      <x:c r="K2764" t="n">
        <x:v>11741</x:v>
      </x:c>
      <x:c r="L2764" t="n">
        <x:v>13496</x:v>
      </x:c>
      <x:c r="M2764" t="n">
        <x:v>14224</x:v>
      </x:c>
      <x:c r="N2764" t="n">
        <x:v>16196</x:v>
      </x:c>
      <x:c r="O2764" t="n">
        <x:v>16593</x:v>
      </x:c>
    </x:row>
    <x:row r="2765">
      <x:c r="A2765" t="str">
        <x:v>West Bengal</x:v>
      </x:c>
      <x:c r="B2765" t="str">
        <x:v>All India except Central University</x:v>
      </x:c>
      <x:c r="C2765" t="str">
        <x:v>200620</x:v>
      </x:c>
      <x:c r="D2765" t="str">
        <x:v>Sarat Chandra Chattopadhyay Government Medical College &amp; Hospital, , NH-16, Jadurberia, Uluberia, Howrah - 711316</x:v>
      </x:c>
      <x:c r="E2765" t="str">
        <x:v>All India</x:v>
      </x:c>
      <x:c r="F2765" t="str">
        <x:v>Open PwD</x:v>
      </x:c>
      <x:c r="G2765" t="n">
        <x:v>1</x:v>
      </x:c>
      <x:c r="H2765" t="n">
        <x:v>1</x:v>
      </x:c>
      <x:c r="I2765" t="n">
        <x:f>G2765-H2765</x:f>
        <x:v>0</x:v>
      </x:c>
      <x:c r="J2765" s="20" t="n">
        <x:f>IFERROR(H2765/G2765,0)</x:f>
        <x:v>1</x:v>
      </x:c>
      <x:c r="K2765" t="n">
        <x:v>443271</x:v>
      </x:c>
      <x:c r="L2765" t="n">
        <x:v>443271</x:v>
      </x:c>
      <x:c r="M2765" t="n">
        <x:v>443271</x:v>
      </x:c>
      <x:c r="N2765" t="n">
        <x:v>443271</x:v>
      </x:c>
      <x:c r="O2765" t="n">
        <x:v>443271</x:v>
      </x:c>
    </x:row>
    <x:row r="2766">
      <x:c r="A2766" t="str">
        <x:v>West Bengal</x:v>
      </x:c>
      <x:c r="B2766" t="str">
        <x:v>All India except Central University</x:v>
      </x:c>
      <x:c r="C2766" t="str">
        <x:v>200620</x:v>
      </x:c>
      <x:c r="D2766" t="str">
        <x:v>Sarat Chandra Chattopadhyay Government Medical College &amp; Hospital, , NH-16, Jadurberia, Uluberia, Howrah - 711316</x:v>
      </x:c>
      <x:c r="E2766" t="str">
        <x:v>All India</x:v>
      </x:c>
      <x:c r="F2766" t="str">
        <x:v>SC</x:v>
      </x:c>
      <x:c r="G2766" t="n">
        <x:v>3</x:v>
      </x:c>
      <x:c r="H2766" t="n">
        <x:v>3</x:v>
      </x:c>
      <x:c r="I2766" t="n">
        <x:f>G2766-H2766</x:f>
        <x:v>0</x:v>
      </x:c>
      <x:c r="J2766" s="20" t="n">
        <x:f>IFERROR(H2766/G2766,0)</x:f>
        <x:v>1</x:v>
      </x:c>
      <x:c r="K2766" t="n">
        <x:v>90560</x:v>
      </x:c>
      <x:c r="L2766" t="n">
        <x:v>91293.5</x:v>
      </x:c>
      <x:c r="M2766" t="n">
        <x:v>92027</x:v>
      </x:c>
      <x:c r="N2766" t="n">
        <x:v>94076</x:v>
      </x:c>
      <x:c r="O2766" t="n">
        <x:v>96125</x:v>
      </x:c>
    </x:row>
    <x:row r="2767">
      <x:c r="A2767" t="str">
        <x:v>West Bengal</x:v>
      </x:c>
      <x:c r="B2767" t="str">
        <x:v>All India except Central University</x:v>
      </x:c>
      <x:c r="C2767" t="str">
        <x:v>200620</x:v>
      </x:c>
      <x:c r="D2767" t="str">
        <x:v>Sarat Chandra Chattopadhyay Government Medical College &amp; Hospital, , NH-16, Jadurberia, Uluberia, Howrah - 711316</x:v>
      </x:c>
      <x:c r="E2767" t="str">
        <x:v>All India</x:v>
      </x:c>
      <x:c r="F2767" t="str">
        <x:v>ST</x:v>
      </x:c>
      <x:c r="G2767" t="n">
        <x:v>2</x:v>
      </x:c>
      <x:c r="H2767" t="n">
        <x:v>2</x:v>
      </x:c>
      <x:c r="I2767" t="n">
        <x:f>G2767-H2767</x:f>
        <x:v>0</x:v>
      </x:c>
      <x:c r="J2767" s="20" t="n">
        <x:f>IFERROR(H2767/G2767,0)</x:f>
        <x:v>1</x:v>
      </x:c>
      <x:c r="K2767" t="n">
        <x:v>118072</x:v>
      </x:c>
      <x:c r="L2767" t="n">
        <x:v>118917.5</x:v>
      </x:c>
      <x:c r="M2767" t="n">
        <x:v>119763</x:v>
      </x:c>
      <x:c r="N2767" t="n">
        <x:v>120608.5</x:v>
      </x:c>
      <x:c r="O2767" t="n">
        <x:v>121454</x:v>
      </x:c>
    </x:row>
    <x:row r="2768">
      <x:c r="A2768" t="str">
        <x:v>Rajasthan</x:v>
      </x:c>
      <x:c r="B2768" t="str">
        <x:v>All India except Central University</x:v>
      </x:c>
      <x:c r="C2768" t="str">
        <x:v>200257</x:v>
      </x:c>
      <x:c r="D2768" t="str">
        <x:v>Sardar Patel Medical College, Bikaner, MEDICAL COLLEGE ROAD, BIKANER</x:v>
      </x:c>
      <x:c r="E2768" t="str">
        <x:v>All India</x:v>
      </x:c>
      <x:c r="F2768" t="str">
        <x:v>EWS</x:v>
      </x:c>
      <x:c r="G2768" t="n">
        <x:v>4</x:v>
      </x:c>
      <x:c r="H2768" t="n">
        <x:v>4</x:v>
      </x:c>
      <x:c r="I2768" t="n">
        <x:f>G2768-H2768</x:f>
        <x:v>0</x:v>
      </x:c>
      <x:c r="J2768" s="20" t="n">
        <x:f>IFERROR(H2768/G2768,0)</x:f>
        <x:v>1</x:v>
      </x:c>
      <x:c r="K2768" t="n">
        <x:v>3587</x:v>
      </x:c>
      <x:c r="L2768" t="n">
        <x:v>3605.75</x:v>
      </x:c>
      <x:c r="M2768" t="n">
        <x:v>3777</x:v>
      </x:c>
      <x:c r="N2768" t="n">
        <x:v>3998.5</x:v>
      </x:c>
      <x:c r="O2768" t="n">
        <x:v>4168</x:v>
      </x:c>
    </x:row>
    <x:row r="2769">
      <x:c r="A2769" t="str">
        <x:v>Rajasthan</x:v>
      </x:c>
      <x:c r="B2769" t="str">
        <x:v>All India except Central University</x:v>
      </x:c>
      <x:c r="C2769" t="str">
        <x:v>200257</x:v>
      </x:c>
      <x:c r="D2769" t="str">
        <x:v>Sardar Patel Medical College, Bikaner, MEDICAL COLLEGE ROAD, BIKANER</x:v>
      </x:c>
      <x:c r="E2769" t="str">
        <x:v>All India</x:v>
      </x:c>
      <x:c r="F2769" t="str">
        <x:v>OBC</x:v>
      </x:c>
      <x:c r="G2769" t="n">
        <x:v>9</x:v>
      </x:c>
      <x:c r="H2769" t="n">
        <x:v>9</x:v>
      </x:c>
      <x:c r="I2769" t="n">
        <x:f>G2769-H2769</x:f>
        <x:v>0</x:v>
      </x:c>
      <x:c r="J2769" s="20" t="n">
        <x:f>IFERROR(H2769/G2769,0)</x:f>
        <x:v>1</x:v>
      </x:c>
      <x:c r="K2769" t="n">
        <x:v>3235</x:v>
      </x:c>
      <x:c r="L2769" t="n">
        <x:v>3530</x:v>
      </x:c>
      <x:c r="M2769" t="n">
        <x:v>3760</x:v>
      </x:c>
      <x:c r="N2769" t="n">
        <x:v>3838</x:v>
      </x:c>
      <x:c r="O2769" t="n">
        <x:v>3939</x:v>
      </x:c>
    </x:row>
    <x:row r="2770">
      <x:c r="A2770" t="str">
        <x:v>Rajasthan</x:v>
      </x:c>
      <x:c r="B2770" t="str">
        <x:v>All India except Central University</x:v>
      </x:c>
      <x:c r="C2770" t="str">
        <x:v>200257</x:v>
      </x:c>
      <x:c r="D2770" t="str">
        <x:v>Sardar Patel Medical College, Bikaner, MEDICAL COLLEGE ROAD, BIKANER</x:v>
      </x:c>
      <x:c r="E2770" t="str">
        <x:v>All India</x:v>
      </x:c>
      <x:c r="F2770" t="str">
        <x:v>OBC PwD</x:v>
      </x:c>
      <x:c r="G2770" t="n">
        <x:v>1</x:v>
      </x:c>
      <x:c r="H2770" t="n">
        <x:v>1</x:v>
      </x:c>
      <x:c r="I2770" t="n">
        <x:f>G2770-H2770</x:f>
        <x:v>0</x:v>
      </x:c>
      <x:c r="J2770" s="20" t="n">
        <x:f>IFERROR(H2770/G2770,0)</x:f>
        <x:v>1</x:v>
      </x:c>
      <x:c r="K2770" t="n">
        <x:v>374593</x:v>
      </x:c>
      <x:c r="L2770" t="n">
        <x:v>374593</x:v>
      </x:c>
      <x:c r="M2770" t="n">
        <x:v>374593</x:v>
      </x:c>
      <x:c r="N2770" t="n">
        <x:v>374593</x:v>
      </x:c>
      <x:c r="O2770" t="n">
        <x:v>374593</x:v>
      </x:c>
    </x:row>
    <x:row r="2771">
      <x:c r="A2771" t="str">
        <x:v>Rajasthan</x:v>
      </x:c>
      <x:c r="B2771" t="str">
        <x:v>All India except Central University</x:v>
      </x:c>
      <x:c r="C2771" t="str">
        <x:v>200257</x:v>
      </x:c>
      <x:c r="D2771" t="str">
        <x:v>Sardar Patel Medical College, Bikaner, MEDICAL COLLEGE ROAD, BIKANER</x:v>
      </x:c>
      <x:c r="E2771" t="str">
        <x:v>All India</x:v>
      </x:c>
      <x:c r="F2771" t="str">
        <x:v>Open</x:v>
      </x:c>
      <x:c r="G2771" t="n">
        <x:v>14</x:v>
      </x:c>
      <x:c r="H2771" t="n">
        <x:v>14</x:v>
      </x:c>
      <x:c r="I2771" t="n">
        <x:f>G2771-H2771</x:f>
        <x:v>0</x:v>
      </x:c>
      <x:c r="J2771" s="20" t="n">
        <x:f>IFERROR(H2771/G2771,0)</x:f>
        <x:v>1</x:v>
      </x:c>
      <x:c r="K2771" t="n">
        <x:v>1462</x:v>
      </x:c>
      <x:c r="L2771" t="n">
        <x:v>2267</x:v>
      </x:c>
      <x:c r="M2771" t="n">
        <x:v>2774.5</x:v>
      </x:c>
      <x:c r="N2771" t="n">
        <x:v>3026.75</x:v>
      </x:c>
      <x:c r="O2771" t="n">
        <x:v>3161</x:v>
      </x:c>
    </x:row>
    <x:row r="2772">
      <x:c r="A2772" t="str">
        <x:v>Rajasthan</x:v>
      </x:c>
      <x:c r="B2772" t="str">
        <x:v>All India except Central University</x:v>
      </x:c>
      <x:c r="C2772" t="str">
        <x:v>200257</x:v>
      </x:c>
      <x:c r="D2772" t="str">
        <x:v>Sardar Patel Medical College, Bikaner, MEDICAL COLLEGE ROAD, BIKANER</x:v>
      </x:c>
      <x:c r="E2772" t="str">
        <x:v>All India</x:v>
      </x:c>
      <x:c r="F2772" t="str">
        <x:v>Open PwD</x:v>
      </x:c>
      <x:c r="G2772" t="n">
        <x:v>1</x:v>
      </x:c>
      <x:c r="H2772" t="n">
        <x:v>1</x:v>
      </x:c>
      <x:c r="I2772" t="n">
        <x:f>G2772-H2772</x:f>
        <x:v>0</x:v>
      </x:c>
      <x:c r="J2772" s="20" t="n">
        <x:f>IFERROR(H2772/G2772,0)</x:f>
        <x:v>1</x:v>
      </x:c>
      <x:c r="K2772" t="n">
        <x:v>297234</x:v>
      </x:c>
      <x:c r="L2772" t="n">
        <x:v>297234</x:v>
      </x:c>
      <x:c r="M2772" t="n">
        <x:v>297234</x:v>
      </x:c>
      <x:c r="N2772" t="n">
        <x:v>297234</x:v>
      </x:c>
      <x:c r="O2772" t="n">
        <x:v>297234</x:v>
      </x:c>
    </x:row>
    <x:row r="2773">
      <x:c r="A2773" t="str">
        <x:v>Rajasthan</x:v>
      </x:c>
      <x:c r="B2773" t="str">
        <x:v>All India except Central University</x:v>
      </x:c>
      <x:c r="C2773" t="str">
        <x:v>200257</x:v>
      </x:c>
      <x:c r="D2773" t="str">
        <x:v>Sardar Patel Medical College, Bikaner, MEDICAL COLLEGE ROAD, BIKANER</x:v>
      </x:c>
      <x:c r="E2773" t="str">
        <x:v>All India</x:v>
      </x:c>
      <x:c r="F2773" t="str">
        <x:v>SC</x:v>
      </x:c>
      <x:c r="G2773" t="n">
        <x:v>6</x:v>
      </x:c>
      <x:c r="H2773" t="n">
        <x:v>6</x:v>
      </x:c>
      <x:c r="I2773" t="n">
        <x:f>G2773-H2773</x:f>
        <x:v>0</x:v>
      </x:c>
      <x:c r="J2773" s="20" t="n">
        <x:f>IFERROR(H2773/G2773,0)</x:f>
        <x:v>1</x:v>
      </x:c>
      <x:c r="K2773" t="n">
        <x:v>20642</x:v>
      </x:c>
      <x:c r="L2773" t="n">
        <x:v>21018.25</x:v>
      </x:c>
      <x:c r="M2773" t="n">
        <x:v>22763.5</x:v>
      </x:c>
      <x:c r="N2773" t="n">
        <x:v>24934.75</x:v>
      </x:c>
      <x:c r="O2773" t="n">
        <x:v>25893</x:v>
      </x:c>
    </x:row>
    <x:row r="2774">
      <x:c r="A2774" t="str">
        <x:v>Rajasthan</x:v>
      </x:c>
      <x:c r="B2774" t="str">
        <x:v>All India except Central University</x:v>
      </x:c>
      <x:c r="C2774" t="str">
        <x:v>200257</x:v>
      </x:c>
      <x:c r="D2774" t="str">
        <x:v>Sardar Patel Medical College, Bikaner, MEDICAL COLLEGE ROAD, BIKANER</x:v>
      </x:c>
      <x:c r="E2774" t="str">
        <x:v>All India</x:v>
      </x:c>
      <x:c r="F2774" t="str">
        <x:v>ST</x:v>
      </x:c>
      <x:c r="G2774" t="n">
        <x:v>3</x:v>
      </x:c>
      <x:c r="H2774" t="n">
        <x:v>3</x:v>
      </x:c>
      <x:c r="I2774" t="n">
        <x:f>G2774-H2774</x:f>
        <x:v>0</x:v>
      </x:c>
      <x:c r="J2774" s="20" t="n">
        <x:f>IFERROR(H2774/G2774,0)</x:f>
        <x:v>1</x:v>
      </x:c>
      <x:c r="K2774" t="n">
        <x:v>26094</x:v>
      </x:c>
      <x:c r="L2774" t="n">
        <x:v>30135.5</x:v>
      </x:c>
      <x:c r="M2774" t="n">
        <x:v>34177</x:v>
      </x:c>
      <x:c r="N2774" t="n">
        <x:v>35901</x:v>
      </x:c>
      <x:c r="O2774" t="n">
        <x:v>37625</x:v>
      </x:c>
    </x:row>
    <x:row r="2775">
      <x:c r="A2775" t="str">
        <x:v>Tamil Nadu</x:v>
      </x:c>
      <x:c r="B2775" t="str">
        <x:v>Deemed University</x:v>
      </x:c>
      <x:c r="C2775" t="str">
        <x:v>200389</x:v>
      </x:c>
      <x:c r="D2775" t="str">
        <x:v>Saveetha Medical College and Hospital, Kanchipuram, Saveetha Nagar, Thandalam, Chennai</x:v>
      </x:c>
      <x:c r="E2775" t="str">
        <x:v>NRI</x:v>
      </x:c>
      <x:c r="F2775" t="str">
        <x:v>Open</x:v>
      </x:c>
      <x:c r="G2775" t="n">
        <x:v>1</x:v>
      </x:c>
      <x:c r="H2775" t="n">
        <x:v>1</x:v>
      </x:c>
      <x:c r="I2775" t="n">
        <x:f>G2775-H2775</x:f>
        <x:v>0</x:v>
      </x:c>
      <x:c r="J2775" s="20" t="n">
        <x:f>IFERROR(H2775/G2775,0)</x:f>
        <x:v>1</x:v>
      </x:c>
      <x:c r="K2775" t="n">
        <x:v>4161</x:v>
      </x:c>
      <x:c r="L2775" t="n">
        <x:v>4161</x:v>
      </x:c>
      <x:c r="M2775" t="n">
        <x:v>4161</x:v>
      </x:c>
      <x:c r="N2775" t="n">
        <x:v>4161</x:v>
      </x:c>
      <x:c r="O2775" t="n">
        <x:v>4161</x:v>
      </x:c>
    </x:row>
    <x:row r="2776">
      <x:c r="A2776" t="str">
        <x:v>Tamil Nadu</x:v>
      </x:c>
      <x:c r="B2776" t="str">
        <x:v>Deemed University</x:v>
      </x:c>
      <x:c r="C2776" t="str">
        <x:v>200389</x:v>
      </x:c>
      <x:c r="D2776" t="str">
        <x:v>Saveetha Medical College and Hospital, Kanchipuram, Saveetha Nagar, Thandalam, Chennai</x:v>
      </x:c>
      <x:c r="E2776" t="str">
        <x:v>Self-Financed Merit</x:v>
      </x:c>
      <x:c r="F2776" t="str">
        <x:v>Open</x:v>
      </x:c>
      <x:c r="G2776" t="n">
        <x:v>249</x:v>
      </x:c>
      <x:c r="H2776" t="n">
        <x:v>249</x:v>
      </x:c>
      <x:c r="I2776" t="n">
        <x:f>G2776-H2776</x:f>
        <x:v>0</x:v>
      </x:c>
      <x:c r="J2776" s="20" t="n">
        <x:f>IFERROR(H2776/G2776,0)</x:f>
        <x:v>1</x:v>
      </x:c>
      <x:c r="K2776" t="n">
        <x:v>75734</x:v>
      </x:c>
      <x:c r="L2776" t="n">
        <x:v>377451</x:v>
      </x:c>
      <x:c r="M2776" t="n">
        <x:v>455869</x:v>
      </x:c>
      <x:c r="N2776" t="n">
        <x:v>518619</x:v>
      </x:c>
      <x:c r="O2776" t="n">
        <x:v>599305</x:v>
      </x:c>
    </x:row>
    <x:row r="2777">
      <x:c r="A2777" t="str">
        <x:v>Maharashtra</x:v>
      </x:c>
      <x:c r="B2777" t="str">
        <x:v>All India except Central University</x:v>
      </x:c>
      <x:c r="C2777" t="str">
        <x:v>200226</x:v>
      </x:c>
      <x:c r="D2777" t="str">
        <x:v>Seth GS Medical College, Mumbai, ACHARYA DONDE MARG PAREL MUMBAI</x:v>
      </x:c>
      <x:c r="E2777" t="str">
        <x:v>All India</x:v>
      </x:c>
      <x:c r="F2777" t="str">
        <x:v>EWS</x:v>
      </x:c>
      <x:c r="G2777" t="n">
        <x:v>5</x:v>
      </x:c>
      <x:c r="H2777" t="n">
        <x:v>5</x:v>
      </x:c>
      <x:c r="I2777" t="n">
        <x:f>G2777-H2777</x:f>
        <x:v>0</x:v>
      </x:c>
      <x:c r="J2777" s="20" t="n">
        <x:f>IFERROR(H2777/G2777,0)</x:f>
        <x:v>1</x:v>
      </x:c>
      <x:c r="K2777" t="n">
        <x:v>3571</x:v>
      </x:c>
      <x:c r="L2777" t="n">
        <x:v>3768</x:v>
      </x:c>
      <x:c r="M2777" t="n">
        <x:v>3988</x:v>
      </x:c>
      <x:c r="N2777" t="n">
        <x:v>4039</x:v>
      </x:c>
      <x:c r="O2777" t="n">
        <x:v>4289</x:v>
      </x:c>
    </x:row>
    <x:row r="2778">
      <x:c r="A2778" t="str">
        <x:v>Maharashtra</x:v>
      </x:c>
      <x:c r="B2778" t="str">
        <x:v>All India except Central University</x:v>
      </x:c>
      <x:c r="C2778" t="str">
        <x:v>200226</x:v>
      </x:c>
      <x:c r="D2778" t="str">
        <x:v>Seth GS Medical College, Mumbai, ACHARYA DONDE MARG PAREL MUMBAI</x:v>
      </x:c>
      <x:c r="E2778" t="str">
        <x:v>All India</x:v>
      </x:c>
      <x:c r="F2778" t="str">
        <x:v>OBC</x:v>
      </x:c>
      <x:c r="G2778" t="n">
        <x:v>9</x:v>
      </x:c>
      <x:c r="H2778" t="n">
        <x:v>9</x:v>
      </x:c>
      <x:c r="I2778" t="n">
        <x:f>G2778-H2778</x:f>
        <x:v>0</x:v>
      </x:c>
      <x:c r="J2778" s="20" t="n">
        <x:f>IFERROR(H2778/G2778,0)</x:f>
        <x:v>1</x:v>
      </x:c>
      <x:c r="K2778" t="n">
        <x:v>1438</x:v>
      </x:c>
      <x:c r="L2778" t="n">
        <x:v>1713</x:v>
      </x:c>
      <x:c r="M2778" t="n">
        <x:v>2317</x:v>
      </x:c>
      <x:c r="N2778" t="n">
        <x:v>2921</x:v>
      </x:c>
      <x:c r="O2778" t="n">
        <x:v>3187</x:v>
      </x:c>
    </x:row>
    <x:row r="2779">
      <x:c r="A2779" t="str">
        <x:v>Maharashtra</x:v>
      </x:c>
      <x:c r="B2779" t="str">
        <x:v>All India except Central University</x:v>
      </x:c>
      <x:c r="C2779" t="str">
        <x:v>200226</x:v>
      </x:c>
      <x:c r="D2779" t="str">
        <x:v>Seth GS Medical College, Mumbai, ACHARYA DONDE MARG PAREL MUMBAI</x:v>
      </x:c>
      <x:c r="E2779" t="str">
        <x:v>All India</x:v>
      </x:c>
      <x:c r="F2779" t="str">
        <x:v>OBC PwD</x:v>
      </x:c>
      <x:c r="G2779" t="n">
        <x:v>1</x:v>
      </x:c>
      <x:c r="H2779" t="n">
        <x:v>1</x:v>
      </x:c>
      <x:c r="I2779" t="n">
        <x:f>G2779-H2779</x:f>
        <x:v>0</x:v>
      </x:c>
      <x:c r="J2779" s="20" t="n">
        <x:f>IFERROR(H2779/G2779,0)</x:f>
        <x:v>1</x:v>
      </x:c>
      <x:c r="K2779" t="n">
        <x:v>191421</x:v>
      </x:c>
      <x:c r="L2779" t="n">
        <x:v>191421</x:v>
      </x:c>
      <x:c r="M2779" t="n">
        <x:v>191421</x:v>
      </x:c>
      <x:c r="N2779" t="n">
        <x:v>191421</x:v>
      </x:c>
      <x:c r="O2779" t="n">
        <x:v>191421</x:v>
      </x:c>
    </x:row>
    <x:row r="2780">
      <x:c r="A2780" t="str">
        <x:v>Maharashtra</x:v>
      </x:c>
      <x:c r="B2780" t="str">
        <x:v>All India except Central University</x:v>
      </x:c>
      <x:c r="C2780" t="str">
        <x:v>200226</x:v>
      </x:c>
      <x:c r="D2780" t="str">
        <x:v>Seth GS Medical College, Mumbai, ACHARYA DONDE MARG PAREL MUMBAI</x:v>
      </x:c>
      <x:c r="E2780" t="str">
        <x:v>All India</x:v>
      </x:c>
      <x:c r="F2780" t="str">
        <x:v>Open</x:v>
      </x:c>
      <x:c r="G2780" t="n">
        <x:v>13</x:v>
      </x:c>
      <x:c r="H2780" t="n">
        <x:v>13</x:v>
      </x:c>
      <x:c r="I2780" t="n">
        <x:f>G2780-H2780</x:f>
        <x:v>0</x:v>
      </x:c>
      <x:c r="J2780" s="20" t="n">
        <x:f>IFERROR(H2780/G2780,0)</x:f>
        <x:v>1</x:v>
      </x:c>
      <x:c r="K2780" t="n">
        <x:v>228</x:v>
      </x:c>
      <x:c r="L2780" t="n">
        <x:v>480</x:v>
      </x:c>
      <x:c r="M2780" t="n">
        <x:v>960</x:v>
      </x:c>
      <x:c r="N2780" t="n">
        <x:v>1055</x:v>
      </x:c>
      <x:c r="O2780" t="n">
        <x:v>1128</x:v>
      </x:c>
    </x:row>
    <x:row r="2781">
      <x:c r="A2781" t="str">
        <x:v>Maharashtra</x:v>
      </x:c>
      <x:c r="B2781" t="str">
        <x:v>All India except Central University</x:v>
      </x:c>
      <x:c r="C2781" t="str">
        <x:v>200226</x:v>
      </x:c>
      <x:c r="D2781" t="str">
        <x:v>Seth GS Medical College, Mumbai, ACHARYA DONDE MARG PAREL MUMBAI</x:v>
      </x:c>
      <x:c r="E2781" t="str">
        <x:v>All India</x:v>
      </x:c>
      <x:c r="F2781" t="str">
        <x:v>Open PwD</x:v>
      </x:c>
      <x:c r="G2781" t="n">
        <x:v>1</x:v>
      </x:c>
      <x:c r="H2781" t="n">
        <x:v>1</x:v>
      </x:c>
      <x:c r="I2781" t="n">
        <x:f>G2781-H2781</x:f>
        <x:v>0</x:v>
      </x:c>
      <x:c r="J2781" s="20" t="n">
        <x:f>IFERROR(H2781/G2781,0)</x:f>
        <x:v>1</x:v>
      </x:c>
      <x:c r="K2781" t="n">
        <x:v>6182</x:v>
      </x:c>
      <x:c r="L2781" t="n">
        <x:v>6182</x:v>
      </x:c>
      <x:c r="M2781" t="n">
        <x:v>6182</x:v>
      </x:c>
      <x:c r="N2781" t="n">
        <x:v>6182</x:v>
      </x:c>
      <x:c r="O2781" t="n">
        <x:v>6182</x:v>
      </x:c>
    </x:row>
    <x:row r="2782">
      <x:c r="A2782" t="str">
        <x:v>Maharashtra</x:v>
      </x:c>
      <x:c r="B2782" t="str">
        <x:v>All India except Central University</x:v>
      </x:c>
      <x:c r="C2782" t="str">
        <x:v>200226</x:v>
      </x:c>
      <x:c r="D2782" t="str">
        <x:v>Seth GS Medical College, Mumbai, ACHARYA DONDE MARG PAREL MUMBAI</x:v>
      </x:c>
      <x:c r="E2782" t="str">
        <x:v>All India</x:v>
      </x:c>
      <x:c r="F2782" t="str">
        <x:v>SC</x:v>
      </x:c>
      <x:c r="G2782" t="n">
        <x:v>5</x:v>
      </x:c>
      <x:c r="H2782" t="n">
        <x:v>5</x:v>
      </x:c>
      <x:c r="I2782" t="n">
        <x:f>G2782-H2782</x:f>
        <x:v>0</x:v>
      </x:c>
      <x:c r="J2782" s="20" t="n">
        <x:f>IFERROR(H2782/G2782,0)</x:f>
        <x:v>1</x:v>
      </x:c>
      <x:c r="K2782" t="n">
        <x:v>5214</x:v>
      </x:c>
      <x:c r="L2782" t="n">
        <x:v>7697</x:v>
      </x:c>
      <x:c r="M2782" t="n">
        <x:v>8343</x:v>
      </x:c>
      <x:c r="N2782" t="n">
        <x:v>10652</x:v>
      </x:c>
      <x:c r="O2782" t="n">
        <x:v>14393</x:v>
      </x:c>
    </x:row>
    <x:row r="2783">
      <x:c r="A2783" t="str">
        <x:v>Maharashtra</x:v>
      </x:c>
      <x:c r="B2783" t="str">
        <x:v>All India except Central University</x:v>
      </x:c>
      <x:c r="C2783" t="str">
        <x:v>200226</x:v>
      </x:c>
      <x:c r="D2783" t="str">
        <x:v>Seth GS Medical College, Mumbai, ACHARYA DONDE MARG PAREL MUMBAI</x:v>
      </x:c>
      <x:c r="E2783" t="str">
        <x:v>All India</x:v>
      </x:c>
      <x:c r="F2783" t="str">
        <x:v>SC PwD</x:v>
      </x:c>
      <x:c r="G2783" t="n">
        <x:v>1</x:v>
      </x:c>
      <x:c r="H2783" t="n">
        <x:v>1</x:v>
      </x:c>
      <x:c r="I2783" t="n">
        <x:f>G2783-H2783</x:f>
        <x:v>0</x:v>
      </x:c>
      <x:c r="J2783" s="20" t="n">
        <x:f>IFERROR(H2783/G2783,0)</x:f>
        <x:v>1</x:v>
      </x:c>
      <x:c r="K2783" t="n">
        <x:v>367878</x:v>
      </x:c>
      <x:c r="L2783" t="n">
        <x:v>367878</x:v>
      </x:c>
      <x:c r="M2783" t="n">
        <x:v>367878</x:v>
      </x:c>
      <x:c r="N2783" t="n">
        <x:v>367878</x:v>
      </x:c>
      <x:c r="O2783" t="n">
        <x:v>367878</x:v>
      </x:c>
    </x:row>
    <x:row r="2784">
      <x:c r="A2784" t="str">
        <x:v>Maharashtra</x:v>
      </x:c>
      <x:c r="B2784" t="str">
        <x:v>All India except Central University</x:v>
      </x:c>
      <x:c r="C2784" t="str">
        <x:v>200226</x:v>
      </x:c>
      <x:c r="D2784" t="str">
        <x:v>Seth GS Medical College, Mumbai, ACHARYA DONDE MARG PAREL MUMBAI</x:v>
      </x:c>
      <x:c r="E2784" t="str">
        <x:v>All India</x:v>
      </x:c>
      <x:c r="F2784" t="str">
        <x:v>ST</x:v>
      </x:c>
      <x:c r="G2784" t="n">
        <x:v>3</x:v>
      </x:c>
      <x:c r="H2784" t="n">
        <x:v>3</x:v>
      </x:c>
      <x:c r="I2784" t="n">
        <x:f>G2784-H2784</x:f>
        <x:v>0</x:v>
      </x:c>
      <x:c r="J2784" s="20" t="n">
        <x:f>IFERROR(H2784/G2784,0)</x:f>
        <x:v>1</x:v>
      </x:c>
      <x:c r="K2784" t="n">
        <x:v>30840</x:v>
      </x:c>
      <x:c r="L2784" t="n">
        <x:v>34208.5</x:v>
      </x:c>
      <x:c r="M2784" t="n">
        <x:v>37577</x:v>
      </x:c>
      <x:c r="N2784" t="n">
        <x:v>39358.5</x:v>
      </x:c>
      <x:c r="O2784" t="n">
        <x:v>41140</x:v>
      </x:c>
    </x:row>
    <x:row r="2785">
      <x:c r="A2785" t="str">
        <x:v>Haryana</x:v>
      </x:c>
      <x:c r="B2785" t="str">
        <x:v>All India except Central University</x:v>
      </x:c>
      <x:c r="C2785" t="str">
        <x:v>200150</x:v>
      </x:c>
      <x:c r="D2785" t="str">
        <x:v>Shaheed Hasan Khan Mewati Government Medical College, Nalhar, THE DIRECTOR, SHAHEED HASAN KHAN,MEWATI GOVT. MEDICAL COLLEGE, NALHAR, NUH - HARYANA - 122107</x:v>
      </x:c>
      <x:c r="E2785" t="str">
        <x:v>All India</x:v>
      </x:c>
      <x:c r="F2785" t="str">
        <x:v>EWS</x:v>
      </x:c>
      <x:c r="G2785" t="n">
        <x:v>1</x:v>
      </x:c>
      <x:c r="H2785" t="n">
        <x:v>1</x:v>
      </x:c>
      <x:c r="I2785" t="n">
        <x:f>G2785-H2785</x:f>
        <x:v>0</x:v>
      </x:c>
      <x:c r="J2785" s="20" t="n">
        <x:f>IFERROR(H2785/G2785,0)</x:f>
        <x:v>1</x:v>
      </x:c>
      <x:c r="K2785" t="n">
        <x:v>11234</x:v>
      </x:c>
      <x:c r="L2785" t="n">
        <x:v>11234</x:v>
      </x:c>
      <x:c r="M2785" t="n">
        <x:v>11234</x:v>
      </x:c>
      <x:c r="N2785" t="n">
        <x:v>11234</x:v>
      </x:c>
      <x:c r="O2785" t="n">
        <x:v>11234</x:v>
      </x:c>
    </x:row>
    <x:row r="2786">
      <x:c r="A2786" t="str">
        <x:v>Haryana</x:v>
      </x:c>
      <x:c r="B2786" t="str">
        <x:v>All India except Central University</x:v>
      </x:c>
      <x:c r="C2786" t="str">
        <x:v>200150</x:v>
      </x:c>
      <x:c r="D2786" t="str">
        <x:v>Shaheed Hasan Khan Mewati Government Medical College, Nalhar, THE DIRECTOR, SHAHEED HASAN KHAN,MEWATI GOVT. MEDICAL COLLEGE, NALHAR, NUH - HARYANA - 122107</x:v>
      </x:c>
      <x:c r="E2786" t="str">
        <x:v>All India</x:v>
      </x:c>
      <x:c r="F2786" t="str">
        <x:v>OBC</x:v>
      </x:c>
      <x:c r="G2786" t="n">
        <x:v>4</x:v>
      </x:c>
      <x:c r="H2786" t="n">
        <x:v>4</x:v>
      </x:c>
      <x:c r="I2786" t="n">
        <x:f>G2786-H2786</x:f>
        <x:v>0</x:v>
      </x:c>
      <x:c r="J2786" s="20" t="n">
        <x:f>IFERROR(H2786/G2786,0)</x:f>
        <x:v>1</x:v>
      </x:c>
      <x:c r="K2786" t="n">
        <x:v>10659</x:v>
      </x:c>
      <x:c r="L2786" t="n">
        <x:v>11761.5</x:v>
      </x:c>
      <x:c r="M2786" t="n">
        <x:v>12535</x:v>
      </x:c>
      <x:c r="N2786" t="n">
        <x:v>12966.25</x:v>
      </x:c>
      <x:c r="O2786" t="n">
        <x:v>13042</x:v>
      </x:c>
    </x:row>
    <x:row r="2787">
      <x:c r="A2787" t="str">
        <x:v>Haryana</x:v>
      </x:c>
      <x:c r="B2787" t="str">
        <x:v>All India except Central University</x:v>
      </x:c>
      <x:c r="C2787" t="str">
        <x:v>200150</x:v>
      </x:c>
      <x:c r="D2787" t="str">
        <x:v>Shaheed Hasan Khan Mewati Government Medical College, Nalhar, THE DIRECTOR, SHAHEED HASAN KHAN,MEWATI GOVT. MEDICAL COLLEGE, NALHAR, NUH - HARYANA - 122107</x:v>
      </x:c>
      <x:c r="E2787" t="str">
        <x:v>All India</x:v>
      </x:c>
      <x:c r="F2787" t="str">
        <x:v>OBC PwD</x:v>
      </x:c>
      <x:c r="G2787" t="n">
        <x:v>1</x:v>
      </x:c>
      <x:c r="H2787" t="n">
        <x:v>1</x:v>
      </x:c>
      <x:c r="I2787" t="n">
        <x:f>G2787-H2787</x:f>
        <x:v>0</x:v>
      </x:c>
      <x:c r="J2787" s="20" t="n">
        <x:f>IFERROR(H2787/G2787,0)</x:f>
        <x:v>1</x:v>
      </x:c>
      <x:c r="K2787" t="n">
        <x:v>520886</x:v>
      </x:c>
      <x:c r="L2787" t="n">
        <x:v>520886</x:v>
      </x:c>
      <x:c r="M2787" t="n">
        <x:v>520886</x:v>
      </x:c>
      <x:c r="N2787" t="n">
        <x:v>520886</x:v>
      </x:c>
      <x:c r="O2787" t="n">
        <x:v>520886</x:v>
      </x:c>
    </x:row>
    <x:row r="2788">
      <x:c r="A2788" t="str">
        <x:v>Haryana</x:v>
      </x:c>
      <x:c r="B2788" t="str">
        <x:v>All India except Central University</x:v>
      </x:c>
      <x:c r="C2788" t="str">
        <x:v>200150</x:v>
      </x:c>
      <x:c r="D2788" t="str">
        <x:v>Shaheed Hasan Khan Mewati Government Medical College, Nalhar, THE DIRECTOR, SHAHEED HASAN KHAN,MEWATI GOVT. MEDICAL COLLEGE, NALHAR, NUH - HARYANA - 122107</x:v>
      </x:c>
      <x:c r="E2788" t="str">
        <x:v>All India</x:v>
      </x:c>
      <x:c r="F2788" t="str">
        <x:v>Open</x:v>
      </x:c>
      <x:c r="G2788" t="n">
        <x:v>6</x:v>
      </x:c>
      <x:c r="H2788" t="n">
        <x:v>6</x:v>
      </x:c>
      <x:c r="I2788" t="n">
        <x:f>G2788-H2788</x:f>
        <x:v>0</x:v>
      </x:c>
      <x:c r="J2788" s="20" t="n">
        <x:f>IFERROR(H2788/G2788,0)</x:f>
        <x:v>1</x:v>
      </x:c>
      <x:c r="K2788" t="n">
        <x:v>5374</x:v>
      </x:c>
      <x:c r="L2788" t="n">
        <x:v>8093.5</x:v>
      </x:c>
      <x:c r="M2788" t="n">
        <x:v>9743</x:v>
      </x:c>
      <x:c r="N2788" t="n">
        <x:v>9942</x:v>
      </x:c>
      <x:c r="O2788" t="n">
        <x:v>10168</x:v>
      </x:c>
    </x:row>
    <x:row r="2789">
      <x:c r="A2789" t="str">
        <x:v>Haryana</x:v>
      </x:c>
      <x:c r="B2789" t="str">
        <x:v>All India except Central University</x:v>
      </x:c>
      <x:c r="C2789" t="str">
        <x:v>200150</x:v>
      </x:c>
      <x:c r="D2789" t="str">
        <x:v>Shaheed Hasan Khan Mewati Government Medical College, Nalhar, THE DIRECTOR, SHAHEED HASAN KHAN,MEWATI GOVT. MEDICAL COLLEGE, NALHAR, NUH - HARYANA - 122107</x:v>
      </x:c>
      <x:c r="E2789" t="str">
        <x:v>All India</x:v>
      </x:c>
      <x:c r="F2789" t="str">
        <x:v>Open PwD</x:v>
      </x:c>
      <x:c r="G2789" t="n">
        <x:v>1</x:v>
      </x:c>
      <x:c r="H2789" t="n">
        <x:v>1</x:v>
      </x:c>
      <x:c r="I2789" t="n">
        <x:f>G2789-H2789</x:f>
        <x:v>0</x:v>
      </x:c>
      <x:c r="J2789" s="20" t="n">
        <x:f>IFERROR(H2789/G2789,0)</x:f>
        <x:v>1</x:v>
      </x:c>
      <x:c r="K2789" t="n">
        <x:v>409520</x:v>
      </x:c>
      <x:c r="L2789" t="n">
        <x:v>409520</x:v>
      </x:c>
      <x:c r="M2789" t="n">
        <x:v>409520</x:v>
      </x:c>
      <x:c r="N2789" t="n">
        <x:v>409520</x:v>
      </x:c>
      <x:c r="O2789" t="n">
        <x:v>409520</x:v>
      </x:c>
    </x:row>
    <x:row r="2790">
      <x:c r="A2790" t="str">
        <x:v>Haryana</x:v>
      </x:c>
      <x:c r="B2790" t="str">
        <x:v>All India except Central University</x:v>
      </x:c>
      <x:c r="C2790" t="str">
        <x:v>200150</x:v>
      </x:c>
      <x:c r="D2790" t="str">
        <x:v>Shaheed Hasan Khan Mewati Government Medical College, Nalhar, THE DIRECTOR, SHAHEED HASAN KHAN,MEWATI GOVT. MEDICAL COLLEGE, NALHAR, NUH - HARYANA - 122107</x:v>
      </x:c>
      <x:c r="E2790" t="str">
        <x:v>All India</x:v>
      </x:c>
      <x:c r="F2790" t="str">
        <x:v>SC</x:v>
      </x:c>
      <x:c r="G2790" t="n">
        <x:v>3</x:v>
      </x:c>
      <x:c r="H2790" t="n">
        <x:v>3</x:v>
      </x:c>
      <x:c r="I2790" t="n">
        <x:f>G2790-H2790</x:f>
        <x:v>0</x:v>
      </x:c>
      <x:c r="J2790" s="20" t="n">
        <x:f>IFERROR(H2790/G2790,0)</x:f>
        <x:v>1</x:v>
      </x:c>
      <x:c r="K2790" t="n">
        <x:v>49485</x:v>
      </x:c>
      <x:c r="L2790" t="n">
        <x:v>57154.5</x:v>
      </x:c>
      <x:c r="M2790" t="n">
        <x:v>64824</x:v>
      </x:c>
      <x:c r="N2790" t="n">
        <x:v>65561.5</x:v>
      </x:c>
      <x:c r="O2790" t="n">
        <x:v>66299</x:v>
      </x:c>
    </x:row>
    <x:row r="2791">
      <x:c r="A2791" t="str">
        <x:v>Haryana</x:v>
      </x:c>
      <x:c r="B2791" t="str">
        <x:v>All India except Central University</x:v>
      </x:c>
      <x:c r="C2791" t="str">
        <x:v>200150</x:v>
      </x:c>
      <x:c r="D2791" t="str">
        <x:v>Shaheed Hasan Khan Mewati Government Medical College, Nalhar, THE DIRECTOR, SHAHEED HASAN KHAN,MEWATI GOVT. MEDICAL COLLEGE, NALHAR, NUH - HARYANA - 122107</x:v>
      </x:c>
      <x:c r="E2791" t="str">
        <x:v>All India</x:v>
      </x:c>
      <x:c r="F2791" t="str">
        <x:v>ST</x:v>
      </x:c>
      <x:c r="G2791" t="n">
        <x:v>2</x:v>
      </x:c>
      <x:c r="H2791" t="n">
        <x:v>2</x:v>
      </x:c>
      <x:c r="I2791" t="n">
        <x:f>G2791-H2791</x:f>
        <x:v>0</x:v>
      </x:c>
      <x:c r="J2791" s="20" t="n">
        <x:f>IFERROR(H2791/G2791,0)</x:f>
        <x:v>1</x:v>
      </x:c>
      <x:c r="K2791" t="n">
        <x:v>85309</x:v>
      </x:c>
      <x:c r="L2791" t="n">
        <x:v>88099.25</x:v>
      </x:c>
      <x:c r="M2791" t="n">
        <x:v>90889.5</x:v>
      </x:c>
      <x:c r="N2791" t="n">
        <x:v>93679.75</x:v>
      </x:c>
      <x:c r="O2791" t="n">
        <x:v>96470</x:v>
      </x:c>
    </x:row>
    <x:row r="2792">
      <x:c r="A2792" t="str">
        <x:v>Jharkhand</x:v>
      </x:c>
      <x:c r="B2792" t="str">
        <x:v>All India except Central University</x:v>
      </x:c>
      <x:c r="C2792" t="str">
        <x:v>200159</x:v>
      </x:c>
      <x:c r="D2792" t="str">
        <x:v>Shaheed Nirmal Mahto Medical College &amp; Hospital, Dhanbad (formely known as Patliputra Medical College, Dhanbad), PO BCCL TOWNSHIP KOYLANAGAR DHANBAD</x:v>
      </x:c>
      <x:c r="E2792" t="str">
        <x:v>All India</x:v>
      </x:c>
      <x:c r="F2792" t="str">
        <x:v>EWS</x:v>
      </x:c>
      <x:c r="G2792" t="n">
        <x:v>1</x:v>
      </x:c>
      <x:c r="H2792" t="n">
        <x:v>1</x:v>
      </x:c>
      <x:c r="I2792" t="n">
        <x:f>G2792-H2792</x:f>
        <x:v>0</x:v>
      </x:c>
      <x:c r="J2792" s="20" t="n">
        <x:f>IFERROR(H2792/G2792,0)</x:f>
        <x:v>1</x:v>
      </x:c>
      <x:c r="K2792" t="n">
        <x:v>11287</x:v>
      </x:c>
      <x:c r="L2792" t="n">
        <x:v>11287</x:v>
      </x:c>
      <x:c r="M2792" t="n">
        <x:v>11287</x:v>
      </x:c>
      <x:c r="N2792" t="n">
        <x:v>11287</x:v>
      </x:c>
      <x:c r="O2792" t="n">
        <x:v>11287</x:v>
      </x:c>
    </x:row>
    <x:row r="2793">
      <x:c r="A2793" t="str">
        <x:v>Jharkhand</x:v>
      </x:c>
      <x:c r="B2793" t="str">
        <x:v>All India except Central University</x:v>
      </x:c>
      <x:c r="C2793" t="str">
        <x:v>200159</x:v>
      </x:c>
      <x:c r="D2793" t="str">
        <x:v>Shaheed Nirmal Mahto Medical College &amp; Hospital, Dhanbad (formely known as Patliputra Medical College, Dhanbad), PO BCCL TOWNSHIP KOYLANAGAR DHANBAD</x:v>
      </x:c>
      <x:c r="E2793" t="str">
        <x:v>All India</x:v>
      </x:c>
      <x:c r="F2793" t="str">
        <x:v>OBC</x:v>
      </x:c>
      <x:c r="G2793" t="n">
        <x:v>4</x:v>
      </x:c>
      <x:c r="H2793" t="n">
        <x:v>4</x:v>
      </x:c>
      <x:c r="I2793" t="n">
        <x:f>G2793-H2793</x:f>
        <x:v>0</x:v>
      </x:c>
      <x:c r="J2793" s="20" t="n">
        <x:f>IFERROR(H2793/G2793,0)</x:f>
        <x:v>1</x:v>
      </x:c>
      <x:c r="K2793" t="n">
        <x:v>10376</x:v>
      </x:c>
      <x:c r="L2793" t="n">
        <x:v>11000.75</x:v>
      </x:c>
      <x:c r="M2793" t="n">
        <x:v>11387</x:v>
      </x:c>
      <x:c r="N2793" t="n">
        <x:v>11652.25</x:v>
      </x:c>
      <x:c r="O2793" t="n">
        <x:v>11914</x:v>
      </x:c>
    </x:row>
    <x:row r="2794">
      <x:c r="A2794" t="str">
        <x:v>Jharkhand</x:v>
      </x:c>
      <x:c r="B2794" t="str">
        <x:v>All India except Central University</x:v>
      </x:c>
      <x:c r="C2794" t="str">
        <x:v>200159</x:v>
      </x:c>
      <x:c r="D2794" t="str">
        <x:v>Shaheed Nirmal Mahto Medical College &amp; Hospital, Dhanbad (formely known as Patliputra Medical College, Dhanbad), PO BCCL TOWNSHIP KOYLANAGAR DHANBAD</x:v>
      </x:c>
      <x:c r="E2794" t="str">
        <x:v>All India</x:v>
      </x:c>
      <x:c r="F2794" t="str">
        <x:v>Open</x:v>
      </x:c>
      <x:c r="G2794" t="n">
        <x:v>6</x:v>
      </x:c>
      <x:c r="H2794" t="n">
        <x:v>6</x:v>
      </x:c>
      <x:c r="I2794" t="n">
        <x:f>G2794-H2794</x:f>
        <x:v>0</x:v>
      </x:c>
      <x:c r="J2794" s="20" t="n">
        <x:f>IFERROR(H2794/G2794,0)</x:f>
        <x:v>1</x:v>
      </x:c>
      <x:c r="K2794" t="n">
        <x:v>8204</x:v>
      </x:c>
      <x:c r="L2794" t="n">
        <x:v>8992.5</x:v>
      </x:c>
      <x:c r="M2794" t="n">
        <x:v>10171</x:v>
      </x:c>
      <x:c r="N2794" t="n">
        <x:v>10288.25</x:v>
      </x:c>
      <x:c r="O2794" t="n">
        <x:v>10317</x:v>
      </x:c>
    </x:row>
    <x:row r="2795">
      <x:c r="A2795" t="str">
        <x:v>Jharkhand</x:v>
      </x:c>
      <x:c r="B2795" t="str">
        <x:v>All India except Central University</x:v>
      </x:c>
      <x:c r="C2795" t="str">
        <x:v>200159</x:v>
      </x:c>
      <x:c r="D2795" t="str">
        <x:v>Shaheed Nirmal Mahto Medical College &amp; Hospital, Dhanbad (formely known as Patliputra Medical College, Dhanbad), PO BCCL TOWNSHIP KOYLANAGAR DHANBAD</x:v>
      </x:c>
      <x:c r="E2795" t="str">
        <x:v>All India</x:v>
      </x:c>
      <x:c r="F2795" t="str">
        <x:v>SC</x:v>
      </x:c>
      <x:c r="G2795" t="n">
        <x:v>2</x:v>
      </x:c>
      <x:c r="H2795" t="n">
        <x:v>2</x:v>
      </x:c>
      <x:c r="I2795" t="n">
        <x:f>G2795-H2795</x:f>
        <x:v>0</x:v>
      </x:c>
      <x:c r="J2795" s="20" t="n">
        <x:f>IFERROR(H2795/G2795,0)</x:f>
        <x:v>1</x:v>
      </x:c>
      <x:c r="K2795" t="n">
        <x:v>68424</x:v>
      </x:c>
      <x:c r="L2795" t="n">
        <x:v>68558.25</x:v>
      </x:c>
      <x:c r="M2795" t="n">
        <x:v>68692.5</x:v>
      </x:c>
      <x:c r="N2795" t="n">
        <x:v>68826.75</x:v>
      </x:c>
      <x:c r="O2795" t="n">
        <x:v>68961</x:v>
      </x:c>
    </x:row>
    <x:row r="2796">
      <x:c r="A2796" t="str">
        <x:v>Jharkhand</x:v>
      </x:c>
      <x:c r="B2796" t="str">
        <x:v>All India except Central University</x:v>
      </x:c>
      <x:c r="C2796" t="str">
        <x:v>200159</x:v>
      </x:c>
      <x:c r="D2796" t="str">
        <x:v>Shaheed Nirmal Mahto Medical College &amp; Hospital, Dhanbad (formely known as Patliputra Medical College, Dhanbad), PO BCCL TOWNSHIP KOYLANAGAR DHANBAD</x:v>
      </x:c>
      <x:c r="E2796" t="str">
        <x:v>All India</x:v>
      </x:c>
      <x:c r="F2796" t="str">
        <x:v>ST</x:v>
      </x:c>
      <x:c r="G2796" t="n">
        <x:v>2</x:v>
      </x:c>
      <x:c r="H2796" t="n">
        <x:v>2</x:v>
      </x:c>
      <x:c r="I2796" t="n">
        <x:f>G2796-H2796</x:f>
        <x:v>0</x:v>
      </x:c>
      <x:c r="J2796" s="20" t="n">
        <x:f>IFERROR(H2796/G2796,0)</x:f>
        <x:v>1</x:v>
      </x:c>
      <x:c r="K2796" t="n">
        <x:v>72682</x:v>
      </x:c>
      <x:c r="L2796" t="n">
        <x:v>79626</x:v>
      </x:c>
      <x:c r="M2796" t="n">
        <x:v>86570</x:v>
      </x:c>
      <x:c r="N2796" t="n">
        <x:v>93514</x:v>
      </x:c>
      <x:c r="O2796" t="n">
        <x:v>100458</x:v>
      </x:c>
    </x:row>
    <x:row r="2797">
      <x:c r="A2797" t="str">
        <x:v>Uttar Pradesh</x:v>
      </x:c>
      <x:c r="B2797" t="str">
        <x:v>All India except Central University</x:v>
      </x:c>
      <x:c r="C2797" t="str">
        <x:v>200303</x:v>
      </x:c>
      <x:c r="D2797" t="str">
        <x:v>Shaikh-UL-Hind Maulana Mahmood Hasan Medical College, Saharanpur, Ambala Road, Pilakhni, Saharanpur</x:v>
      </x:c>
      <x:c r="E2797" t="str">
        <x:v>All India</x:v>
      </x:c>
      <x:c r="F2797" t="str">
        <x:v>EWS</x:v>
      </x:c>
      <x:c r="G2797" t="n">
        <x:v>1</x:v>
      </x:c>
      <x:c r="H2797" t="n">
        <x:v>1</x:v>
      </x:c>
      <x:c r="I2797" t="n">
        <x:f>G2797-H2797</x:f>
        <x:v>0</x:v>
      </x:c>
      <x:c r="J2797" s="20" t="n">
        <x:f>IFERROR(H2797/G2797,0)</x:f>
        <x:v>1</x:v>
      </x:c>
      <x:c r="K2797" t="n">
        <x:v>11046</x:v>
      </x:c>
      <x:c r="L2797" t="n">
        <x:v>11046</x:v>
      </x:c>
      <x:c r="M2797" t="n">
        <x:v>11046</x:v>
      </x:c>
      <x:c r="N2797" t="n">
        <x:v>11046</x:v>
      </x:c>
      <x:c r="O2797" t="n">
        <x:v>11046</x:v>
      </x:c>
    </x:row>
    <x:row r="2798">
      <x:c r="A2798" t="str">
        <x:v>Uttar Pradesh</x:v>
      </x:c>
      <x:c r="B2798" t="str">
        <x:v>All India except Central University</x:v>
      </x:c>
      <x:c r="C2798" t="str">
        <x:v>200303</x:v>
      </x:c>
      <x:c r="D2798" t="str">
        <x:v>Shaikh-UL-Hind Maulana Mahmood Hasan Medical College, Saharanpur, Ambala Road, Pilakhni, Saharanpur</x:v>
      </x:c>
      <x:c r="E2798" t="str">
        <x:v>All India</x:v>
      </x:c>
      <x:c r="F2798" t="str">
        <x:v>OBC</x:v>
      </x:c>
      <x:c r="G2798" t="n">
        <x:v>3</x:v>
      </x:c>
      <x:c r="H2798" t="n">
        <x:v>3</x:v>
      </x:c>
      <x:c r="I2798" t="n">
        <x:f>G2798-H2798</x:f>
        <x:v>0</x:v>
      </x:c>
      <x:c r="J2798" s="20" t="n">
        <x:f>IFERROR(H2798/G2798,0)</x:f>
        <x:v>1</x:v>
      </x:c>
      <x:c r="K2798" t="n">
        <x:v>9140</x:v>
      </x:c>
      <x:c r="L2798" t="n">
        <x:v>9449.5</x:v>
      </x:c>
      <x:c r="M2798" t="n">
        <x:v>9759</x:v>
      </x:c>
      <x:c r="N2798" t="n">
        <x:v>9791.5</x:v>
      </x:c>
      <x:c r="O2798" t="n">
        <x:v>9824</x:v>
      </x:c>
    </x:row>
    <x:row r="2799">
      <x:c r="A2799" t="str">
        <x:v>Uttar Pradesh</x:v>
      </x:c>
      <x:c r="B2799" t="str">
        <x:v>All India except Central University</x:v>
      </x:c>
      <x:c r="C2799" t="str">
        <x:v>200303</x:v>
      </x:c>
      <x:c r="D2799" t="str">
        <x:v>Shaikh-UL-Hind Maulana Mahmood Hasan Medical College, Saharanpur, Ambala Road, Pilakhni, Saharanpur</x:v>
      </x:c>
      <x:c r="E2799" t="str">
        <x:v>All India</x:v>
      </x:c>
      <x:c r="F2799" t="str">
        <x:v>OBC PwD</x:v>
      </x:c>
      <x:c r="G2799" t="n">
        <x:v>1</x:v>
      </x:c>
      <x:c r="H2799" t="n">
        <x:v>1</x:v>
      </x:c>
      <x:c r="I2799" t="n">
        <x:f>G2799-H2799</x:f>
        <x:v>0</x:v>
      </x:c>
      <x:c r="J2799" s="20" t="n">
        <x:f>IFERROR(H2799/G2799,0)</x:f>
        <x:v>1</x:v>
      </x:c>
      <x:c r="K2799" t="n">
        <x:v>449037</x:v>
      </x:c>
      <x:c r="L2799" t="n">
        <x:v>449037</x:v>
      </x:c>
      <x:c r="M2799" t="n">
        <x:v>449037</x:v>
      </x:c>
      <x:c r="N2799" t="n">
        <x:v>449037</x:v>
      </x:c>
      <x:c r="O2799" t="n">
        <x:v>449037</x:v>
      </x:c>
    </x:row>
    <x:row r="2800">
      <x:c r="A2800" t="str">
        <x:v>Uttar Pradesh</x:v>
      </x:c>
      <x:c r="B2800" t="str">
        <x:v>All India except Central University</x:v>
      </x:c>
      <x:c r="C2800" t="str">
        <x:v>200303</x:v>
      </x:c>
      <x:c r="D2800" t="str">
        <x:v>Shaikh-UL-Hind Maulana Mahmood Hasan Medical College, Saharanpur, Ambala Road, Pilakhni, Saharanpur</x:v>
      </x:c>
      <x:c r="E2800" t="str">
        <x:v>All India</x:v>
      </x:c>
      <x:c r="F2800" t="str">
        <x:v>Open</x:v>
      </x:c>
      <x:c r="G2800" t="n">
        <x:v>5</x:v>
      </x:c>
      <x:c r="H2800" t="n">
        <x:v>5</x:v>
      </x:c>
      <x:c r="I2800" t="n">
        <x:f>G2800-H2800</x:f>
        <x:v>0</x:v>
      </x:c>
      <x:c r="J2800" s="20" t="n">
        <x:f>IFERROR(H2800/G2800,0)</x:f>
        <x:v>1</x:v>
      </x:c>
      <x:c r="K2800" t="n">
        <x:v>7591</x:v>
      </x:c>
      <x:c r="L2800" t="n">
        <x:v>7869</x:v>
      </x:c>
      <x:c r="M2800" t="n">
        <x:v>8350</x:v>
      </x:c>
      <x:c r="N2800" t="n">
        <x:v>8486</x:v>
      </x:c>
      <x:c r="O2800" t="n">
        <x:v>8562</x:v>
      </x:c>
    </x:row>
    <x:row r="2801">
      <x:c r="A2801" t="str">
        <x:v>Uttar Pradesh</x:v>
      </x:c>
      <x:c r="B2801" t="str">
        <x:v>All India except Central University</x:v>
      </x:c>
      <x:c r="C2801" t="str">
        <x:v>200303</x:v>
      </x:c>
      <x:c r="D2801" t="str">
        <x:v>Shaikh-UL-Hind Maulana Mahmood Hasan Medical College, Saharanpur, Ambala Road, Pilakhni, Saharanpur</x:v>
      </x:c>
      <x:c r="E2801" t="str">
        <x:v>All India</x:v>
      </x:c>
      <x:c r="F2801" t="str">
        <x:v>Open PwD</x:v>
      </x:c>
      <x:c r="G2801" t="n">
        <x:v>1</x:v>
      </x:c>
      <x:c r="H2801" t="n">
        <x:v>1</x:v>
      </x:c>
      <x:c r="I2801" t="n">
        <x:f>G2801-H2801</x:f>
        <x:v>0</x:v>
      </x:c>
      <x:c r="J2801" s="20" t="n">
        <x:f>IFERROR(H2801/G2801,0)</x:f>
        <x:v>1</x:v>
      </x:c>
      <x:c r="K2801" t="n">
        <x:v>423086</x:v>
      </x:c>
      <x:c r="L2801" t="n">
        <x:v>423086</x:v>
      </x:c>
      <x:c r="M2801" t="n">
        <x:v>423086</x:v>
      </x:c>
      <x:c r="N2801" t="n">
        <x:v>423086</x:v>
      </x:c>
      <x:c r="O2801" t="n">
        <x:v>423086</x:v>
      </x:c>
    </x:row>
    <x:row r="2802">
      <x:c r="A2802" t="str">
        <x:v>Uttar Pradesh</x:v>
      </x:c>
      <x:c r="B2802" t="str">
        <x:v>All India except Central University</x:v>
      </x:c>
      <x:c r="C2802" t="str">
        <x:v>200303</x:v>
      </x:c>
      <x:c r="D2802" t="str">
        <x:v>Shaikh-UL-Hind Maulana Mahmood Hasan Medical College, Saharanpur, Ambala Road, Pilakhni, Saharanpur</x:v>
      </x:c>
      <x:c r="E2802" t="str">
        <x:v>All India</x:v>
      </x:c>
      <x:c r="F2802" t="str">
        <x:v>SC</x:v>
      </x:c>
      <x:c r="G2802" t="n">
        <x:v>3</x:v>
      </x:c>
      <x:c r="H2802" t="n">
        <x:v>3</x:v>
      </x:c>
      <x:c r="I2802" t="n">
        <x:f>G2802-H2802</x:f>
        <x:v>0</x:v>
      </x:c>
      <x:c r="J2802" s="20" t="n">
        <x:f>IFERROR(H2802/G2802,0)</x:f>
        <x:v>1</x:v>
      </x:c>
      <x:c r="K2802" t="n">
        <x:v>57602</x:v>
      </x:c>
      <x:c r="L2802" t="n">
        <x:v>60978.5</x:v>
      </x:c>
      <x:c r="M2802" t="n">
        <x:v>64355</x:v>
      </x:c>
      <x:c r="N2802" t="n">
        <x:v>64584</x:v>
      </x:c>
      <x:c r="O2802" t="n">
        <x:v>64813</x:v>
      </x:c>
    </x:row>
    <x:row r="2803">
      <x:c r="A2803" t="str">
        <x:v>Uttar Pradesh</x:v>
      </x:c>
      <x:c r="B2803" t="str">
        <x:v>All India except Central University</x:v>
      </x:c>
      <x:c r="C2803" t="str">
        <x:v>200303</x:v>
      </x:c>
      <x:c r="D2803" t="str">
        <x:v>Shaikh-UL-Hind Maulana Mahmood Hasan Medical College, Saharanpur, Ambala Road, Pilakhni, Saharanpur</x:v>
      </x:c>
      <x:c r="E2803" t="str">
        <x:v>All India</x:v>
      </x:c>
      <x:c r="F2803" t="str">
        <x:v>ST</x:v>
      </x:c>
      <x:c r="G2803" t="n">
        <x:v>1</x:v>
      </x:c>
      <x:c r="H2803" t="n">
        <x:v>1</x:v>
      </x:c>
      <x:c r="I2803" t="n">
        <x:f>G2803-H2803</x:f>
        <x:v>0</x:v>
      </x:c>
      <x:c r="J2803" s="20" t="n">
        <x:f>IFERROR(H2803/G2803,0)</x:f>
        <x:v>1</x:v>
      </x:c>
      <x:c r="K2803" t="n">
        <x:v>87624</x:v>
      </x:c>
      <x:c r="L2803" t="n">
        <x:v>87624</x:v>
      </x:c>
      <x:c r="M2803" t="n">
        <x:v>87624</x:v>
      </x:c>
      <x:c r="N2803" t="n">
        <x:v>87624</x:v>
      </x:c>
      <x:c r="O2803" t="n">
        <x:v>87624</x:v>
      </x:c>
    </x:row>
    <x:row r="2804">
      <x:c r="A2804" t="str">
        <x:v>Jammu And Kashmir</x:v>
      </x:c>
      <x:c r="B2804" t="str">
        <x:v>All India except Central University</x:v>
      </x:c>
      <x:c r="C2804" t="str">
        <x:v>200621</x:v>
      </x:c>
      <x:c r="D2804" t="str">
        <x:v>Sher-I-Kashmir Instt. Of Medical Sciences, Srinagar, SKIMS MC BEMINA , SRINAGAR, JAMMU KASHMIR</x:v>
      </x:c>
      <x:c r="E2804" t="str">
        <x:v>All India</x:v>
      </x:c>
      <x:c r="F2804" t="str">
        <x:v>EWS</x:v>
      </x:c>
      <x:c r="G2804" t="n">
        <x:v>2</x:v>
      </x:c>
      <x:c r="H2804" t="n">
        <x:v>2</x:v>
      </x:c>
      <x:c r="I2804" t="n">
        <x:f>G2804-H2804</x:f>
        <x:v>0</x:v>
      </x:c>
      <x:c r="J2804" s="20" t="n">
        <x:f>IFERROR(H2804/G2804,0)</x:f>
        <x:v>1</x:v>
      </x:c>
      <x:c r="K2804" t="n">
        <x:v>10960</x:v>
      </x:c>
      <x:c r="L2804" t="n">
        <x:v>11424.25</x:v>
      </x:c>
      <x:c r="M2804" t="n">
        <x:v>11888.5</x:v>
      </x:c>
      <x:c r="N2804" t="n">
        <x:v>12352.75</x:v>
      </x:c>
      <x:c r="O2804" t="n">
        <x:v>12817</x:v>
      </x:c>
    </x:row>
    <x:row r="2805">
      <x:c r="A2805" t="str">
        <x:v>Jammu And Kashmir</x:v>
      </x:c>
      <x:c r="B2805" t="str">
        <x:v>All India except Central University</x:v>
      </x:c>
      <x:c r="C2805" t="str">
        <x:v>200621</x:v>
      </x:c>
      <x:c r="D2805" t="str">
        <x:v>Sher-I-Kashmir Instt. Of Medical Sciences, Srinagar, SKIMS MC BEMINA , SRINAGAR, JAMMU KASHMIR</x:v>
      </x:c>
      <x:c r="E2805" t="str">
        <x:v>All India</x:v>
      </x:c>
      <x:c r="F2805" t="str">
        <x:v>OBC</x:v>
      </x:c>
      <x:c r="G2805" t="n">
        <x:v>6</x:v>
      </x:c>
      <x:c r="H2805" t="n">
        <x:v>6</x:v>
      </x:c>
      <x:c r="I2805" t="n">
        <x:f>G2805-H2805</x:f>
        <x:v>0</x:v>
      </x:c>
      <x:c r="J2805" s="20" t="n">
        <x:f>IFERROR(H2805/G2805,0)</x:f>
        <x:v>1</x:v>
      </x:c>
      <x:c r="K2805" t="n">
        <x:v>9874</x:v>
      </x:c>
      <x:c r="L2805" t="n">
        <x:v>11354.75</x:v>
      </x:c>
      <x:c r="M2805" t="n">
        <x:v>11702.5</x:v>
      </x:c>
      <x:c r="N2805" t="n">
        <x:v>11910.75</x:v>
      </x:c>
      <x:c r="O2805" t="n">
        <x:v>12535</x:v>
      </x:c>
    </x:row>
    <x:row r="2806">
      <x:c r="A2806" t="str">
        <x:v>Jammu And Kashmir</x:v>
      </x:c>
      <x:c r="B2806" t="str">
        <x:v>All India except Central University</x:v>
      </x:c>
      <x:c r="C2806" t="str">
        <x:v>200621</x:v>
      </x:c>
      <x:c r="D2806" t="str">
        <x:v>Sher-I-Kashmir Instt. Of Medical Sciences, Srinagar, SKIMS MC BEMINA , SRINAGAR, JAMMU KASHMIR</x:v>
      </x:c>
      <x:c r="E2806" t="str">
        <x:v>All India</x:v>
      </x:c>
      <x:c r="F2806" t="str">
        <x:v>Open</x:v>
      </x:c>
      <x:c r="G2806" t="n">
        <x:v>8</x:v>
      </x:c>
      <x:c r="H2806" t="n">
        <x:v>8</x:v>
      </x:c>
      <x:c r="I2806" t="n">
        <x:f>G2806-H2806</x:f>
        <x:v>0</x:v>
      </x:c>
      <x:c r="J2806" s="20" t="n">
        <x:f>IFERROR(H2806/G2806,0)</x:f>
        <x:v>1</x:v>
      </x:c>
      <x:c r="K2806" t="n">
        <x:v>3647</x:v>
      </x:c>
      <x:c r="L2806" t="n">
        <x:v>4037.5</x:v>
      </x:c>
      <x:c r="M2806" t="n">
        <x:v>4546.5</x:v>
      </x:c>
      <x:c r="N2806" t="n">
        <x:v>6552.25</x:v>
      </x:c>
      <x:c r="O2806" t="n">
        <x:v>7801</x:v>
      </x:c>
    </x:row>
    <x:row r="2807">
      <x:c r="A2807" t="str">
        <x:v>Jammu And Kashmir</x:v>
      </x:c>
      <x:c r="B2807" t="str">
        <x:v>All India except Central University</x:v>
      </x:c>
      <x:c r="C2807" t="str">
        <x:v>200621</x:v>
      </x:c>
      <x:c r="D2807" t="str">
        <x:v>Sher-I-Kashmir Instt. Of Medical Sciences, Srinagar, SKIMS MC BEMINA , SRINAGAR, JAMMU KASHMIR</x:v>
      </x:c>
      <x:c r="E2807" t="str">
        <x:v>All India</x:v>
      </x:c>
      <x:c r="F2807" t="str">
        <x:v>Open PwD</x:v>
      </x:c>
      <x:c r="G2807" t="n">
        <x:v>1</x:v>
      </x:c>
      <x:c r="H2807" t="n">
        <x:v>1</x:v>
      </x:c>
      <x:c r="I2807" t="n">
        <x:f>G2807-H2807</x:f>
        <x:v>0</x:v>
      </x:c>
      <x:c r="J2807" s="20" t="n">
        <x:f>IFERROR(H2807/G2807,0)</x:f>
        <x:v>1</x:v>
      </x:c>
      <x:c r="K2807" t="n">
        <x:v>364432</x:v>
      </x:c>
      <x:c r="L2807" t="n">
        <x:v>364432</x:v>
      </x:c>
      <x:c r="M2807" t="n">
        <x:v>364432</x:v>
      </x:c>
      <x:c r="N2807" t="n">
        <x:v>364432</x:v>
      </x:c>
      <x:c r="O2807" t="n">
        <x:v>364432</x:v>
      </x:c>
    </x:row>
    <x:row r="2808">
      <x:c r="A2808" t="str">
        <x:v>Jammu And Kashmir</x:v>
      </x:c>
      <x:c r="B2808" t="str">
        <x:v>All India except Central University</x:v>
      </x:c>
      <x:c r="C2808" t="str">
        <x:v>200621</x:v>
      </x:c>
      <x:c r="D2808" t="str">
        <x:v>Sher-I-Kashmir Instt. Of Medical Sciences, Srinagar, SKIMS MC BEMINA , SRINAGAR, JAMMU KASHMIR</x:v>
      </x:c>
      <x:c r="E2808" t="str">
        <x:v>All India</x:v>
      </x:c>
      <x:c r="F2808" t="str">
        <x:v>SC</x:v>
      </x:c>
      <x:c r="G2808" t="n">
        <x:v>3</x:v>
      </x:c>
      <x:c r="H2808" t="n">
        <x:v>3</x:v>
      </x:c>
      <x:c r="I2808" t="n">
        <x:f>G2808-H2808</x:f>
        <x:v>0</x:v>
      </x:c>
      <x:c r="J2808" s="20" t="n">
        <x:f>IFERROR(H2808/G2808,0)</x:f>
        <x:v>1</x:v>
      </x:c>
      <x:c r="K2808" t="n">
        <x:v>62939</x:v>
      </x:c>
      <x:c r="L2808" t="n">
        <x:v>67505</x:v>
      </x:c>
      <x:c r="M2808" t="n">
        <x:v>72071</x:v>
      </x:c>
      <x:c r="N2808" t="n">
        <x:v>72674.5</x:v>
      </x:c>
      <x:c r="O2808" t="n">
        <x:v>73278</x:v>
      </x:c>
    </x:row>
    <x:row r="2809">
      <x:c r="A2809" t="str">
        <x:v>Jammu And Kashmir</x:v>
      </x:c>
      <x:c r="B2809" t="str">
        <x:v>All India except Central University</x:v>
      </x:c>
      <x:c r="C2809" t="str">
        <x:v>200621</x:v>
      </x:c>
      <x:c r="D2809" t="str">
        <x:v>Sher-I-Kashmir Instt. Of Medical Sciences, Srinagar, SKIMS MC BEMINA , SRINAGAR, JAMMU KASHMIR</x:v>
      </x:c>
      <x:c r="E2809" t="str">
        <x:v>All India</x:v>
      </x:c>
      <x:c r="F2809" t="str">
        <x:v>ST</x:v>
      </x:c>
      <x:c r="G2809" t="n">
        <x:v>2</x:v>
      </x:c>
      <x:c r="H2809" t="n">
        <x:v>2</x:v>
      </x:c>
      <x:c r="I2809" t="n">
        <x:f>G2809-H2809</x:f>
        <x:v>0</x:v>
      </x:c>
      <x:c r="J2809" s="20" t="n">
        <x:f>IFERROR(H2809/G2809,0)</x:f>
        <x:v>1</x:v>
      </x:c>
      <x:c r="K2809" t="n">
        <x:v>47533</x:v>
      </x:c>
      <x:c r="L2809" t="n">
        <x:v>48071.25</x:v>
      </x:c>
      <x:c r="M2809" t="n">
        <x:v>48609.5</x:v>
      </x:c>
      <x:c r="N2809" t="n">
        <x:v>49147.75</x:v>
      </x:c>
      <x:c r="O2809" t="n">
        <x:v>49686</x:v>
      </x:c>
    </x:row>
    <x:row r="2810">
      <x:c r="A2810" t="str">
        <x:v>Meghalaya</x:v>
      </x:c>
      <x:c r="B2810" t="str">
        <x:v>All India except Central University</x:v>
      </x:c>
      <x:c r="C2810" t="str">
        <x:v>904358</x:v>
      </x:c>
      <x:c r="D2810" t="str">
        <x:v>Shillong Medical College, PASTEUR HILLS LAWMALI SHILLONG</x:v>
      </x:c>
      <x:c r="E2810" t="str">
        <x:v>All India</x:v>
      </x:c>
      <x:c r="F2810" t="str">
        <x:v>EWS</x:v>
      </x:c>
      <x:c r="G2810" t="n">
        <x:v>1</x:v>
      </x:c>
      <x:c r="H2810" t="n">
        <x:v>1</x:v>
      </x:c>
      <x:c r="I2810" t="n">
        <x:f>G2810-H2810</x:f>
        <x:v>0</x:v>
      </x:c>
      <x:c r="J2810" s="20" t="n">
        <x:f>IFERROR(H2810/G2810,0)</x:f>
        <x:v>1</x:v>
      </x:c>
      <x:c r="K2810" t="n">
        <x:v>21261</x:v>
      </x:c>
      <x:c r="L2810" t="n">
        <x:v>21261</x:v>
      </x:c>
      <x:c r="M2810" t="n">
        <x:v>21261</x:v>
      </x:c>
      <x:c r="N2810" t="n">
        <x:v>21261</x:v>
      </x:c>
      <x:c r="O2810" t="n">
        <x:v>21261</x:v>
      </x:c>
    </x:row>
    <x:row r="2811">
      <x:c r="A2811" t="str">
        <x:v>Meghalaya</x:v>
      </x:c>
      <x:c r="B2811" t="str">
        <x:v>All India except Central University</x:v>
      </x:c>
      <x:c r="C2811" t="str">
        <x:v>904358</x:v>
      </x:c>
      <x:c r="D2811" t="str">
        <x:v>Shillong Medical College, PASTEUR HILLS LAWMALI SHILLONG</x:v>
      </x:c>
      <x:c r="E2811" t="str">
        <x:v>All India</x:v>
      </x:c>
      <x:c r="F2811" t="str">
        <x:v>OBC</x:v>
      </x:c>
      <x:c r="G2811" t="n">
        <x:v>3</x:v>
      </x:c>
      <x:c r="H2811" t="n">
        <x:v>3</x:v>
      </x:c>
      <x:c r="I2811" t="n">
        <x:f>G2811-H2811</x:f>
        <x:v>0</x:v>
      </x:c>
      <x:c r="J2811" s="20" t="n">
        <x:f>IFERROR(H2811/G2811,0)</x:f>
        <x:v>1</x:v>
      </x:c>
      <x:c r="K2811" t="n">
        <x:v>18035</x:v>
      </x:c>
      <x:c r="L2811" t="n">
        <x:v>18188.5</x:v>
      </x:c>
      <x:c r="M2811" t="n">
        <x:v>18342</x:v>
      </x:c>
      <x:c r="N2811" t="n">
        <x:v>18507</x:v>
      </x:c>
      <x:c r="O2811" t="n">
        <x:v>18672</x:v>
      </x:c>
    </x:row>
    <x:row r="2812">
      <x:c r="A2812" t="str">
        <x:v>Meghalaya</x:v>
      </x:c>
      <x:c r="B2812" t="str">
        <x:v>All India except Central University</x:v>
      </x:c>
      <x:c r="C2812" t="str">
        <x:v>904358</x:v>
      </x:c>
      <x:c r="D2812" t="str">
        <x:v>Shillong Medical College, PASTEUR HILLS LAWMALI SHILLONG</x:v>
      </x:c>
      <x:c r="E2812" t="str">
        <x:v>All India</x:v>
      </x:c>
      <x:c r="F2812" t="str">
        <x:v>Open</x:v>
      </x:c>
      <x:c r="G2812" t="n">
        <x:v>3</x:v>
      </x:c>
      <x:c r="H2812" t="n">
        <x:v>3</x:v>
      </x:c>
      <x:c r="I2812" t="n">
        <x:f>G2812-H2812</x:f>
        <x:v>0</x:v>
      </x:c>
      <x:c r="J2812" s="20" t="n">
        <x:f>IFERROR(H2812/G2812,0)</x:f>
        <x:v>1</x:v>
      </x:c>
      <x:c r="K2812" t="n">
        <x:v>15519</x:v>
      </x:c>
      <x:c r="L2812" t="n">
        <x:v>15609.5</x:v>
      </x:c>
      <x:c r="M2812" t="n">
        <x:v>15700</x:v>
      </x:c>
      <x:c r="N2812" t="n">
        <x:v>15824</x:v>
      </x:c>
      <x:c r="O2812" t="n">
        <x:v>15948</x:v>
      </x:c>
    </x:row>
    <x:row r="2813">
      <x:c r="A2813" t="str">
        <x:v>Meghalaya</x:v>
      </x:c>
      <x:c r="B2813" t="str">
        <x:v>All India except Central University</x:v>
      </x:c>
      <x:c r="C2813" t="str">
        <x:v>904358</x:v>
      </x:c>
      <x:c r="D2813" t="str">
        <x:v>Shillong Medical College, PASTEUR HILLS LAWMALI SHILLONG</x:v>
      </x:c>
      <x:c r="E2813" t="str">
        <x:v>All India</x:v>
      </x:c>
      <x:c r="F2813" t="str">
        <x:v>SC</x:v>
      </x:c>
      <x:c r="G2813" t="n">
        <x:v>1</x:v>
      </x:c>
      <x:c r="H2813" t="n">
        <x:v>1</x:v>
      </x:c>
      <x:c r="I2813" t="n">
        <x:f>G2813-H2813</x:f>
        <x:v>0</x:v>
      </x:c>
      <x:c r="J2813" s="20" t="n">
        <x:f>IFERROR(H2813/G2813,0)</x:f>
        <x:v>1</x:v>
      </x:c>
      <x:c r="K2813" t="n">
        <x:v>73984</x:v>
      </x:c>
      <x:c r="L2813" t="n">
        <x:v>73984</x:v>
      </x:c>
      <x:c r="M2813" t="n">
        <x:v>73984</x:v>
      </x:c>
      <x:c r="N2813" t="n">
        <x:v>73984</x:v>
      </x:c>
      <x:c r="O2813" t="n">
        <x:v>73984</x:v>
      </x:c>
    </x:row>
    <x:row r="2814">
      <x:c r="A2814" t="str">
        <x:v>Karnataka</x:v>
      </x:c>
      <x:c r="B2814" t="str">
        <x:v>All India except Central University</x:v>
      </x:c>
      <x:c r="C2814" t="str">
        <x:v>200180</x:v>
      </x:c>
      <x:c r="D2814" t="str">
        <x:v>Shimoga Institute of Medical Sciences, Shimoga, SAGAR ROAD, MCGANN HOSPITAL CAMPUS, SHIVAMOGGA</x:v>
      </x:c>
      <x:c r="E2814" t="str">
        <x:v>All India</x:v>
      </x:c>
      <x:c r="F2814" t="str">
        <x:v>EWS</x:v>
      </x:c>
      <x:c r="G2814" t="n">
        <x:v>3</x:v>
      </x:c>
      <x:c r="H2814" t="n">
        <x:v>3</x:v>
      </x:c>
      <x:c r="I2814" t="n">
        <x:f>G2814-H2814</x:f>
        <x:v>0</x:v>
      </x:c>
      <x:c r="J2814" s="20" t="n">
        <x:f>IFERROR(H2814/G2814,0)</x:f>
        <x:v>1</x:v>
      </x:c>
      <x:c r="K2814" t="n">
        <x:v>11382</x:v>
      </x:c>
      <x:c r="L2814" t="n">
        <x:v>13483.5</x:v>
      </x:c>
      <x:c r="M2814" t="n">
        <x:v>15585</x:v>
      </x:c>
      <x:c r="N2814" t="n">
        <x:v>16676</x:v>
      </x:c>
      <x:c r="O2814" t="n">
        <x:v>17767</x:v>
      </x:c>
    </x:row>
    <x:row r="2815">
      <x:c r="A2815" t="str">
        <x:v>Karnataka</x:v>
      </x:c>
      <x:c r="B2815" t="str">
        <x:v>All India except Central University</x:v>
      </x:c>
      <x:c r="C2815" t="str">
        <x:v>200180</x:v>
      </x:c>
      <x:c r="D2815" t="str">
        <x:v>Shimoga Institute of Medical Sciences, Shimoga, SAGAR ROAD, MCGANN HOSPITAL CAMPUS, SHIVAMOGGA</x:v>
      </x:c>
      <x:c r="E2815" t="str">
        <x:v>All India</x:v>
      </x:c>
      <x:c r="F2815" t="str">
        <x:v>OBC</x:v>
      </x:c>
      <x:c r="G2815" t="n">
        <x:v>6</x:v>
      </x:c>
      <x:c r="H2815" t="n">
        <x:v>6</x:v>
      </x:c>
      <x:c r="I2815" t="n">
        <x:f>G2815-H2815</x:f>
        <x:v>0</x:v>
      </x:c>
      <x:c r="J2815" s="20" t="n">
        <x:f>IFERROR(H2815/G2815,0)</x:f>
        <x:v>1</x:v>
      </x:c>
      <x:c r="K2815" t="n">
        <x:v>12562</x:v>
      </x:c>
      <x:c r="L2815" t="n">
        <x:v>13270.5</x:v>
      </x:c>
      <x:c r="M2815" t="n">
        <x:v>13352</x:v>
      </x:c>
      <x:c r="N2815" t="n">
        <x:v>13590.25</x:v>
      </x:c>
      <x:c r="O2815" t="n">
        <x:v>13767</x:v>
      </x:c>
    </x:row>
    <x:row r="2816">
      <x:c r="A2816" t="str">
        <x:v>Karnataka</x:v>
      </x:c>
      <x:c r="B2816" t="str">
        <x:v>All India except Central University</x:v>
      </x:c>
      <x:c r="C2816" t="str">
        <x:v>200180</x:v>
      </x:c>
      <x:c r="D2816" t="str">
        <x:v>Shimoga Institute of Medical Sciences, Shimoga, SAGAR ROAD, MCGANN HOSPITAL CAMPUS, SHIVAMOGGA</x:v>
      </x:c>
      <x:c r="E2816" t="str">
        <x:v>All India</x:v>
      </x:c>
      <x:c r="F2816" t="str">
        <x:v>Open</x:v>
      </x:c>
      <x:c r="G2816" t="n">
        <x:v>9</x:v>
      </x:c>
      <x:c r="H2816" t="n">
        <x:v>9</x:v>
      </x:c>
      <x:c r="I2816" t="n">
        <x:f>G2816-H2816</x:f>
        <x:v>0</x:v>
      </x:c>
      <x:c r="J2816" s="20" t="n">
        <x:f>IFERROR(H2816/G2816,0)</x:f>
        <x:v>1</x:v>
      </x:c>
      <x:c r="K2816" t="n">
        <x:v>4450</x:v>
      </x:c>
      <x:c r="L2816" t="n">
        <x:v>8699</x:v>
      </x:c>
      <x:c r="M2816" t="n">
        <x:v>9876</x:v>
      </x:c>
      <x:c r="N2816" t="n">
        <x:v>9929</x:v>
      </x:c>
      <x:c r="O2816" t="n">
        <x:v>10943</x:v>
      </x:c>
    </x:row>
    <x:row r="2817">
      <x:c r="A2817" t="str">
        <x:v>Karnataka</x:v>
      </x:c>
      <x:c r="B2817" t="str">
        <x:v>All India except Central University</x:v>
      </x:c>
      <x:c r="C2817" t="str">
        <x:v>200180</x:v>
      </x:c>
      <x:c r="D2817" t="str">
        <x:v>Shimoga Institute of Medical Sciences, Shimoga, SAGAR ROAD, MCGANN HOSPITAL CAMPUS, SHIVAMOGGA</x:v>
      </x:c>
      <x:c r="E2817" t="str">
        <x:v>All India</x:v>
      </x:c>
      <x:c r="F2817" t="str">
        <x:v>SC</x:v>
      </x:c>
      <x:c r="G2817" t="n">
        <x:v>3</x:v>
      </x:c>
      <x:c r="H2817" t="n">
        <x:v>3</x:v>
      </x:c>
      <x:c r="I2817" t="n">
        <x:f>G2817-H2817</x:f>
        <x:v>0</x:v>
      </x:c>
      <x:c r="J2817" s="20" t="n">
        <x:f>IFERROR(H2817/G2817,0)</x:f>
        <x:v>1</x:v>
      </x:c>
      <x:c r="K2817" t="n">
        <x:v>54406</x:v>
      </x:c>
      <x:c r="L2817" t="n">
        <x:v>54515.5</x:v>
      </x:c>
      <x:c r="M2817" t="n">
        <x:v>54625</x:v>
      </x:c>
      <x:c r="N2817" t="n">
        <x:v>56885.5</x:v>
      </x:c>
      <x:c r="O2817" t="n">
        <x:v>59146</x:v>
      </x:c>
    </x:row>
    <x:row r="2818">
      <x:c r="A2818" t="str">
        <x:v>Karnataka</x:v>
      </x:c>
      <x:c r="B2818" t="str">
        <x:v>All India except Central University</x:v>
      </x:c>
      <x:c r="C2818" t="str">
        <x:v>200180</x:v>
      </x:c>
      <x:c r="D2818" t="str">
        <x:v>Shimoga Institute of Medical Sciences, Shimoga, SAGAR ROAD, MCGANN HOSPITAL CAMPUS, SHIVAMOGGA</x:v>
      </x:c>
      <x:c r="E2818" t="str">
        <x:v>All India</x:v>
      </x:c>
      <x:c r="F2818" t="str">
        <x:v>ST</x:v>
      </x:c>
      <x:c r="G2818" t="n">
        <x:v>1</x:v>
      </x:c>
      <x:c r="H2818" t="n">
        <x:v>1</x:v>
      </x:c>
      <x:c r="I2818" t="n">
        <x:f>G2818-H2818</x:f>
        <x:v>0</x:v>
      </x:c>
      <x:c r="J2818" s="20" t="n">
        <x:f>IFERROR(H2818/G2818,0)</x:f>
        <x:v>1</x:v>
      </x:c>
      <x:c r="K2818" t="n">
        <x:v>71185</x:v>
      </x:c>
      <x:c r="L2818" t="n">
        <x:v>71185</x:v>
      </x:c>
      <x:c r="M2818" t="n">
        <x:v>71185</x:v>
      </x:c>
      <x:c r="N2818" t="n">
        <x:v>71185</x:v>
      </x:c>
      <x:c r="O2818" t="n">
        <x:v>71185</x:v>
      </x:c>
    </x:row>
    <x:row r="2819">
      <x:c r="A2819" t="str">
        <x:v>Haryana</x:v>
      </x:c>
      <x:c r="B2819" t="str">
        <x:v>All India except Central University</x:v>
      </x:c>
      <x:c r="C2819" t="str">
        <x:v>200615</x:v>
      </x:c>
      <x:c r="D2819" t="str">
        <x:v>Shri Atal Bihari Vajpayee Government Medical College, Faridabad, Shri Atal Bihari Vajpayee Government Medical College Chhainsa Faridabad</x:v>
      </x:c>
      <x:c r="E2819" t="str">
        <x:v>All India</x:v>
      </x:c>
      <x:c r="F2819" t="str">
        <x:v>EWS</x:v>
      </x:c>
      <x:c r="G2819" t="n">
        <x:v>1</x:v>
      </x:c>
      <x:c r="H2819" t="n">
        <x:v>1</x:v>
      </x:c>
      <x:c r="I2819" t="n">
        <x:f>G2819-H2819</x:f>
        <x:v>0</x:v>
      </x:c>
      <x:c r="J2819" s="20" t="n">
        <x:f>IFERROR(H2819/G2819,0)</x:f>
        <x:v>1</x:v>
      </x:c>
      <x:c r="K2819" t="n">
        <x:v>9807</x:v>
      </x:c>
      <x:c r="L2819" t="n">
        <x:v>9807</x:v>
      </x:c>
      <x:c r="M2819" t="n">
        <x:v>9807</x:v>
      </x:c>
      <x:c r="N2819" t="n">
        <x:v>9807</x:v>
      </x:c>
      <x:c r="O2819" t="n">
        <x:v>9807</x:v>
      </x:c>
    </x:row>
    <x:row r="2820">
      <x:c r="A2820" t="str">
        <x:v>Haryana</x:v>
      </x:c>
      <x:c r="B2820" t="str">
        <x:v>All India except Central University</x:v>
      </x:c>
      <x:c r="C2820" t="str">
        <x:v>200615</x:v>
      </x:c>
      <x:c r="D2820" t="str">
        <x:v>Shri Atal Bihari Vajpayee Government Medical College, Faridabad, Shri Atal Bihari Vajpayee Government Medical College Chhainsa Faridabad</x:v>
      </x:c>
      <x:c r="E2820" t="str">
        <x:v>All India</x:v>
      </x:c>
      <x:c r="F2820" t="str">
        <x:v>EWS PwD</x:v>
      </x:c>
      <x:c r="G2820" t="n">
        <x:v>1</x:v>
      </x:c>
      <x:c r="H2820" t="n">
        <x:v>1</x:v>
      </x:c>
      <x:c r="I2820" t="n">
        <x:f>G2820-H2820</x:f>
        <x:v>0</x:v>
      </x:c>
      <x:c r="J2820" s="20" t="n">
        <x:f>IFERROR(H2820/G2820,0)</x:f>
        <x:v>1</x:v>
      </x:c>
      <x:c r="K2820" t="n">
        <x:v>614754</x:v>
      </x:c>
      <x:c r="L2820" t="n">
        <x:v>614754</x:v>
      </x:c>
      <x:c r="M2820" t="n">
        <x:v>614754</x:v>
      </x:c>
      <x:c r="N2820" t="n">
        <x:v>614754</x:v>
      </x:c>
      <x:c r="O2820" t="n">
        <x:v>614754</x:v>
      </x:c>
    </x:row>
    <x:row r="2821">
      <x:c r="A2821" t="str">
        <x:v>Haryana</x:v>
      </x:c>
      <x:c r="B2821" t="str">
        <x:v>All India except Central University</x:v>
      </x:c>
      <x:c r="C2821" t="str">
        <x:v>200615</x:v>
      </x:c>
      <x:c r="D2821" t="str">
        <x:v>Shri Atal Bihari Vajpayee Government Medical College, Faridabad, Shri Atal Bihari Vajpayee Government Medical College Chhainsa Faridabad</x:v>
      </x:c>
      <x:c r="E2821" t="str">
        <x:v>All India</x:v>
      </x:c>
      <x:c r="F2821" t="str">
        <x:v>OBC</x:v>
      </x:c>
      <x:c r="G2821" t="n">
        <x:v>4</x:v>
      </x:c>
      <x:c r="H2821" t="n">
        <x:v>4</x:v>
      </x:c>
      <x:c r="I2821" t="n">
        <x:f>G2821-H2821</x:f>
        <x:v>0</x:v>
      </x:c>
      <x:c r="J2821" s="20" t="n">
        <x:f>IFERROR(H2821/G2821,0)</x:f>
        <x:v>1</x:v>
      </x:c>
      <x:c r="K2821" t="n">
        <x:v>8893</x:v>
      </x:c>
      <x:c r="L2821" t="n">
        <x:v>9478.75</x:v>
      </x:c>
      <x:c r="M2821" t="n">
        <x:v>10063</x:v>
      </x:c>
      <x:c r="N2821" t="n">
        <x:v>10562.75</x:v>
      </x:c>
      <x:c r="O2821" t="n">
        <x:v>10895</x:v>
      </x:c>
    </x:row>
    <x:row r="2822">
      <x:c r="A2822" t="str">
        <x:v>Haryana</x:v>
      </x:c>
      <x:c r="B2822" t="str">
        <x:v>All India except Central University</x:v>
      </x:c>
      <x:c r="C2822" t="str">
        <x:v>200615</x:v>
      </x:c>
      <x:c r="D2822" t="str">
        <x:v>Shri Atal Bihari Vajpayee Government Medical College, Faridabad, Shri Atal Bihari Vajpayee Government Medical College Chhainsa Faridabad</x:v>
      </x:c>
      <x:c r="E2822" t="str">
        <x:v>All India</x:v>
      </x:c>
      <x:c r="F2822" t="str">
        <x:v>Open</x:v>
      </x:c>
      <x:c r="G2822" t="n">
        <x:v>6</x:v>
      </x:c>
      <x:c r="H2822" t="n">
        <x:v>6</x:v>
      </x:c>
      <x:c r="I2822" t="n">
        <x:f>G2822-H2822</x:f>
        <x:v>0</x:v>
      </x:c>
      <x:c r="J2822" s="20" t="n">
        <x:f>IFERROR(H2822/G2822,0)</x:f>
        <x:v>1</x:v>
      </x:c>
      <x:c r="K2822" t="n">
        <x:v>6840</x:v>
      </x:c>
      <x:c r="L2822" t="n">
        <x:v>7585.25</x:v>
      </x:c>
      <x:c r="M2822" t="n">
        <x:v>8194</x:v>
      </x:c>
      <x:c r="N2822" t="n">
        <x:v>8754</x:v>
      </x:c>
      <x:c r="O2822" t="n">
        <x:v>8767</x:v>
      </x:c>
    </x:row>
    <x:row r="2823">
      <x:c r="A2823" t="str">
        <x:v>Haryana</x:v>
      </x:c>
      <x:c r="B2823" t="str">
        <x:v>All India except Central University</x:v>
      </x:c>
      <x:c r="C2823" t="str">
        <x:v>200615</x:v>
      </x:c>
      <x:c r="D2823" t="str">
        <x:v>Shri Atal Bihari Vajpayee Government Medical College, Faridabad, Shri Atal Bihari Vajpayee Government Medical College Chhainsa Faridabad</x:v>
      </x:c>
      <x:c r="E2823" t="str">
        <x:v>All India</x:v>
      </x:c>
      <x:c r="F2823" t="str">
        <x:v>SC</x:v>
      </x:c>
      <x:c r="G2823" t="n">
        <x:v>1</x:v>
      </x:c>
      <x:c r="H2823" t="n">
        <x:v>1</x:v>
      </x:c>
      <x:c r="I2823" t="n">
        <x:f>G2823-H2823</x:f>
        <x:v>0</x:v>
      </x:c>
      <x:c r="J2823" s="20" t="n">
        <x:f>IFERROR(H2823/G2823,0)</x:f>
        <x:v>1</x:v>
      </x:c>
      <x:c r="K2823" t="n">
        <x:v>41419</x:v>
      </x:c>
      <x:c r="L2823" t="n">
        <x:v>41419</x:v>
      </x:c>
      <x:c r="M2823" t="n">
        <x:v>41419</x:v>
      </x:c>
      <x:c r="N2823" t="n">
        <x:v>41419</x:v>
      </x:c>
      <x:c r="O2823" t="n">
        <x:v>41419</x:v>
      </x:c>
    </x:row>
    <x:row r="2824">
      <x:c r="A2824" t="str">
        <x:v>Haryana</x:v>
      </x:c>
      <x:c r="B2824" t="str">
        <x:v>All India except Central University</x:v>
      </x:c>
      <x:c r="C2824" t="str">
        <x:v>200615</x:v>
      </x:c>
      <x:c r="D2824" t="str">
        <x:v>Shri Atal Bihari Vajpayee Government Medical College, Faridabad, Shri Atal Bihari Vajpayee Government Medical College Chhainsa Faridabad</x:v>
      </x:c>
      <x:c r="E2824" t="str">
        <x:v>All India</x:v>
      </x:c>
      <x:c r="F2824" t="str">
        <x:v>SC PwD</x:v>
      </x:c>
      <x:c r="G2824" t="n">
        <x:v>1</x:v>
      </x:c>
      <x:c r="H2824" t="n">
        <x:v>1</x:v>
      </x:c>
      <x:c r="I2824" t="n">
        <x:f>G2824-H2824</x:f>
        <x:v>0</x:v>
      </x:c>
      <x:c r="J2824" s="20" t="n">
        <x:f>IFERROR(H2824/G2824,0)</x:f>
        <x:v>1</x:v>
      </x:c>
      <x:c r="K2824" t="n">
        <x:v>791952</x:v>
      </x:c>
      <x:c r="L2824" t="n">
        <x:v>791952</x:v>
      </x:c>
      <x:c r="M2824" t="n">
        <x:v>791952</x:v>
      </x:c>
      <x:c r="N2824" t="n">
        <x:v>791952</x:v>
      </x:c>
      <x:c r="O2824" t="n">
        <x:v>791952</x:v>
      </x:c>
    </x:row>
    <x:row r="2825">
      <x:c r="A2825" t="str">
        <x:v>Haryana</x:v>
      </x:c>
      <x:c r="B2825" t="str">
        <x:v>All India except Central University</x:v>
      </x:c>
      <x:c r="C2825" t="str">
        <x:v>200615</x:v>
      </x:c>
      <x:c r="D2825" t="str">
        <x:v>Shri Atal Bihari Vajpayee Government Medical College, Faridabad, Shri Atal Bihari Vajpayee Government Medical College Chhainsa Faridabad</x:v>
      </x:c>
      <x:c r="E2825" t="str">
        <x:v>All India</x:v>
      </x:c>
      <x:c r="F2825" t="str">
        <x:v>ST</x:v>
      </x:c>
      <x:c r="G2825" t="n">
        <x:v>1</x:v>
      </x:c>
      <x:c r="H2825" t="n">
        <x:v>1</x:v>
      </x:c>
      <x:c r="I2825" t="n">
        <x:f>G2825-H2825</x:f>
        <x:v>0</x:v>
      </x:c>
      <x:c r="J2825" s="20" t="n">
        <x:f>IFERROR(H2825/G2825,0)</x:f>
        <x:v>1</x:v>
      </x:c>
      <x:c r="K2825" t="n">
        <x:v>51121</x:v>
      </x:c>
      <x:c r="L2825" t="n">
        <x:v>51121</x:v>
      </x:c>
      <x:c r="M2825" t="n">
        <x:v>51121</x:v>
      </x:c>
      <x:c r="N2825" t="n">
        <x:v>51121</x:v>
      </x:c>
      <x:c r="O2825" t="n">
        <x:v>51121</x:v>
      </x:c>
    </x:row>
    <x:row r="2826">
      <x:c r="A2826" t="str">
        <x:v>Karnataka</x:v>
      </x:c>
      <x:c r="B2826" t="str">
        <x:v>All India except Central University</x:v>
      </x:c>
      <x:c r="C2826" t="str">
        <x:v>200476</x:v>
      </x:c>
      <x:c r="D2826" t="str">
        <x:v>Shri Atal Bihari Vajpayee Medical College &amp; Research Institute, SHIVAJINAGAR, BENGALURU</x:v>
      </x:c>
      <x:c r="E2826" t="str">
        <x:v>All India</x:v>
      </x:c>
      <x:c r="F2826" t="str">
        <x:v>EWS</x:v>
      </x:c>
      <x:c r="G2826" t="n">
        <x:v>2</x:v>
      </x:c>
      <x:c r="H2826" t="n">
        <x:v>2</x:v>
      </x:c>
      <x:c r="I2826" t="n">
        <x:f>G2826-H2826</x:f>
        <x:v>0</x:v>
      </x:c>
      <x:c r="J2826" s="20" t="n">
        <x:f>IFERROR(H2826/G2826,0)</x:f>
        <x:v>1</x:v>
      </x:c>
      <x:c r="K2826" t="n">
        <x:v>6083</x:v>
      </x:c>
      <x:c r="L2826" t="n">
        <x:v>6669</x:v>
      </x:c>
      <x:c r="M2826" t="n">
        <x:v>7255</x:v>
      </x:c>
      <x:c r="N2826" t="n">
        <x:v>7841</x:v>
      </x:c>
      <x:c r="O2826" t="n">
        <x:v>8427</x:v>
      </x:c>
    </x:row>
    <x:row r="2827">
      <x:c r="A2827" t="str">
        <x:v>Karnataka</x:v>
      </x:c>
      <x:c r="B2827" t="str">
        <x:v>All India except Central University</x:v>
      </x:c>
      <x:c r="C2827" t="str">
        <x:v>200476</x:v>
      </x:c>
      <x:c r="D2827" t="str">
        <x:v>Shri Atal Bihari Vajpayee Medical College &amp; Research Institute, SHIVAJINAGAR, BENGALURU</x:v>
      </x:c>
      <x:c r="E2827" t="str">
        <x:v>All India</x:v>
      </x:c>
      <x:c r="F2827" t="str">
        <x:v>OBC</x:v>
      </x:c>
      <x:c r="G2827" t="n">
        <x:v>8</x:v>
      </x:c>
      <x:c r="H2827" t="n">
        <x:v>8</x:v>
      </x:c>
      <x:c r="I2827" t="n">
        <x:f>G2827-H2827</x:f>
        <x:v>0</x:v>
      </x:c>
      <x:c r="J2827" s="20" t="n">
        <x:f>IFERROR(H2827/G2827,0)</x:f>
        <x:v>1</x:v>
      </x:c>
      <x:c r="K2827" t="n">
        <x:v>4855</x:v>
      </x:c>
      <x:c r="L2827" t="n">
        <x:v>5796.25</x:v>
      </x:c>
      <x:c r="M2827" t="n">
        <x:v>6595.5</x:v>
      </x:c>
      <x:c r="N2827" t="n">
        <x:v>6650</x:v>
      </x:c>
      <x:c r="O2827" t="n">
        <x:v>6897</x:v>
      </x:c>
    </x:row>
    <x:row r="2828">
      <x:c r="A2828" t="str">
        <x:v>Karnataka</x:v>
      </x:c>
      <x:c r="B2828" t="str">
        <x:v>All India except Central University</x:v>
      </x:c>
      <x:c r="C2828" t="str">
        <x:v>200476</x:v>
      </x:c>
      <x:c r="D2828" t="str">
        <x:v>Shri Atal Bihari Vajpayee Medical College &amp; Research Institute, SHIVAJINAGAR, BENGALURU</x:v>
      </x:c>
      <x:c r="E2828" t="str">
        <x:v>All India</x:v>
      </x:c>
      <x:c r="F2828" t="str">
        <x:v>Open</x:v>
      </x:c>
      <x:c r="G2828" t="n">
        <x:v>11</x:v>
      </x:c>
      <x:c r="H2828" t="n">
        <x:v>11</x:v>
      </x:c>
      <x:c r="I2828" t="n">
        <x:f>G2828-H2828</x:f>
        <x:v>0</x:v>
      </x:c>
      <x:c r="J2828" s="20" t="n">
        <x:f>IFERROR(H2828/G2828,0)</x:f>
        <x:v>1</x:v>
      </x:c>
      <x:c r="K2828" t="n">
        <x:v>634</x:v>
      </x:c>
      <x:c r="L2828" t="n">
        <x:v>2528</x:v>
      </x:c>
      <x:c r="M2828" t="n">
        <x:v>3011</x:v>
      </x:c>
      <x:c r="N2828" t="n">
        <x:v>3481</x:v>
      </x:c>
      <x:c r="O2828" t="n">
        <x:v>3998</x:v>
      </x:c>
    </x:row>
    <x:row r="2829">
      <x:c r="A2829" t="str">
        <x:v>Karnataka</x:v>
      </x:c>
      <x:c r="B2829" t="str">
        <x:v>All India except Central University</x:v>
      </x:c>
      <x:c r="C2829" t="str">
        <x:v>200476</x:v>
      </x:c>
      <x:c r="D2829" t="str">
        <x:v>Shri Atal Bihari Vajpayee Medical College &amp; Research Institute, SHIVAJINAGAR, BENGALURU</x:v>
      </x:c>
      <x:c r="E2829" t="str">
        <x:v>All India</x:v>
      </x:c>
      <x:c r="F2829" t="str">
        <x:v>Open PwD</x:v>
      </x:c>
      <x:c r="G2829" t="n">
        <x:v>1</x:v>
      </x:c>
      <x:c r="H2829" t="n">
        <x:v>1</x:v>
      </x:c>
      <x:c r="I2829" t="n">
        <x:f>G2829-H2829</x:f>
        <x:v>0</x:v>
      </x:c>
      <x:c r="J2829" s="20" t="n">
        <x:f>IFERROR(H2829/G2829,0)</x:f>
        <x:v>1</x:v>
      </x:c>
      <x:c r="K2829" t="n">
        <x:v>171906</x:v>
      </x:c>
      <x:c r="L2829" t="n">
        <x:v>171906</x:v>
      </x:c>
      <x:c r="M2829" t="n">
        <x:v>171906</x:v>
      </x:c>
      <x:c r="N2829" t="n">
        <x:v>171906</x:v>
      </x:c>
      <x:c r="O2829" t="n">
        <x:v>171906</x:v>
      </x:c>
    </x:row>
    <x:row r="2830">
      <x:c r="A2830" t="str">
        <x:v>Karnataka</x:v>
      </x:c>
      <x:c r="B2830" t="str">
        <x:v>All India except Central University</x:v>
      </x:c>
      <x:c r="C2830" t="str">
        <x:v>200476</x:v>
      </x:c>
      <x:c r="D2830" t="str">
        <x:v>Shri Atal Bihari Vajpayee Medical College &amp; Research Institute, SHIVAJINAGAR, BENGALURU</x:v>
      </x:c>
      <x:c r="E2830" t="str">
        <x:v>All India</x:v>
      </x:c>
      <x:c r="F2830" t="str">
        <x:v>SC</x:v>
      </x:c>
      <x:c r="G2830" t="n">
        <x:v>4</x:v>
      </x:c>
      <x:c r="H2830" t="n">
        <x:v>4</x:v>
      </x:c>
      <x:c r="I2830" t="n">
        <x:f>G2830-H2830</x:f>
        <x:v>0</x:v>
      </x:c>
      <x:c r="J2830" s="20" t="n">
        <x:f>IFERROR(H2830/G2830,0)</x:f>
        <x:v>1</x:v>
      </x:c>
      <x:c r="K2830" t="n">
        <x:v>28840</x:v>
      </x:c>
      <x:c r="L2830" t="n">
        <x:v>29788</x:v>
      </x:c>
      <x:c r="M2830" t="n">
        <x:v>30195.5</x:v>
      </x:c>
      <x:c r="N2830" t="n">
        <x:v>31454</x:v>
      </x:c>
      <x:c r="O2830" t="n">
        <x:v>34955</x:v>
      </x:c>
    </x:row>
    <x:row r="2831">
      <x:c r="A2831" t="str">
        <x:v>Karnataka</x:v>
      </x:c>
      <x:c r="B2831" t="str">
        <x:v>All India except Central University</x:v>
      </x:c>
      <x:c r="C2831" t="str">
        <x:v>200476</x:v>
      </x:c>
      <x:c r="D2831" t="str">
        <x:v>Shri Atal Bihari Vajpayee Medical College &amp; Research Institute, SHIVAJINAGAR, BENGALURU</x:v>
      </x:c>
      <x:c r="E2831" t="str">
        <x:v>All India</x:v>
      </x:c>
      <x:c r="F2831" t="str">
        <x:v>SC PwD</x:v>
      </x:c>
      <x:c r="G2831" t="n">
        <x:v>1</x:v>
      </x:c>
      <x:c r="H2831" t="n">
        <x:v>1</x:v>
      </x:c>
      <x:c r="I2831" t="n">
        <x:f>G2831-H2831</x:f>
        <x:v>0</x:v>
      </x:c>
      <x:c r="J2831" s="20" t="n">
        <x:f>IFERROR(H2831/G2831,0)</x:f>
        <x:v>1</x:v>
      </x:c>
      <x:c r="K2831" t="n">
        <x:v>555924</x:v>
      </x:c>
      <x:c r="L2831" t="n">
        <x:v>555924</x:v>
      </x:c>
      <x:c r="M2831" t="n">
        <x:v>555924</x:v>
      </x:c>
      <x:c r="N2831" t="n">
        <x:v>555924</x:v>
      </x:c>
      <x:c r="O2831" t="n">
        <x:v>555924</x:v>
      </x:c>
    </x:row>
    <x:row r="2832">
      <x:c r="A2832" t="str">
        <x:v>Karnataka</x:v>
      </x:c>
      <x:c r="B2832" t="str">
        <x:v>All India except Central University</x:v>
      </x:c>
      <x:c r="C2832" t="str">
        <x:v>200476</x:v>
      </x:c>
      <x:c r="D2832" t="str">
        <x:v>Shri Atal Bihari Vajpayee Medical College &amp; Research Institute, SHIVAJINAGAR, BENGALURU</x:v>
      </x:c>
      <x:c r="E2832" t="str">
        <x:v>All India</x:v>
      </x:c>
      <x:c r="F2832" t="str">
        <x:v>ST</x:v>
      </x:c>
      <x:c r="G2832" t="n">
        <x:v>3</x:v>
      </x:c>
      <x:c r="H2832" t="n">
        <x:v>3</x:v>
      </x:c>
      <x:c r="I2832" t="n">
        <x:f>G2832-H2832</x:f>
        <x:v>0</x:v>
      </x:c>
      <x:c r="J2832" s="20" t="n">
        <x:f>IFERROR(H2832/G2832,0)</x:f>
        <x:v>1</x:v>
      </x:c>
      <x:c r="K2832" t="n">
        <x:v>45305</x:v>
      </x:c>
      <x:c r="L2832" t="n">
        <x:v>47857.5</x:v>
      </x:c>
      <x:c r="M2832" t="n">
        <x:v>50410</x:v>
      </x:c>
      <x:c r="N2832" t="n">
        <x:v>51055</x:v>
      </x:c>
      <x:c r="O2832" t="n">
        <x:v>51700</x:v>
      </x:c>
    </x:row>
    <x:row r="2833">
      <x:c r="A2833" t="str">
        <x:v>Karnataka</x:v>
      </x:c>
      <x:c r="B2833" t="str">
        <x:v>Deemed University</x:v>
      </x:c>
      <x:c r="C2833" t="str">
        <x:v>200346</x:v>
      </x:c>
      <x:c r="D2833" t="str">
        <x:v>Shri B M Patil Medical College, Hospital &amp; Research Centre, Vijayapura (Bijapur, SMT BANGARAMMA SAJJAN CAMPUS B M PATIL ROAD (SOLAPUR ROAD) VIJAYAPURA KARNATAKA</x:v>
      </x:c>
      <x:c r="E2833" t="str">
        <x:v>NRI</x:v>
      </x:c>
      <x:c r="F2833" t="str">
        <x:v>Open</x:v>
      </x:c>
      <x:c r="G2833" t="n">
        <x:v>20</x:v>
      </x:c>
      <x:c r="H2833" t="n">
        <x:v>0</x:v>
      </x:c>
      <x:c r="I2833" t="n">
        <x:f>G2833-H2833</x:f>
        <x:v>20</x:v>
      </x:c>
      <x:c r="J2833" s="20" t="n">
        <x:f>IFERROR(H2833/G2833,0)</x:f>
        <x:v>0</x:v>
      </x:c>
      <x:c r="K2833"/>
      <x:c r="L2833"/>
      <x:c r="M2833"/>
      <x:c r="N2833"/>
      <x:c r="O2833"/>
    </x:row>
    <x:row r="2834">
      <x:c r="A2834" t="str">
        <x:v>Karnataka</x:v>
      </x:c>
      <x:c r="B2834" t="str">
        <x:v>Deemed University</x:v>
      </x:c>
      <x:c r="C2834" t="str">
        <x:v>200346</x:v>
      </x:c>
      <x:c r="D2834" t="str">
        <x:v>Shri B M Patil Medical College, Hospital &amp; Research Centre, Vijayapura (Bijapur, SMT BANGARAMMA SAJJAN CAMPUS B M PATIL ROAD (SOLAPUR ROAD) VIJAYAPURA KARNATAKA</x:v>
      </x:c>
      <x:c r="E2834" t="str">
        <x:v>Self-Financed Merit</x:v>
      </x:c>
      <x:c r="F2834" t="str">
        <x:v>Open</x:v>
      </x:c>
      <x:c r="G2834" t="n">
        <x:v>230</x:v>
      </x:c>
      <x:c r="H2834" t="n">
        <x:v>230</x:v>
      </x:c>
      <x:c r="I2834" t="n">
        <x:f>G2834-H2834</x:f>
        <x:v>0</x:v>
      </x:c>
      <x:c r="J2834" s="20" t="n">
        <x:f>IFERROR(H2834/G2834,0)</x:f>
        <x:v>1</x:v>
      </x:c>
      <x:c r="K2834" t="n">
        <x:v>99750</x:v>
      </x:c>
      <x:c r="L2834" t="n">
        <x:v>194989</x:v>
      </x:c>
      <x:c r="M2834" t="n">
        <x:v>226460</x:v>
      </x:c>
      <x:c r="N2834" t="n">
        <x:v>259299</x:v>
      </x:c>
      <x:c r="O2834" t="n">
        <x:v>294456</x:v>
      </x:c>
    </x:row>
    <x:row r="2835">
      <x:c r="A2835" t="str">
        <x:v>Rajasthan</x:v>
      </x:c>
      <x:c r="B2835" t="str">
        <x:v>All India except Central University</x:v>
      </x:c>
      <x:c r="C2835" t="str">
        <x:v>200533</x:v>
      </x:c>
      <x:c r="D2835" t="str">
        <x:v>Shri Kalyan Govt. Medical College, Sikar, Rajasthan, Shri Kalyan Govt. Medical College, Bajaj Gram, Sanwali, NH 8 A, Sikar 332001</x:v>
      </x:c>
      <x:c r="E2835" t="str">
        <x:v>All India</x:v>
      </x:c>
      <x:c r="F2835" t="str">
        <x:v>EWS</x:v>
      </x:c>
      <x:c r="G2835" t="n">
        <x:v>1</x:v>
      </x:c>
      <x:c r="H2835" t="n">
        <x:v>1</x:v>
      </x:c>
      <x:c r="I2835" t="n">
        <x:f>G2835-H2835</x:f>
        <x:v>0</x:v>
      </x:c>
      <x:c r="J2835" s="20" t="n">
        <x:f>IFERROR(H2835/G2835,0)</x:f>
        <x:v>1</x:v>
      </x:c>
      <x:c r="K2835" t="n">
        <x:v>6931</x:v>
      </x:c>
      <x:c r="L2835" t="n">
        <x:v>6931</x:v>
      </x:c>
      <x:c r="M2835" t="n">
        <x:v>6931</x:v>
      </x:c>
      <x:c r="N2835" t="n">
        <x:v>6931</x:v>
      </x:c>
      <x:c r="O2835" t="n">
        <x:v>6931</x:v>
      </x:c>
    </x:row>
    <x:row r="2836">
      <x:c r="A2836" t="str">
        <x:v>Rajasthan</x:v>
      </x:c>
      <x:c r="B2836" t="str">
        <x:v>All India except Central University</x:v>
      </x:c>
      <x:c r="C2836" t="str">
        <x:v>200533</x:v>
      </x:c>
      <x:c r="D2836" t="str">
        <x:v>Shri Kalyan Govt. Medical College, Sikar, Rajasthan, Shri Kalyan Govt. Medical College, Bajaj Gram, Sanwali, NH 8 A, Sikar 332001</x:v>
      </x:c>
      <x:c r="E2836" t="str">
        <x:v>All India</x:v>
      </x:c>
      <x:c r="F2836" t="str">
        <x:v>OBC</x:v>
      </x:c>
      <x:c r="G2836" t="n">
        <x:v>4</x:v>
      </x:c>
      <x:c r="H2836" t="n">
        <x:v>4</x:v>
      </x:c>
      <x:c r="I2836" t="n">
        <x:f>G2836-H2836</x:f>
        <x:v>0</x:v>
      </x:c>
      <x:c r="J2836" s="20" t="n">
        <x:f>IFERROR(H2836/G2836,0)</x:f>
        <x:v>1</x:v>
      </x:c>
      <x:c r="K2836" t="n">
        <x:v>6032</x:v>
      </x:c>
      <x:c r="L2836" t="n">
        <x:v>6035.75</x:v>
      </x:c>
      <x:c r="M2836" t="n">
        <x:v>6093</x:v>
      </x:c>
      <x:c r="N2836" t="n">
        <x:v>6200.75</x:v>
      </x:c>
      <x:c r="O2836" t="n">
        <x:v>6356</x:v>
      </x:c>
    </x:row>
    <x:row r="2837">
      <x:c r="A2837" t="str">
        <x:v>Rajasthan</x:v>
      </x:c>
      <x:c r="B2837" t="str">
        <x:v>All India except Central University</x:v>
      </x:c>
      <x:c r="C2837" t="str">
        <x:v>200533</x:v>
      </x:c>
      <x:c r="D2837" t="str">
        <x:v>Shri Kalyan Govt. Medical College, Sikar, Rajasthan, Shri Kalyan Govt. Medical College, Bajaj Gram, Sanwali, NH 8 A, Sikar 332001</x:v>
      </x:c>
      <x:c r="E2837" t="str">
        <x:v>All India</x:v>
      </x:c>
      <x:c r="F2837" t="str">
        <x:v>Open</x:v>
      </x:c>
      <x:c r="G2837" t="n">
        <x:v>7</x:v>
      </x:c>
      <x:c r="H2837" t="n">
        <x:v>7</x:v>
      </x:c>
      <x:c r="I2837" t="n">
        <x:f>G2837-H2837</x:f>
        <x:v>0</x:v>
      </x:c>
      <x:c r="J2837" s="20" t="n">
        <x:f>IFERROR(H2837/G2837,0)</x:f>
        <x:v>1</x:v>
      </x:c>
      <x:c r="K2837" t="n">
        <x:v>5409</x:v>
      </x:c>
      <x:c r="L2837" t="n">
        <x:v>5613.5</x:v>
      </x:c>
      <x:c r="M2837" t="n">
        <x:v>5651</x:v>
      </x:c>
      <x:c r="N2837" t="n">
        <x:v>5754.5</x:v>
      </x:c>
      <x:c r="O2837" t="n">
        <x:v>5874</x:v>
      </x:c>
    </x:row>
    <x:row r="2838">
      <x:c r="A2838" t="str">
        <x:v>Rajasthan</x:v>
      </x:c>
      <x:c r="B2838" t="str">
        <x:v>All India except Central University</x:v>
      </x:c>
      <x:c r="C2838" t="str">
        <x:v>200533</x:v>
      </x:c>
      <x:c r="D2838" t="str">
        <x:v>Shri Kalyan Govt. Medical College, Sikar, Rajasthan, Shri Kalyan Govt. Medical College, Bajaj Gram, Sanwali, NH 8 A, Sikar 332001</x:v>
      </x:c>
      <x:c r="E2838" t="str">
        <x:v>All India</x:v>
      </x:c>
      <x:c r="F2838" t="str">
        <x:v>SC</x:v>
      </x:c>
      <x:c r="G2838" t="n">
        <x:v>2</x:v>
      </x:c>
      <x:c r="H2838" t="n">
        <x:v>2</x:v>
      </x:c>
      <x:c r="I2838" t="n">
        <x:f>G2838-H2838</x:f>
        <x:v>0</x:v>
      </x:c>
      <x:c r="J2838" s="20" t="n">
        <x:f>IFERROR(H2838/G2838,0)</x:f>
        <x:v>1</x:v>
      </x:c>
      <x:c r="K2838" t="n">
        <x:v>35121</x:v>
      </x:c>
      <x:c r="L2838" t="n">
        <x:v>35872.25</x:v>
      </x:c>
      <x:c r="M2838" t="n">
        <x:v>36623.5</x:v>
      </x:c>
      <x:c r="N2838" t="n">
        <x:v>37374.75</x:v>
      </x:c>
      <x:c r="O2838" t="n">
        <x:v>38126</x:v>
      </x:c>
    </x:row>
    <x:row r="2839">
      <x:c r="A2839" t="str">
        <x:v>Rajasthan</x:v>
      </x:c>
      <x:c r="B2839" t="str">
        <x:v>All India except Central University</x:v>
      </x:c>
      <x:c r="C2839" t="str">
        <x:v>200533</x:v>
      </x:c>
      <x:c r="D2839" t="str">
        <x:v>Shri Kalyan Govt. Medical College, Sikar, Rajasthan, Shri Kalyan Govt. Medical College, Bajaj Gram, Sanwali, NH 8 A, Sikar 332001</x:v>
      </x:c>
      <x:c r="E2839" t="str">
        <x:v>All India</x:v>
      </x:c>
      <x:c r="F2839" t="str">
        <x:v>ST</x:v>
      </x:c>
      <x:c r="G2839" t="n">
        <x:v>1</x:v>
      </x:c>
      <x:c r="H2839" t="n">
        <x:v>1</x:v>
      </x:c>
      <x:c r="I2839" t="n">
        <x:f>G2839-H2839</x:f>
        <x:v>0</x:v>
      </x:c>
      <x:c r="J2839" s="20" t="n">
        <x:f>IFERROR(H2839/G2839,0)</x:f>
        <x:v>1</x:v>
      </x:c>
      <x:c r="K2839" t="n">
        <x:v>49740</x:v>
      </x:c>
      <x:c r="L2839" t="n">
        <x:v>49740</x:v>
      </x:c>
      <x:c r="M2839" t="n">
        <x:v>49740</x:v>
      </x:c>
      <x:c r="N2839" t="n">
        <x:v>49740</x:v>
      </x:c>
      <x:c r="O2839" t="n">
        <x:v>49740</x:v>
      </x:c>
    </x:row>
    <x:row r="2840">
      <x:c r="A2840" t="str">
        <x:v>Bihar</x:v>
      </x:c>
      <x:c r="B2840" t="str">
        <x:v>All India except Central University</x:v>
      </x:c>
      <x:c r="C2840" t="str">
        <x:v>200117</x:v>
      </x:c>
      <x:c r="D2840" t="str">
        <x:v>Shri Krishna Medical College, Muzzafarpur, UMANAGAR MUZAFFARPUR</x:v>
      </x:c>
      <x:c r="E2840" t="str">
        <x:v>All India</x:v>
      </x:c>
      <x:c r="F2840" t="str">
        <x:v>EWS</x:v>
      </x:c>
      <x:c r="G2840" t="n">
        <x:v>3</x:v>
      </x:c>
      <x:c r="H2840" t="n">
        <x:v>3</x:v>
      </x:c>
      <x:c r="I2840" t="n">
        <x:f>G2840-H2840</x:f>
        <x:v>0</x:v>
      </x:c>
      <x:c r="J2840" s="20" t="n">
        <x:f>IFERROR(H2840/G2840,0)</x:f>
        <x:v>1</x:v>
      </x:c>
      <x:c r="K2840" t="n">
        <x:v>12337</x:v>
      </x:c>
      <x:c r="L2840" t="n">
        <x:v>12683.5</x:v>
      </x:c>
      <x:c r="M2840" t="n">
        <x:v>13030</x:v>
      </x:c>
      <x:c r="N2840" t="n">
        <x:v>13040.5</x:v>
      </x:c>
      <x:c r="O2840" t="n">
        <x:v>13051</x:v>
      </x:c>
    </x:row>
    <x:row r="2841">
      <x:c r="A2841" t="str">
        <x:v>Bihar</x:v>
      </x:c>
      <x:c r="B2841" t="str">
        <x:v>All India except Central University</x:v>
      </x:c>
      <x:c r="C2841" t="str">
        <x:v>200117</x:v>
      </x:c>
      <x:c r="D2841" t="str">
        <x:v>Shri Krishna Medical College, Muzzafarpur, UMANAGAR MUZAFFARPUR</x:v>
      </x:c>
      <x:c r="E2841" t="str">
        <x:v>All India</x:v>
      </x:c>
      <x:c r="F2841" t="str">
        <x:v>OBC</x:v>
      </x:c>
      <x:c r="G2841" t="n">
        <x:v>6</x:v>
      </x:c>
      <x:c r="H2841" t="n">
        <x:v>6</x:v>
      </x:c>
      <x:c r="I2841" t="n">
        <x:f>G2841-H2841</x:f>
        <x:v>0</x:v>
      </x:c>
      <x:c r="J2841" s="20" t="n">
        <x:f>IFERROR(H2841/G2841,0)</x:f>
        <x:v>1</x:v>
      </x:c>
      <x:c r="K2841" t="n">
        <x:v>10318</x:v>
      </x:c>
      <x:c r="L2841" t="n">
        <x:v>10336.5</x:v>
      </x:c>
      <x:c r="M2841" t="n">
        <x:v>10531.5</x:v>
      </x:c>
      <x:c r="N2841" t="n">
        <x:v>10804.5</x:v>
      </x:c>
      <x:c r="O2841" t="n">
        <x:v>11171</x:v>
      </x:c>
    </x:row>
    <x:row r="2842">
      <x:c r="A2842" t="str">
        <x:v>Bihar</x:v>
      </x:c>
      <x:c r="B2842" t="str">
        <x:v>All India except Central University</x:v>
      </x:c>
      <x:c r="C2842" t="str">
        <x:v>200117</x:v>
      </x:c>
      <x:c r="D2842" t="str">
        <x:v>Shri Krishna Medical College, Muzzafarpur, UMANAGAR MUZAFFARPUR</x:v>
      </x:c>
      <x:c r="E2842" t="str">
        <x:v>All India</x:v>
      </x:c>
      <x:c r="F2842" t="str">
        <x:v>Open</x:v>
      </x:c>
      <x:c r="G2842" t="n">
        <x:v>8</x:v>
      </x:c>
      <x:c r="H2842" t="n">
        <x:v>8</x:v>
      </x:c>
      <x:c r="I2842" t="n">
        <x:f>G2842-H2842</x:f>
        <x:v>0</x:v>
      </x:c>
      <x:c r="J2842" s="20" t="n">
        <x:f>IFERROR(H2842/G2842,0)</x:f>
        <x:v>1</x:v>
      </x:c>
      <x:c r="K2842" t="n">
        <x:v>8194</x:v>
      </x:c>
      <x:c r="L2842" t="n">
        <x:v>9361.5</x:v>
      </x:c>
      <x:c r="M2842" t="n">
        <x:v>9791.5</x:v>
      </x:c>
      <x:c r="N2842" t="n">
        <x:v>9903</x:v>
      </x:c>
      <x:c r="O2842" t="n">
        <x:v>10092</x:v>
      </x:c>
    </x:row>
    <x:row r="2843">
      <x:c r="A2843" t="str">
        <x:v>Bihar</x:v>
      </x:c>
      <x:c r="B2843" t="str">
        <x:v>All India except Central University</x:v>
      </x:c>
      <x:c r="C2843" t="str">
        <x:v>200117</x:v>
      </x:c>
      <x:c r="D2843" t="str">
        <x:v>Shri Krishna Medical College, Muzzafarpur, UMANAGAR MUZAFFARPUR</x:v>
      </x:c>
      <x:c r="E2843" t="str">
        <x:v>All India</x:v>
      </x:c>
      <x:c r="F2843" t="str">
        <x:v>Open PwD</x:v>
      </x:c>
      <x:c r="G2843" t="n">
        <x:v>1</x:v>
      </x:c>
      <x:c r="H2843" t="n">
        <x:v>1</x:v>
      </x:c>
      <x:c r="I2843" t="n">
        <x:f>G2843-H2843</x:f>
        <x:v>0</x:v>
      </x:c>
      <x:c r="J2843" s="20" t="n">
        <x:f>IFERROR(H2843/G2843,0)</x:f>
        <x:v>1</x:v>
      </x:c>
      <x:c r="K2843" t="n">
        <x:v>352136</x:v>
      </x:c>
      <x:c r="L2843" t="n">
        <x:v>352136</x:v>
      </x:c>
      <x:c r="M2843" t="n">
        <x:v>352136</x:v>
      </x:c>
      <x:c r="N2843" t="n">
        <x:v>352136</x:v>
      </x:c>
      <x:c r="O2843" t="n">
        <x:v>352136</x:v>
      </x:c>
    </x:row>
    <x:row r="2844">
      <x:c r="A2844" t="str">
        <x:v>Bihar</x:v>
      </x:c>
      <x:c r="B2844" t="str">
        <x:v>All India except Central University</x:v>
      </x:c>
      <x:c r="C2844" t="str">
        <x:v>200117</x:v>
      </x:c>
      <x:c r="D2844" t="str">
        <x:v>Shri Krishna Medical College, Muzzafarpur, UMANAGAR MUZAFFARPUR</x:v>
      </x:c>
      <x:c r="E2844" t="str">
        <x:v>All India</x:v>
      </x:c>
      <x:c r="F2844" t="str">
        <x:v>SC</x:v>
      </x:c>
      <x:c r="G2844" t="n">
        <x:v>2</x:v>
      </x:c>
      <x:c r="H2844" t="n">
        <x:v>2</x:v>
      </x:c>
      <x:c r="I2844" t="n">
        <x:f>G2844-H2844</x:f>
        <x:v>0</x:v>
      </x:c>
      <x:c r="J2844" s="20" t="n">
        <x:f>IFERROR(H2844/G2844,0)</x:f>
        <x:v>1</x:v>
      </x:c>
      <x:c r="K2844" t="n">
        <x:v>58024</x:v>
      </x:c>
      <x:c r="L2844" t="n">
        <x:v>59014.25</x:v>
      </x:c>
      <x:c r="M2844" t="n">
        <x:v>60004.5</x:v>
      </x:c>
      <x:c r="N2844" t="n">
        <x:v>60994.75</x:v>
      </x:c>
      <x:c r="O2844" t="n">
        <x:v>61985</x:v>
      </x:c>
    </x:row>
    <x:row r="2845">
      <x:c r="A2845" t="str">
        <x:v>Bihar</x:v>
      </x:c>
      <x:c r="B2845" t="str">
        <x:v>All India except Central University</x:v>
      </x:c>
      <x:c r="C2845" t="str">
        <x:v>200117</x:v>
      </x:c>
      <x:c r="D2845" t="str">
        <x:v>Shri Krishna Medical College, Muzzafarpur, UMANAGAR MUZAFFARPUR</x:v>
      </x:c>
      <x:c r="E2845" t="str">
        <x:v>All India</x:v>
      </x:c>
      <x:c r="F2845" t="str">
        <x:v>SC PwD</x:v>
      </x:c>
      <x:c r="G2845" t="n">
        <x:v>1</x:v>
      </x:c>
      <x:c r="H2845" t="n">
        <x:v>1</x:v>
      </x:c>
      <x:c r="I2845" t="n">
        <x:f>G2845-H2845</x:f>
        <x:v>0</x:v>
      </x:c>
      <x:c r="J2845" s="20" t="n">
        <x:f>IFERROR(H2845/G2845,0)</x:f>
        <x:v>1</x:v>
      </x:c>
      <x:c r="K2845" t="n">
        <x:v>1018825</x:v>
      </x:c>
      <x:c r="L2845" t="n">
        <x:v>1018825</x:v>
      </x:c>
      <x:c r="M2845" t="n">
        <x:v>1018825</x:v>
      </x:c>
      <x:c r="N2845" t="n">
        <x:v>1018825</x:v>
      </x:c>
      <x:c r="O2845" t="n">
        <x:v>1018825</x:v>
      </x:c>
    </x:row>
    <x:row r="2846">
      <x:c r="A2846" t="str">
        <x:v>Bihar</x:v>
      </x:c>
      <x:c r="B2846" t="str">
        <x:v>All India except Central University</x:v>
      </x:c>
      <x:c r="C2846" t="str">
        <x:v>200117</x:v>
      </x:c>
      <x:c r="D2846" t="str">
        <x:v>Shri Krishna Medical College, Muzzafarpur, UMANAGAR MUZAFFARPUR</x:v>
      </x:c>
      <x:c r="E2846" t="str">
        <x:v>All India</x:v>
      </x:c>
      <x:c r="F2846" t="str">
        <x:v>ST</x:v>
      </x:c>
      <x:c r="G2846" t="n">
        <x:v>2</x:v>
      </x:c>
      <x:c r="H2846" t="n">
        <x:v>2</x:v>
      </x:c>
      <x:c r="I2846" t="n">
        <x:f>G2846-H2846</x:f>
        <x:v>0</x:v>
      </x:c>
      <x:c r="J2846" s="20" t="n">
        <x:f>IFERROR(H2846/G2846,0)</x:f>
        <x:v>1</x:v>
      </x:c>
      <x:c r="K2846" t="n">
        <x:v>86817</x:v>
      </x:c>
      <x:c r="L2846" t="n">
        <x:v>87638.5</x:v>
      </x:c>
      <x:c r="M2846" t="n">
        <x:v>88460</x:v>
      </x:c>
      <x:c r="N2846" t="n">
        <x:v>89281.5</x:v>
      </x:c>
      <x:c r="O2846" t="n">
        <x:v>90103</x:v>
      </x:c>
    </x:row>
    <x:row r="2847">
      <x:c r="A2847" t="str">
        <x:v>Himachal Pradesh</x:v>
      </x:c>
      <x:c r="B2847" t="str">
        <x:v>Employees State Insurance Scheme</x:v>
      </x:c>
      <x:c r="C2847" t="str">
        <x:v>200410</x:v>
      </x:c>
      <x:c r="D2847" t="str">
        <x:v>Shri Lal Bahadur Shastri Government Medical College, Mandi, HP, Mandi at Nerchowk PO Bhangrotu Tehsil Balh District Mandi</x:v>
      </x:c>
      <x:c r="E2847" t="str">
        <x:v>All India</x:v>
      </x:c>
      <x:c r="F2847" t="str">
        <x:v>EWS</x:v>
      </x:c>
      <x:c r="G2847" t="n">
        <x:v>2</x:v>
      </x:c>
      <x:c r="H2847" t="n">
        <x:v>2</x:v>
      </x:c>
      <x:c r="I2847" t="n">
        <x:f>G2847-H2847</x:f>
        <x:v>0</x:v>
      </x:c>
      <x:c r="J2847" s="20" t="n">
        <x:f>IFERROR(H2847/G2847,0)</x:f>
        <x:v>1</x:v>
      </x:c>
      <x:c r="K2847" t="n">
        <x:v>7819</x:v>
      </x:c>
      <x:c r="L2847" t="n">
        <x:v>7989</x:v>
      </x:c>
      <x:c r="M2847" t="n">
        <x:v>8159</x:v>
      </x:c>
      <x:c r="N2847" t="n">
        <x:v>8329</x:v>
      </x:c>
      <x:c r="O2847" t="n">
        <x:v>8499</x:v>
      </x:c>
    </x:row>
    <x:row r="2848">
      <x:c r="A2848" t="str">
        <x:v>Himachal Pradesh</x:v>
      </x:c>
      <x:c r="B2848" t="str">
        <x:v>Employees State Insurance Scheme</x:v>
      </x:c>
      <x:c r="C2848" t="str">
        <x:v>200410</x:v>
      </x:c>
      <x:c r="D2848" t="str">
        <x:v>Shri Lal Bahadur Shastri Government Medical College, Mandi, HP, Mandi at Nerchowk PO Bhangrotu Tehsil Balh District Mandi</x:v>
      </x:c>
      <x:c r="E2848" t="str">
        <x:v>All India</x:v>
      </x:c>
      <x:c r="F2848" t="str">
        <x:v>OBC</x:v>
      </x:c>
      <x:c r="G2848" t="n">
        <x:v>4</x:v>
      </x:c>
      <x:c r="H2848" t="n">
        <x:v>4</x:v>
      </x:c>
      <x:c r="I2848" t="n">
        <x:f>G2848-H2848</x:f>
        <x:v>0</x:v>
      </x:c>
      <x:c r="J2848" s="20" t="n">
        <x:f>IFERROR(H2848/G2848,0)</x:f>
        <x:v>1</x:v>
      </x:c>
      <x:c r="K2848" t="n">
        <x:v>6153</x:v>
      </x:c>
      <x:c r="L2848" t="n">
        <x:v>6843.75</x:v>
      </x:c>
      <x:c r="M2848" t="n">
        <x:v>7299</x:v>
      </x:c>
      <x:c r="N2848" t="n">
        <x:v>7581.25</x:v>
      </x:c>
      <x:c r="O2848" t="n">
        <x:v>7753</x:v>
      </x:c>
    </x:row>
    <x:row r="2849">
      <x:c r="A2849" t="str">
        <x:v>Himachal Pradesh</x:v>
      </x:c>
      <x:c r="B2849" t="str">
        <x:v>Employees State Insurance Scheme</x:v>
      </x:c>
      <x:c r="C2849" t="str">
        <x:v>200410</x:v>
      </x:c>
      <x:c r="D2849" t="str">
        <x:v>Shri Lal Bahadur Shastri Government Medical College, Mandi, HP, Mandi at Nerchowk PO Bhangrotu Tehsil Balh District Mandi</x:v>
      </x:c>
      <x:c r="E2849" t="str">
        <x:v>All India</x:v>
      </x:c>
      <x:c r="F2849" t="str">
        <x:v>Open</x:v>
      </x:c>
      <x:c r="G2849" t="n">
        <x:v>7</x:v>
      </x:c>
      <x:c r="H2849" t="n">
        <x:v>7</x:v>
      </x:c>
      <x:c r="I2849" t="n">
        <x:f>G2849-H2849</x:f>
        <x:v>0</x:v>
      </x:c>
      <x:c r="J2849" s="20" t="n">
        <x:f>IFERROR(H2849/G2849,0)</x:f>
        <x:v>1</x:v>
      </x:c>
      <x:c r="K2849" t="n">
        <x:v>4823</x:v>
      </x:c>
      <x:c r="L2849" t="n">
        <x:v>5061</x:v>
      </x:c>
      <x:c r="M2849" t="n">
        <x:v>5127</x:v>
      </x:c>
      <x:c r="N2849" t="n">
        <x:v>5300.5</x:v>
      </x:c>
      <x:c r="O2849" t="n">
        <x:v>5529</x:v>
      </x:c>
    </x:row>
    <x:row r="2850">
      <x:c r="A2850" t="str">
        <x:v>Himachal Pradesh</x:v>
      </x:c>
      <x:c r="B2850" t="str">
        <x:v>Employees State Insurance Scheme</x:v>
      </x:c>
      <x:c r="C2850" t="str">
        <x:v>200410</x:v>
      </x:c>
      <x:c r="D2850" t="str">
        <x:v>Shri Lal Bahadur Shastri Government Medical College, Mandi, HP, Mandi at Nerchowk PO Bhangrotu Tehsil Balh District Mandi</x:v>
      </x:c>
      <x:c r="E2850" t="str">
        <x:v>All India</x:v>
      </x:c>
      <x:c r="F2850" t="str">
        <x:v>SC</x:v>
      </x:c>
      <x:c r="G2850" t="n">
        <x:v>3</x:v>
      </x:c>
      <x:c r="H2850" t="n">
        <x:v>3</x:v>
      </x:c>
      <x:c r="I2850" t="n">
        <x:f>G2850-H2850</x:f>
        <x:v>0</x:v>
      </x:c>
      <x:c r="J2850" s="20" t="n">
        <x:f>IFERROR(H2850/G2850,0)</x:f>
        <x:v>1</x:v>
      </x:c>
      <x:c r="K2850" t="n">
        <x:v>32343</x:v>
      </x:c>
      <x:c r="L2850" t="n">
        <x:v>34844</x:v>
      </x:c>
      <x:c r="M2850" t="n">
        <x:v>37345</x:v>
      </x:c>
      <x:c r="N2850" t="n">
        <x:v>40309.5</x:v>
      </x:c>
      <x:c r="O2850" t="n">
        <x:v>43274</x:v>
      </x:c>
    </x:row>
    <x:row r="2851">
      <x:c r="A2851" t="str">
        <x:v>Himachal Pradesh</x:v>
      </x:c>
      <x:c r="B2851" t="str">
        <x:v>Employees State Insurance Scheme</x:v>
      </x:c>
      <x:c r="C2851" t="str">
        <x:v>200410</x:v>
      </x:c>
      <x:c r="D2851" t="str">
        <x:v>Shri Lal Bahadur Shastri Government Medical College, Mandi, HP, Mandi at Nerchowk PO Bhangrotu Tehsil Balh District Mandi</x:v>
      </x:c>
      <x:c r="E2851" t="str">
        <x:v>All India</x:v>
      </x:c>
      <x:c r="F2851" t="str">
        <x:v>ST</x:v>
      </x:c>
      <x:c r="G2851" t="n">
        <x:v>2</x:v>
      </x:c>
      <x:c r="H2851" t="n">
        <x:v>2</x:v>
      </x:c>
      <x:c r="I2851" t="n">
        <x:f>G2851-H2851</x:f>
        <x:v>0</x:v>
      </x:c>
      <x:c r="J2851" s="20" t="n">
        <x:f>IFERROR(H2851/G2851,0)</x:f>
        <x:v>1</x:v>
      </x:c>
      <x:c r="K2851" t="n">
        <x:v>48565</x:v>
      </x:c>
      <x:c r="L2851" t="n">
        <x:v>49547.5</x:v>
      </x:c>
      <x:c r="M2851" t="n">
        <x:v>50530</x:v>
      </x:c>
      <x:c r="N2851" t="n">
        <x:v>51512.5</x:v>
      </x:c>
      <x:c r="O2851" t="n">
        <x:v>52495</x:v>
      </x:c>
    </x:row>
    <x:row r="2852">
      <x:c r="A2852" t="str">
        <x:v>Himachal Pradesh</x:v>
      </x:c>
      <x:c r="B2852" t="str">
        <x:v>Employees State Insurance Scheme</x:v>
      </x:c>
      <x:c r="C2852" t="str">
        <x:v>200410</x:v>
      </x:c>
      <x:c r="D2852" t="str">
        <x:v>Shri Lal Bahadur Shastri Government Medical College, Mandi, HP, Mandi at Nerchowk PO Bhangrotu Tehsil Balh District Mandi</x:v>
      </x:c>
      <x:c r="E2852" t="str">
        <x:v>ESI</x:v>
      </x:c>
      <x:c r="F2852" t="str">
        <x:v>EWS</x:v>
      </x:c>
      <x:c r="G2852" t="n">
        <x:v>4</x:v>
      </x:c>
      <x:c r="H2852" t="n">
        <x:v>4</x:v>
      </x:c>
      <x:c r="I2852" t="n">
        <x:f>G2852-H2852</x:f>
        <x:v>0</x:v>
      </x:c>
      <x:c r="J2852" s="20" t="n">
        <x:f>IFERROR(H2852/G2852,0)</x:f>
        <x:v>1</x:v>
      </x:c>
      <x:c r="K2852" t="n">
        <x:v>21749</x:v>
      </x:c>
      <x:c r="L2852" t="n">
        <x:v>22410.5</x:v>
      </x:c>
      <x:c r="M2852" t="n">
        <x:v>23421</x:v>
      </x:c>
      <x:c r="N2852" t="n">
        <x:v>24814.75</x:v>
      </x:c>
      <x:c r="O2852" t="n">
        <x:v>26626</x:v>
      </x:c>
    </x:row>
    <x:row r="2853">
      <x:c r="A2853" t="str">
        <x:v>Himachal Pradesh</x:v>
      </x:c>
      <x:c r="B2853" t="str">
        <x:v>Employees State Insurance Scheme</x:v>
      </x:c>
      <x:c r="C2853" t="str">
        <x:v>200410</x:v>
      </x:c>
      <x:c r="D2853" t="str">
        <x:v>Shri Lal Bahadur Shastri Government Medical College, Mandi, HP, Mandi at Nerchowk PO Bhangrotu Tehsil Balh District Mandi</x:v>
      </x:c>
      <x:c r="E2853" t="str">
        <x:v>ESI</x:v>
      </x:c>
      <x:c r="F2853" t="str">
        <x:v>OBC</x:v>
      </x:c>
      <x:c r="G2853" t="n">
        <x:v>10</x:v>
      </x:c>
      <x:c r="H2853" t="n">
        <x:v>10</x:v>
      </x:c>
      <x:c r="I2853" t="n">
        <x:f>G2853-H2853</x:f>
        <x:v>0</x:v>
      </x:c>
      <x:c r="J2853" s="20" t="n">
        <x:f>IFERROR(H2853/G2853,0)</x:f>
        <x:v>1</x:v>
      </x:c>
      <x:c r="K2853" t="n">
        <x:v>21280</x:v>
      </x:c>
      <x:c r="L2853" t="n">
        <x:v>22811.5</x:v>
      </x:c>
      <x:c r="M2853" t="n">
        <x:v>22924.5</x:v>
      </x:c>
      <x:c r="N2853" t="n">
        <x:v>23224.25</x:v>
      </x:c>
      <x:c r="O2853" t="n">
        <x:v>24399</x:v>
      </x:c>
    </x:row>
    <x:row r="2854">
      <x:c r="A2854" t="str">
        <x:v>Himachal Pradesh</x:v>
      </x:c>
      <x:c r="B2854" t="str">
        <x:v>Employees State Insurance Scheme</x:v>
      </x:c>
      <x:c r="C2854" t="str">
        <x:v>200410</x:v>
      </x:c>
      <x:c r="D2854" t="str">
        <x:v>Shri Lal Bahadur Shastri Government Medical College, Mandi, HP, Mandi at Nerchowk PO Bhangrotu Tehsil Balh District Mandi</x:v>
      </x:c>
      <x:c r="E2854" t="str">
        <x:v>ESI</x:v>
      </x:c>
      <x:c r="F2854" t="str">
        <x:v>Open</x:v>
      </x:c>
      <x:c r="G2854" t="n">
        <x:v>14</x:v>
      </x:c>
      <x:c r="H2854" t="n">
        <x:v>14</x:v>
      </x:c>
      <x:c r="I2854" t="n">
        <x:f>G2854-H2854</x:f>
        <x:v>0</x:v>
      </x:c>
      <x:c r="J2854" s="20" t="n">
        <x:f>IFERROR(H2854/G2854,0)</x:f>
        <x:v>1</x:v>
      </x:c>
      <x:c r="K2854" t="n">
        <x:v>7607</x:v>
      </x:c>
      <x:c r="L2854" t="n">
        <x:v>18211.25</x:v>
      </x:c>
      <x:c r="M2854" t="n">
        <x:v>19385</x:v>
      </x:c>
      <x:c r="N2854" t="n">
        <x:v>20059.5</x:v>
      </x:c>
      <x:c r="O2854" t="n">
        <x:v>21115</x:v>
      </x:c>
    </x:row>
    <x:row r="2855">
      <x:c r="A2855" t="str">
        <x:v>Himachal Pradesh</x:v>
      </x:c>
      <x:c r="B2855" t="str">
        <x:v>Employees State Insurance Scheme</x:v>
      </x:c>
      <x:c r="C2855" t="str">
        <x:v>200410</x:v>
      </x:c>
      <x:c r="D2855" t="str">
        <x:v>Shri Lal Bahadur Shastri Government Medical College, Mandi, HP, Mandi at Nerchowk PO Bhangrotu Tehsil Balh District Mandi</x:v>
      </x:c>
      <x:c r="E2855" t="str">
        <x:v>ESI</x:v>
      </x:c>
      <x:c r="F2855" t="str">
        <x:v>SC</x:v>
      </x:c>
      <x:c r="G2855" t="n">
        <x:v>5</x:v>
      </x:c>
      <x:c r="H2855" t="n">
        <x:v>5</x:v>
      </x:c>
      <x:c r="I2855" t="n">
        <x:f>G2855-H2855</x:f>
        <x:v>0</x:v>
      </x:c>
      <x:c r="J2855" s="20" t="n">
        <x:f>IFERROR(H2855/G2855,0)</x:f>
        <x:v>1</x:v>
      </x:c>
      <x:c r="K2855" t="n">
        <x:v>103195</x:v>
      </x:c>
      <x:c r="L2855" t="n">
        <x:v>139775</x:v>
      </x:c>
      <x:c r="M2855" t="n">
        <x:v>146763</x:v>
      </x:c>
      <x:c r="N2855" t="n">
        <x:v>151051</x:v>
      </x:c>
      <x:c r="O2855" t="n">
        <x:v>153345</x:v>
      </x:c>
    </x:row>
    <x:row r="2856">
      <x:c r="A2856" t="str">
        <x:v>Himachal Pradesh</x:v>
      </x:c>
      <x:c r="B2856" t="str">
        <x:v>Employees State Insurance Scheme</x:v>
      </x:c>
      <x:c r="C2856" t="str">
        <x:v>200410</x:v>
      </x:c>
      <x:c r="D2856" t="str">
        <x:v>Shri Lal Bahadur Shastri Government Medical College, Mandi, HP, Mandi at Nerchowk PO Bhangrotu Tehsil Balh District Mandi</x:v>
      </x:c>
      <x:c r="E2856" t="str">
        <x:v>ESI</x:v>
      </x:c>
      <x:c r="F2856" t="str">
        <x:v>ST</x:v>
      </x:c>
      <x:c r="G2856" t="n">
        <x:v>3</x:v>
      </x:c>
      <x:c r="H2856" t="n">
        <x:v>3</x:v>
      </x:c>
      <x:c r="I2856" t="n">
        <x:f>G2856-H2856</x:f>
        <x:v>0</x:v>
      </x:c>
      <x:c r="J2856" s="20" t="n">
        <x:f>IFERROR(H2856/G2856,0)</x:f>
        <x:v>1</x:v>
      </x:c>
      <x:c r="K2856" t="n">
        <x:v>181341</x:v>
      </x:c>
      <x:c r="L2856" t="n">
        <x:v>186468.5</x:v>
      </x:c>
      <x:c r="M2856" t="n">
        <x:v>191596</x:v>
      </x:c>
      <x:c r="N2856" t="n">
        <x:v>195972.5</x:v>
      </x:c>
      <x:c r="O2856" t="n">
        <x:v>200349</x:v>
      </x:c>
    </x:row>
    <x:row r="2857">
      <x:c r="A2857" t="str">
        <x:v>Tamil Nadu</x:v>
      </x:c>
      <x:c r="B2857" t="str">
        <x:v>Deemed University</x:v>
      </x:c>
      <x:c r="C2857" t="str">
        <x:v>200390</x:v>
      </x:c>
      <x:c r="D2857" t="str">
        <x:v>Shri Sathya Sai Medical College and Research Institute, Kancheepuram, SBV Chennai Campus, Shri Sathya Sai Nagar, Ammapettai, Chennai</x:v>
      </x:c>
      <x:c r="E2857" t="str">
        <x:v>NRI</x:v>
      </x:c>
      <x:c r="F2857" t="str">
        <x:v>Open</x:v>
      </x:c>
      <x:c r="G2857" t="n">
        <x:v>10</x:v>
      </x:c>
      <x:c r="H2857" t="n">
        <x:v>0</x:v>
      </x:c>
      <x:c r="I2857" t="n">
        <x:f>G2857-H2857</x:f>
        <x:v>10</x:v>
      </x:c>
      <x:c r="J2857" s="20" t="n">
        <x:f>IFERROR(H2857/G2857,0)</x:f>
        <x:v>0</x:v>
      </x:c>
      <x:c r="K2857"/>
      <x:c r="L2857"/>
      <x:c r="M2857"/>
      <x:c r="N2857"/>
      <x:c r="O2857"/>
    </x:row>
    <x:row r="2858">
      <x:c r="A2858" t="str">
        <x:v>Tamil Nadu</x:v>
      </x:c>
      <x:c r="B2858" t="str">
        <x:v>Deemed University</x:v>
      </x:c>
      <x:c r="C2858" t="str">
        <x:v>200390</x:v>
      </x:c>
      <x:c r="D2858" t="str">
        <x:v>Shri Sathya Sai Medical College and Research Institute, Kancheepuram, SBV Chennai Campus, Shri Sathya Sai Nagar, Ammapettai, Chennai</x:v>
      </x:c>
      <x:c r="E2858" t="str">
        <x:v>Self-Financed Merit</x:v>
      </x:c>
      <x:c r="F2858" t="str">
        <x:v>Open</x:v>
      </x:c>
      <x:c r="G2858" t="n">
        <x:v>240</x:v>
      </x:c>
      <x:c r="H2858" t="n">
        <x:v>237</x:v>
      </x:c>
      <x:c r="I2858" t="n">
        <x:f>G2858-H2858</x:f>
        <x:v>3</x:v>
      </x:c>
      <x:c r="J2858" s="20" t="n">
        <x:f>IFERROR(H2858/G2858,0)</x:f>
        <x:v>0.9875</x:v>
      </x:c>
      <x:c r="K2858" t="n">
        <x:v>327979</x:v>
      </x:c>
      <x:c r="L2858" t="n">
        <x:v>914727</x:v>
      </x:c>
      <x:c r="M2858" t="n">
        <x:v>1038620</x:v>
      </x:c>
      <x:c r="N2858" t="n">
        <x:v>1124624</x:v>
      </x:c>
      <x:c r="O2858" t="n">
        <x:v>1194233</x:v>
      </x:c>
    </x:row>
    <x:row r="2859">
      <x:c r="A2859" t="str">
        <x:v>Maharashtra</x:v>
      </x:c>
      <x:c r="B2859" t="str">
        <x:v>All India except Central University</x:v>
      </x:c>
      <x:c r="C2859" t="str">
        <x:v>200227</x:v>
      </x:c>
      <x:c r="D2859" t="str">
        <x:v>Shri Vasant Rao Naik Govt. Medical College, Yavatmal, CIVIL LINES YAVATMAL</x:v>
      </x:c>
      <x:c r="E2859" t="str">
        <x:v>All India</x:v>
      </x:c>
      <x:c r="F2859" t="str">
        <x:v>EWS</x:v>
      </x:c>
      <x:c r="G2859" t="n">
        <x:v>2</x:v>
      </x:c>
      <x:c r="H2859" t="n">
        <x:v>2</x:v>
      </x:c>
      <x:c r="I2859" t="n">
        <x:f>G2859-H2859</x:f>
        <x:v>0</x:v>
      </x:c>
      <x:c r="J2859" s="20" t="n">
        <x:f>IFERROR(H2859/G2859,0)</x:f>
        <x:v>1</x:v>
      </x:c>
      <x:c r="K2859" t="n">
        <x:v>18534</x:v>
      </x:c>
      <x:c r="L2859" t="n">
        <x:v>18660.25</x:v>
      </x:c>
      <x:c r="M2859" t="n">
        <x:v>18786.5</x:v>
      </x:c>
      <x:c r="N2859" t="n">
        <x:v>18912.75</x:v>
      </x:c>
      <x:c r="O2859" t="n">
        <x:v>19039</x:v>
      </x:c>
    </x:row>
    <x:row r="2860">
      <x:c r="A2860" t="str">
        <x:v>Maharashtra</x:v>
      </x:c>
      <x:c r="B2860" t="str">
        <x:v>All India except Central University</x:v>
      </x:c>
      <x:c r="C2860" t="str">
        <x:v>200227</x:v>
      </x:c>
      <x:c r="D2860" t="str">
        <x:v>Shri Vasant Rao Naik Govt. Medical College, Yavatmal, CIVIL LINES YAVATMAL</x:v>
      </x:c>
      <x:c r="E2860" t="str">
        <x:v>All India</x:v>
      </x:c>
      <x:c r="F2860" t="str">
        <x:v>OBC</x:v>
      </x:c>
      <x:c r="G2860" t="n">
        <x:v>8</x:v>
      </x:c>
      <x:c r="H2860" t="n">
        <x:v>8</x:v>
      </x:c>
      <x:c r="I2860" t="n">
        <x:f>G2860-H2860</x:f>
        <x:v>0</x:v>
      </x:c>
      <x:c r="J2860" s="20" t="n">
        <x:f>IFERROR(H2860/G2860,0)</x:f>
        <x:v>1</x:v>
      </x:c>
      <x:c r="K2860" t="n">
        <x:v>15691</x:v>
      </x:c>
      <x:c r="L2860" t="n">
        <x:v>15815</x:v>
      </x:c>
      <x:c r="M2860" t="n">
        <x:v>15994.5</x:v>
      </x:c>
      <x:c r="N2860" t="n">
        <x:v>16054</x:v>
      </x:c>
      <x:c r="O2860" t="n">
        <x:v>16109</x:v>
      </x:c>
    </x:row>
    <x:row r="2861">
      <x:c r="A2861" t="str">
        <x:v>Maharashtra</x:v>
      </x:c>
      <x:c r="B2861" t="str">
        <x:v>All India except Central University</x:v>
      </x:c>
      <x:c r="C2861" t="str">
        <x:v>200227</x:v>
      </x:c>
      <x:c r="D2861" t="str">
        <x:v>Shri Vasant Rao Naik Govt. Medical College, Yavatmal, CIVIL LINES YAVATMAL</x:v>
      </x:c>
      <x:c r="E2861" t="str">
        <x:v>All India</x:v>
      </x:c>
      <x:c r="F2861" t="str">
        <x:v>Open</x:v>
      </x:c>
      <x:c r="G2861" t="n">
        <x:v>13</x:v>
      </x:c>
      <x:c r="H2861" t="n">
        <x:v>13</x:v>
      </x:c>
      <x:c r="I2861" t="n">
        <x:f>G2861-H2861</x:f>
        <x:v>0</x:v>
      </x:c>
      <x:c r="J2861" s="20" t="n">
        <x:f>IFERROR(H2861/G2861,0)</x:f>
        <x:v>1</x:v>
      </x:c>
      <x:c r="K2861" t="n">
        <x:v>9350</x:v>
      </x:c>
      <x:c r="L2861" t="n">
        <x:v>13687</x:v>
      </x:c>
      <x:c r="M2861" t="n">
        <x:v>14492</x:v>
      </x:c>
      <x:c r="N2861" t="n">
        <x:v>15009</x:v>
      </x:c>
      <x:c r="O2861" t="n">
        <x:v>15570</x:v>
      </x:c>
    </x:row>
    <x:row r="2862">
      <x:c r="A2862" t="str">
        <x:v>Maharashtra</x:v>
      </x:c>
      <x:c r="B2862" t="str">
        <x:v>All India except Central University</x:v>
      </x:c>
      <x:c r="C2862" t="str">
        <x:v>200227</x:v>
      </x:c>
      <x:c r="D2862" t="str">
        <x:v>Shri Vasant Rao Naik Govt. Medical College, Yavatmal, CIVIL LINES YAVATMAL</x:v>
      </x:c>
      <x:c r="E2862" t="str">
        <x:v>All India</x:v>
      </x:c>
      <x:c r="F2862" t="str">
        <x:v>SC</x:v>
      </x:c>
      <x:c r="G2862" t="n">
        <x:v>5</x:v>
      </x:c>
      <x:c r="H2862" t="n">
        <x:v>5</x:v>
      </x:c>
      <x:c r="I2862" t="n">
        <x:f>G2862-H2862</x:f>
        <x:v>0</x:v>
      </x:c>
      <x:c r="J2862" s="20" t="n">
        <x:f>IFERROR(H2862/G2862,0)</x:f>
        <x:v>1</x:v>
      </x:c>
      <x:c r="K2862" t="n">
        <x:v>70368</x:v>
      </x:c>
      <x:c r="L2862" t="n">
        <x:v>78487</x:v>
      </x:c>
      <x:c r="M2862" t="n">
        <x:v>78640</x:v>
      </x:c>
      <x:c r="N2862" t="n">
        <x:v>79392</x:v>
      </x:c>
      <x:c r="O2862" t="n">
        <x:v>81130</x:v>
      </x:c>
    </x:row>
    <x:row r="2863">
      <x:c r="A2863" t="str">
        <x:v>Maharashtra</x:v>
      </x:c>
      <x:c r="B2863" t="str">
        <x:v>All India except Central University</x:v>
      </x:c>
      <x:c r="C2863" t="str">
        <x:v>200227</x:v>
      </x:c>
      <x:c r="D2863" t="str">
        <x:v>Shri Vasant Rao Naik Govt. Medical College, Yavatmal, CIVIL LINES YAVATMAL</x:v>
      </x:c>
      <x:c r="E2863" t="str">
        <x:v>All India</x:v>
      </x:c>
      <x:c r="F2863" t="str">
        <x:v>ST</x:v>
      </x:c>
      <x:c r="G2863" t="n">
        <x:v>2</x:v>
      </x:c>
      <x:c r="H2863" t="n">
        <x:v>2</x:v>
      </x:c>
      <x:c r="I2863" t="n">
        <x:f>G2863-H2863</x:f>
        <x:v>0</x:v>
      </x:c>
      <x:c r="J2863" s="20" t="n">
        <x:f>IFERROR(H2863/G2863,0)</x:f>
        <x:v>1</x:v>
      </x:c>
      <x:c r="K2863" t="n">
        <x:v>101354</x:v>
      </x:c>
      <x:c r="L2863" t="n">
        <x:v>103228.75</x:v>
      </x:c>
      <x:c r="M2863" t="n">
        <x:v>105103.5</x:v>
      </x:c>
      <x:c r="N2863" t="n">
        <x:v>106978.25</x:v>
      </x:c>
      <x:c r="O2863" t="n">
        <x:v>108853</x:v>
      </x:c>
    </x:row>
    <x:row r="2864">
      <x:c r="A2864" t="str">
        <x:v>Chhattisgarh</x:v>
      </x:c>
      <x:c r="B2864" t="str">
        <x:v>All India except Central University</x:v>
      </x:c>
      <x:c r="C2864" t="str">
        <x:v>200577</x:v>
      </x:c>
      <x:c r="D2864" t="str">
        <x:v>Shrimati Indira Gandhi Memorial Govt. Medical College, Kanker, Chattisgarh (previously Government Medical College, Kanker), Late Smt. Indira Gandhi Memorial Government Medical College, Kanker, Chhattisgarh</x:v>
      </x:c>
      <x:c r="E2864" t="str">
        <x:v>All India</x:v>
      </x:c>
      <x:c r="F2864" t="str">
        <x:v>EWS</x:v>
      </x:c>
      <x:c r="G2864" t="n">
        <x:v>2</x:v>
      </x:c>
      <x:c r="H2864" t="n">
        <x:v>2</x:v>
      </x:c>
      <x:c r="I2864" t="n">
        <x:f>G2864-H2864</x:f>
        <x:v>0</x:v>
      </x:c>
      <x:c r="J2864" s="20" t="n">
        <x:f>IFERROR(H2864/G2864,0)</x:f>
        <x:v>1</x:v>
      </x:c>
      <x:c r="K2864" t="n">
        <x:v>21457</x:v>
      </x:c>
      <x:c r="L2864" t="n">
        <x:v>22047.25</x:v>
      </x:c>
      <x:c r="M2864" t="n">
        <x:v>22637.5</x:v>
      </x:c>
      <x:c r="N2864" t="n">
        <x:v>23227.75</x:v>
      </x:c>
      <x:c r="O2864" t="n">
        <x:v>23818</x:v>
      </x:c>
    </x:row>
    <x:row r="2865">
      <x:c r="A2865" t="str">
        <x:v>Chhattisgarh</x:v>
      </x:c>
      <x:c r="B2865" t="str">
        <x:v>All India except Central University</x:v>
      </x:c>
      <x:c r="C2865" t="str">
        <x:v>200577</x:v>
      </x:c>
      <x:c r="D2865" t="str">
        <x:v>Shrimati Indira Gandhi Memorial Govt. Medical College, Kanker, Chattisgarh (previously Government Medical College, Kanker), Late Smt. Indira Gandhi Memorial Government Medical College, Kanker, Chhattisgarh</x:v>
      </x:c>
      <x:c r="E2865" t="str">
        <x:v>All India</x:v>
      </x:c>
      <x:c r="F2865" t="str">
        <x:v>OBC</x:v>
      </x:c>
      <x:c r="G2865" t="n">
        <x:v>5</x:v>
      </x:c>
      <x:c r="H2865" t="n">
        <x:v>5</x:v>
      </x:c>
      <x:c r="I2865" t="n">
        <x:f>G2865-H2865</x:f>
        <x:v>0</x:v>
      </x:c>
      <x:c r="J2865" s="20" t="n">
        <x:f>IFERROR(H2865/G2865,0)</x:f>
        <x:v>1</x:v>
      </x:c>
      <x:c r="K2865" t="n">
        <x:v>18887</x:v>
      </x:c>
      <x:c r="L2865" t="n">
        <x:v>18971</x:v>
      </x:c>
      <x:c r="M2865" t="n">
        <x:v>19047</x:v>
      </x:c>
      <x:c r="N2865" t="n">
        <x:v>19137</x:v>
      </x:c>
      <x:c r="O2865" t="n">
        <x:v>19891</x:v>
      </x:c>
    </x:row>
    <x:row r="2866">
      <x:c r="A2866" t="str">
        <x:v>Chhattisgarh</x:v>
      </x:c>
      <x:c r="B2866" t="str">
        <x:v>All India except Central University</x:v>
      </x:c>
      <x:c r="C2866" t="str">
        <x:v>200577</x:v>
      </x:c>
      <x:c r="D2866" t="str">
        <x:v>Shrimati Indira Gandhi Memorial Govt. Medical College, Kanker, Chattisgarh (previously Government Medical College, Kanker), Late Smt. Indira Gandhi Memorial Government Medical College, Kanker, Chhattisgarh</x:v>
      </x:c>
      <x:c r="E2866" t="str">
        <x:v>All India</x:v>
      </x:c>
      <x:c r="F2866" t="str">
        <x:v>Open</x:v>
      </x:c>
      <x:c r="G2866" t="n">
        <x:v>5</x:v>
      </x:c>
      <x:c r="H2866" t="n">
        <x:v>5</x:v>
      </x:c>
      <x:c r="I2866" t="n">
        <x:f>G2866-H2866</x:f>
        <x:v>0</x:v>
      </x:c>
      <x:c r="J2866" s="20" t="n">
        <x:f>IFERROR(H2866/G2866,0)</x:f>
        <x:v>1</x:v>
      </x:c>
      <x:c r="K2866" t="n">
        <x:v>13663</x:v>
      </x:c>
      <x:c r="L2866" t="n">
        <x:v>13862</x:v>
      </x:c>
      <x:c r="M2866" t="n">
        <x:v>14757</x:v>
      </x:c>
      <x:c r="N2866" t="n">
        <x:v>16355</x:v>
      </x:c>
      <x:c r="O2866" t="n">
        <x:v>17440</x:v>
      </x:c>
    </x:row>
    <x:row r="2867">
      <x:c r="A2867" t="str">
        <x:v>Chhattisgarh</x:v>
      </x:c>
      <x:c r="B2867" t="str">
        <x:v>All India except Central University</x:v>
      </x:c>
      <x:c r="C2867" t="str">
        <x:v>200577</x:v>
      </x:c>
      <x:c r="D2867" t="str">
        <x:v>Shrimati Indira Gandhi Memorial Govt. Medical College, Kanker, Chattisgarh (previously Government Medical College, Kanker), Late Smt. Indira Gandhi Memorial Government Medical College, Kanker, Chhattisgarh</x:v>
      </x:c>
      <x:c r="E2867" t="str">
        <x:v>All India</x:v>
      </x:c>
      <x:c r="F2867" t="str">
        <x:v>Open PwD</x:v>
      </x:c>
      <x:c r="G2867" t="n">
        <x:v>1</x:v>
      </x:c>
      <x:c r="H2867" t="n">
        <x:v>1</x:v>
      </x:c>
      <x:c r="I2867" t="n">
        <x:f>G2867-H2867</x:f>
        <x:v>0</x:v>
      </x:c>
      <x:c r="J2867" s="20" t="n">
        <x:f>IFERROR(H2867/G2867,0)</x:f>
        <x:v>1</x:v>
      </x:c>
      <x:c r="K2867" t="n">
        <x:v>658865</x:v>
      </x:c>
      <x:c r="L2867" t="n">
        <x:v>658865</x:v>
      </x:c>
      <x:c r="M2867" t="n">
        <x:v>658865</x:v>
      </x:c>
      <x:c r="N2867" t="n">
        <x:v>658865</x:v>
      </x:c>
      <x:c r="O2867" t="n">
        <x:v>658865</x:v>
      </x:c>
    </x:row>
    <x:row r="2868">
      <x:c r="A2868" t="str">
        <x:v>Chhattisgarh</x:v>
      </x:c>
      <x:c r="B2868" t="str">
        <x:v>All India except Central University</x:v>
      </x:c>
      <x:c r="C2868" t="str">
        <x:v>200577</x:v>
      </x:c>
      <x:c r="D2868" t="str">
        <x:v>Shrimati Indira Gandhi Memorial Govt. Medical College, Kanker, Chattisgarh (previously Government Medical College, Kanker), Late Smt. Indira Gandhi Memorial Government Medical College, Kanker, Chhattisgarh</x:v>
      </x:c>
      <x:c r="E2868" t="str">
        <x:v>All India</x:v>
      </x:c>
      <x:c r="F2868" t="str">
        <x:v>SC</x:v>
      </x:c>
      <x:c r="G2868" t="n">
        <x:v>3</x:v>
      </x:c>
      <x:c r="H2868" t="n">
        <x:v>3</x:v>
      </x:c>
      <x:c r="I2868" t="n">
        <x:f>G2868-H2868</x:f>
        <x:v>0</x:v>
      </x:c>
      <x:c r="J2868" s="20" t="n">
        <x:f>IFERROR(H2868/G2868,0)</x:f>
        <x:v>1</x:v>
      </x:c>
      <x:c r="K2868" t="n">
        <x:v>76384</x:v>
      </x:c>
      <x:c r="L2868" t="n">
        <x:v>85206</x:v>
      </x:c>
      <x:c r="M2868" t="n">
        <x:v>94028</x:v>
      </x:c>
      <x:c r="N2868" t="n">
        <x:v>95501.5</x:v>
      </x:c>
      <x:c r="O2868" t="n">
        <x:v>96975</x:v>
      </x:c>
    </x:row>
    <x:row r="2869">
      <x:c r="A2869" t="str">
        <x:v>Chhattisgarh</x:v>
      </x:c>
      <x:c r="B2869" t="str">
        <x:v>All India except Central University</x:v>
      </x:c>
      <x:c r="C2869" t="str">
        <x:v>200577</x:v>
      </x:c>
      <x:c r="D2869" t="str">
        <x:v>Shrimati Indira Gandhi Memorial Govt. Medical College, Kanker, Chattisgarh (previously Government Medical College, Kanker), Late Smt. Indira Gandhi Memorial Government Medical College, Kanker, Chhattisgarh</x:v>
      </x:c>
      <x:c r="E2869" t="str">
        <x:v>All India</x:v>
      </x:c>
      <x:c r="F2869" t="str">
        <x:v>ST</x:v>
      </x:c>
      <x:c r="G2869" t="n">
        <x:v>2</x:v>
      </x:c>
      <x:c r="H2869" t="n">
        <x:v>2</x:v>
      </x:c>
      <x:c r="I2869" t="n">
        <x:f>G2869-H2869</x:f>
        <x:v>0</x:v>
      </x:c>
      <x:c r="J2869" s="20" t="n">
        <x:f>IFERROR(H2869/G2869,0)</x:f>
        <x:v>1</x:v>
      </x:c>
      <x:c r="K2869" t="n">
        <x:v>114214</x:v>
      </x:c>
      <x:c r="L2869" t="n">
        <x:v>115010.25</x:v>
      </x:c>
      <x:c r="M2869" t="n">
        <x:v>115806.5</x:v>
      </x:c>
      <x:c r="N2869" t="n">
        <x:v>116602.75</x:v>
      </x:c>
      <x:c r="O2869" t="n">
        <x:v>117399</x:v>
      </x:c>
    </x:row>
    <x:row r="2870">
      <x:c r="A2870" t="str">
        <x:v>Madhya Pradesh</x:v>
      </x:c>
      <x:c r="B2870" t="str">
        <x:v>All India except Central University</x:v>
      </x:c>
      <x:c r="C2870" t="str">
        <x:v>200204</x:v>
      </x:c>
      <x:c r="D2870" t="str">
        <x:v>Shyam Shah Medical College, Rewa, NEAR DHOBIYA TANKI, JAIL ROAD, REWA</x:v>
      </x:c>
      <x:c r="E2870" t="str">
        <x:v>All India</x:v>
      </x:c>
      <x:c r="F2870" t="str">
        <x:v>EWS</x:v>
      </x:c>
      <x:c r="G2870" t="n">
        <x:v>2</x:v>
      </x:c>
      <x:c r="H2870" t="n">
        <x:v>2</x:v>
      </x:c>
      <x:c r="I2870" t="n">
        <x:f>G2870-H2870</x:f>
        <x:v>0</x:v>
      </x:c>
      <x:c r="J2870" s="20" t="n">
        <x:f>IFERROR(H2870/G2870,0)</x:f>
        <x:v>1</x:v>
      </x:c>
      <x:c r="K2870" t="n">
        <x:v>9776</x:v>
      </x:c>
      <x:c r="L2870" t="n">
        <x:v>10027.75</x:v>
      </x:c>
      <x:c r="M2870" t="n">
        <x:v>10279.5</x:v>
      </x:c>
      <x:c r="N2870" t="n">
        <x:v>10531.25</x:v>
      </x:c>
      <x:c r="O2870" t="n">
        <x:v>10783</x:v>
      </x:c>
    </x:row>
    <x:row r="2871">
      <x:c r="A2871" t="str">
        <x:v>Madhya Pradesh</x:v>
      </x:c>
      <x:c r="B2871" t="str">
        <x:v>All India except Central University</x:v>
      </x:c>
      <x:c r="C2871" t="str">
        <x:v>200204</x:v>
      </x:c>
      <x:c r="D2871" t="str">
        <x:v>Shyam Shah Medical College, Rewa, NEAR DHOBIYA TANKI, JAIL ROAD, REWA</x:v>
      </x:c>
      <x:c r="E2871" t="str">
        <x:v>All India</x:v>
      </x:c>
      <x:c r="F2871" t="str">
        <x:v>OBC</x:v>
      </x:c>
      <x:c r="G2871" t="n">
        <x:v>8</x:v>
      </x:c>
      <x:c r="H2871" t="n">
        <x:v>8</x:v>
      </x:c>
      <x:c r="I2871" t="n">
        <x:f>G2871-H2871</x:f>
        <x:v>0</x:v>
      </x:c>
      <x:c r="J2871" s="20" t="n">
        <x:f>IFERROR(H2871/G2871,0)</x:f>
        <x:v>1</x:v>
      </x:c>
      <x:c r="K2871" t="n">
        <x:v>9333</x:v>
      </x:c>
      <x:c r="L2871" t="n">
        <x:v>9643</x:v>
      </x:c>
      <x:c r="M2871" t="n">
        <x:v>9992.5</x:v>
      </x:c>
      <x:c r="N2871" t="n">
        <x:v>10171</x:v>
      </x:c>
      <x:c r="O2871" t="n">
        <x:v>10525</x:v>
      </x:c>
    </x:row>
    <x:row r="2872">
      <x:c r="A2872" t="str">
        <x:v>Madhya Pradesh</x:v>
      </x:c>
      <x:c r="B2872" t="str">
        <x:v>All India except Central University</x:v>
      </x:c>
      <x:c r="C2872" t="str">
        <x:v>200204</x:v>
      </x:c>
      <x:c r="D2872" t="str">
        <x:v>Shyam Shah Medical College, Rewa, NEAR DHOBIYA TANKI, JAIL ROAD, REWA</x:v>
      </x:c>
      <x:c r="E2872" t="str">
        <x:v>All India</x:v>
      </x:c>
      <x:c r="F2872" t="str">
        <x:v>Open</x:v>
      </x:c>
      <x:c r="G2872" t="n">
        <x:v>13</x:v>
      </x:c>
      <x:c r="H2872" t="n">
        <x:v>13</x:v>
      </x:c>
      <x:c r="I2872" t="n">
        <x:f>G2872-H2872</x:f>
        <x:v>0</x:v>
      </x:c>
      <x:c r="J2872" s="20" t="n">
        <x:f>IFERROR(H2872/G2872,0)</x:f>
        <x:v>1</x:v>
      </x:c>
      <x:c r="K2872" t="n">
        <x:v>7521</x:v>
      </x:c>
      <x:c r="L2872" t="n">
        <x:v>8095</x:v>
      </x:c>
      <x:c r="M2872" t="n">
        <x:v>8492</x:v>
      </x:c>
      <x:c r="N2872" t="n">
        <x:v>8731</x:v>
      </x:c>
      <x:c r="O2872" t="n">
        <x:v>8863</x:v>
      </x:c>
    </x:row>
    <x:row r="2873">
      <x:c r="A2873" t="str">
        <x:v>Madhya Pradesh</x:v>
      </x:c>
      <x:c r="B2873" t="str">
        <x:v>All India except Central University</x:v>
      </x:c>
      <x:c r="C2873" t="str">
        <x:v>200204</x:v>
      </x:c>
      <x:c r="D2873" t="str">
        <x:v>Shyam Shah Medical College, Rewa, NEAR DHOBIYA TANKI, JAIL ROAD, REWA</x:v>
      </x:c>
      <x:c r="E2873" t="str">
        <x:v>All India</x:v>
      </x:c>
      <x:c r="F2873" t="str">
        <x:v>SC</x:v>
      </x:c>
      <x:c r="G2873" t="n">
        <x:v>5</x:v>
      </x:c>
      <x:c r="H2873" t="n">
        <x:v>5</x:v>
      </x:c>
      <x:c r="I2873" t="n">
        <x:f>G2873-H2873</x:f>
        <x:v>0</x:v>
      </x:c>
      <x:c r="J2873" s="20" t="n">
        <x:f>IFERROR(H2873/G2873,0)</x:f>
        <x:v>1</x:v>
      </x:c>
      <x:c r="K2873" t="n">
        <x:v>51934</x:v>
      </x:c>
      <x:c r="L2873" t="n">
        <x:v>56035</x:v>
      </x:c>
      <x:c r="M2873" t="n">
        <x:v>57752</x:v>
      </x:c>
      <x:c r="N2873" t="n">
        <x:v>61663</x:v>
      </x:c>
      <x:c r="O2873" t="n">
        <x:v>63320</x:v>
      </x:c>
    </x:row>
    <x:row r="2874">
      <x:c r="A2874" t="str">
        <x:v>Madhya Pradesh</x:v>
      </x:c>
      <x:c r="B2874" t="str">
        <x:v>All India except Central University</x:v>
      </x:c>
      <x:c r="C2874" t="str">
        <x:v>200204</x:v>
      </x:c>
      <x:c r="D2874" t="str">
        <x:v>Shyam Shah Medical College, Rewa, NEAR DHOBIYA TANKI, JAIL ROAD, REWA</x:v>
      </x:c>
      <x:c r="E2874" t="str">
        <x:v>All India</x:v>
      </x:c>
      <x:c r="F2874" t="str">
        <x:v>ST</x:v>
      </x:c>
      <x:c r="G2874" t="n">
        <x:v>2</x:v>
      </x:c>
      <x:c r="H2874" t="n">
        <x:v>2</x:v>
      </x:c>
      <x:c r="I2874" t="n">
        <x:f>G2874-H2874</x:f>
        <x:v>0</x:v>
      </x:c>
      <x:c r="J2874" s="20" t="n">
        <x:f>IFERROR(H2874/G2874,0)</x:f>
        <x:v>1</x:v>
      </x:c>
      <x:c r="K2874" t="n">
        <x:v>76561</x:v>
      </x:c>
      <x:c r="L2874" t="n">
        <x:v>77993.25</x:v>
      </x:c>
      <x:c r="M2874" t="n">
        <x:v>79425.5</x:v>
      </x:c>
      <x:c r="N2874" t="n">
        <x:v>80857.75</x:v>
      </x:c>
      <x:c r="O2874" t="n">
        <x:v>82290</x:v>
      </x:c>
    </x:row>
    <x:row r="2875">
      <x:c r="A2875" t="str">
        <x:v>Sikkim</x:v>
      </x:c>
      <x:c r="B2875" t="str">
        <x:v>All India except Central University</x:v>
      </x:c>
      <x:c r="C2875" t="str">
        <x:v>904744</x:v>
      </x:c>
      <x:c r="D2875" t="str">
        <x:v>Sikkim Government Medical College, Sochakgang, Sichey, Gangtok</x:v>
      </x:c>
      <x:c r="E2875" t="str">
        <x:v>All India</x:v>
      </x:c>
      <x:c r="F2875" t="str">
        <x:v>EWS</x:v>
      </x:c>
      <x:c r="G2875" t="n">
        <x:v>1</x:v>
      </x:c>
      <x:c r="H2875" t="n">
        <x:v>1</x:v>
      </x:c>
      <x:c r="I2875" t="n">
        <x:f>G2875-H2875</x:f>
        <x:v>0</x:v>
      </x:c>
      <x:c r="J2875" s="20" t="n">
        <x:f>IFERROR(H2875/G2875,0)</x:f>
        <x:v>1</x:v>
      </x:c>
      <x:c r="K2875" t="n">
        <x:v>21393</x:v>
      </x:c>
      <x:c r="L2875" t="n">
        <x:v>21393</x:v>
      </x:c>
      <x:c r="M2875" t="n">
        <x:v>21393</x:v>
      </x:c>
      <x:c r="N2875" t="n">
        <x:v>21393</x:v>
      </x:c>
      <x:c r="O2875" t="n">
        <x:v>21393</x:v>
      </x:c>
    </x:row>
    <x:row r="2876">
      <x:c r="A2876" t="str">
        <x:v>Sikkim</x:v>
      </x:c>
      <x:c r="B2876" t="str">
        <x:v>All India except Central University</x:v>
      </x:c>
      <x:c r="C2876" t="str">
        <x:v>904744</x:v>
      </x:c>
      <x:c r="D2876" t="str">
        <x:v>Sikkim Government Medical College, Sochakgang, Sichey, Gangtok</x:v>
      </x:c>
      <x:c r="E2876" t="str">
        <x:v>All India</x:v>
      </x:c>
      <x:c r="F2876" t="str">
        <x:v>OBC</x:v>
      </x:c>
      <x:c r="G2876" t="n">
        <x:v>3</x:v>
      </x:c>
      <x:c r="H2876" t="n">
        <x:v>3</x:v>
      </x:c>
      <x:c r="I2876" t="n">
        <x:f>G2876-H2876</x:f>
        <x:v>0</x:v>
      </x:c>
      <x:c r="J2876" s="20" t="n">
        <x:f>IFERROR(H2876/G2876,0)</x:f>
        <x:v>1</x:v>
      </x:c>
      <x:c r="K2876" t="n">
        <x:v>21877</x:v>
      </x:c>
      <x:c r="L2876" t="n">
        <x:v>22009.5</x:v>
      </x:c>
      <x:c r="M2876" t="n">
        <x:v>22142</x:v>
      </x:c>
      <x:c r="N2876" t="n">
        <x:v>22240</x:v>
      </x:c>
      <x:c r="O2876" t="n">
        <x:v>22338</x:v>
      </x:c>
    </x:row>
    <x:row r="2877">
      <x:c r="A2877" t="str">
        <x:v>Sikkim</x:v>
      </x:c>
      <x:c r="B2877" t="str">
        <x:v>All India except Central University</x:v>
      </x:c>
      <x:c r="C2877" t="str">
        <x:v>904744</x:v>
      </x:c>
      <x:c r="D2877" t="str">
        <x:v>Sikkim Government Medical College, Sochakgang, Sichey, Gangtok</x:v>
      </x:c>
      <x:c r="E2877" t="str">
        <x:v>All India</x:v>
      </x:c>
      <x:c r="F2877" t="str">
        <x:v>OBC PwD</x:v>
      </x:c>
      <x:c r="G2877" t="n">
        <x:v>1</x:v>
      </x:c>
      <x:c r="H2877" t="n">
        <x:v>1</x:v>
      </x:c>
      <x:c r="I2877" t="n">
        <x:f>G2877-H2877</x:f>
        <x:v>0</x:v>
      </x:c>
      <x:c r="J2877" s="20" t="n">
        <x:f>IFERROR(H2877/G2877,0)</x:f>
        <x:v>1</x:v>
      </x:c>
      <x:c r="K2877" t="n">
        <x:v>730279</x:v>
      </x:c>
      <x:c r="L2877" t="n">
        <x:v>730279</x:v>
      </x:c>
      <x:c r="M2877" t="n">
        <x:v>730279</x:v>
      </x:c>
      <x:c r="N2877" t="n">
        <x:v>730279</x:v>
      </x:c>
      <x:c r="O2877" t="n">
        <x:v>730279</x:v>
      </x:c>
    </x:row>
    <x:row r="2878">
      <x:c r="A2878" t="str">
        <x:v>Sikkim</x:v>
      </x:c>
      <x:c r="B2878" t="str">
        <x:v>All India except Central University</x:v>
      </x:c>
      <x:c r="C2878" t="str">
        <x:v>904744</x:v>
      </x:c>
      <x:c r="D2878" t="str">
        <x:v>Sikkim Government Medical College, Sochakgang, Sichey, Gangtok</x:v>
      </x:c>
      <x:c r="E2878" t="str">
        <x:v>All India</x:v>
      </x:c>
      <x:c r="F2878" t="str">
        <x:v>Open</x:v>
      </x:c>
      <x:c r="G2878" t="n">
        <x:v>7</x:v>
      </x:c>
      <x:c r="H2878" t="n">
        <x:v>7</x:v>
      </x:c>
      <x:c r="I2878" t="n">
        <x:f>G2878-H2878</x:f>
        <x:v>0</x:v>
      </x:c>
      <x:c r="J2878" s="20" t="n">
        <x:f>IFERROR(H2878/G2878,0)</x:f>
        <x:v>1</x:v>
      </x:c>
      <x:c r="K2878" t="n">
        <x:v>6121</x:v>
      </x:c>
      <x:c r="L2878" t="n">
        <x:v>16400.5</x:v>
      </x:c>
      <x:c r="M2878" t="n">
        <x:v>19127</x:v>
      </x:c>
      <x:c r="N2878" t="n">
        <x:v>20261</x:v>
      </x:c>
      <x:c r="O2878" t="n">
        <x:v>20821</x:v>
      </x:c>
    </x:row>
    <x:row r="2879">
      <x:c r="A2879" t="str">
        <x:v>Sikkim</x:v>
      </x:c>
      <x:c r="B2879" t="str">
        <x:v>All India except Central University</x:v>
      </x:c>
      <x:c r="C2879" t="str">
        <x:v>904744</x:v>
      </x:c>
      <x:c r="D2879" t="str">
        <x:v>Sikkim Government Medical College, Sochakgang, Sichey, Gangtok</x:v>
      </x:c>
      <x:c r="E2879" t="str">
        <x:v>All India</x:v>
      </x:c>
      <x:c r="F2879" t="str">
        <x:v>SC</x:v>
      </x:c>
      <x:c r="G2879" t="n">
        <x:v>2</x:v>
      </x:c>
      <x:c r="H2879" t="n">
        <x:v>2</x:v>
      </x:c>
      <x:c r="I2879" t="n">
        <x:f>G2879-H2879</x:f>
        <x:v>0</x:v>
      </x:c>
      <x:c r="J2879" s="20" t="n">
        <x:f>IFERROR(H2879/G2879,0)</x:f>
        <x:v>1</x:v>
      </x:c>
      <x:c r="K2879" t="n">
        <x:v>79114</x:v>
      </x:c>
      <x:c r="L2879" t="n">
        <x:v>80994.75</x:v>
      </x:c>
      <x:c r="M2879" t="n">
        <x:v>82875.5</x:v>
      </x:c>
      <x:c r="N2879" t="n">
        <x:v>84756.25</x:v>
      </x:c>
      <x:c r="O2879" t="n">
        <x:v>86637</x:v>
      </x:c>
    </x:row>
    <x:row r="2880">
      <x:c r="A2880" t="str">
        <x:v>Sikkim</x:v>
      </x:c>
      <x:c r="B2880" t="str">
        <x:v>All India except Central University</x:v>
      </x:c>
      <x:c r="C2880" t="str">
        <x:v>904744</x:v>
      </x:c>
      <x:c r="D2880" t="str">
        <x:v>Sikkim Government Medical College, Sochakgang, Sichey, Gangtok</x:v>
      </x:c>
      <x:c r="E2880" t="str">
        <x:v>All India</x:v>
      </x:c>
      <x:c r="F2880" t="str">
        <x:v>ST</x:v>
      </x:c>
      <x:c r="G2880" t="n">
        <x:v>1</x:v>
      </x:c>
      <x:c r="H2880" t="n">
        <x:v>1</x:v>
      </x:c>
      <x:c r="I2880" t="n">
        <x:f>G2880-H2880</x:f>
        <x:v>0</x:v>
      </x:c>
      <x:c r="J2880" s="20" t="n">
        <x:f>IFERROR(H2880/G2880,0)</x:f>
        <x:v>1</x:v>
      </x:c>
      <x:c r="K2880" t="n">
        <x:v>72645</x:v>
      </x:c>
      <x:c r="L2880" t="n">
        <x:v>72645</x:v>
      </x:c>
      <x:c r="M2880" t="n">
        <x:v>72645</x:v>
      </x:c>
      <x:c r="N2880" t="n">
        <x:v>72645</x:v>
      </x:c>
      <x:c r="O2880" t="n">
        <x:v>72645</x:v>
      </x:c>
    </x:row>
    <x:row r="2881">
      <x:c r="A2881" t="str">
        <x:v>Assam</x:v>
      </x:c>
      <x:c r="B2881" t="str">
        <x:v>All India except Central University</x:v>
      </x:c>
      <x:c r="C2881" t="str">
        <x:v>200107</x:v>
      </x:c>
      <x:c r="D2881" t="str">
        <x:v>Silchar Medical College, Silchar, PO Silchar Medical College, Silchar</x:v>
      </x:c>
      <x:c r="E2881" t="str">
        <x:v>All India</x:v>
      </x:c>
      <x:c r="F2881" t="str">
        <x:v>EWS</x:v>
      </x:c>
      <x:c r="G2881" t="n">
        <x:v>3</x:v>
      </x:c>
      <x:c r="H2881" t="n">
        <x:v>3</x:v>
      </x:c>
      <x:c r="I2881" t="n">
        <x:f>G2881-H2881</x:f>
        <x:v>0</x:v>
      </x:c>
      <x:c r="J2881" s="20" t="n">
        <x:f>IFERROR(H2881/G2881,0)</x:f>
        <x:v>1</x:v>
      </x:c>
      <x:c r="K2881" t="n">
        <x:v>18906</x:v>
      </x:c>
      <x:c r="L2881" t="n">
        <x:v>19922.5</x:v>
      </x:c>
      <x:c r="M2881" t="n">
        <x:v>20939</x:v>
      </x:c>
      <x:c r="N2881" t="n">
        <x:v>21095.5</x:v>
      </x:c>
      <x:c r="O2881" t="n">
        <x:v>21252</x:v>
      </x:c>
    </x:row>
    <x:row r="2882">
      <x:c r="A2882" t="str">
        <x:v>Assam</x:v>
      </x:c>
      <x:c r="B2882" t="str">
        <x:v>All India except Central University</x:v>
      </x:c>
      <x:c r="C2882" t="str">
        <x:v>200107</x:v>
      </x:c>
      <x:c r="D2882" t="str">
        <x:v>Silchar Medical College, Silchar, PO Silchar Medical College, Silchar</x:v>
      </x:c>
      <x:c r="E2882" t="str">
        <x:v>All India</x:v>
      </x:c>
      <x:c r="F2882" t="str">
        <x:v>OBC</x:v>
      </x:c>
      <x:c r="G2882" t="n">
        <x:v>6</x:v>
      </x:c>
      <x:c r="H2882" t="n">
        <x:v>6</x:v>
      </x:c>
      <x:c r="I2882" t="n">
        <x:f>G2882-H2882</x:f>
        <x:v>0</x:v>
      </x:c>
      <x:c r="J2882" s="20" t="n">
        <x:f>IFERROR(H2882/G2882,0)</x:f>
        <x:v>1</x:v>
      </x:c>
      <x:c r="K2882" t="n">
        <x:v>16402</x:v>
      </x:c>
      <x:c r="L2882" t="n">
        <x:v>16988.75</x:v>
      </x:c>
      <x:c r="M2882" t="n">
        <x:v>17473.5</x:v>
      </x:c>
      <x:c r="N2882" t="n">
        <x:v>17979.25</x:v>
      </x:c>
      <x:c r="O2882" t="n">
        <x:v>18139</x:v>
      </x:c>
    </x:row>
    <x:row r="2883">
      <x:c r="A2883" t="str">
        <x:v>Assam</x:v>
      </x:c>
      <x:c r="B2883" t="str">
        <x:v>All India except Central University</x:v>
      </x:c>
      <x:c r="C2883" t="str">
        <x:v>200107</x:v>
      </x:c>
      <x:c r="D2883" t="str">
        <x:v>Silchar Medical College, Silchar, PO Silchar Medical College, Silchar</x:v>
      </x:c>
      <x:c r="E2883" t="str">
        <x:v>All India</x:v>
      </x:c>
      <x:c r="F2883" t="str">
        <x:v>Open</x:v>
      </x:c>
      <x:c r="G2883" t="n">
        <x:v>8</x:v>
      </x:c>
      <x:c r="H2883" t="n">
        <x:v>8</x:v>
      </x:c>
      <x:c r="I2883" t="n">
        <x:f>G2883-H2883</x:f>
        <x:v>0</x:v>
      </x:c>
      <x:c r="J2883" s="20" t="n">
        <x:f>IFERROR(H2883/G2883,0)</x:f>
        <x:v>1</x:v>
      </x:c>
      <x:c r="K2883" t="n">
        <x:v>6603</x:v>
      </x:c>
      <x:c r="L2883" t="n">
        <x:v>13731</x:v>
      </x:c>
      <x:c r="M2883" t="n">
        <x:v>15646.5</x:v>
      </x:c>
      <x:c r="N2883" t="n">
        <x:v>15911.5</x:v>
      </x:c>
      <x:c r="O2883" t="n">
        <x:v>15984</x:v>
      </x:c>
    </x:row>
    <x:row r="2884">
      <x:c r="A2884" t="str">
        <x:v>Assam</x:v>
      </x:c>
      <x:c r="B2884" t="str">
        <x:v>All India except Central University</x:v>
      </x:c>
      <x:c r="C2884" t="str">
        <x:v>200107</x:v>
      </x:c>
      <x:c r="D2884" t="str">
        <x:v>Silchar Medical College, Silchar, PO Silchar Medical College, Silchar</x:v>
      </x:c>
      <x:c r="E2884" t="str">
        <x:v>All India</x:v>
      </x:c>
      <x:c r="F2884" t="str">
        <x:v>Open PwD</x:v>
      </x:c>
      <x:c r="G2884" t="n">
        <x:v>1</x:v>
      </x:c>
      <x:c r="H2884" t="n">
        <x:v>1</x:v>
      </x:c>
      <x:c r="I2884" t="n">
        <x:f>G2884-H2884</x:f>
        <x:v>0</x:v>
      </x:c>
      <x:c r="J2884" s="20" t="n">
        <x:f>IFERROR(H2884/G2884,0)</x:f>
        <x:v>1</x:v>
      </x:c>
      <x:c r="K2884" t="n">
        <x:v>579456</x:v>
      </x:c>
      <x:c r="L2884" t="n">
        <x:v>579456</x:v>
      </x:c>
      <x:c r="M2884" t="n">
        <x:v>579456</x:v>
      </x:c>
      <x:c r="N2884" t="n">
        <x:v>579456</x:v>
      </x:c>
      <x:c r="O2884" t="n">
        <x:v>579456</x:v>
      </x:c>
    </x:row>
    <x:row r="2885">
      <x:c r="A2885" t="str">
        <x:v>Assam</x:v>
      </x:c>
      <x:c r="B2885" t="str">
        <x:v>All India except Central University</x:v>
      </x:c>
      <x:c r="C2885" t="str">
        <x:v>200107</x:v>
      </x:c>
      <x:c r="D2885" t="str">
        <x:v>Silchar Medical College, Silchar, PO Silchar Medical College, Silchar</x:v>
      </x:c>
      <x:c r="E2885" t="str">
        <x:v>All India</x:v>
      </x:c>
      <x:c r="F2885" t="str">
        <x:v>SC</x:v>
      </x:c>
      <x:c r="G2885" t="n">
        <x:v>2</x:v>
      </x:c>
      <x:c r="H2885" t="n">
        <x:v>2</x:v>
      </x:c>
      <x:c r="I2885" t="n">
        <x:f>G2885-H2885</x:f>
        <x:v>0</x:v>
      </x:c>
      <x:c r="J2885" s="20" t="n">
        <x:f>IFERROR(H2885/G2885,0)</x:f>
        <x:v>1</x:v>
      </x:c>
      <x:c r="K2885" t="n">
        <x:v>51745</x:v>
      </x:c>
      <x:c r="L2885" t="n">
        <x:v>55232.75</x:v>
      </x:c>
      <x:c r="M2885" t="n">
        <x:v>58720.5</x:v>
      </x:c>
      <x:c r="N2885" t="n">
        <x:v>62208.25</x:v>
      </x:c>
      <x:c r="O2885" t="n">
        <x:v>65696</x:v>
      </x:c>
    </x:row>
    <x:row r="2886">
      <x:c r="A2886" t="str">
        <x:v>Assam</x:v>
      </x:c>
      <x:c r="B2886" t="str">
        <x:v>All India except Central University</x:v>
      </x:c>
      <x:c r="C2886" t="str">
        <x:v>200107</x:v>
      </x:c>
      <x:c r="D2886" t="str">
        <x:v>Silchar Medical College, Silchar, PO Silchar Medical College, Silchar</x:v>
      </x:c>
      <x:c r="E2886" t="str">
        <x:v>All India</x:v>
      </x:c>
      <x:c r="F2886" t="str">
        <x:v>SC PwD</x:v>
      </x:c>
      <x:c r="G2886" t="n">
        <x:v>1</x:v>
      </x:c>
      <x:c r="H2886" t="n">
        <x:v>1</x:v>
      </x:c>
      <x:c r="I2886" t="n">
        <x:f>G2886-H2886</x:f>
        <x:v>0</x:v>
      </x:c>
      <x:c r="J2886" s="20" t="n">
        <x:f>IFERROR(H2886/G2886,0)</x:f>
        <x:v>1</x:v>
      </x:c>
      <x:c r="K2886" t="n">
        <x:v>1078481</x:v>
      </x:c>
      <x:c r="L2886" t="n">
        <x:v>1078481</x:v>
      </x:c>
      <x:c r="M2886" t="n">
        <x:v>1078481</x:v>
      </x:c>
      <x:c r="N2886" t="n">
        <x:v>1078481</x:v>
      </x:c>
      <x:c r="O2886" t="n">
        <x:v>1078481</x:v>
      </x:c>
    </x:row>
    <x:row r="2887">
      <x:c r="A2887" t="str">
        <x:v>Assam</x:v>
      </x:c>
      <x:c r="B2887" t="str">
        <x:v>All India except Central University</x:v>
      </x:c>
      <x:c r="C2887" t="str">
        <x:v>200107</x:v>
      </x:c>
      <x:c r="D2887" t="str">
        <x:v>Silchar Medical College, Silchar, PO Silchar Medical College, Silchar</x:v>
      </x:c>
      <x:c r="E2887" t="str">
        <x:v>All India</x:v>
      </x:c>
      <x:c r="F2887" t="str">
        <x:v>ST</x:v>
      </x:c>
      <x:c r="G2887" t="n">
        <x:v>2</x:v>
      </x:c>
      <x:c r="H2887" t="n">
        <x:v>2</x:v>
      </x:c>
      <x:c r="I2887" t="n">
        <x:f>G2887-H2887</x:f>
        <x:v>0</x:v>
      </x:c>
      <x:c r="J2887" s="20" t="n">
        <x:f>IFERROR(H2887/G2887,0)</x:f>
        <x:v>1</x:v>
      </x:c>
      <x:c r="K2887" t="n">
        <x:v>71088</x:v>
      </x:c>
      <x:c r="L2887" t="n">
        <x:v>74475</x:v>
      </x:c>
      <x:c r="M2887" t="n">
        <x:v>77862</x:v>
      </x:c>
      <x:c r="N2887" t="n">
        <x:v>81249</x:v>
      </x:c>
      <x:c r="O2887" t="n">
        <x:v>84636</x:v>
      </x:c>
    </x:row>
    <x:row r="2888">
      <x:c r="A2888" t="str">
        <x:v>Uttarakhand</x:v>
      </x:c>
      <x:c r="B2888" t="str">
        <x:v>All India except Central University</x:v>
      </x:c>
      <x:c r="C2888" t="str">
        <x:v>200582</x:v>
      </x:c>
      <x:c r="D2888" t="str">
        <x:v>Soban Singh jeena Government institute of Medical science &amp; Research, Almora, Near Vikas Bhawan Pandeykhola Almora</x:v>
      </x:c>
      <x:c r="E2888" t="str">
        <x:v>All India</x:v>
      </x:c>
      <x:c r="F2888" t="str">
        <x:v>EWS</x:v>
      </x:c>
      <x:c r="G2888" t="n">
        <x:v>1</x:v>
      </x:c>
      <x:c r="H2888" t="n">
        <x:v>1</x:v>
      </x:c>
      <x:c r="I2888" t="n">
        <x:f>G2888-H2888</x:f>
        <x:v>0</x:v>
      </x:c>
      <x:c r="J2888" s="20" t="n">
        <x:f>IFERROR(H2888/G2888,0)</x:f>
        <x:v>1</x:v>
      </x:c>
      <x:c r="K2888" t="n">
        <x:v>13823</x:v>
      </x:c>
      <x:c r="L2888" t="n">
        <x:v>13823</x:v>
      </x:c>
      <x:c r="M2888" t="n">
        <x:v>13823</x:v>
      </x:c>
      <x:c r="N2888" t="n">
        <x:v>13823</x:v>
      </x:c>
      <x:c r="O2888" t="n">
        <x:v>13823</x:v>
      </x:c>
    </x:row>
    <x:row r="2889">
      <x:c r="A2889" t="str">
        <x:v>Uttarakhand</x:v>
      </x:c>
      <x:c r="B2889" t="str">
        <x:v>All India except Central University</x:v>
      </x:c>
      <x:c r="C2889" t="str">
        <x:v>200582</x:v>
      </x:c>
      <x:c r="D2889" t="str">
        <x:v>Soban Singh jeena Government institute of Medical science &amp; Research, Almora, Near Vikas Bhawan Pandeykhola Almora</x:v>
      </x:c>
      <x:c r="E2889" t="str">
        <x:v>All India</x:v>
      </x:c>
      <x:c r="F2889" t="str">
        <x:v>OBC</x:v>
      </x:c>
      <x:c r="G2889" t="n">
        <x:v>4</x:v>
      </x:c>
      <x:c r="H2889" t="n">
        <x:v>4</x:v>
      </x:c>
      <x:c r="I2889" t="n">
        <x:f>G2889-H2889</x:f>
        <x:v>0</x:v>
      </x:c>
      <x:c r="J2889" s="20" t="n">
        <x:f>IFERROR(H2889/G2889,0)</x:f>
        <x:v>1</x:v>
      </x:c>
      <x:c r="K2889" t="n">
        <x:v>12715</x:v>
      </x:c>
      <x:c r="L2889" t="n">
        <x:v>12920.5</x:v>
      </x:c>
      <x:c r="M2889" t="n">
        <x:v>13466</x:v>
      </x:c>
      <x:c r="N2889" t="n">
        <x:v>14078</x:v>
      </x:c>
      <x:c r="O2889" t="n">
        <x:v>14483</x:v>
      </x:c>
    </x:row>
    <x:row r="2890">
      <x:c r="A2890" t="str">
        <x:v>Uttarakhand</x:v>
      </x:c>
      <x:c r="B2890" t="str">
        <x:v>All India except Central University</x:v>
      </x:c>
      <x:c r="C2890" t="str">
        <x:v>200582</x:v>
      </x:c>
      <x:c r="D2890" t="str">
        <x:v>Soban Singh jeena Government institute of Medical science &amp; Research, Almora, Near Vikas Bhawan Pandeykhola Almora</x:v>
      </x:c>
      <x:c r="E2890" t="str">
        <x:v>All India</x:v>
      </x:c>
      <x:c r="F2890" t="str">
        <x:v>Open</x:v>
      </x:c>
      <x:c r="G2890" t="n">
        <x:v>7</x:v>
      </x:c>
      <x:c r="H2890" t="n">
        <x:v>7</x:v>
      </x:c>
      <x:c r="I2890" t="n">
        <x:f>G2890-H2890</x:f>
        <x:v>0</x:v>
      </x:c>
      <x:c r="J2890" s="20" t="n">
        <x:f>IFERROR(H2890/G2890,0)</x:f>
        <x:v>1</x:v>
      </x:c>
      <x:c r="K2890" t="n">
        <x:v>8387</x:v>
      </x:c>
      <x:c r="L2890" t="n">
        <x:v>10598.5</x:v>
      </x:c>
      <x:c r="M2890" t="n">
        <x:v>11354</x:v>
      </x:c>
      <x:c r="N2890" t="n">
        <x:v>11520.5</x:v>
      </x:c>
      <x:c r="O2890" t="n">
        <x:v>11600</x:v>
      </x:c>
    </x:row>
    <x:row r="2891">
      <x:c r="A2891" t="str">
        <x:v>Uttarakhand</x:v>
      </x:c>
      <x:c r="B2891" t="str">
        <x:v>All India except Central University</x:v>
      </x:c>
      <x:c r="C2891" t="str">
        <x:v>200582</x:v>
      </x:c>
      <x:c r="D2891" t="str">
        <x:v>Soban Singh jeena Government institute of Medical science &amp; Research, Almora, Near Vikas Bhawan Pandeykhola Almora</x:v>
      </x:c>
      <x:c r="E2891" t="str">
        <x:v>All India</x:v>
      </x:c>
      <x:c r="F2891" t="str">
        <x:v>SC</x:v>
      </x:c>
      <x:c r="G2891" t="n">
        <x:v>2</x:v>
      </x:c>
      <x:c r="H2891" t="n">
        <x:v>2</x:v>
      </x:c>
      <x:c r="I2891" t="n">
        <x:f>G2891-H2891</x:f>
        <x:v>0</x:v>
      </x:c>
      <x:c r="J2891" s="20" t="n">
        <x:f>IFERROR(H2891/G2891,0)</x:f>
        <x:v>1</x:v>
      </x:c>
      <x:c r="K2891" t="n">
        <x:v>63391</x:v>
      </x:c>
      <x:c r="L2891" t="n">
        <x:v>66211</x:v>
      </x:c>
      <x:c r="M2891" t="n">
        <x:v>69031</x:v>
      </x:c>
      <x:c r="N2891" t="n">
        <x:v>71851</x:v>
      </x:c>
      <x:c r="O2891" t="n">
        <x:v>74671</x:v>
      </x:c>
    </x:row>
    <x:row r="2892">
      <x:c r="A2892" t="str">
        <x:v>Uttarakhand</x:v>
      </x:c>
      <x:c r="B2892" t="str">
        <x:v>All India except Central University</x:v>
      </x:c>
      <x:c r="C2892" t="str">
        <x:v>200582</x:v>
      </x:c>
      <x:c r="D2892" t="str">
        <x:v>Soban Singh jeena Government institute of Medical science &amp; Research, Almora, Near Vikas Bhawan Pandeykhola Almora</x:v>
      </x:c>
      <x:c r="E2892" t="str">
        <x:v>All India</x:v>
      </x:c>
      <x:c r="F2892" t="str">
        <x:v>ST</x:v>
      </x:c>
      <x:c r="G2892" t="n">
        <x:v>1</x:v>
      </x:c>
      <x:c r="H2892" t="n">
        <x:v>1</x:v>
      </x:c>
      <x:c r="I2892" t="n">
        <x:f>G2892-H2892</x:f>
        <x:v>0</x:v>
      </x:c>
      <x:c r="J2892" s="20" t="n">
        <x:f>IFERROR(H2892/G2892,0)</x:f>
        <x:v>1</x:v>
      </x:c>
      <x:c r="K2892" t="n">
        <x:v>86684</x:v>
      </x:c>
      <x:c r="L2892" t="n">
        <x:v>86684</x:v>
      </x:c>
      <x:c r="M2892" t="n">
        <x:v>86684</x:v>
      </x:c>
      <x:c r="N2892" t="n">
        <x:v>86684</x:v>
      </x:c>
      <x:c r="O2892" t="n">
        <x:v>86684</x:v>
      </x:c>
    </x:row>
    <x:row r="2893">
      <x:c r="A2893" t="str">
        <x:v>Tamil Nadu</x:v>
      </x:c>
      <x:c r="B2893" t="str">
        <x:v>Deemed University</x:v>
      </x:c>
      <x:c r="C2893" t="str">
        <x:v>200393</x:v>
      </x:c>
      <x:c r="D2893" t="str">
        <x:v>Sree Balaji Medical College and Hospital, Chennai, NO 7 WORKS ROAD CHROMEPET CHENNAI</x:v>
      </x:c>
      <x:c r="E2893" t="str">
        <x:v>NRI</x:v>
      </x:c>
      <x:c r="F2893" t="str">
        <x:v>Open</x:v>
      </x:c>
      <x:c r="G2893" t="n">
        <x:v>5</x:v>
      </x:c>
      <x:c r="H2893" t="n">
        <x:v>0</x:v>
      </x:c>
      <x:c r="I2893" t="n">
        <x:f>G2893-H2893</x:f>
        <x:v>5</x:v>
      </x:c>
      <x:c r="J2893" s="20" t="n">
        <x:f>IFERROR(H2893/G2893,0)</x:f>
        <x:v>0</x:v>
      </x:c>
      <x:c r="K2893"/>
      <x:c r="L2893"/>
      <x:c r="M2893"/>
      <x:c r="N2893"/>
      <x:c r="O2893"/>
    </x:row>
    <x:row r="2894">
      <x:c r="A2894" t="str">
        <x:v>Tamil Nadu</x:v>
      </x:c>
      <x:c r="B2894" t="str">
        <x:v>Deemed University</x:v>
      </x:c>
      <x:c r="C2894" t="str">
        <x:v>200393</x:v>
      </x:c>
      <x:c r="D2894" t="str">
        <x:v>Sree Balaji Medical College and Hospital, Chennai, NO 7 WORKS ROAD CHROMEPET CHENNAI</x:v>
      </x:c>
      <x:c r="E2894" t="str">
        <x:v>Self-Financed Merit</x:v>
      </x:c>
      <x:c r="F2894" t="str">
        <x:v>Open</x:v>
      </x:c>
      <x:c r="G2894" t="n">
        <x:v>245</x:v>
      </x:c>
      <x:c r="H2894" t="n">
        <x:v>245</x:v>
      </x:c>
      <x:c r="I2894" t="n">
        <x:f>G2894-H2894</x:f>
        <x:v>0</x:v>
      </x:c>
      <x:c r="J2894" s="20" t="n">
        <x:f>IFERROR(H2894/G2894,0)</x:f>
        <x:v>1</x:v>
      </x:c>
      <x:c r="K2894" t="n">
        <x:v>179400</x:v>
      </x:c>
      <x:c r="L2894" t="n">
        <x:v>703705</x:v>
      </x:c>
      <x:c r="M2894" t="n">
        <x:v>822917</x:v>
      </x:c>
      <x:c r="N2894" t="n">
        <x:v>916806</x:v>
      </x:c>
      <x:c r="O2894" t="n">
        <x:v>997115</x:v>
      </x:c>
    </x:row>
    <x:row r="2895">
      <x:c r="A2895" t="str">
        <x:v>Maharashtra</x:v>
      </x:c>
      <x:c r="B2895" t="str">
        <x:v>All India except Central University</x:v>
      </x:c>
      <x:c r="C2895" t="str">
        <x:v>200228</x:v>
      </x:c>
      <x:c r="D2895" t="str">
        <x:v>Sri Bhausaheb Hire Government Medical College, Dhule, Shri.Bhusaheb Hire Government Medical College Malegaon Road Chakkarbardi Area Dhule</x:v>
      </x:c>
      <x:c r="E2895" t="str">
        <x:v>All India</x:v>
      </x:c>
      <x:c r="F2895" t="str">
        <x:v>EWS</x:v>
      </x:c>
      <x:c r="G2895" t="n">
        <x:v>3</x:v>
      </x:c>
      <x:c r="H2895" t="n">
        <x:v>3</x:v>
      </x:c>
      <x:c r="I2895" t="n">
        <x:f>G2895-H2895</x:f>
        <x:v>0</x:v>
      </x:c>
      <x:c r="J2895" s="20" t="n">
        <x:f>IFERROR(H2895/G2895,0)</x:f>
        <x:v>1</x:v>
      </x:c>
      <x:c r="K2895" t="n">
        <x:v>16246</x:v>
      </x:c>
      <x:c r="L2895" t="n">
        <x:v>16418</x:v>
      </x:c>
      <x:c r="M2895" t="n">
        <x:v>16590</x:v>
      </x:c>
      <x:c r="N2895" t="n">
        <x:v>17462</x:v>
      </x:c>
      <x:c r="O2895" t="n">
        <x:v>18334</x:v>
      </x:c>
    </x:row>
    <x:row r="2896">
      <x:c r="A2896" t="str">
        <x:v>Maharashtra</x:v>
      </x:c>
      <x:c r="B2896" t="str">
        <x:v>All India except Central University</x:v>
      </x:c>
      <x:c r="C2896" t="str">
        <x:v>200228</x:v>
      </x:c>
      <x:c r="D2896" t="str">
        <x:v>Sri Bhausaheb Hire Government Medical College, Dhule, Shri.Bhusaheb Hire Government Medical College Malegaon Road Chakkarbardi Area Dhule</x:v>
      </x:c>
      <x:c r="E2896" t="str">
        <x:v>All India</x:v>
      </x:c>
      <x:c r="F2896" t="str">
        <x:v>OBC</x:v>
      </x:c>
      <x:c r="G2896" t="n">
        <x:v>5</x:v>
      </x:c>
      <x:c r="H2896" t="n">
        <x:v>5</x:v>
      </x:c>
      <x:c r="I2896" t="n">
        <x:f>G2896-H2896</x:f>
        <x:v>0</x:v>
      </x:c>
      <x:c r="J2896" s="20" t="n">
        <x:f>IFERROR(H2896/G2896,0)</x:f>
        <x:v>1</x:v>
      </x:c>
      <x:c r="K2896" t="n">
        <x:v>13927</x:v>
      </x:c>
      <x:c r="L2896" t="n">
        <x:v>14246</x:v>
      </x:c>
      <x:c r="M2896" t="n">
        <x:v>14859</x:v>
      </x:c>
      <x:c r="N2896" t="n">
        <x:v>15049</x:v>
      </x:c>
      <x:c r="O2896" t="n">
        <x:v>15113</x:v>
      </x:c>
    </x:row>
    <x:row r="2897">
      <x:c r="A2897" t="str">
        <x:v>Maharashtra</x:v>
      </x:c>
      <x:c r="B2897" t="str">
        <x:v>All India except Central University</x:v>
      </x:c>
      <x:c r="C2897" t="str">
        <x:v>200228</x:v>
      </x:c>
      <x:c r="D2897" t="str">
        <x:v>Sri Bhausaheb Hire Government Medical College, Dhule, Shri.Bhusaheb Hire Government Medical College Malegaon Road Chakkarbardi Area Dhule</x:v>
      </x:c>
      <x:c r="E2897" t="str">
        <x:v>All India</x:v>
      </x:c>
      <x:c r="F2897" t="str">
        <x:v>OBC PwD</x:v>
      </x:c>
      <x:c r="G2897" t="n">
        <x:v>1</x:v>
      </x:c>
      <x:c r="H2897" t="n">
        <x:v>1</x:v>
      </x:c>
      <x:c r="I2897" t="n">
        <x:f>G2897-H2897</x:f>
        <x:v>0</x:v>
      </x:c>
      <x:c r="J2897" s="20" t="n">
        <x:f>IFERROR(H2897/G2897,0)</x:f>
        <x:v>1</x:v>
      </x:c>
      <x:c r="K2897" t="n">
        <x:v>541139</x:v>
      </x:c>
      <x:c r="L2897" t="n">
        <x:v>541139</x:v>
      </x:c>
      <x:c r="M2897" t="n">
        <x:v>541139</x:v>
      </x:c>
      <x:c r="N2897" t="n">
        <x:v>541139</x:v>
      </x:c>
      <x:c r="O2897" t="n">
        <x:v>541139</x:v>
      </x:c>
    </x:row>
    <x:row r="2898">
      <x:c r="A2898" t="str">
        <x:v>Maharashtra</x:v>
      </x:c>
      <x:c r="B2898" t="str">
        <x:v>All India except Central University</x:v>
      </x:c>
      <x:c r="C2898" t="str">
        <x:v>200228</x:v>
      </x:c>
      <x:c r="D2898" t="str">
        <x:v>Sri Bhausaheb Hire Government Medical College, Dhule, Shri.Bhusaheb Hire Government Medical College Malegaon Road Chakkarbardi Area Dhule</x:v>
      </x:c>
      <x:c r="E2898" t="str">
        <x:v>All India</x:v>
      </x:c>
      <x:c r="F2898" t="str">
        <x:v>Open</x:v>
      </x:c>
      <x:c r="G2898" t="n">
        <x:v>7</x:v>
      </x:c>
      <x:c r="H2898" t="n">
        <x:v>7</x:v>
      </x:c>
      <x:c r="I2898" t="n">
        <x:f>G2898-H2898</x:f>
        <x:v>0</x:v>
      </x:c>
      <x:c r="J2898" s="20" t="n">
        <x:f>IFERROR(H2898/G2898,0)</x:f>
        <x:v>1</x:v>
      </x:c>
      <x:c r="K2898" t="n">
        <x:v>11162</x:v>
      </x:c>
      <x:c r="L2898" t="n">
        <x:v>11918</x:v>
      </x:c>
      <x:c r="M2898" t="n">
        <x:v>12827</x:v>
      </x:c>
      <x:c r="N2898" t="n">
        <x:v>13129.5</x:v>
      </x:c>
      <x:c r="O2898" t="n">
        <x:v>13719</x:v>
      </x:c>
    </x:row>
    <x:row r="2899">
      <x:c r="A2899" t="str">
        <x:v>Maharashtra</x:v>
      </x:c>
      <x:c r="B2899" t="str">
        <x:v>All India except Central University</x:v>
      </x:c>
      <x:c r="C2899" t="str">
        <x:v>200228</x:v>
      </x:c>
      <x:c r="D2899" t="str">
        <x:v>Sri Bhausaheb Hire Government Medical College, Dhule, Shri.Bhusaheb Hire Government Medical College Malegaon Road Chakkarbardi Area Dhule</x:v>
      </x:c>
      <x:c r="E2899" t="str">
        <x:v>All India</x:v>
      </x:c>
      <x:c r="F2899" t="str">
        <x:v>Open PwD</x:v>
      </x:c>
      <x:c r="G2899" t="n">
        <x:v>1</x:v>
      </x:c>
      <x:c r="H2899" t="n">
        <x:v>1</x:v>
      </x:c>
      <x:c r="I2899" t="n">
        <x:f>G2899-H2899</x:f>
        <x:v>0</x:v>
      </x:c>
      <x:c r="J2899" s="20" t="n">
        <x:f>IFERROR(H2899/G2899,0)</x:f>
        <x:v>1</x:v>
      </x:c>
      <x:c r="K2899" t="n">
        <x:v>472353</x:v>
      </x:c>
      <x:c r="L2899" t="n">
        <x:v>472353</x:v>
      </x:c>
      <x:c r="M2899" t="n">
        <x:v>472353</x:v>
      </x:c>
      <x:c r="N2899" t="n">
        <x:v>472353</x:v>
      </x:c>
      <x:c r="O2899" t="n">
        <x:v>472353</x:v>
      </x:c>
    </x:row>
    <x:row r="2900">
      <x:c r="A2900" t="str">
        <x:v>Maharashtra</x:v>
      </x:c>
      <x:c r="B2900" t="str">
        <x:v>All India except Central University</x:v>
      </x:c>
      <x:c r="C2900" t="str">
        <x:v>200228</x:v>
      </x:c>
      <x:c r="D2900" t="str">
        <x:v>Sri Bhausaheb Hire Government Medical College, Dhule, Shri.Bhusaheb Hire Government Medical College Malegaon Road Chakkarbardi Area Dhule</x:v>
      </x:c>
      <x:c r="E2900" t="str">
        <x:v>All India</x:v>
      </x:c>
      <x:c r="F2900" t="str">
        <x:v>SC</x:v>
      </x:c>
      <x:c r="G2900" t="n">
        <x:v>3</x:v>
      </x:c>
      <x:c r="H2900" t="n">
        <x:v>3</x:v>
      </x:c>
      <x:c r="I2900" t="n">
        <x:f>G2900-H2900</x:f>
        <x:v>0</x:v>
      </x:c>
      <x:c r="J2900" s="20" t="n">
        <x:f>IFERROR(H2900/G2900,0)</x:f>
        <x:v>1</x:v>
      </x:c>
      <x:c r="K2900" t="n">
        <x:v>76215</x:v>
      </x:c>
      <x:c r="L2900" t="n">
        <x:v>76607.5</x:v>
      </x:c>
      <x:c r="M2900" t="n">
        <x:v>77000</x:v>
      </x:c>
      <x:c r="N2900" t="n">
        <x:v>77506</x:v>
      </x:c>
      <x:c r="O2900" t="n">
        <x:v>78012</x:v>
      </x:c>
    </x:row>
    <x:row r="2901">
      <x:c r="A2901" t="str">
        <x:v>Maharashtra</x:v>
      </x:c>
      <x:c r="B2901" t="str">
        <x:v>All India except Central University</x:v>
      </x:c>
      <x:c r="C2901" t="str">
        <x:v>200228</x:v>
      </x:c>
      <x:c r="D2901" t="str">
        <x:v>Sri Bhausaheb Hire Government Medical College, Dhule, Shri.Bhusaheb Hire Government Medical College Malegaon Road Chakkarbardi Area Dhule</x:v>
      </x:c>
      <x:c r="E2901" t="str">
        <x:v>All India</x:v>
      </x:c>
      <x:c r="F2901" t="str">
        <x:v>ST</x:v>
      </x:c>
      <x:c r="G2901" t="n">
        <x:v>2</x:v>
      </x:c>
      <x:c r="H2901" t="n">
        <x:v>2</x:v>
      </x:c>
      <x:c r="I2901" t="n">
        <x:f>G2901-H2901</x:f>
        <x:v>0</x:v>
      </x:c>
      <x:c r="J2901" s="20" t="n">
        <x:f>IFERROR(H2901/G2901,0)</x:f>
        <x:v>1</x:v>
      </x:c>
      <x:c r="K2901" t="n">
        <x:v>103088</x:v>
      </x:c>
      <x:c r="L2901" t="n">
        <x:v>103458.25</x:v>
      </x:c>
      <x:c r="M2901" t="n">
        <x:v>103828.5</x:v>
      </x:c>
      <x:c r="N2901" t="n">
        <x:v>104198.75</x:v>
      </x:c>
      <x:c r="O2901" t="n">
        <x:v>104569</x:v>
      </x:c>
    </x:row>
    <x:row r="2902">
      <x:c r="A2902" t="str">
        <x:v>Karnataka</x:v>
      </x:c>
      <x:c r="B2902" t="str">
        <x:v>Deemed University</x:v>
      </x:c>
      <x:c r="C2902" t="str">
        <x:v>200347</x:v>
      </x:c>
      <x:c r="D2902" t="str">
        <x:v>Sri Devaraj URS Medical College, Kolar, Post box No.7, SRI DEVARAJ URS MEDICAL COLLEGE, TAMAKA, KOLAR</x:v>
      </x:c>
      <x:c r="E2902" t="str">
        <x:v>NRI</x:v>
      </x:c>
      <x:c r="F2902" t="str">
        <x:v>Open</x:v>
      </x:c>
      <x:c r="G2902" t="n">
        <x:v>38</x:v>
      </x:c>
      <x:c r="H2902" t="n">
        <x:v>3</x:v>
      </x:c>
      <x:c r="I2902" t="n">
        <x:f>G2902-H2902</x:f>
        <x:v>35</x:v>
      </x:c>
      <x:c r="J2902" s="20" t="n">
        <x:f>IFERROR(H2902/G2902,0)</x:f>
        <x:v>0.07894736842105263</x:v>
      </x:c>
      <x:c r="K2902" t="n">
        <x:v>507792</x:v>
      </x:c>
      <x:c r="L2902" t="n">
        <x:v>589103.5</x:v>
      </x:c>
      <x:c r="M2902" t="n">
        <x:v>670415</x:v>
      </x:c>
      <x:c r="N2902" t="n">
        <x:v>729443.5</x:v>
      </x:c>
      <x:c r="O2902" t="n">
        <x:v>788472</x:v>
      </x:c>
    </x:row>
    <x:row r="2903">
      <x:c r="A2903" t="str">
        <x:v>Karnataka</x:v>
      </x:c>
      <x:c r="B2903" t="str">
        <x:v>Deemed University</x:v>
      </x:c>
      <x:c r="C2903" t="str">
        <x:v>200347</x:v>
      </x:c>
      <x:c r="D2903" t="str">
        <x:v>Sri Devaraj URS Medical College, Kolar, Post box No.7, SRI DEVARAJ URS MEDICAL COLLEGE, TAMAKA, KOLAR</x:v>
      </x:c>
      <x:c r="E2903" t="str">
        <x:v>Self-Financed Merit</x:v>
      </x:c>
      <x:c r="F2903" t="str">
        <x:v>Open</x:v>
      </x:c>
      <x:c r="G2903" t="n">
        <x:v>212</x:v>
      </x:c>
      <x:c r="H2903" t="n">
        <x:v>212</x:v>
      </x:c>
      <x:c r="I2903" t="n">
        <x:f>G2903-H2903</x:f>
        <x:v>0</x:v>
      </x:c>
      <x:c r="J2903" s="20" t="n">
        <x:f>IFERROR(H2903/G2903,0)</x:f>
        <x:v>1</x:v>
      </x:c>
      <x:c r="K2903" t="n">
        <x:v>78739</x:v>
      </x:c>
      <x:c r="L2903" t="n">
        <x:v>202147.25</x:v>
      </x:c>
      <x:c r="M2903" t="n">
        <x:v>230497</x:v>
      </x:c>
      <x:c r="N2903" t="n">
        <x:v>254601.75</x:v>
      </x:c>
      <x:c r="O2903" t="n">
        <x:v>292821</x:v>
      </x:c>
    </x:row>
    <x:row r="2904">
      <x:c r="A2904" t="str">
        <x:v>Odisha</x:v>
      </x:c>
      <x:c r="B2904" t="str">
        <x:v>All India except Central University</x:v>
      </x:c>
      <x:c r="C2904" t="str">
        <x:v>200565</x:v>
      </x:c>
      <x:c r="D2904" t="str">
        <x:v>Sri Jagannath Medical College &amp; Hospital, Puri, BALIGUALI SAMANGARA PURI PIN 752004 ODISHA</x:v>
      </x:c>
      <x:c r="E2904" t="str">
        <x:v>All India</x:v>
      </x:c>
      <x:c r="F2904" t="str">
        <x:v>EWS</x:v>
      </x:c>
      <x:c r="G2904" t="n">
        <x:v>2</x:v>
      </x:c>
      <x:c r="H2904" t="n">
        <x:v>2</x:v>
      </x:c>
      <x:c r="I2904" t="n">
        <x:f>G2904-H2904</x:f>
        <x:v>0</x:v>
      </x:c>
      <x:c r="J2904" s="20" t="n">
        <x:f>IFERROR(H2904/G2904,0)</x:f>
        <x:v>1</x:v>
      </x:c>
      <x:c r="K2904" t="n">
        <x:v>12013</x:v>
      </x:c>
      <x:c r="L2904" t="n">
        <x:v>12094.75</x:v>
      </x:c>
      <x:c r="M2904" t="n">
        <x:v>12176.5</x:v>
      </x:c>
      <x:c r="N2904" t="n">
        <x:v>12258.25</x:v>
      </x:c>
      <x:c r="O2904" t="n">
        <x:v>12340</x:v>
      </x:c>
    </x:row>
    <x:row r="2905">
      <x:c r="A2905" t="str">
        <x:v>Odisha</x:v>
      </x:c>
      <x:c r="B2905" t="str">
        <x:v>All India except Central University</x:v>
      </x:c>
      <x:c r="C2905" t="str">
        <x:v>200565</x:v>
      </x:c>
      <x:c r="D2905" t="str">
        <x:v>Sri Jagannath Medical College &amp; Hospital, Puri, BALIGUALI SAMANGARA PURI PIN 752004 ODISHA</x:v>
      </x:c>
      <x:c r="E2905" t="str">
        <x:v>All India</x:v>
      </x:c>
      <x:c r="F2905" t="str">
        <x:v>OBC</x:v>
      </x:c>
      <x:c r="G2905" t="n">
        <x:v>4</x:v>
      </x:c>
      <x:c r="H2905" t="n">
        <x:v>4</x:v>
      </x:c>
      <x:c r="I2905" t="n">
        <x:f>G2905-H2905</x:f>
        <x:v>0</x:v>
      </x:c>
      <x:c r="J2905" s="20" t="n">
        <x:f>IFERROR(H2905/G2905,0)</x:f>
        <x:v>1</x:v>
      </x:c>
      <x:c r="K2905" t="n">
        <x:v>8871</x:v>
      </x:c>
      <x:c r="L2905" t="n">
        <x:v>9182.25</x:v>
      </x:c>
      <x:c r="M2905" t="n">
        <x:v>9334</x:v>
      </x:c>
      <x:c r="N2905" t="n">
        <x:v>9388</x:v>
      </x:c>
      <x:c r="O2905" t="n">
        <x:v>9406</x:v>
      </x:c>
    </x:row>
    <x:row r="2906">
      <x:c r="A2906" t="str">
        <x:v>Odisha</x:v>
      </x:c>
      <x:c r="B2906" t="str">
        <x:v>All India except Central University</x:v>
      </x:c>
      <x:c r="C2906" t="str">
        <x:v>200565</x:v>
      </x:c>
      <x:c r="D2906" t="str">
        <x:v>Sri Jagannath Medical College &amp; Hospital, Puri, BALIGUALI SAMANGARA PURI PIN 752004 ODISHA</x:v>
      </x:c>
      <x:c r="E2906" t="str">
        <x:v>All India</x:v>
      </x:c>
      <x:c r="F2906" t="str">
        <x:v>Open</x:v>
      </x:c>
      <x:c r="G2906" t="n">
        <x:v>6</x:v>
      </x:c>
      <x:c r="H2906" t="n">
        <x:v>6</x:v>
      </x:c>
      <x:c r="I2906" t="n">
        <x:f>G2906-H2906</x:f>
        <x:v>0</x:v>
      </x:c>
      <x:c r="J2906" s="20" t="n">
        <x:f>IFERROR(H2906/G2906,0)</x:f>
        <x:v>1</x:v>
      </x:c>
      <x:c r="K2906" t="n">
        <x:v>6324</x:v>
      </x:c>
      <x:c r="L2906" t="n">
        <x:v>6391.75</x:v>
      </x:c>
      <x:c r="M2906" t="n">
        <x:v>6744</x:v>
      </x:c>
      <x:c r="N2906" t="n">
        <x:v>7110.5</x:v>
      </x:c>
      <x:c r="O2906" t="n">
        <x:v>8157</x:v>
      </x:c>
    </x:row>
    <x:row r="2907">
      <x:c r="A2907" t="str">
        <x:v>Odisha</x:v>
      </x:c>
      <x:c r="B2907" t="str">
        <x:v>All India except Central University</x:v>
      </x:c>
      <x:c r="C2907" t="str">
        <x:v>200565</x:v>
      </x:c>
      <x:c r="D2907" t="str">
        <x:v>Sri Jagannath Medical College &amp; Hospital, Puri, BALIGUALI SAMANGARA PURI PIN 752004 ODISHA</x:v>
      </x:c>
      <x:c r="E2907" t="str">
        <x:v>All India</x:v>
      </x:c>
      <x:c r="F2907" t="str">
        <x:v>SC</x:v>
      </x:c>
      <x:c r="G2907" t="n">
        <x:v>2</x:v>
      </x:c>
      <x:c r="H2907" t="n">
        <x:v>2</x:v>
      </x:c>
      <x:c r="I2907" t="n">
        <x:f>G2907-H2907</x:f>
        <x:v>0</x:v>
      </x:c>
      <x:c r="J2907" s="20" t="n">
        <x:f>IFERROR(H2907/G2907,0)</x:f>
        <x:v>1</x:v>
      </x:c>
      <x:c r="K2907" t="n">
        <x:v>42387</x:v>
      </x:c>
      <x:c r="L2907" t="n">
        <x:v>43701.25</x:v>
      </x:c>
      <x:c r="M2907" t="n">
        <x:v>45015.5</x:v>
      </x:c>
      <x:c r="N2907" t="n">
        <x:v>46329.75</x:v>
      </x:c>
      <x:c r="O2907" t="n">
        <x:v>47644</x:v>
      </x:c>
    </x:row>
    <x:row r="2908">
      <x:c r="A2908" t="str">
        <x:v>Odisha</x:v>
      </x:c>
      <x:c r="B2908" t="str">
        <x:v>All India except Central University</x:v>
      </x:c>
      <x:c r="C2908" t="str">
        <x:v>200565</x:v>
      </x:c>
      <x:c r="D2908" t="str">
        <x:v>Sri Jagannath Medical College &amp; Hospital, Puri, BALIGUALI SAMANGARA PURI PIN 752004 ODISHA</x:v>
      </x:c>
      <x:c r="E2908" t="str">
        <x:v>All India</x:v>
      </x:c>
      <x:c r="F2908" t="str">
        <x:v>ST</x:v>
      </x:c>
      <x:c r="G2908" t="n">
        <x:v>1</x:v>
      </x:c>
      <x:c r="H2908" t="n">
        <x:v>1</x:v>
      </x:c>
      <x:c r="I2908" t="n">
        <x:f>G2908-H2908</x:f>
        <x:v>0</x:v>
      </x:c>
      <x:c r="J2908" s="20" t="n">
        <x:f>IFERROR(H2908/G2908,0)</x:f>
        <x:v>1</x:v>
      </x:c>
      <x:c r="K2908" t="n">
        <x:v>112712</x:v>
      </x:c>
      <x:c r="L2908" t="n">
        <x:v>112712</x:v>
      </x:c>
      <x:c r="M2908" t="n">
        <x:v>112712</x:v>
      </x:c>
      <x:c r="N2908" t="n">
        <x:v>112712</x:v>
      </x:c>
      <x:c r="O2908" t="n">
        <x:v>112712</x:v>
      </x:c>
    </x:row>
    <x:row r="2909">
      <x:c r="A2909" t="str">
        <x:v>Puducherry</x:v>
      </x:c>
      <x:c r="B2909" t="str">
        <x:v>Deemed University</x:v>
      </x:c>
      <x:c r="C2909" t="str">
        <x:v>200380</x:v>
      </x:c>
      <x:c r="D2909" t="str">
        <x:v>Sri Lakshmi Narayana Institute of Medical Sciences, Pondicherry, OSUDU, AGARAM VILLAGE, KOODAPAKKAM POST, VILLIANUR COMMUNE, PUDUCHERRY</x:v>
      </x:c>
      <x:c r="E2909" t="str">
        <x:v>Self-Financed Merit</x:v>
      </x:c>
      <x:c r="F2909" t="str">
        <x:v>Open</x:v>
      </x:c>
      <x:c r="G2909" t="n">
        <x:v>250</x:v>
      </x:c>
      <x:c r="H2909" t="n">
        <x:v>120</x:v>
      </x:c>
      <x:c r="I2909" t="n">
        <x:f>G2909-H2909</x:f>
        <x:v>130</x:v>
      </x:c>
      <x:c r="J2909" s="20" t="n">
        <x:f>IFERROR(H2909/G2909,0)</x:f>
        <x:v>0.48</x:v>
      </x:c>
      <x:c r="K2909" t="n">
        <x:v>167005</x:v>
      </x:c>
      <x:c r="L2909" t="n">
        <x:v>845992.5</x:v>
      </x:c>
      <x:c r="M2909" t="n">
        <x:v>973704</x:v>
      </x:c>
      <x:c r="N2909" t="n">
        <x:v>1096099</x:v>
      </x:c>
      <x:c r="O2909" t="n">
        <x:v>1187171</x:v>
      </x:c>
    </x:row>
    <x:row r="2910">
      <x:c r="A2910" t="str">
        <x:v>Tamil Nadu</x:v>
      </x:c>
      <x:c r="B2910" t="str">
        <x:v>Deemed University</x:v>
      </x:c>
      <x:c r="C2910" t="str">
        <x:v>200396</x:v>
      </x:c>
      <x:c r="D2910" t="str">
        <x:v>Sri Ramachandra Medical College &amp; Research Institute, Chennai, No. One Ramachandra Nagar, Porur, Chennai., Tamil Nadu, 600116</x:v>
      </x:c>
      <x:c r="E2910" t="str">
        <x:v>NRI</x:v>
      </x:c>
      <x:c r="F2910" t="str">
        <x:v>Open</x:v>
      </x:c>
      <x:c r="G2910" t="n">
        <x:v>38</x:v>
      </x:c>
      <x:c r="H2910" t="n">
        <x:v>20</x:v>
      </x:c>
      <x:c r="I2910" t="n">
        <x:f>G2910-H2910</x:f>
        <x:v>18</x:v>
      </x:c>
      <x:c r="J2910" s="20" t="n">
        <x:f>IFERROR(H2910/G2910,0)</x:f>
        <x:v>0.5263157894736842</x:v>
      </x:c>
      <x:c r="K2910" t="n">
        <x:v>389274</x:v>
      </x:c>
      <x:c r="L2910" t="n">
        <x:v>633323</x:v>
      </x:c>
      <x:c r="M2910" t="n">
        <x:v>809228.5</x:v>
      </x:c>
      <x:c r="N2910" t="n">
        <x:v>912284.5</x:v>
      </x:c>
      <x:c r="O2910" t="n">
        <x:v>983126</x:v>
      </x:c>
    </x:row>
    <x:row r="2911">
      <x:c r="A2911" t="str">
        <x:v>Tamil Nadu</x:v>
      </x:c>
      <x:c r="B2911" t="str">
        <x:v>Deemed University</x:v>
      </x:c>
      <x:c r="C2911" t="str">
        <x:v>200396</x:v>
      </x:c>
      <x:c r="D2911" t="str">
        <x:v>Sri Ramachandra Medical College &amp; Research Institute, Chennai, No. One Ramachandra Nagar, Porur, Chennai., Tamil Nadu, 600116</x:v>
      </x:c>
      <x:c r="E2911" t="str">
        <x:v>Self-Financed Merit</x:v>
      </x:c>
      <x:c r="F2911" t="str">
        <x:v>Open</x:v>
      </x:c>
      <x:c r="G2911" t="n">
        <x:v>212</x:v>
      </x:c>
      <x:c r="H2911" t="n">
        <x:v>212</x:v>
      </x:c>
      <x:c r="I2911" t="n">
        <x:f>G2911-H2911</x:f>
        <x:v>0</x:v>
      </x:c>
      <x:c r="J2911" s="20" t="n">
        <x:f>IFERROR(H2911/G2911,0)</x:f>
        <x:v>1</x:v>
      </x:c>
      <x:c r="K2911" t="n">
        <x:v>2780</x:v>
      </x:c>
      <x:c r="L2911" t="n">
        <x:v>163762.5</x:v>
      </x:c>
      <x:c r="M2911" t="n">
        <x:v>225841</x:v>
      </x:c>
      <x:c r="N2911" t="n">
        <x:v>281103.25</x:v>
      </x:c>
      <x:c r="O2911" t="n">
        <x:v>329861</x:v>
      </x:c>
    </x:row>
    <x:row r="2912">
      <x:c r="A2912" t="str">
        <x:v>Karnataka</x:v>
      </x:c>
      <x:c r="B2912" t="str">
        <x:v>Deemed University</x:v>
      </x:c>
      <x:c r="C2912" t="str">
        <x:v>200349</x:v>
      </x:c>
      <x:c r="D2912" t="str">
        <x:v>Sri Siddhartha Medical College, Tumkur, SRI SIDDHARTHA MEDICAL COLLEGE B.H. ROAD, AGALAKOTE TUMKUR</x:v>
      </x:c>
      <x:c r="E2912" t="str">
        <x:v>NRI</x:v>
      </x:c>
      <x:c r="F2912" t="str">
        <x:v>Open</x:v>
      </x:c>
      <x:c r="G2912" t="n">
        <x:v>38</x:v>
      </x:c>
      <x:c r="H2912" t="n">
        <x:v>0</x:v>
      </x:c>
      <x:c r="I2912" t="n">
        <x:f>G2912-H2912</x:f>
        <x:v>38</x:v>
      </x:c>
      <x:c r="J2912" s="20" t="n">
        <x:f>IFERROR(H2912/G2912,0)</x:f>
        <x:v>0</x:v>
      </x:c>
      <x:c r="K2912"/>
      <x:c r="L2912"/>
      <x:c r="M2912"/>
      <x:c r="N2912"/>
      <x:c r="O2912"/>
    </x:row>
    <x:row r="2913">
      <x:c r="A2913" t="str">
        <x:v>Karnataka</x:v>
      </x:c>
      <x:c r="B2913" t="str">
        <x:v>Deemed University</x:v>
      </x:c>
      <x:c r="C2913" t="str">
        <x:v>200349</x:v>
      </x:c>
      <x:c r="D2913" t="str">
        <x:v>Sri Siddhartha Medical College, Tumkur, SRI SIDDHARTHA MEDICAL COLLEGE B.H. ROAD, AGALAKOTE TUMKUR</x:v>
      </x:c>
      <x:c r="E2913" t="str">
        <x:v>Self-Financed Merit</x:v>
      </x:c>
      <x:c r="F2913" t="str">
        <x:v>Open</x:v>
      </x:c>
      <x:c r="G2913" t="n">
        <x:v>212</x:v>
      </x:c>
      <x:c r="H2913" t="n">
        <x:v>212</x:v>
      </x:c>
      <x:c r="I2913" t="n">
        <x:f>G2913-H2913</x:f>
        <x:v>0</x:v>
      </x:c>
      <x:c r="J2913" s="20" t="n">
        <x:f>IFERROR(H2913/G2913,0)</x:f>
        <x:v>1</x:v>
      </x:c>
      <x:c r="K2913" t="n">
        <x:v>70298</x:v>
      </x:c>
      <x:c r="L2913" t="n">
        <x:v>228302.75</x:v>
      </x:c>
      <x:c r="M2913" t="n">
        <x:v>285328</x:v>
      </x:c>
      <x:c r="N2913" t="n">
        <x:v>323025.5</x:v>
      </x:c>
      <x:c r="O2913" t="n">
        <x:v>353346</x:v>
      </x:c>
    </x:row>
    <x:row r="2914">
      <x:c r="A2914" t="str">
        <x:v>Karnataka</x:v>
      </x:c>
      <x:c r="B2914" t="str">
        <x:v>Deemed University</x:v>
      </x:c>
      <x:c r="C2914" t="str">
        <x:v>200472</x:v>
      </x:c>
      <x:c r="D2914" t="str">
        <x:v>Sri siddhartha Institute of Medical Sciences &amp; Research Centre, Bangalore, SRI SIDDHARTHA INSTITUTE OF MEDICAL SCIENCES AND RESEARCH CENTRE T BEGUR NELAMANGALA TALUK BANGALOR</x:v>
      </x:c>
      <x:c r="E2914" t="str">
        <x:v>NRI</x:v>
      </x:c>
      <x:c r="F2914" t="str">
        <x:v>Open</x:v>
      </x:c>
      <x:c r="G2914" t="n">
        <x:v>38</x:v>
      </x:c>
      <x:c r="H2914" t="n">
        <x:v>0</x:v>
      </x:c>
      <x:c r="I2914" t="n">
        <x:f>G2914-H2914</x:f>
        <x:v>38</x:v>
      </x:c>
      <x:c r="J2914" s="20" t="n">
        <x:f>IFERROR(H2914/G2914,0)</x:f>
        <x:v>0</x:v>
      </x:c>
      <x:c r="K2914"/>
      <x:c r="L2914"/>
      <x:c r="M2914"/>
      <x:c r="N2914"/>
      <x:c r="O2914"/>
    </x:row>
    <x:row r="2915">
      <x:c r="A2915" t="str">
        <x:v>Karnataka</x:v>
      </x:c>
      <x:c r="B2915" t="str">
        <x:v>Deemed University</x:v>
      </x:c>
      <x:c r="C2915" t="str">
        <x:v>200472</x:v>
      </x:c>
      <x:c r="D2915" t="str">
        <x:v>Sri siddhartha Institute of Medical Sciences &amp; Research Centre, Bangalore, SRI SIDDHARTHA INSTITUTE OF MEDICAL SCIENCES AND RESEARCH CENTRE T BEGUR NELAMANGALA TALUK BANGALOR</x:v>
      </x:c>
      <x:c r="E2915" t="str">
        <x:v>Self-Financed Merit</x:v>
      </x:c>
      <x:c r="F2915" t="str">
        <x:v>Open</x:v>
      </x:c>
      <x:c r="G2915" t="n">
        <x:v>212</x:v>
      </x:c>
      <x:c r="H2915" t="n">
        <x:v>212</x:v>
      </x:c>
      <x:c r="I2915" t="n">
        <x:f>G2915-H2915</x:f>
        <x:v>0</x:v>
      </x:c>
      <x:c r="J2915" s="20" t="n">
        <x:f>IFERROR(H2915/G2915,0)</x:f>
        <x:v>1</x:v>
      </x:c>
      <x:c r="K2915" t="n">
        <x:v>76096</x:v>
      </x:c>
      <x:c r="L2915" t="n">
        <x:v>300895.75</x:v>
      </x:c>
      <x:c r="M2915" t="n">
        <x:v>370004.5</x:v>
      </x:c>
      <x:c r="N2915" t="n">
        <x:v>395943.75</x:v>
      </x:c>
      <x:c r="O2915" t="n">
        <x:v>419640</x:v>
      </x:c>
    </x:row>
    <x:row r="2916">
      <x:c r="A2916" t="str">
        <x:v>Tamil Nadu</x:v>
      </x:c>
      <x:c r="B2916" t="str">
        <x:v>Deemed University</x:v>
      </x:c>
      <x:c r="C2916" t="str">
        <x:v>904747</x:v>
      </x:c>
      <x:c r="D2916" t="str">
        <x:v>Srinivasan Medical College and Hospital, NH-45, TRICHY - CHENNAI TRUNK ROAD, NEAR TOLL PLAZA, SAMAYAPURAM, TIRUCHIRAPPALLI - 621 112.</x:v>
      </x:c>
      <x:c r="E2916" t="str">
        <x:v>NRI</x:v>
      </x:c>
      <x:c r="F2916" t="str">
        <x:v>Open</x:v>
      </x:c>
      <x:c r="G2916" t="n">
        <x:v>25</x:v>
      </x:c>
      <x:c r="H2916" t="n">
        <x:v>0</x:v>
      </x:c>
      <x:c r="I2916" t="n">
        <x:f>G2916-H2916</x:f>
        <x:v>25</x:v>
      </x:c>
      <x:c r="J2916" s="20" t="n">
        <x:f>IFERROR(H2916/G2916,0)</x:f>
        <x:v>0</x:v>
      </x:c>
      <x:c r="K2916"/>
      <x:c r="L2916"/>
      <x:c r="M2916"/>
      <x:c r="N2916"/>
      <x:c r="O2916"/>
    </x:row>
    <x:row r="2917">
      <x:c r="A2917" t="str">
        <x:v>Tamil Nadu</x:v>
      </x:c>
      <x:c r="B2917" t="str">
        <x:v>Deemed University</x:v>
      </x:c>
      <x:c r="C2917" t="str">
        <x:v>904747</x:v>
      </x:c>
      <x:c r="D2917" t="str">
        <x:v>Srinivasan Medical College and Hospital, NH-45, TRICHY - CHENNAI TRUNK ROAD, NEAR TOLL PLAZA, SAMAYAPURAM, TIRUCHIRAPPALLI - 621 112.</x:v>
      </x:c>
      <x:c r="E2917" t="str">
        <x:v>Self-Financed Merit</x:v>
      </x:c>
      <x:c r="F2917" t="str">
        <x:v>Open</x:v>
      </x:c>
      <x:c r="G2917" t="n">
        <x:v>225</x:v>
      </x:c>
      <x:c r="H2917" t="n">
        <x:v>178</x:v>
      </x:c>
      <x:c r="I2917" t="n">
        <x:f>G2917-H2917</x:f>
        <x:v>47</x:v>
      </x:c>
      <x:c r="J2917" s="20" t="n">
        <x:f>IFERROR(H2917/G2917,0)</x:f>
        <x:v>0.7911111111111111</x:v>
      </x:c>
      <x:c r="K2917" t="n">
        <x:v>176192</x:v>
      </x:c>
      <x:c r="L2917" t="n">
        <x:v>696854</x:v>
      </x:c>
      <x:c r="M2917" t="n">
        <x:v>990368</x:v>
      </x:c>
      <x:c r="N2917" t="n">
        <x:v>1096009</x:v>
      </x:c>
      <x:c r="O2917" t="n">
        <x:v>1194179</x:v>
      </x:c>
    </x:row>
    <x:row r="2918">
      <x:c r="A2918" t="str">
        <x:v>Tamil Nadu</x:v>
      </x:c>
      <x:c r="B2918" t="str">
        <x:v>All India except Central University</x:v>
      </x:c>
      <x:c r="C2918" t="str">
        <x:v>200279</x:v>
      </x:c>
      <x:c r="D2918" t="str">
        <x:v>Stanley Medical College, Chennai, No.1, Old Jail Road Chennai</x:v>
      </x:c>
      <x:c r="E2918" t="str">
        <x:v>All India</x:v>
      </x:c>
      <x:c r="F2918" t="str">
        <x:v>EWS</x:v>
      </x:c>
      <x:c r="G2918" t="n">
        <x:v>4</x:v>
      </x:c>
      <x:c r="H2918" t="n">
        <x:v>4</x:v>
      </x:c>
      <x:c r="I2918" t="n">
        <x:f>G2918-H2918</x:f>
        <x:v>0</x:v>
      </x:c>
      <x:c r="J2918" s="20" t="n">
        <x:f>IFERROR(H2918/G2918,0)</x:f>
        <x:v>1</x:v>
      </x:c>
      <x:c r="K2918" t="n">
        <x:v>4867</x:v>
      </x:c>
      <x:c r="L2918" t="n">
        <x:v>5584</x:v>
      </x:c>
      <x:c r="M2918" t="n">
        <x:v>6056</x:v>
      </x:c>
      <x:c r="N2918" t="n">
        <x:v>6321</x:v>
      </x:c>
      <x:c r="O2918" t="n">
        <x:v>6417</x:v>
      </x:c>
    </x:row>
    <x:row r="2919">
      <x:c r="A2919" t="str">
        <x:v>Tamil Nadu</x:v>
      </x:c>
      <x:c r="B2919" t="str">
        <x:v>All India except Central University</x:v>
      </x:c>
      <x:c r="C2919" t="str">
        <x:v>200279</x:v>
      </x:c>
      <x:c r="D2919" t="str">
        <x:v>Stanley Medical College, Chennai, No.1, Old Jail Road Chennai</x:v>
      </x:c>
      <x:c r="E2919" t="str">
        <x:v>All India</x:v>
      </x:c>
      <x:c r="F2919" t="str">
        <x:v>OBC</x:v>
      </x:c>
      <x:c r="G2919" t="n">
        <x:v>9</x:v>
      </x:c>
      <x:c r="H2919" t="n">
        <x:v>9</x:v>
      </x:c>
      <x:c r="I2919" t="n">
        <x:f>G2919-H2919</x:f>
        <x:v>0</x:v>
      </x:c>
      <x:c r="J2919" s="20" t="n">
        <x:f>IFERROR(H2919/G2919,0)</x:f>
        <x:v>1</x:v>
      </x:c>
      <x:c r="K2919" t="n">
        <x:v>1181</x:v>
      </x:c>
      <x:c r="L2919" t="n">
        <x:v>1242</x:v>
      </x:c>
      <x:c r="M2919" t="n">
        <x:v>1319</x:v>
      </x:c>
      <x:c r="N2919" t="n">
        <x:v>1330</x:v>
      </x:c>
      <x:c r="O2919" t="n">
        <x:v>1537</x:v>
      </x:c>
    </x:row>
    <x:row r="2920">
      <x:c r="A2920" t="str">
        <x:v>Tamil Nadu</x:v>
      </x:c>
      <x:c r="B2920" t="str">
        <x:v>All India except Central University</x:v>
      </x:c>
      <x:c r="C2920" t="str">
        <x:v>200279</x:v>
      </x:c>
      <x:c r="D2920" t="str">
        <x:v>Stanley Medical College, Chennai, No.1, Old Jail Road Chennai</x:v>
      </x:c>
      <x:c r="E2920" t="str">
        <x:v>All India</x:v>
      </x:c>
      <x:c r="F2920" t="str">
        <x:v>OBC PwD</x:v>
      </x:c>
      <x:c r="G2920" t="n">
        <x:v>1</x:v>
      </x:c>
      <x:c r="H2920" t="n">
        <x:v>1</x:v>
      </x:c>
      <x:c r="I2920" t="n">
        <x:f>G2920-H2920</x:f>
        <x:v>0</x:v>
      </x:c>
      <x:c r="J2920" s="20" t="n">
        <x:f>IFERROR(H2920/G2920,0)</x:f>
        <x:v>1</x:v>
      </x:c>
      <x:c r="K2920" t="n">
        <x:v>321899</x:v>
      </x:c>
      <x:c r="L2920" t="n">
        <x:v>321899</x:v>
      </x:c>
      <x:c r="M2920" t="n">
        <x:v>321899</x:v>
      </x:c>
      <x:c r="N2920" t="n">
        <x:v>321899</x:v>
      </x:c>
      <x:c r="O2920" t="n">
        <x:v>321899</x:v>
      </x:c>
    </x:row>
    <x:row r="2921">
      <x:c r="A2921" t="str">
        <x:v>Tamil Nadu</x:v>
      </x:c>
      <x:c r="B2921" t="str">
        <x:v>All India except Central University</x:v>
      </x:c>
      <x:c r="C2921" t="str">
        <x:v>200279</x:v>
      </x:c>
      <x:c r="D2921" t="str">
        <x:v>Stanley Medical College, Chennai, No.1, Old Jail Road Chennai</x:v>
      </x:c>
      <x:c r="E2921" t="str">
        <x:v>All India</x:v>
      </x:c>
      <x:c r="F2921" t="str">
        <x:v>Open</x:v>
      </x:c>
      <x:c r="G2921" t="n">
        <x:v>14</x:v>
      </x:c>
      <x:c r="H2921" t="n">
        <x:v>14</x:v>
      </x:c>
      <x:c r="I2921" t="n">
        <x:f>G2921-H2921</x:f>
        <x:v>0</x:v>
      </x:c>
      <x:c r="J2921" s="20" t="n">
        <x:f>IFERROR(H2921/G2921,0)</x:f>
        <x:v>1</x:v>
      </x:c>
      <x:c r="K2921" t="n">
        <x:v>693</x:v>
      </x:c>
      <x:c r="L2921" t="n">
        <x:v>851</x:v>
      </x:c>
      <x:c r="M2921" t="n">
        <x:v>1007</x:v>
      </x:c>
      <x:c r="N2921" t="n">
        <x:v>1099.5</x:v>
      </x:c>
      <x:c r="O2921" t="n">
        <x:v>1180</x:v>
      </x:c>
    </x:row>
    <x:row r="2922">
      <x:c r="A2922" t="str">
        <x:v>Tamil Nadu</x:v>
      </x:c>
      <x:c r="B2922" t="str">
        <x:v>All India except Central University</x:v>
      </x:c>
      <x:c r="C2922" t="str">
        <x:v>200279</x:v>
      </x:c>
      <x:c r="D2922" t="str">
        <x:v>Stanley Medical College, Chennai, No.1, Old Jail Road Chennai</x:v>
      </x:c>
      <x:c r="E2922" t="str">
        <x:v>All India</x:v>
      </x:c>
      <x:c r="F2922" t="str">
        <x:v>SC</x:v>
      </x:c>
      <x:c r="G2922" t="n">
        <x:v>5</x:v>
      </x:c>
      <x:c r="H2922" t="n">
        <x:v>5</x:v>
      </x:c>
      <x:c r="I2922" t="n">
        <x:f>G2922-H2922</x:f>
        <x:v>0</x:v>
      </x:c>
      <x:c r="J2922" s="20" t="n">
        <x:f>IFERROR(H2922/G2922,0)</x:f>
        <x:v>1</x:v>
      </x:c>
      <x:c r="K2922" t="n">
        <x:v>4671</x:v>
      </x:c>
      <x:c r="L2922" t="n">
        <x:v>5063</x:v>
      </x:c>
      <x:c r="M2922" t="n">
        <x:v>5404</x:v>
      </x:c>
      <x:c r="N2922" t="n">
        <x:v>7693</x:v>
      </x:c>
      <x:c r="O2922" t="n">
        <x:v>8559</x:v>
      </x:c>
    </x:row>
    <x:row r="2923">
      <x:c r="A2923" t="str">
        <x:v>Tamil Nadu</x:v>
      </x:c>
      <x:c r="B2923" t="str">
        <x:v>All India except Central University</x:v>
      </x:c>
      <x:c r="C2923" t="str">
        <x:v>200279</x:v>
      </x:c>
      <x:c r="D2923" t="str">
        <x:v>Stanley Medical College, Chennai, No.1, Old Jail Road Chennai</x:v>
      </x:c>
      <x:c r="E2923" t="str">
        <x:v>All India</x:v>
      </x:c>
      <x:c r="F2923" t="str">
        <x:v>SC PwD</x:v>
      </x:c>
      <x:c r="G2923" t="n">
        <x:v>1</x:v>
      </x:c>
      <x:c r="H2923" t="n">
        <x:v>1</x:v>
      </x:c>
      <x:c r="I2923" t="n">
        <x:f>G2923-H2923</x:f>
        <x:v>0</x:v>
      </x:c>
      <x:c r="J2923" s="20" t="n">
        <x:f>IFERROR(H2923/G2923,0)</x:f>
        <x:v>1</x:v>
      </x:c>
      <x:c r="K2923" t="n">
        <x:v>447752</x:v>
      </x:c>
      <x:c r="L2923" t="n">
        <x:v>447752</x:v>
      </x:c>
      <x:c r="M2923" t="n">
        <x:v>447752</x:v>
      </x:c>
      <x:c r="N2923" t="n">
        <x:v>447752</x:v>
      </x:c>
      <x:c r="O2923" t="n">
        <x:v>447752</x:v>
      </x:c>
    </x:row>
    <x:row r="2924">
      <x:c r="A2924" t="str">
        <x:v>Tamil Nadu</x:v>
      </x:c>
      <x:c r="B2924" t="str">
        <x:v>All India except Central University</x:v>
      </x:c>
      <x:c r="C2924" t="str">
        <x:v>200279</x:v>
      </x:c>
      <x:c r="D2924" t="str">
        <x:v>Stanley Medical College, Chennai, No.1, Old Jail Road Chennai</x:v>
      </x:c>
      <x:c r="E2924" t="str">
        <x:v>All India</x:v>
      </x:c>
      <x:c r="F2924" t="str">
        <x:v>ST</x:v>
      </x:c>
      <x:c r="G2924" t="n">
        <x:v>2</x:v>
      </x:c>
      <x:c r="H2924" t="n">
        <x:v>2</x:v>
      </x:c>
      <x:c r="I2924" t="n">
        <x:f>G2924-H2924</x:f>
        <x:v>0</x:v>
      </x:c>
      <x:c r="J2924" s="20" t="n">
        <x:f>IFERROR(H2924/G2924,0)</x:f>
        <x:v>1</x:v>
      </x:c>
      <x:c r="K2924" t="n">
        <x:v>24304</x:v>
      </x:c>
      <x:c r="L2924" t="n">
        <x:v>29553.5</x:v>
      </x:c>
      <x:c r="M2924" t="n">
        <x:v>34803</x:v>
      </x:c>
      <x:c r="N2924" t="n">
        <x:v>40052.5</x:v>
      </x:c>
      <x:c r="O2924" t="n">
        <x:v>45302</x:v>
      </x:c>
    </x:row>
    <x:row r="2925">
      <x:c r="A2925" t="str">
        <x:v>Tamil Nadu</x:v>
      </x:c>
      <x:c r="B2925" t="str">
        <x:v>All India except Central University</x:v>
      </x:c>
      <x:c r="C2925" t="str">
        <x:v>200279</x:v>
      </x:c>
      <x:c r="D2925" t="str">
        <x:v>Stanley Medical College, Chennai, No.1, Old Jail Road Chennai</x:v>
      </x:c>
      <x:c r="E2925" t="str">
        <x:v>All India</x:v>
      </x:c>
      <x:c r="F2925" t="str">
        <x:v>ST PwD</x:v>
      </x:c>
      <x:c r="G2925" t="n">
        <x:v>1</x:v>
      </x:c>
      <x:c r="H2925" t="n">
        <x:v>1</x:v>
      </x:c>
      <x:c r="I2925" t="n">
        <x:f>G2925-H2925</x:f>
        <x:v>0</x:v>
      </x:c>
      <x:c r="J2925" s="20" t="n">
        <x:f>IFERROR(H2925/G2925,0)</x:f>
        <x:v>1</x:v>
      </x:c>
      <x:c r="K2925" t="n">
        <x:v>661613</x:v>
      </x:c>
      <x:c r="L2925" t="n">
        <x:v>661613</x:v>
      </x:c>
      <x:c r="M2925" t="n">
        <x:v>661613</x:v>
      </x:c>
      <x:c r="N2925" t="n">
        <x:v>661613</x:v>
      </x:c>
      <x:c r="O2925" t="n">
        <x:v>661613</x:v>
      </x:c>
    </x:row>
    <x:row r="2926">
      <x:c r="A2926" t="str">
        <x:v>Madhya Pradesh</x:v>
      </x:c>
      <x:c r="B2926" t="str">
        <x:v>All India except Central University</x:v>
      </x:c>
      <x:c r="C2926" t="str">
        <x:v>902826</x:v>
      </x:c>
      <x:c r="D2926" t="str">
        <x:v>Sundarlal Patwa Govt. Medical College, Dean Office, Sunderlal Patwa Government Medical College, Mhow Neemuch Bypass, Mandsaur M.P.</x:v>
      </x:c>
      <x:c r="E2926" t="str">
        <x:v>All India</x:v>
      </x:c>
      <x:c r="F2926" t="str">
        <x:v>EWS</x:v>
      </x:c>
      <x:c r="G2926" t="n">
        <x:v>2</x:v>
      </x:c>
      <x:c r="H2926" t="n">
        <x:v>2</x:v>
      </x:c>
      <x:c r="I2926" t="n">
        <x:f>G2926-H2926</x:f>
        <x:v>0</x:v>
      </x:c>
      <x:c r="J2926" s="20" t="n">
        <x:f>IFERROR(H2926/G2926,0)</x:f>
        <x:v>1</x:v>
      </x:c>
      <x:c r="K2926" t="n">
        <x:v>16179</x:v>
      </x:c>
      <x:c r="L2926" t="n">
        <x:v>16300.75</x:v>
      </x:c>
      <x:c r="M2926" t="n">
        <x:v>16422.5</x:v>
      </x:c>
      <x:c r="N2926" t="n">
        <x:v>16544.25</x:v>
      </x:c>
      <x:c r="O2926" t="n">
        <x:v>16666</x:v>
      </x:c>
    </x:row>
    <x:row r="2927">
      <x:c r="A2927" t="str">
        <x:v>Madhya Pradesh</x:v>
      </x:c>
      <x:c r="B2927" t="str">
        <x:v>All India except Central University</x:v>
      </x:c>
      <x:c r="C2927" t="str">
        <x:v>902826</x:v>
      </x:c>
      <x:c r="D2927" t="str">
        <x:v>Sundarlal Patwa Govt. Medical College, Dean Office, Sunderlal Patwa Government Medical College, Mhow Neemuch Bypass, Mandsaur M.P.</x:v>
      </x:c>
      <x:c r="E2927" t="str">
        <x:v>All India</x:v>
      </x:c>
      <x:c r="F2927" t="str">
        <x:v>OBC</x:v>
      </x:c>
      <x:c r="G2927" t="n">
        <x:v>3</x:v>
      </x:c>
      <x:c r="H2927" t="n">
        <x:v>3</x:v>
      </x:c>
      <x:c r="I2927" t="n">
        <x:f>G2927-H2927</x:f>
        <x:v>0</x:v>
      </x:c>
      <x:c r="J2927" s="20" t="n">
        <x:f>IFERROR(H2927/G2927,0)</x:f>
        <x:v>1</x:v>
      </x:c>
      <x:c r="K2927" t="n">
        <x:v>14830</x:v>
      </x:c>
      <x:c r="L2927" t="n">
        <x:v>14835.5</x:v>
      </x:c>
      <x:c r="M2927" t="n">
        <x:v>14841</x:v>
      </x:c>
      <x:c r="N2927" t="n">
        <x:v>15004.5</x:v>
      </x:c>
      <x:c r="O2927" t="n">
        <x:v>15168</x:v>
      </x:c>
    </x:row>
    <x:row r="2928">
      <x:c r="A2928" t="str">
        <x:v>Madhya Pradesh</x:v>
      </x:c>
      <x:c r="B2928" t="str">
        <x:v>All India except Central University</x:v>
      </x:c>
      <x:c r="C2928" t="str">
        <x:v>902826</x:v>
      </x:c>
      <x:c r="D2928" t="str">
        <x:v>Sundarlal Patwa Govt. Medical College, Dean Office, Sunderlal Patwa Government Medical College, Mhow Neemuch Bypass, Mandsaur M.P.</x:v>
      </x:c>
      <x:c r="E2928" t="str">
        <x:v>All India</x:v>
      </x:c>
      <x:c r="F2928" t="str">
        <x:v>OBC PwD</x:v>
      </x:c>
      <x:c r="G2928" t="n">
        <x:v>1</x:v>
      </x:c>
      <x:c r="H2928" t="n">
        <x:v>1</x:v>
      </x:c>
      <x:c r="I2928" t="n">
        <x:f>G2928-H2928</x:f>
        <x:v>0</x:v>
      </x:c>
      <x:c r="J2928" s="20" t="n">
        <x:f>IFERROR(H2928/G2928,0)</x:f>
        <x:v>1</x:v>
      </x:c>
      <x:c r="K2928" t="n">
        <x:v>644254</x:v>
      </x:c>
      <x:c r="L2928" t="n">
        <x:v>644254</x:v>
      </x:c>
      <x:c r="M2928" t="n">
        <x:v>644254</x:v>
      </x:c>
      <x:c r="N2928" t="n">
        <x:v>644254</x:v>
      </x:c>
      <x:c r="O2928" t="n">
        <x:v>644254</x:v>
      </x:c>
    </x:row>
    <x:row r="2929">
      <x:c r="A2929" t="str">
        <x:v>Madhya Pradesh</x:v>
      </x:c>
      <x:c r="B2929" t="str">
        <x:v>All India except Central University</x:v>
      </x:c>
      <x:c r="C2929" t="str">
        <x:v>902826</x:v>
      </x:c>
      <x:c r="D2929" t="str">
        <x:v>Sundarlal Patwa Govt. Medical College, Dean Office, Sunderlal Patwa Government Medical College, Mhow Neemuch Bypass, Mandsaur M.P.</x:v>
      </x:c>
      <x:c r="E2929" t="str">
        <x:v>All India</x:v>
      </x:c>
      <x:c r="F2929" t="str">
        <x:v>Open</x:v>
      </x:c>
      <x:c r="G2929" t="n">
        <x:v>5</x:v>
      </x:c>
      <x:c r="H2929" t="n">
        <x:v>5</x:v>
      </x:c>
      <x:c r="I2929" t="n">
        <x:f>G2929-H2929</x:f>
        <x:v>0</x:v>
      </x:c>
      <x:c r="J2929" s="20" t="n">
        <x:f>IFERROR(H2929/G2929,0)</x:f>
        <x:v>1</x:v>
      </x:c>
      <x:c r="K2929" t="n">
        <x:v>12068</x:v>
      </x:c>
      <x:c r="L2929" t="n">
        <x:v>13401</x:v>
      </x:c>
      <x:c r="M2929" t="n">
        <x:v>13923</x:v>
      </x:c>
      <x:c r="N2929" t="n">
        <x:v>14146</x:v>
      </x:c>
      <x:c r="O2929" t="n">
        <x:v>14416</x:v>
      </x:c>
    </x:row>
    <x:row r="2930">
      <x:c r="A2930" t="str">
        <x:v>Madhya Pradesh</x:v>
      </x:c>
      <x:c r="B2930" t="str">
        <x:v>All India except Central University</x:v>
      </x:c>
      <x:c r="C2930" t="str">
        <x:v>902826</x:v>
      </x:c>
      <x:c r="D2930" t="str">
        <x:v>Sundarlal Patwa Govt. Medical College, Dean Office, Sunderlal Patwa Government Medical College, Mhow Neemuch Bypass, Mandsaur M.P.</x:v>
      </x:c>
      <x:c r="E2930" t="str">
        <x:v>All India</x:v>
      </x:c>
      <x:c r="F2930" t="str">
        <x:v>SC</x:v>
      </x:c>
      <x:c r="G2930" t="n">
        <x:v>2</x:v>
      </x:c>
      <x:c r="H2930" t="n">
        <x:v>2</x:v>
      </x:c>
      <x:c r="I2930" t="n">
        <x:f>G2930-H2930</x:f>
        <x:v>0</x:v>
      </x:c>
      <x:c r="J2930" s="20" t="n">
        <x:f>IFERROR(H2930/G2930,0)</x:f>
        <x:v>1</x:v>
      </x:c>
      <x:c r="K2930" t="n">
        <x:v>73041</x:v>
      </x:c>
      <x:c r="L2930" t="n">
        <x:v>73911.5</x:v>
      </x:c>
      <x:c r="M2930" t="n">
        <x:v>74782</x:v>
      </x:c>
      <x:c r="N2930" t="n">
        <x:v>75652.5</x:v>
      </x:c>
      <x:c r="O2930" t="n">
        <x:v>76523</x:v>
      </x:c>
    </x:row>
    <x:row r="2931">
      <x:c r="A2931" t="str">
        <x:v>Madhya Pradesh</x:v>
      </x:c>
      <x:c r="B2931" t="str">
        <x:v>All India except Central University</x:v>
      </x:c>
      <x:c r="C2931" t="str">
        <x:v>902826</x:v>
      </x:c>
      <x:c r="D2931" t="str">
        <x:v>Sundarlal Patwa Govt. Medical College, Dean Office, Sunderlal Patwa Government Medical College, Mhow Neemuch Bypass, Mandsaur M.P.</x:v>
      </x:c>
      <x:c r="E2931" t="str">
        <x:v>All India</x:v>
      </x:c>
      <x:c r="F2931" t="str">
        <x:v>ST</x:v>
      </x:c>
      <x:c r="G2931" t="n">
        <x:v>2</x:v>
      </x:c>
      <x:c r="H2931" t="n">
        <x:v>2</x:v>
      </x:c>
      <x:c r="I2931" t="n">
        <x:f>G2931-H2931</x:f>
        <x:v>0</x:v>
      </x:c>
      <x:c r="J2931" s="20" t="n">
        <x:f>IFERROR(H2931/G2931,0)</x:f>
        <x:v>1</x:v>
      </x:c>
      <x:c r="K2931" t="n">
        <x:v>103932</x:v>
      </x:c>
      <x:c r="L2931" t="n">
        <x:v>104076.5</x:v>
      </x:c>
      <x:c r="M2931" t="n">
        <x:v>104221</x:v>
      </x:c>
      <x:c r="N2931" t="n">
        <x:v>104365.5</x:v>
      </x:c>
      <x:c r="O2931" t="n">
        <x:v>104510</x:v>
      </x:c>
    </x:row>
    <x:row r="2932">
      <x:c r="A2932" t="str">
        <x:v>Maharashtra</x:v>
      </x:c>
      <x:c r="B2932" t="str">
        <x:v>Deemed University</x:v>
      </x:c>
      <x:c r="C2932" t="str">
        <x:v>200527</x:v>
      </x:c>
      <x:c r="D2932" t="str">
        <x:v>Symbiosis Medical College for Women, Pune, Gram Lavale Tal Mulshi Pune</x:v>
      </x:c>
      <x:c r="E2932" t="str">
        <x:v>NRI</x:v>
      </x:c>
      <x:c r="F2932" t="str">
        <x:v>Open</x:v>
      </x:c>
      <x:c r="G2932" t="n">
        <x:v>22</x:v>
      </x:c>
      <x:c r="H2932" t="n">
        <x:v>11</x:v>
      </x:c>
      <x:c r="I2932" t="n">
        <x:f>G2932-H2932</x:f>
        <x:v>11</x:v>
      </x:c>
      <x:c r="J2932" s="20" t="n">
        <x:f>IFERROR(H2932/G2932,0)</x:f>
        <x:v>0.5</x:v>
      </x:c>
      <x:c r="K2932" t="n">
        <x:v>624661</x:v>
      </x:c>
      <x:c r="L2932" t="n">
        <x:v>704758.5</x:v>
      </x:c>
      <x:c r="M2932" t="n">
        <x:v>721808</x:v>
      </x:c>
      <x:c r="N2932" t="n">
        <x:v>861688.5</x:v>
      </x:c>
      <x:c r="O2932" t="n">
        <x:v>987122</x:v>
      </x:c>
    </x:row>
    <x:row r="2933">
      <x:c r="A2933" t="str">
        <x:v>Maharashtra</x:v>
      </x:c>
      <x:c r="B2933" t="str">
        <x:v>Deemed University</x:v>
      </x:c>
      <x:c r="C2933" t="str">
        <x:v>200527</x:v>
      </x:c>
      <x:c r="D2933" t="str">
        <x:v>Symbiosis Medical College for Women, Pune, Gram Lavale Tal Mulshi Pune</x:v>
      </x:c>
      <x:c r="E2933" t="str">
        <x:v>Self-Financed Merit</x:v>
      </x:c>
      <x:c r="F2933" t="str">
        <x:v>Open</x:v>
      </x:c>
      <x:c r="G2933" t="n">
        <x:v>128</x:v>
      </x:c>
      <x:c r="H2933" t="n">
        <x:v>128</x:v>
      </x:c>
      <x:c r="I2933" t="n">
        <x:f>G2933-H2933</x:f>
        <x:v>0</x:v>
      </x:c>
      <x:c r="J2933" s="20" t="n">
        <x:f>IFERROR(H2933/G2933,0)</x:f>
        <x:v>1</x:v>
      </x:c>
      <x:c r="K2933" t="n">
        <x:v>14418</x:v>
      </x:c>
      <x:c r="L2933" t="n">
        <x:v>40489.75</x:v>
      </x:c>
      <x:c r="M2933" t="n">
        <x:v>45935</x:v>
      </x:c>
      <x:c r="N2933" t="n">
        <x:v>50640.25</x:v>
      </x:c>
      <x:c r="O2933" t="n">
        <x:v>56144</x:v>
      </x:c>
    </x:row>
    <x:row r="2934">
      <x:c r="A2934" t="str">
        <x:v>Kerala</x:v>
      </x:c>
      <x:c r="B2934" t="str">
        <x:v>All India except Central University</x:v>
      </x:c>
      <x:c r="C2934" t="str">
        <x:v>200197</x:v>
      </x:c>
      <x:c r="D2934" t="str">
        <x:v>T D Medical College, Alleppey (Allappuzha), GOVERNMENT T.D.MEDICAL COLLEGE, VANDANAM.PO, ALAPPUZHA</x:v>
      </x:c>
      <x:c r="E2934" t="str">
        <x:v>All India</x:v>
      </x:c>
      <x:c r="F2934" t="str">
        <x:v>EWS</x:v>
      </x:c>
      <x:c r="G2934" t="n">
        <x:v>1</x:v>
      </x:c>
      <x:c r="H2934" t="n">
        <x:v>1</x:v>
      </x:c>
      <x:c r="I2934" t="n">
        <x:f>G2934-H2934</x:f>
        <x:v>0</x:v>
      </x:c>
      <x:c r="J2934" s="20" t="n">
        <x:f>IFERROR(H2934/G2934,0)</x:f>
        <x:v>1</x:v>
      </x:c>
      <x:c r="K2934" t="n">
        <x:v>12574</x:v>
      </x:c>
      <x:c r="L2934" t="n">
        <x:v>12574</x:v>
      </x:c>
      <x:c r="M2934" t="n">
        <x:v>12574</x:v>
      </x:c>
      <x:c r="N2934" t="n">
        <x:v>12574</x:v>
      </x:c>
      <x:c r="O2934" t="n">
        <x:v>12574</x:v>
      </x:c>
    </x:row>
    <x:row r="2935">
      <x:c r="A2935" t="str">
        <x:v>Kerala</x:v>
      </x:c>
      <x:c r="B2935" t="str">
        <x:v>All India except Central University</x:v>
      </x:c>
      <x:c r="C2935" t="str">
        <x:v>200197</x:v>
      </x:c>
      <x:c r="D2935" t="str">
        <x:v>T D Medical College, Alleppey (Allappuzha), GOVERNMENT T.D.MEDICAL COLLEGE, VANDANAM.PO, ALAPPUZHA</x:v>
      </x:c>
      <x:c r="E2935" t="str">
        <x:v>All India</x:v>
      </x:c>
      <x:c r="F2935" t="str">
        <x:v>EWS PwD</x:v>
      </x:c>
      <x:c r="G2935" t="n">
        <x:v>1</x:v>
      </x:c>
      <x:c r="H2935" t="n">
        <x:v>1</x:v>
      </x:c>
      <x:c r="I2935" t="n">
        <x:f>G2935-H2935</x:f>
        <x:v>0</x:v>
      </x:c>
      <x:c r="J2935" s="20" t="n">
        <x:f>IFERROR(H2935/G2935,0)</x:f>
        <x:v>1</x:v>
      </x:c>
      <x:c r="K2935" t="n">
        <x:v>1047558</x:v>
      </x:c>
      <x:c r="L2935" t="n">
        <x:v>1047558</x:v>
      </x:c>
      <x:c r="M2935" t="n">
        <x:v>1047558</x:v>
      </x:c>
      <x:c r="N2935" t="n">
        <x:v>1047558</x:v>
      </x:c>
      <x:c r="O2935" t="n">
        <x:v>1047558</x:v>
      </x:c>
    </x:row>
    <x:row r="2936">
      <x:c r="A2936" t="str">
        <x:v>Kerala</x:v>
      </x:c>
      <x:c r="B2936" t="str">
        <x:v>All India except Central University</x:v>
      </x:c>
      <x:c r="C2936" t="str">
        <x:v>200197</x:v>
      </x:c>
      <x:c r="D2936" t="str">
        <x:v>T D Medical College, Alleppey (Allappuzha), GOVERNMENT T.D.MEDICAL COLLEGE, VANDANAM.PO, ALAPPUZHA</x:v>
      </x:c>
      <x:c r="E2936" t="str">
        <x:v>All India</x:v>
      </x:c>
      <x:c r="F2936" t="str">
        <x:v>OBC</x:v>
      </x:c>
      <x:c r="G2936" t="n">
        <x:v>6</x:v>
      </x:c>
      <x:c r="H2936" t="n">
        <x:v>6</x:v>
      </x:c>
      <x:c r="I2936" t="n">
        <x:f>G2936-H2936</x:f>
        <x:v>0</x:v>
      </x:c>
      <x:c r="J2936" s="20" t="n">
        <x:f>IFERROR(H2936/G2936,0)</x:f>
        <x:v>1</x:v>
      </x:c>
      <x:c r="K2936" t="n">
        <x:v>4477</x:v>
      </x:c>
      <x:c r="L2936" t="n">
        <x:v>4543.75</x:v>
      </x:c>
      <x:c r="M2936" t="n">
        <x:v>4726</x:v>
      </x:c>
      <x:c r="N2936" t="n">
        <x:v>4838.5</x:v>
      </x:c>
      <x:c r="O2936" t="n">
        <x:v>4936</x:v>
      </x:c>
    </x:row>
    <x:row r="2937">
      <x:c r="A2937" t="str">
        <x:v>Kerala</x:v>
      </x:c>
      <x:c r="B2937" t="str">
        <x:v>All India except Central University</x:v>
      </x:c>
      <x:c r="C2937" t="str">
        <x:v>200197</x:v>
      </x:c>
      <x:c r="D2937" t="str">
        <x:v>T D Medical College, Alleppey (Allappuzha), GOVERNMENT T.D.MEDICAL COLLEGE, VANDANAM.PO, ALAPPUZHA</x:v>
      </x:c>
      <x:c r="E2937" t="str">
        <x:v>All India</x:v>
      </x:c>
      <x:c r="F2937" t="str">
        <x:v>OBC PwD</x:v>
      </x:c>
      <x:c r="G2937" t="n">
        <x:v>1</x:v>
      </x:c>
      <x:c r="H2937" t="n">
        <x:v>1</x:v>
      </x:c>
      <x:c r="I2937" t="n">
        <x:f>G2937-H2937</x:f>
        <x:v>0</x:v>
      </x:c>
      <x:c r="J2937" s="20" t="n">
        <x:f>IFERROR(H2937/G2937,0)</x:f>
        <x:v>1</x:v>
      </x:c>
      <x:c r="K2937" t="n">
        <x:v>471722</x:v>
      </x:c>
      <x:c r="L2937" t="n">
        <x:v>471722</x:v>
      </x:c>
      <x:c r="M2937" t="n">
        <x:v>471722</x:v>
      </x:c>
      <x:c r="N2937" t="n">
        <x:v>471722</x:v>
      </x:c>
      <x:c r="O2937" t="n">
        <x:v>471722</x:v>
      </x:c>
    </x:row>
    <x:row r="2938">
      <x:c r="A2938" t="str">
        <x:v>Kerala</x:v>
      </x:c>
      <x:c r="B2938" t="str">
        <x:v>All India except Central University</x:v>
      </x:c>
      <x:c r="C2938" t="str">
        <x:v>200197</x:v>
      </x:c>
      <x:c r="D2938" t="str">
        <x:v>T D Medical College, Alleppey (Allappuzha), GOVERNMENT T.D.MEDICAL COLLEGE, VANDANAM.PO, ALAPPUZHA</x:v>
      </x:c>
      <x:c r="E2938" t="str">
        <x:v>All India</x:v>
      </x:c>
      <x:c r="F2938" t="str">
        <x:v>Open</x:v>
      </x:c>
      <x:c r="G2938" t="n">
        <x:v>10</x:v>
      </x:c>
      <x:c r="H2938" t="n">
        <x:v>10</x:v>
      </x:c>
      <x:c r="I2938" t="n">
        <x:f>G2938-H2938</x:f>
        <x:v>0</x:v>
      </x:c>
      <x:c r="J2938" s="20" t="n">
        <x:f>IFERROR(H2938/G2938,0)</x:f>
        <x:v>1</x:v>
      </x:c>
      <x:c r="K2938" t="n">
        <x:v>3675</x:v>
      </x:c>
      <x:c r="L2938" t="n">
        <x:v>3868.75</x:v>
      </x:c>
      <x:c r="M2938" t="n">
        <x:v>4055.5</x:v>
      </x:c>
      <x:c r="N2938" t="n">
        <x:v>4207.5</x:v>
      </x:c>
      <x:c r="O2938" t="n">
        <x:v>4325</x:v>
      </x:c>
    </x:row>
    <x:row r="2939">
      <x:c r="A2939" t="str">
        <x:v>Kerala</x:v>
      </x:c>
      <x:c r="B2939" t="str">
        <x:v>All India except Central University</x:v>
      </x:c>
      <x:c r="C2939" t="str">
        <x:v>200197</x:v>
      </x:c>
      <x:c r="D2939" t="str">
        <x:v>T D Medical College, Alleppey (Allappuzha), GOVERNMENT T.D.MEDICAL COLLEGE, VANDANAM.PO, ALAPPUZHA</x:v>
      </x:c>
      <x:c r="E2939" t="str">
        <x:v>All India</x:v>
      </x:c>
      <x:c r="F2939" t="str">
        <x:v>Open PwD</x:v>
      </x:c>
      <x:c r="G2939" t="n">
        <x:v>1</x:v>
      </x:c>
      <x:c r="H2939" t="n">
        <x:v>1</x:v>
      </x:c>
      <x:c r="I2939" t="n">
        <x:f>G2939-H2939</x:f>
        <x:v>0</x:v>
      </x:c>
      <x:c r="J2939" s="20" t="n">
        <x:f>IFERROR(H2939/G2939,0)</x:f>
        <x:v>1</x:v>
      </x:c>
      <x:c r="K2939" t="n">
        <x:v>359068</x:v>
      </x:c>
      <x:c r="L2939" t="n">
        <x:v>359068</x:v>
      </x:c>
      <x:c r="M2939" t="n">
        <x:v>359068</x:v>
      </x:c>
      <x:c r="N2939" t="n">
        <x:v>359068</x:v>
      </x:c>
      <x:c r="O2939" t="n">
        <x:v>359068</x:v>
      </x:c>
    </x:row>
    <x:row r="2940">
      <x:c r="A2940" t="str">
        <x:v>Kerala</x:v>
      </x:c>
      <x:c r="B2940" t="str">
        <x:v>All India except Central University</x:v>
      </x:c>
      <x:c r="C2940" t="str">
        <x:v>200197</x:v>
      </x:c>
      <x:c r="D2940" t="str">
        <x:v>T D Medical College, Alleppey (Allappuzha), GOVERNMENT T.D.MEDICAL COLLEGE, VANDANAM.PO, ALAPPUZHA</x:v>
      </x:c>
      <x:c r="E2940" t="str">
        <x:v>All India</x:v>
      </x:c>
      <x:c r="F2940" t="str">
        <x:v>SC</x:v>
      </x:c>
      <x:c r="G2940" t="n">
        <x:v>4</x:v>
      </x:c>
      <x:c r="H2940" t="n">
        <x:v>4</x:v>
      </x:c>
      <x:c r="I2940" t="n">
        <x:f>G2940-H2940</x:f>
        <x:v>0</x:v>
      </x:c>
      <x:c r="J2940" s="20" t="n">
        <x:f>IFERROR(H2940/G2940,0)</x:f>
        <x:v>1</x:v>
      </x:c>
      <x:c r="K2940" t="n">
        <x:v>51941</x:v>
      </x:c>
      <x:c r="L2940" t="n">
        <x:v>56812.25</x:v>
      </x:c>
      <x:c r="M2940" t="n">
        <x:v>60537.5</x:v>
      </x:c>
      <x:c r="N2940" t="n">
        <x:v>62640.25</x:v>
      </x:c>
      <x:c r="O2940" t="n">
        <x:v>62644</x:v>
      </x:c>
    </x:row>
    <x:row r="2941">
      <x:c r="A2941" t="str">
        <x:v>Kerala</x:v>
      </x:c>
      <x:c r="B2941" t="str">
        <x:v>All India except Central University</x:v>
      </x:c>
      <x:c r="C2941" t="str">
        <x:v>200197</x:v>
      </x:c>
      <x:c r="D2941" t="str">
        <x:v>T D Medical College, Alleppey (Allappuzha), GOVERNMENT T.D.MEDICAL COLLEGE, VANDANAM.PO, ALAPPUZHA</x:v>
      </x:c>
      <x:c r="E2941" t="str">
        <x:v>All India</x:v>
      </x:c>
      <x:c r="F2941" t="str">
        <x:v>ST</x:v>
      </x:c>
      <x:c r="G2941" t="n">
        <x:v>2</x:v>
      </x:c>
      <x:c r="H2941" t="n">
        <x:v>2</x:v>
      </x:c>
      <x:c r="I2941" t="n">
        <x:f>G2941-H2941</x:f>
        <x:v>0</x:v>
      </x:c>
      <x:c r="J2941" s="20" t="n">
        <x:f>IFERROR(H2941/G2941,0)</x:f>
        <x:v>1</x:v>
      </x:c>
      <x:c r="K2941" t="n">
        <x:v>87184</x:v>
      </x:c>
      <x:c r="L2941" t="n">
        <x:v>89078</x:v>
      </x:c>
      <x:c r="M2941" t="n">
        <x:v>90972</x:v>
      </x:c>
      <x:c r="N2941" t="n">
        <x:v>92866</x:v>
      </x:c>
      <x:c r="O2941" t="n">
        <x:v>94760</x:v>
      </x:c>
    </x:row>
    <x:row r="2942">
      <x:c r="A2942" t="str">
        <x:v>West Bengal</x:v>
      </x:c>
      <x:c r="B2942" t="str">
        <x:v>All India except Central University</x:v>
      </x:c>
      <x:c r="C2942" t="str">
        <x:v>200604</x:v>
      </x:c>
      <x:c r="D2942" t="str">
        <x:v>Tamralipto Government Medical College &amp; Hospital, 227 Haldia Tamluk Mecheda Road, Tamluk, Purba Medinipur</x:v>
      </x:c>
      <x:c r="E2942" t="str">
        <x:v>All India</x:v>
      </x:c>
      <x:c r="F2942" t="str">
        <x:v>EWS</x:v>
      </x:c>
      <x:c r="G2942" t="n">
        <x:v>2</x:v>
      </x:c>
      <x:c r="H2942" t="n">
        <x:v>2</x:v>
      </x:c>
      <x:c r="I2942" t="n">
        <x:f>G2942-H2942</x:f>
        <x:v>0</x:v>
      </x:c>
      <x:c r="J2942" s="20" t="n">
        <x:f>IFERROR(H2942/G2942,0)</x:f>
        <x:v>1</x:v>
      </x:c>
      <x:c r="K2942" t="n">
        <x:v>22838</x:v>
      </x:c>
      <x:c r="L2942" t="n">
        <x:v>22850.5</x:v>
      </x:c>
      <x:c r="M2942" t="n">
        <x:v>22863</x:v>
      </x:c>
      <x:c r="N2942" t="n">
        <x:v>22875.5</x:v>
      </x:c>
      <x:c r="O2942" t="n">
        <x:v>22888</x:v>
      </x:c>
    </x:row>
    <x:row r="2943">
      <x:c r="A2943" t="str">
        <x:v>West Bengal</x:v>
      </x:c>
      <x:c r="B2943" t="str">
        <x:v>All India except Central University</x:v>
      </x:c>
      <x:c r="C2943" t="str">
        <x:v>200604</x:v>
      </x:c>
      <x:c r="D2943" t="str">
        <x:v>Tamralipto Government Medical College &amp; Hospital, 227 Haldia Tamluk Mecheda Road, Tamluk, Purba Medinipur</x:v>
      </x:c>
      <x:c r="E2943" t="str">
        <x:v>All India</x:v>
      </x:c>
      <x:c r="F2943" t="str">
        <x:v>OBC</x:v>
      </x:c>
      <x:c r="G2943" t="n">
        <x:v>6</x:v>
      </x:c>
      <x:c r="H2943" t="n">
        <x:v>6</x:v>
      </x:c>
      <x:c r="I2943" t="n">
        <x:f>G2943-H2943</x:f>
        <x:v>0</x:v>
      </x:c>
      <x:c r="J2943" s="20" t="n">
        <x:f>IFERROR(H2943/G2943,0)</x:f>
        <x:v>1</x:v>
      </x:c>
      <x:c r="K2943" t="n">
        <x:v>20059</x:v>
      </x:c>
      <x:c r="L2943" t="n">
        <x:v>20124.75</x:v>
      </x:c>
      <x:c r="M2943" t="n">
        <x:v>20445.5</x:v>
      </x:c>
      <x:c r="N2943" t="n">
        <x:v>20717.5</x:v>
      </x:c>
      <x:c r="O2943" t="n">
        <x:v>20876</x:v>
      </x:c>
    </x:row>
    <x:row r="2944">
      <x:c r="A2944" t="str">
        <x:v>West Bengal</x:v>
      </x:c>
      <x:c r="B2944" t="str">
        <x:v>All India except Central University</x:v>
      </x:c>
      <x:c r="C2944" t="str">
        <x:v>200604</x:v>
      </x:c>
      <x:c r="D2944" t="str">
        <x:v>Tamralipto Government Medical College &amp; Hospital, 227 Haldia Tamluk Mecheda Road, Tamluk, Purba Medinipur</x:v>
      </x:c>
      <x:c r="E2944" t="str">
        <x:v>All India</x:v>
      </x:c>
      <x:c r="F2944" t="str">
        <x:v>OBC PwD</x:v>
      </x:c>
      <x:c r="G2944" t="n">
        <x:v>1</x:v>
      </x:c>
      <x:c r="H2944" t="n">
        <x:v>1</x:v>
      </x:c>
      <x:c r="I2944" t="n">
        <x:f>G2944-H2944</x:f>
        <x:v>0</x:v>
      </x:c>
      <x:c r="J2944" s="20" t="n">
        <x:f>IFERROR(H2944/G2944,0)</x:f>
        <x:v>1</x:v>
      </x:c>
      <x:c r="K2944" t="n">
        <x:v>710945</x:v>
      </x:c>
      <x:c r="L2944" t="n">
        <x:v>710945</x:v>
      </x:c>
      <x:c r="M2944" t="n">
        <x:v>710945</x:v>
      </x:c>
      <x:c r="N2944" t="n">
        <x:v>710945</x:v>
      </x:c>
      <x:c r="O2944" t="n">
        <x:v>710945</x:v>
      </x:c>
    </x:row>
    <x:row r="2945">
      <x:c r="A2945" t="str">
        <x:v>West Bengal</x:v>
      </x:c>
      <x:c r="B2945" t="str">
        <x:v>All India except Central University</x:v>
      </x:c>
      <x:c r="C2945" t="str">
        <x:v>200604</x:v>
      </x:c>
      <x:c r="D2945" t="str">
        <x:v>Tamralipto Government Medical College &amp; Hospital, 227 Haldia Tamluk Mecheda Road, Tamluk, Purba Medinipur</x:v>
      </x:c>
      <x:c r="E2945" t="str">
        <x:v>All India</x:v>
      </x:c>
      <x:c r="F2945" t="str">
        <x:v>Open</x:v>
      </x:c>
      <x:c r="G2945" t="n">
        <x:v>10</x:v>
      </x:c>
      <x:c r="H2945" t="n">
        <x:v>10</x:v>
      </x:c>
      <x:c r="I2945" t="n">
        <x:f>G2945-H2945</x:f>
        <x:v>0</x:v>
      </x:c>
      <x:c r="J2945" s="20" t="n">
        <x:f>IFERROR(H2945/G2945,0)</x:f>
        <x:v>1</x:v>
      </x:c>
      <x:c r="K2945" t="n">
        <x:v>18052</x:v>
      </x:c>
      <x:c r="L2945" t="n">
        <x:v>18902</x:v>
      </x:c>
      <x:c r="M2945" t="n">
        <x:v>19307</x:v>
      </x:c>
      <x:c r="N2945" t="n">
        <x:v>19547.75</x:v>
      </x:c>
      <x:c r="O2945" t="n">
        <x:v>19716</x:v>
      </x:c>
    </x:row>
    <x:row r="2946">
      <x:c r="A2946" t="str">
        <x:v>West Bengal</x:v>
      </x:c>
      <x:c r="B2946" t="str">
        <x:v>All India except Central University</x:v>
      </x:c>
      <x:c r="C2946" t="str">
        <x:v>200604</x:v>
      </x:c>
      <x:c r="D2946" t="str">
        <x:v>Tamralipto Government Medical College &amp; Hospital, 227 Haldia Tamluk Mecheda Road, Tamluk, Purba Medinipur</x:v>
      </x:c>
      <x:c r="E2946" t="str">
        <x:v>All India</x:v>
      </x:c>
      <x:c r="F2946" t="str">
        <x:v>SC</x:v>
      </x:c>
      <x:c r="G2946" t="n">
        <x:v>3</x:v>
      </x:c>
      <x:c r="H2946" t="n">
        <x:v>3</x:v>
      </x:c>
      <x:c r="I2946" t="n">
        <x:f>G2946-H2946</x:f>
        <x:v>0</x:v>
      </x:c>
      <x:c r="J2946" s="20" t="n">
        <x:f>IFERROR(H2946/G2946,0)</x:f>
        <x:v>1</x:v>
      </x:c>
      <x:c r="K2946" t="n">
        <x:v>99466</x:v>
      </x:c>
      <x:c r="L2946" t="n">
        <x:v>99853</x:v>
      </x:c>
      <x:c r="M2946" t="n">
        <x:v>100240</x:v>
      </x:c>
      <x:c r="N2946" t="n">
        <x:v>100316</x:v>
      </x:c>
      <x:c r="O2946" t="n">
        <x:v>100392</x:v>
      </x:c>
    </x:row>
    <x:row r="2947">
      <x:c r="A2947" t="str">
        <x:v>West Bengal</x:v>
      </x:c>
      <x:c r="B2947" t="str">
        <x:v>All India except Central University</x:v>
      </x:c>
      <x:c r="C2947" t="str">
        <x:v>200604</x:v>
      </x:c>
      <x:c r="D2947" t="str">
        <x:v>Tamralipto Government Medical College &amp; Hospital, 227 Haldia Tamluk Mecheda Road, Tamluk, Purba Medinipur</x:v>
      </x:c>
      <x:c r="E2947" t="str">
        <x:v>All India</x:v>
      </x:c>
      <x:c r="F2947" t="str">
        <x:v>ST</x:v>
      </x:c>
      <x:c r="G2947" t="n">
        <x:v>1</x:v>
      </x:c>
      <x:c r="H2947" t="n">
        <x:v>1</x:v>
      </x:c>
      <x:c r="I2947" t="n">
        <x:f>G2947-H2947</x:f>
        <x:v>0</x:v>
      </x:c>
      <x:c r="J2947" s="20" t="n">
        <x:f>IFERROR(H2947/G2947,0)</x:f>
        <x:v>1</x:v>
      </x:c>
      <x:c r="K2947" t="n">
        <x:v>119397</x:v>
      </x:c>
      <x:c r="L2947" t="n">
        <x:v>119397</x:v>
      </x:c>
      <x:c r="M2947" t="n">
        <x:v>119397</x:v>
      </x:c>
      <x:c r="N2947" t="n">
        <x:v>119397</x:v>
      </x:c>
      <x:c r="O2947" t="n">
        <x:v>119397</x:v>
      </x:c>
    </x:row>
    <x:row r="2948">
      <x:c r="A2948" t="str">
        <x:v>Assam</x:v>
      </x:c>
      <x:c r="B2948" t="str">
        <x:v>All India except Central University</x:v>
      </x:c>
      <x:c r="C2948" t="str">
        <x:v>200108</x:v>
      </x:c>
      <x:c r="D2948" t="str">
        <x:v>Tezpur Medical College &amp; Hospital, Tezpur, Tezpur Medical College and Hospital Bihaguri Tezpur 784010 Dist Sonitpur Assam, Assam, 784010</x:v>
      </x:c>
      <x:c r="E2948" t="str">
        <x:v>All India</x:v>
      </x:c>
      <x:c r="F2948" t="str">
        <x:v>EWS</x:v>
      </x:c>
      <x:c r="G2948" t="n">
        <x:v>1</x:v>
      </x:c>
      <x:c r="H2948" t="n">
        <x:v>1</x:v>
      </x:c>
      <x:c r="I2948" t="n">
        <x:f>G2948-H2948</x:f>
        <x:v>0</x:v>
      </x:c>
      <x:c r="J2948" s="20" t="n">
        <x:f>IFERROR(H2948/G2948,0)</x:f>
        <x:v>1</x:v>
      </x:c>
      <x:c r="K2948" t="n">
        <x:v>21779</x:v>
      </x:c>
      <x:c r="L2948" t="n">
        <x:v>21779</x:v>
      </x:c>
      <x:c r="M2948" t="n">
        <x:v>21779</x:v>
      </x:c>
      <x:c r="N2948" t="n">
        <x:v>21779</x:v>
      </x:c>
      <x:c r="O2948" t="n">
        <x:v>21779</x:v>
      </x:c>
    </x:row>
    <x:row r="2949">
      <x:c r="A2949" t="str">
        <x:v>Assam</x:v>
      </x:c>
      <x:c r="B2949" t="str">
        <x:v>All India except Central University</x:v>
      </x:c>
      <x:c r="C2949" t="str">
        <x:v>200108</x:v>
      </x:c>
      <x:c r="D2949" t="str">
        <x:v>Tezpur Medical College &amp; Hospital, Tezpur, Tezpur Medical College and Hospital Bihaguri Tezpur 784010 Dist Sonitpur Assam, Assam, 784010</x:v>
      </x:c>
      <x:c r="E2949" t="str">
        <x:v>All India</x:v>
      </x:c>
      <x:c r="F2949" t="str">
        <x:v>OBC</x:v>
      </x:c>
      <x:c r="G2949" t="n">
        <x:v>6</x:v>
      </x:c>
      <x:c r="H2949" t="n">
        <x:v>6</x:v>
      </x:c>
      <x:c r="I2949" t="n">
        <x:f>G2949-H2949</x:f>
        <x:v>0</x:v>
      </x:c>
      <x:c r="J2949" s="20" t="n">
        <x:f>IFERROR(H2949/G2949,0)</x:f>
        <x:v>1</x:v>
      </x:c>
      <x:c r="K2949" t="n">
        <x:v>19858</x:v>
      </x:c>
      <x:c r="L2949" t="n">
        <x:v>20643.5</x:v>
      </x:c>
      <x:c r="M2949" t="n">
        <x:v>21243.5</x:v>
      </x:c>
      <x:c r="N2949" t="n">
        <x:v>21512.75</x:v>
      </x:c>
      <x:c r="O2949" t="n">
        <x:v>22041</x:v>
      </x:c>
    </x:row>
    <x:row r="2950">
      <x:c r="A2950" t="str">
        <x:v>Assam</x:v>
      </x:c>
      <x:c r="B2950" t="str">
        <x:v>All India except Central University</x:v>
      </x:c>
      <x:c r="C2950" t="str">
        <x:v>200108</x:v>
      </x:c>
      <x:c r="D2950" t="str">
        <x:v>Tezpur Medical College &amp; Hospital, Tezpur, Tezpur Medical College and Hospital Bihaguri Tezpur 784010 Dist Sonitpur Assam, Assam, 784010</x:v>
      </x:c>
      <x:c r="E2950" t="str">
        <x:v>All India</x:v>
      </x:c>
      <x:c r="F2950" t="str">
        <x:v>Open</x:v>
      </x:c>
      <x:c r="G2950" t="n">
        <x:v>8</x:v>
      </x:c>
      <x:c r="H2950" t="n">
        <x:v>8</x:v>
      </x:c>
      <x:c r="I2950" t="n">
        <x:f>G2950-H2950</x:f>
        <x:v>0</x:v>
      </x:c>
      <x:c r="J2950" s="20" t="n">
        <x:f>IFERROR(H2950/G2950,0)</x:f>
        <x:v>1</x:v>
      </x:c>
      <x:c r="K2950" t="n">
        <x:v>17735</x:v>
      </x:c>
      <x:c r="L2950" t="n">
        <x:v>18315.75</x:v>
      </x:c>
      <x:c r="M2950" t="n">
        <x:v>18656.5</x:v>
      </x:c>
      <x:c r="N2950" t="n">
        <x:v>19038.25</x:v>
      </x:c>
      <x:c r="O2950" t="n">
        <x:v>19118</x:v>
      </x:c>
    </x:row>
    <x:row r="2951">
      <x:c r="A2951" t="str">
        <x:v>Assam</x:v>
      </x:c>
      <x:c r="B2951" t="str">
        <x:v>All India except Central University</x:v>
      </x:c>
      <x:c r="C2951" t="str">
        <x:v>200108</x:v>
      </x:c>
      <x:c r="D2951" t="str">
        <x:v>Tezpur Medical College &amp; Hospital, Tezpur, Tezpur Medical College and Hospital Bihaguri Tezpur 784010 Dist Sonitpur Assam, Assam, 784010</x:v>
      </x:c>
      <x:c r="E2951" t="str">
        <x:v>All India</x:v>
      </x:c>
      <x:c r="F2951" t="str">
        <x:v>SC</x:v>
      </x:c>
      <x:c r="G2951" t="n">
        <x:v>3</x:v>
      </x:c>
      <x:c r="H2951" t="n">
        <x:v>3</x:v>
      </x:c>
      <x:c r="I2951" t="n">
        <x:f>G2951-H2951</x:f>
        <x:v>0</x:v>
      </x:c>
      <x:c r="J2951" s="20" t="n">
        <x:f>IFERROR(H2951/G2951,0)</x:f>
        <x:v>1</x:v>
      </x:c>
      <x:c r="K2951" t="n">
        <x:v>90887</x:v>
      </x:c>
      <x:c r="L2951" t="n">
        <x:v>91049.5</x:v>
      </x:c>
      <x:c r="M2951" t="n">
        <x:v>91212</x:v>
      </x:c>
      <x:c r="N2951" t="n">
        <x:v>95851</x:v>
      </x:c>
      <x:c r="O2951" t="n">
        <x:v>100490</x:v>
      </x:c>
    </x:row>
    <x:row r="2952">
      <x:c r="A2952" t="str">
        <x:v>Assam</x:v>
      </x:c>
      <x:c r="B2952" t="str">
        <x:v>All India except Central University</x:v>
      </x:c>
      <x:c r="C2952" t="str">
        <x:v>200108</x:v>
      </x:c>
      <x:c r="D2952" t="str">
        <x:v>Tezpur Medical College &amp; Hospital, Tezpur, Tezpur Medical College and Hospital Bihaguri Tezpur 784010 Dist Sonitpur Assam, Assam, 784010</x:v>
      </x:c>
      <x:c r="E2952" t="str">
        <x:v>All India</x:v>
      </x:c>
      <x:c r="F2952" t="str">
        <x:v>ST</x:v>
      </x:c>
      <x:c r="G2952" t="n">
        <x:v>1</x:v>
      </x:c>
      <x:c r="H2952" t="n">
        <x:v>1</x:v>
      </x:c>
      <x:c r="I2952" t="n">
        <x:f>G2952-H2952</x:f>
        <x:v>0</x:v>
      </x:c>
      <x:c r="J2952" s="20" t="n">
        <x:f>IFERROR(H2952/G2952,0)</x:f>
        <x:v>1</x:v>
      </x:c>
      <x:c r="K2952" t="n">
        <x:v>63232</x:v>
      </x:c>
      <x:c r="L2952" t="n">
        <x:v>63232</x:v>
      </x:c>
      <x:c r="M2952" t="n">
        <x:v>63232</x:v>
      </x:c>
      <x:c r="N2952" t="n">
        <x:v>63232</x:v>
      </x:c>
      <x:c r="O2952" t="n">
        <x:v>63232</x:v>
      </x:c>
    </x:row>
    <x:row r="2953">
      <x:c r="A2953" t="str">
        <x:v>Tamil Nadu</x:v>
      </x:c>
      <x:c r="B2953" t="str">
        <x:v>All India except Central University</x:v>
      </x:c>
      <x:c r="C2953" t="str">
        <x:v>200281</x:v>
      </x:c>
      <x:c r="D2953" t="str">
        <x:v>Thanjavur Medical College, Thanjavur, Thanjavur Medical College,Thanjavur</x:v>
      </x:c>
      <x:c r="E2953" t="str">
        <x:v>All India</x:v>
      </x:c>
      <x:c r="F2953" t="str">
        <x:v>EWS</x:v>
      </x:c>
      <x:c r="G2953" t="n">
        <x:v>2</x:v>
      </x:c>
      <x:c r="H2953" t="n">
        <x:v>2</x:v>
      </x:c>
      <x:c r="I2953" t="n">
        <x:f>G2953-H2953</x:f>
        <x:v>0</x:v>
      </x:c>
      <x:c r="J2953" s="20" t="n">
        <x:f>IFERROR(H2953/G2953,0)</x:f>
        <x:v>1</x:v>
      </x:c>
      <x:c r="K2953" t="n">
        <x:v>14928</x:v>
      </x:c>
      <x:c r="L2953" t="n">
        <x:v>15749.25</x:v>
      </x:c>
      <x:c r="M2953" t="n">
        <x:v>16570.5</x:v>
      </x:c>
      <x:c r="N2953" t="n">
        <x:v>17391.75</x:v>
      </x:c>
      <x:c r="O2953" t="n">
        <x:v>18213</x:v>
      </x:c>
    </x:row>
    <x:row r="2954">
      <x:c r="A2954" t="str">
        <x:v>Tamil Nadu</x:v>
      </x:c>
      <x:c r="B2954" t="str">
        <x:v>All India except Central University</x:v>
      </x:c>
      <x:c r="C2954" t="str">
        <x:v>200281</x:v>
      </x:c>
      <x:c r="D2954" t="str">
        <x:v>Thanjavur Medical College, Thanjavur, Thanjavur Medical College,Thanjavur</x:v>
      </x:c>
      <x:c r="E2954" t="str">
        <x:v>All India</x:v>
      </x:c>
      <x:c r="F2954" t="str">
        <x:v>OBC</x:v>
      </x:c>
      <x:c r="G2954" t="n">
        <x:v>6</x:v>
      </x:c>
      <x:c r="H2954" t="n">
        <x:v>6</x:v>
      </x:c>
      <x:c r="I2954" t="n">
        <x:f>G2954-H2954</x:f>
        <x:v>0</x:v>
      </x:c>
      <x:c r="J2954" s="20" t="n">
        <x:f>IFERROR(H2954/G2954,0)</x:f>
        <x:v>1</x:v>
      </x:c>
      <x:c r="K2954" t="n">
        <x:v>4784</x:v>
      </x:c>
      <x:c r="L2954" t="n">
        <x:v>5076.75</x:v>
      </x:c>
      <x:c r="M2954" t="n">
        <x:v>5344</x:v>
      </x:c>
      <x:c r="N2954" t="n">
        <x:v>5503.25</x:v>
      </x:c>
      <x:c r="O2954" t="n">
        <x:v>5680</x:v>
      </x:c>
    </x:row>
    <x:row r="2955">
      <x:c r="A2955" t="str">
        <x:v>Tamil Nadu</x:v>
      </x:c>
      <x:c r="B2955" t="str">
        <x:v>All India except Central University</x:v>
      </x:c>
      <x:c r="C2955" t="str">
        <x:v>200281</x:v>
      </x:c>
      <x:c r="D2955" t="str">
        <x:v>Thanjavur Medical College, Thanjavur, Thanjavur Medical College,Thanjavur</x:v>
      </x:c>
      <x:c r="E2955" t="str">
        <x:v>All India</x:v>
      </x:c>
      <x:c r="F2955" t="str">
        <x:v>Open</x:v>
      </x:c>
      <x:c r="G2955" t="n">
        <x:v>9</x:v>
      </x:c>
      <x:c r="H2955" t="n">
        <x:v>9</x:v>
      </x:c>
      <x:c r="I2955" t="n">
        <x:f>G2955-H2955</x:f>
        <x:v>0</x:v>
      </x:c>
      <x:c r="J2955" s="20" t="n">
        <x:f>IFERROR(H2955/G2955,0)</x:f>
        <x:v>1</x:v>
      </x:c>
      <x:c r="K2955" t="n">
        <x:v>3816</x:v>
      </x:c>
      <x:c r="L2955" t="n">
        <x:v>4264</x:v>
      </x:c>
      <x:c r="M2955" t="n">
        <x:v>4284</x:v>
      </x:c>
      <x:c r="N2955" t="n">
        <x:v>4440</x:v>
      </x:c>
      <x:c r="O2955" t="n">
        <x:v>4549</x:v>
      </x:c>
    </x:row>
    <x:row r="2956">
      <x:c r="A2956" t="str">
        <x:v>Tamil Nadu</x:v>
      </x:c>
      <x:c r="B2956" t="str">
        <x:v>All India except Central University</x:v>
      </x:c>
      <x:c r="C2956" t="str">
        <x:v>200281</x:v>
      </x:c>
      <x:c r="D2956" t="str">
        <x:v>Thanjavur Medical College, Thanjavur, Thanjavur Medical College,Thanjavur</x:v>
      </x:c>
      <x:c r="E2956" t="str">
        <x:v>All India</x:v>
      </x:c>
      <x:c r="F2956" t="str">
        <x:v>Open PwD</x:v>
      </x:c>
      <x:c r="G2956" t="n">
        <x:v>1</x:v>
      </x:c>
      <x:c r="H2956" t="n">
        <x:v>1</x:v>
      </x:c>
      <x:c r="I2956" t="n">
        <x:f>G2956-H2956</x:f>
        <x:v>0</x:v>
      </x:c>
      <x:c r="J2956" s="20" t="n">
        <x:f>IFERROR(H2956/G2956,0)</x:f>
        <x:v>1</x:v>
      </x:c>
      <x:c r="K2956" t="n">
        <x:v>437505</x:v>
      </x:c>
      <x:c r="L2956" t="n">
        <x:v>437505</x:v>
      </x:c>
      <x:c r="M2956" t="n">
        <x:v>437505</x:v>
      </x:c>
      <x:c r="N2956" t="n">
        <x:v>437505</x:v>
      </x:c>
      <x:c r="O2956" t="n">
        <x:v>437505</x:v>
      </x:c>
    </x:row>
    <x:row r="2957">
      <x:c r="A2957" t="str">
        <x:v>Tamil Nadu</x:v>
      </x:c>
      <x:c r="B2957" t="str">
        <x:v>All India except Central University</x:v>
      </x:c>
      <x:c r="C2957" t="str">
        <x:v>200281</x:v>
      </x:c>
      <x:c r="D2957" t="str">
        <x:v>Thanjavur Medical College, Thanjavur, Thanjavur Medical College,Thanjavur</x:v>
      </x:c>
      <x:c r="E2957" t="str">
        <x:v>All India</x:v>
      </x:c>
      <x:c r="F2957" t="str">
        <x:v>SC</x:v>
      </x:c>
      <x:c r="G2957" t="n">
        <x:v>3</x:v>
      </x:c>
      <x:c r="H2957" t="n">
        <x:v>3</x:v>
      </x:c>
      <x:c r="I2957" t="n">
        <x:f>G2957-H2957</x:f>
        <x:v>0</x:v>
      </x:c>
      <x:c r="J2957" s="20" t="n">
        <x:f>IFERROR(H2957/G2957,0)</x:f>
        <x:v>1</x:v>
      </x:c>
      <x:c r="K2957" t="n">
        <x:v>19764</x:v>
      </x:c>
      <x:c r="L2957" t="n">
        <x:v>21800</x:v>
      </x:c>
      <x:c r="M2957" t="n">
        <x:v>23836</x:v>
      </x:c>
      <x:c r="N2957" t="n">
        <x:v>26460</x:v>
      </x:c>
      <x:c r="O2957" t="n">
        <x:v>29084</x:v>
      </x:c>
    </x:row>
    <x:row r="2958">
      <x:c r="A2958" t="str">
        <x:v>Tamil Nadu</x:v>
      </x:c>
      <x:c r="B2958" t="str">
        <x:v>All India except Central University</x:v>
      </x:c>
      <x:c r="C2958" t="str">
        <x:v>200281</x:v>
      </x:c>
      <x:c r="D2958" t="str">
        <x:v>Thanjavur Medical College, Thanjavur, Thanjavur Medical College,Thanjavur</x:v>
      </x:c>
      <x:c r="E2958" t="str">
        <x:v>All India</x:v>
      </x:c>
      <x:c r="F2958" t="str">
        <x:v>ST</x:v>
      </x:c>
      <x:c r="G2958" t="n">
        <x:v>2</x:v>
      </x:c>
      <x:c r="H2958" t="n">
        <x:v>2</x:v>
      </x:c>
      <x:c r="I2958" t="n">
        <x:f>G2958-H2958</x:f>
        <x:v>0</x:v>
      </x:c>
      <x:c r="J2958" s="20" t="n">
        <x:f>IFERROR(H2958/G2958,0)</x:f>
        <x:v>1</x:v>
      </x:c>
      <x:c r="K2958" t="n">
        <x:v>107990</x:v>
      </x:c>
      <x:c r="L2958" t="n">
        <x:v>109570.75</x:v>
      </x:c>
      <x:c r="M2958" t="n">
        <x:v>111151.5</x:v>
      </x:c>
      <x:c r="N2958" t="n">
        <x:v>112732.25</x:v>
      </x:c>
      <x:c r="O2958" t="n">
        <x:v>114313</x:v>
      </x:c>
    </x:row>
    <x:row r="2959">
      <x:c r="A2959" t="str">
        <x:v>Tamil Nadu</x:v>
      </x:c>
      <x:c r="B2959" t="str">
        <x:v>All India except Central University</x:v>
      </x:c>
      <x:c r="C2959" t="str">
        <x:v>200282</x:v>
      </x:c>
      <x:c r="D2959" t="str">
        <x:v>Theni Government Medical College, Theni, G. Vilakku, Shanmugasundarapuram village, Aundipatti Taluk, Theni District, Tamilnadu</x:v>
      </x:c>
      <x:c r="E2959" t="str">
        <x:v>All India</x:v>
      </x:c>
      <x:c r="F2959" t="str">
        <x:v>EWS</x:v>
      </x:c>
      <x:c r="G2959" t="n">
        <x:v>1</x:v>
      </x:c>
      <x:c r="H2959" t="n">
        <x:v>1</x:v>
      </x:c>
      <x:c r="I2959" t="n">
        <x:f>G2959-H2959</x:f>
        <x:v>0</x:v>
      </x:c>
      <x:c r="J2959" s="20" t="n">
        <x:f>IFERROR(H2959/G2959,0)</x:f>
        <x:v>1</x:v>
      </x:c>
      <x:c r="K2959" t="n">
        <x:v>20907</x:v>
      </x:c>
      <x:c r="L2959" t="n">
        <x:v>20907</x:v>
      </x:c>
      <x:c r="M2959" t="n">
        <x:v>20907</x:v>
      </x:c>
      <x:c r="N2959" t="n">
        <x:v>20907</x:v>
      </x:c>
      <x:c r="O2959" t="n">
        <x:v>20907</x:v>
      </x:c>
    </x:row>
    <x:row r="2960">
      <x:c r="A2960" t="str">
        <x:v>Tamil Nadu</x:v>
      </x:c>
      <x:c r="B2960" t="str">
        <x:v>All India except Central University</x:v>
      </x:c>
      <x:c r="C2960" t="str">
        <x:v>200282</x:v>
      </x:c>
      <x:c r="D2960" t="str">
        <x:v>Theni Government Medical College, Theni, G. Vilakku, Shanmugasundarapuram village, Aundipatti Taluk, Theni District, Tamilnadu</x:v>
      </x:c>
      <x:c r="E2960" t="str">
        <x:v>All India</x:v>
      </x:c>
      <x:c r="F2960" t="str">
        <x:v>OBC</x:v>
      </x:c>
      <x:c r="G2960" t="n">
        <x:v>4</x:v>
      </x:c>
      <x:c r="H2960" t="n">
        <x:v>4</x:v>
      </x:c>
      <x:c r="I2960" t="n">
        <x:f>G2960-H2960</x:f>
        <x:v>0</x:v>
      </x:c>
      <x:c r="J2960" s="20" t="n">
        <x:f>IFERROR(H2960/G2960,0)</x:f>
        <x:v>1</x:v>
      </x:c>
      <x:c r="K2960" t="n">
        <x:v>8133</x:v>
      </x:c>
      <x:c r="L2960" t="n">
        <x:v>8138.25</x:v>
      </x:c>
      <x:c r="M2960" t="n">
        <x:v>8299</x:v>
      </x:c>
      <x:c r="N2960" t="n">
        <x:v>8498.75</x:v>
      </x:c>
      <x:c r="O2960" t="n">
        <x:v>8621</x:v>
      </x:c>
    </x:row>
    <x:row r="2961">
      <x:c r="A2961" t="str">
        <x:v>Tamil Nadu</x:v>
      </x:c>
      <x:c r="B2961" t="str">
        <x:v>All India except Central University</x:v>
      </x:c>
      <x:c r="C2961" t="str">
        <x:v>200282</x:v>
      </x:c>
      <x:c r="D2961" t="str">
        <x:v>Theni Government Medical College, Theni, G. Vilakku, Shanmugasundarapuram village, Aundipatti Taluk, Theni District, Tamilnadu</x:v>
      </x:c>
      <x:c r="E2961" t="str">
        <x:v>All India</x:v>
      </x:c>
      <x:c r="F2961" t="str">
        <x:v>Open</x:v>
      </x:c>
      <x:c r="G2961" t="n">
        <x:v>7</x:v>
      </x:c>
      <x:c r="H2961" t="n">
        <x:v>7</x:v>
      </x:c>
      <x:c r="I2961" t="n">
        <x:f>G2961-H2961</x:f>
        <x:v>0</x:v>
      </x:c>
      <x:c r="J2961" s="20" t="n">
        <x:f>IFERROR(H2961/G2961,0)</x:f>
        <x:v>1</x:v>
      </x:c>
      <x:c r="K2961" t="n">
        <x:v>4282</x:v>
      </x:c>
      <x:c r="L2961" t="n">
        <x:v>6160</x:v>
      </x:c>
      <x:c r="M2961" t="n">
        <x:v>7314</x:v>
      </x:c>
      <x:c r="N2961" t="n">
        <x:v>7729.5</x:v>
      </x:c>
      <x:c r="O2961" t="n">
        <x:v>8054</x:v>
      </x:c>
    </x:row>
    <x:row r="2962">
      <x:c r="A2962" t="str">
        <x:v>Tamil Nadu</x:v>
      </x:c>
      <x:c r="B2962" t="str">
        <x:v>All India except Central University</x:v>
      </x:c>
      <x:c r="C2962" t="str">
        <x:v>200282</x:v>
      </x:c>
      <x:c r="D2962" t="str">
        <x:v>Theni Government Medical College, Theni, G. Vilakku, Shanmugasundarapuram village, Aundipatti Taluk, Theni District, Tamilnadu</x:v>
      </x:c>
      <x:c r="E2962" t="str">
        <x:v>All India</x:v>
      </x:c>
      <x:c r="F2962" t="str">
        <x:v>SC</x:v>
      </x:c>
      <x:c r="G2962" t="n">
        <x:v>2</x:v>
      </x:c>
      <x:c r="H2962" t="n">
        <x:v>2</x:v>
      </x:c>
      <x:c r="I2962" t="n">
        <x:f>G2962-H2962</x:f>
        <x:v>0</x:v>
      </x:c>
      <x:c r="J2962" s="20" t="n">
        <x:f>IFERROR(H2962/G2962,0)</x:f>
        <x:v>1</x:v>
      </x:c>
      <x:c r="K2962" t="n">
        <x:v>34214</x:v>
      </x:c>
      <x:c r="L2962" t="n">
        <x:v>36762</x:v>
      </x:c>
      <x:c r="M2962" t="n">
        <x:v>39310</x:v>
      </x:c>
      <x:c r="N2962" t="n">
        <x:v>41858</x:v>
      </x:c>
      <x:c r="O2962" t="n">
        <x:v>44406</x:v>
      </x:c>
    </x:row>
    <x:row r="2963">
      <x:c r="A2963" t="str">
        <x:v>Tamil Nadu</x:v>
      </x:c>
      <x:c r="B2963" t="str">
        <x:v>All India except Central University</x:v>
      </x:c>
      <x:c r="C2963" t="str">
        <x:v>200282</x:v>
      </x:c>
      <x:c r="D2963" t="str">
        <x:v>Theni Government Medical College, Theni, G. Vilakku, Shanmugasundarapuram village, Aundipatti Taluk, Theni District, Tamilnadu</x:v>
      </x:c>
      <x:c r="E2963" t="str">
        <x:v>All India</x:v>
      </x:c>
      <x:c r="F2963" t="str">
        <x:v>ST</x:v>
      </x:c>
      <x:c r="G2963" t="n">
        <x:v>1</x:v>
      </x:c>
      <x:c r="H2963" t="n">
        <x:v>1</x:v>
      </x:c>
      <x:c r="I2963" t="n">
        <x:f>G2963-H2963</x:f>
        <x:v>0</x:v>
      </x:c>
      <x:c r="J2963" s="20" t="n">
        <x:f>IFERROR(H2963/G2963,0)</x:f>
        <x:v>1</x:v>
      </x:c>
      <x:c r="K2963" t="n">
        <x:v>119985</x:v>
      </x:c>
      <x:c r="L2963" t="n">
        <x:v>119985</x:v>
      </x:c>
      <x:c r="M2963" t="n">
        <x:v>119985</x:v>
      </x:c>
      <x:c r="N2963" t="n">
        <x:v>119985</x:v>
      </x:c>
      <x:c r="O2963" t="n">
        <x:v>119985</x:v>
      </x:c>
    </x:row>
    <x:row r="2964">
      <x:c r="A2964" t="str">
        <x:v>Tamil Nadu</x:v>
      </x:c>
      <x:c r="B2964" t="str">
        <x:v>All India except Central University</x:v>
      </x:c>
      <x:c r="C2964" t="str">
        <x:v>200270</x:v>
      </x:c>
      <x:c r="D2964" t="str">
        <x:v>Thiruvarur Govt. Medical College, Thiruvarur, MASTER PLAN COMPLEX, VILAMAL VILLAGE, THIRUVARUR</x:v>
      </x:c>
      <x:c r="E2964" t="str">
        <x:v>All India</x:v>
      </x:c>
      <x:c r="F2964" t="str">
        <x:v>EWS</x:v>
      </x:c>
      <x:c r="G2964" t="n">
        <x:v>2</x:v>
      </x:c>
      <x:c r="H2964" t="n">
        <x:v>2</x:v>
      </x:c>
      <x:c r="I2964" t="n">
        <x:f>G2964-H2964</x:f>
        <x:v>0</x:v>
      </x:c>
      <x:c r="J2964" s="20" t="n">
        <x:f>IFERROR(H2964/G2964,0)</x:f>
        <x:v>1</x:v>
      </x:c>
      <x:c r="K2964" t="n">
        <x:v>26108</x:v>
      </x:c>
      <x:c r="L2964" t="n">
        <x:v>26171.5</x:v>
      </x:c>
      <x:c r="M2964" t="n">
        <x:v>26235</x:v>
      </x:c>
      <x:c r="N2964" t="n">
        <x:v>26298.5</x:v>
      </x:c>
      <x:c r="O2964" t="n">
        <x:v>26362</x:v>
      </x:c>
    </x:row>
    <x:row r="2965">
      <x:c r="A2965" t="str">
        <x:v>Tamil Nadu</x:v>
      </x:c>
      <x:c r="B2965" t="str">
        <x:v>All India except Central University</x:v>
      </x:c>
      <x:c r="C2965" t="str">
        <x:v>200270</x:v>
      </x:c>
      <x:c r="D2965" t="str">
        <x:v>Thiruvarur Govt. Medical College, Thiruvarur, MASTER PLAN COMPLEX, VILAMAL VILLAGE, THIRUVARUR</x:v>
      </x:c>
      <x:c r="E2965" t="str">
        <x:v>All India</x:v>
      </x:c>
      <x:c r="F2965" t="str">
        <x:v>OBC</x:v>
      </x:c>
      <x:c r="G2965" t="n">
        <x:v>3</x:v>
      </x:c>
      <x:c r="H2965" t="n">
        <x:v>3</x:v>
      </x:c>
      <x:c r="I2965" t="n">
        <x:f>G2965-H2965</x:f>
        <x:v>0</x:v>
      </x:c>
      <x:c r="J2965" s="20" t="n">
        <x:f>IFERROR(H2965/G2965,0)</x:f>
        <x:v>1</x:v>
      </x:c>
      <x:c r="K2965" t="n">
        <x:v>10597</x:v>
      </x:c>
      <x:c r="L2965" t="n">
        <x:v>11214</x:v>
      </x:c>
      <x:c r="M2965" t="n">
        <x:v>11831</x:v>
      </x:c>
      <x:c r="N2965" t="n">
        <x:v>11977.5</x:v>
      </x:c>
      <x:c r="O2965" t="n">
        <x:v>12124</x:v>
      </x:c>
    </x:row>
    <x:row r="2966">
      <x:c r="A2966" t="str">
        <x:v>Tamil Nadu</x:v>
      </x:c>
      <x:c r="B2966" t="str">
        <x:v>All India except Central University</x:v>
      </x:c>
      <x:c r="C2966" t="str">
        <x:v>200270</x:v>
      </x:c>
      <x:c r="D2966" t="str">
        <x:v>Thiruvarur Govt. Medical College, Thiruvarur, MASTER PLAN COMPLEX, VILAMAL VILLAGE, THIRUVARUR</x:v>
      </x:c>
      <x:c r="E2966" t="str">
        <x:v>All India</x:v>
      </x:c>
      <x:c r="F2966" t="str">
        <x:v>OBC PwD</x:v>
      </x:c>
      <x:c r="G2966" t="n">
        <x:v>1</x:v>
      </x:c>
      <x:c r="H2966" t="n">
        <x:v>1</x:v>
      </x:c>
      <x:c r="I2966" t="n">
        <x:f>G2966-H2966</x:f>
        <x:v>0</x:v>
      </x:c>
      <x:c r="J2966" s="20" t="n">
        <x:f>IFERROR(H2966/G2966,0)</x:f>
        <x:v>1</x:v>
      </x:c>
      <x:c r="K2966" t="n">
        <x:v>623571</x:v>
      </x:c>
      <x:c r="L2966" t="n">
        <x:v>623571</x:v>
      </x:c>
      <x:c r="M2966" t="n">
        <x:v>623571</x:v>
      </x:c>
      <x:c r="N2966" t="n">
        <x:v>623571</x:v>
      </x:c>
      <x:c r="O2966" t="n">
        <x:v>623571</x:v>
      </x:c>
    </x:row>
    <x:row r="2967">
      <x:c r="A2967" t="str">
        <x:v>Tamil Nadu</x:v>
      </x:c>
      <x:c r="B2967" t="str">
        <x:v>All India except Central University</x:v>
      </x:c>
      <x:c r="C2967" t="str">
        <x:v>200270</x:v>
      </x:c>
      <x:c r="D2967" t="str">
        <x:v>Thiruvarur Govt. Medical College, Thiruvarur, MASTER PLAN COMPLEX, VILAMAL VILLAGE, THIRUVARUR</x:v>
      </x:c>
      <x:c r="E2967" t="str">
        <x:v>All India</x:v>
      </x:c>
      <x:c r="F2967" t="str">
        <x:v>Open</x:v>
      </x:c>
      <x:c r="G2967" t="n">
        <x:v>5</x:v>
      </x:c>
      <x:c r="H2967" t="n">
        <x:v>5</x:v>
      </x:c>
      <x:c r="I2967" t="n">
        <x:f>G2967-H2967</x:f>
        <x:v>0</x:v>
      </x:c>
      <x:c r="J2967" s="20" t="n">
        <x:f>IFERROR(H2967/G2967,0)</x:f>
        <x:v>1</x:v>
      </x:c>
      <x:c r="K2967" t="n">
        <x:v>5665</x:v>
      </x:c>
      <x:c r="L2967" t="n">
        <x:v>9295</x:v>
      </x:c>
      <x:c r="M2967" t="n">
        <x:v>9856</x:v>
      </x:c>
      <x:c r="N2967" t="n">
        <x:v>10170</x:v>
      </x:c>
      <x:c r="O2967" t="n">
        <x:v>10215</x:v>
      </x:c>
    </x:row>
    <x:row r="2968">
      <x:c r="A2968" t="str">
        <x:v>Tamil Nadu</x:v>
      </x:c>
      <x:c r="B2968" t="str">
        <x:v>All India except Central University</x:v>
      </x:c>
      <x:c r="C2968" t="str">
        <x:v>200270</x:v>
      </x:c>
      <x:c r="D2968" t="str">
        <x:v>Thiruvarur Govt. Medical College, Thiruvarur, MASTER PLAN COMPLEX, VILAMAL VILLAGE, THIRUVARUR</x:v>
      </x:c>
      <x:c r="E2968" t="str">
        <x:v>All India</x:v>
      </x:c>
      <x:c r="F2968" t="str">
        <x:v>SC</x:v>
      </x:c>
      <x:c r="G2968" t="n">
        <x:v>3</x:v>
      </x:c>
      <x:c r="H2968" t="n">
        <x:v>3</x:v>
      </x:c>
      <x:c r="I2968" t="n">
        <x:f>G2968-H2968</x:f>
        <x:v>0</x:v>
      </x:c>
      <x:c r="J2968" s="20" t="n">
        <x:f>IFERROR(H2968/G2968,0)</x:f>
        <x:v>1</x:v>
      </x:c>
      <x:c r="K2968" t="n">
        <x:v>61156</x:v>
      </x:c>
      <x:c r="L2968" t="n">
        <x:v>62252</x:v>
      </x:c>
      <x:c r="M2968" t="n">
        <x:v>63348</x:v>
      </x:c>
      <x:c r="N2968" t="n">
        <x:v>63809</x:v>
      </x:c>
      <x:c r="O2968" t="n">
        <x:v>64270</x:v>
      </x:c>
    </x:row>
    <x:row r="2969">
      <x:c r="A2969" t="str">
        <x:v>Tamil Nadu</x:v>
      </x:c>
      <x:c r="B2969" t="str">
        <x:v>All India except Central University</x:v>
      </x:c>
      <x:c r="C2969" t="str">
        <x:v>200270</x:v>
      </x:c>
      <x:c r="D2969" t="str">
        <x:v>Thiruvarur Govt. Medical College, Thiruvarur, MASTER PLAN COMPLEX, VILAMAL VILLAGE, THIRUVARUR</x:v>
      </x:c>
      <x:c r="E2969" t="str">
        <x:v>All India</x:v>
      </x:c>
      <x:c r="F2969" t="str">
        <x:v>ST</x:v>
      </x:c>
      <x:c r="G2969" t="n">
        <x:v>1</x:v>
      </x:c>
      <x:c r="H2969" t="n">
        <x:v>1</x:v>
      </x:c>
      <x:c r="I2969" t="n">
        <x:f>G2969-H2969</x:f>
        <x:v>0</x:v>
      </x:c>
      <x:c r="J2969" s="20" t="n">
        <x:f>IFERROR(H2969/G2969,0)</x:f>
        <x:v>1</x:v>
      </x:c>
      <x:c r="K2969" t="n">
        <x:v>125075</x:v>
      </x:c>
      <x:c r="L2969" t="n">
        <x:v>125075</x:v>
      </x:c>
      <x:c r="M2969" t="n">
        <x:v>125075</x:v>
      </x:c>
      <x:c r="N2969" t="n">
        <x:v>125075</x:v>
      </x:c>
      <x:c r="O2969" t="n">
        <x:v>125075</x:v>
      </x:c>
    </x:row>
    <x:row r="2970">
      <x:c r="A2970" t="str">
        <x:v>Tamil Nadu</x:v>
      </x:c>
      <x:c r="B2970" t="str">
        <x:v>All India except Central University</x:v>
      </x:c>
      <x:c r="C2970" t="str">
        <x:v>200284</x:v>
      </x:c>
      <x:c r="D2970" t="str">
        <x:v>Thoothukudi Medical College, Thoothukudi, KAMARAJ NAGAR, 3rd MILE, THOOTHUKUDI</x:v>
      </x:c>
      <x:c r="E2970" t="str">
        <x:v>All India</x:v>
      </x:c>
      <x:c r="F2970" t="str">
        <x:v>EWS</x:v>
      </x:c>
      <x:c r="G2970" t="n">
        <x:v>2</x:v>
      </x:c>
      <x:c r="H2970" t="n">
        <x:v>2</x:v>
      </x:c>
      <x:c r="I2970" t="n">
        <x:f>G2970-H2970</x:f>
        <x:v>0</x:v>
      </x:c>
      <x:c r="J2970" s="20" t="n">
        <x:f>IFERROR(H2970/G2970,0)</x:f>
        <x:v>1</x:v>
      </x:c>
      <x:c r="K2970" t="n">
        <x:v>22929</x:v>
      </x:c>
      <x:c r="L2970" t="n">
        <x:v>23318.25</x:v>
      </x:c>
      <x:c r="M2970" t="n">
        <x:v>23707.5</x:v>
      </x:c>
      <x:c r="N2970" t="n">
        <x:v>24096.75</x:v>
      </x:c>
      <x:c r="O2970" t="n">
        <x:v>24486</x:v>
      </x:c>
    </x:row>
    <x:row r="2971">
      <x:c r="A2971" t="str">
        <x:v>Tamil Nadu</x:v>
      </x:c>
      <x:c r="B2971" t="str">
        <x:v>All India except Central University</x:v>
      </x:c>
      <x:c r="C2971" t="str">
        <x:v>200284</x:v>
      </x:c>
      <x:c r="D2971" t="str">
        <x:v>Thoothukudi Medical College, Thoothukudi, KAMARAJ NAGAR, 3rd MILE, THOOTHUKUDI</x:v>
      </x:c>
      <x:c r="E2971" t="str">
        <x:v>All India</x:v>
      </x:c>
      <x:c r="F2971" t="str">
        <x:v>OBC</x:v>
      </x:c>
      <x:c r="G2971" t="n">
        <x:v>6</x:v>
      </x:c>
      <x:c r="H2971" t="n">
        <x:v>6</x:v>
      </x:c>
      <x:c r="I2971" t="n">
        <x:f>G2971-H2971</x:f>
        <x:v>0</x:v>
      </x:c>
      <x:c r="J2971" s="20" t="n">
        <x:f>IFERROR(H2971/G2971,0)</x:f>
        <x:v>1</x:v>
      </x:c>
      <x:c r="K2971" t="n">
        <x:v>10236</x:v>
      </x:c>
      <x:c r="L2971" t="n">
        <x:v>10364.25</x:v>
      </x:c>
      <x:c r="M2971" t="n">
        <x:v>10503</x:v>
      </x:c>
      <x:c r="N2971" t="n">
        <x:v>10677.75</x:v>
      </x:c>
      <x:c r="O2971" t="n">
        <x:v>10826</x:v>
      </x:c>
    </x:row>
    <x:row r="2972">
      <x:c r="A2972" t="str">
        <x:v>Tamil Nadu</x:v>
      </x:c>
      <x:c r="B2972" t="str">
        <x:v>All India except Central University</x:v>
      </x:c>
      <x:c r="C2972" t="str">
        <x:v>200284</x:v>
      </x:c>
      <x:c r="D2972" t="str">
        <x:v>Thoothukudi Medical College, Thoothukudi, KAMARAJ NAGAR, 3rd MILE, THOOTHUKUDI</x:v>
      </x:c>
      <x:c r="E2972" t="str">
        <x:v>All India</x:v>
      </x:c>
      <x:c r="F2972" t="str">
        <x:v>Open</x:v>
      </x:c>
      <x:c r="G2972" t="n">
        <x:v>8</x:v>
      </x:c>
      <x:c r="H2972" t="n">
        <x:v>8</x:v>
      </x:c>
      <x:c r="I2972" t="n">
        <x:f>G2972-H2972</x:f>
        <x:v>0</x:v>
      </x:c>
      <x:c r="J2972" s="20" t="n">
        <x:f>IFERROR(H2972/G2972,0)</x:f>
        <x:v>1</x:v>
      </x:c>
      <x:c r="K2972" t="n">
        <x:v>3168</x:v>
      </x:c>
      <x:c r="L2972" t="n">
        <x:v>7701.25</x:v>
      </x:c>
      <x:c r="M2972" t="n">
        <x:v>8520.5</x:v>
      </x:c>
      <x:c r="N2972" t="n">
        <x:v>9103</x:v>
      </x:c>
      <x:c r="O2972" t="n">
        <x:v>9587</x:v>
      </x:c>
    </x:row>
    <x:row r="2973">
      <x:c r="A2973" t="str">
        <x:v>Tamil Nadu</x:v>
      </x:c>
      <x:c r="B2973" t="str">
        <x:v>All India except Central University</x:v>
      </x:c>
      <x:c r="C2973" t="str">
        <x:v>200284</x:v>
      </x:c>
      <x:c r="D2973" t="str">
        <x:v>Thoothukudi Medical College, Thoothukudi, KAMARAJ NAGAR, 3rd MILE, THOOTHUKUDI</x:v>
      </x:c>
      <x:c r="E2973" t="str">
        <x:v>All India</x:v>
      </x:c>
      <x:c r="F2973" t="str">
        <x:v>Open PwD</x:v>
      </x:c>
      <x:c r="G2973" t="n">
        <x:v>1</x:v>
      </x:c>
      <x:c r="H2973" t="n">
        <x:v>1</x:v>
      </x:c>
      <x:c r="I2973" t="n">
        <x:f>G2973-H2973</x:f>
        <x:v>0</x:v>
      </x:c>
      <x:c r="J2973" s="20" t="n">
        <x:f>IFERROR(H2973/G2973,0)</x:f>
        <x:v>1</x:v>
      </x:c>
      <x:c r="K2973" t="n">
        <x:v>596214</x:v>
      </x:c>
      <x:c r="L2973" t="n">
        <x:v>596214</x:v>
      </x:c>
      <x:c r="M2973" t="n">
        <x:v>596214</x:v>
      </x:c>
      <x:c r="N2973" t="n">
        <x:v>596214</x:v>
      </x:c>
      <x:c r="O2973" t="n">
        <x:v>596214</x:v>
      </x:c>
    </x:row>
    <x:row r="2974">
      <x:c r="A2974" t="str">
        <x:v>Tamil Nadu</x:v>
      </x:c>
      <x:c r="B2974" t="str">
        <x:v>All India except Central University</x:v>
      </x:c>
      <x:c r="C2974" t="str">
        <x:v>200284</x:v>
      </x:c>
      <x:c r="D2974" t="str">
        <x:v>Thoothukudi Medical College, Thoothukudi, KAMARAJ NAGAR, 3rd MILE, THOOTHUKUDI</x:v>
      </x:c>
      <x:c r="E2974" t="str">
        <x:v>All India</x:v>
      </x:c>
      <x:c r="F2974" t="str">
        <x:v>SC</x:v>
      </x:c>
      <x:c r="G2974" t="n">
        <x:v>3</x:v>
      </x:c>
      <x:c r="H2974" t="n">
        <x:v>3</x:v>
      </x:c>
      <x:c r="I2974" t="n">
        <x:f>G2974-H2974</x:f>
        <x:v>0</x:v>
      </x:c>
      <x:c r="J2974" s="20" t="n">
        <x:f>IFERROR(H2974/G2974,0)</x:f>
        <x:v>1</x:v>
      </x:c>
      <x:c r="K2974" t="n">
        <x:v>42931</x:v>
      </x:c>
      <x:c r="L2974" t="n">
        <x:v>48191</x:v>
      </x:c>
      <x:c r="M2974" t="n">
        <x:v>53451</x:v>
      </x:c>
      <x:c r="N2974" t="n">
        <x:v>55661</x:v>
      </x:c>
      <x:c r="O2974" t="n">
        <x:v>57871</x:v>
      </x:c>
    </x:row>
    <x:row r="2975">
      <x:c r="A2975" t="str">
        <x:v>Tamil Nadu</x:v>
      </x:c>
      <x:c r="B2975" t="str">
        <x:v>All India except Central University</x:v>
      </x:c>
      <x:c r="C2975" t="str">
        <x:v>200284</x:v>
      </x:c>
      <x:c r="D2975" t="str">
        <x:v>Thoothukudi Medical College, Thoothukudi, KAMARAJ NAGAR, 3rd MILE, THOOTHUKUDI</x:v>
      </x:c>
      <x:c r="E2975" t="str">
        <x:v>All India</x:v>
      </x:c>
      <x:c r="F2975" t="str">
        <x:v>ST</x:v>
      </x:c>
      <x:c r="G2975" t="n">
        <x:v>2</x:v>
      </x:c>
      <x:c r="H2975" t="n">
        <x:v>2</x:v>
      </x:c>
      <x:c r="I2975" t="n">
        <x:f>G2975-H2975</x:f>
        <x:v>0</x:v>
      </x:c>
      <x:c r="J2975" s="20" t="n">
        <x:f>IFERROR(H2975/G2975,0)</x:f>
        <x:v>1</x:v>
      </x:c>
      <x:c r="K2975" t="n">
        <x:v>121265</x:v>
      </x:c>
      <x:c r="L2975" t="n">
        <x:v>121403</x:v>
      </x:c>
      <x:c r="M2975" t="n">
        <x:v>121541</x:v>
      </x:c>
      <x:c r="N2975" t="n">
        <x:v>121679</x:v>
      </x:c>
      <x:c r="O2975" t="n">
        <x:v>121817</x:v>
      </x:c>
    </x:row>
    <x:row r="2976">
      <x:c r="A2976" t="str">
        <x:v>Assam</x:v>
      </x:c>
      <x:c r="B2976" t="str">
        <x:v>All India except Central University</x:v>
      </x:c>
      <x:c r="C2976" t="str">
        <x:v>902808</x:v>
      </x:c>
      <x:c r="D2976" t="str">
        <x:v>Tinsukia Medical College - Assam Pin - 786146, Lohari Bangali Gaon, Tinsukia</x:v>
      </x:c>
      <x:c r="E2976" t="str">
        <x:v>All India</x:v>
      </x:c>
      <x:c r="F2976" t="str">
        <x:v>EWS</x:v>
      </x:c>
      <x:c r="G2976" t="n">
        <x:v>2</x:v>
      </x:c>
      <x:c r="H2976" t="n">
        <x:v>2</x:v>
      </x:c>
      <x:c r="I2976" t="n">
        <x:f>G2976-H2976</x:f>
        <x:v>0</x:v>
      </x:c>
      <x:c r="J2976" s="20" t="n">
        <x:f>IFERROR(H2976/G2976,0)</x:f>
        <x:v>1</x:v>
      </x:c>
      <x:c r="K2976" t="n">
        <x:v>24678</x:v>
      </x:c>
      <x:c r="L2976" t="n">
        <x:v>25070.5</x:v>
      </x:c>
      <x:c r="M2976" t="n">
        <x:v>25463</x:v>
      </x:c>
      <x:c r="N2976" t="n">
        <x:v>25855.5</x:v>
      </x:c>
      <x:c r="O2976" t="n">
        <x:v>26248</x:v>
      </x:c>
    </x:row>
    <x:row r="2977">
      <x:c r="A2977" t="str">
        <x:v>Assam</x:v>
      </x:c>
      <x:c r="B2977" t="str">
        <x:v>All India except Central University</x:v>
      </x:c>
      <x:c r="C2977" t="str">
        <x:v>902808</x:v>
      </x:c>
      <x:c r="D2977" t="str">
        <x:v>Tinsukia Medical College - Assam Pin - 786146, Lohari Bangali Gaon, Tinsukia</x:v>
      </x:c>
      <x:c r="E2977" t="str">
        <x:v>All India</x:v>
      </x:c>
      <x:c r="F2977" t="str">
        <x:v>OBC</x:v>
      </x:c>
      <x:c r="G2977" t="n">
        <x:v>4</x:v>
      </x:c>
      <x:c r="H2977" t="n">
        <x:v>4</x:v>
      </x:c>
      <x:c r="I2977" t="n">
        <x:f>G2977-H2977</x:f>
        <x:v>0</x:v>
      </x:c>
      <x:c r="J2977" s="20" t="n">
        <x:f>IFERROR(H2977/G2977,0)</x:f>
        <x:v>1</x:v>
      </x:c>
      <x:c r="K2977" t="n">
        <x:v>22664</x:v>
      </x:c>
      <x:c r="L2977" t="n">
        <x:v>22860.5</x:v>
      </x:c>
      <x:c r="M2977" t="n">
        <x:v>22974.5</x:v>
      </x:c>
      <x:c r="N2977" t="n">
        <x:v>23036</x:v>
      </x:c>
      <x:c r="O2977" t="n">
        <x:v>23075</x:v>
      </x:c>
    </x:row>
    <x:row r="2978">
      <x:c r="A2978" t="str">
        <x:v>Assam</x:v>
      </x:c>
      <x:c r="B2978" t="str">
        <x:v>All India except Central University</x:v>
      </x:c>
      <x:c r="C2978" t="str">
        <x:v>902808</x:v>
      </x:c>
      <x:c r="D2978" t="str">
        <x:v>Tinsukia Medical College - Assam Pin - 786146, Lohari Bangali Gaon, Tinsukia</x:v>
      </x:c>
      <x:c r="E2978" t="str">
        <x:v>All India</x:v>
      </x:c>
      <x:c r="F2978" t="str">
        <x:v>Open</x:v>
      </x:c>
      <x:c r="G2978" t="n">
        <x:v>6</x:v>
      </x:c>
      <x:c r="H2978" t="n">
        <x:v>6</x:v>
      </x:c>
      <x:c r="I2978" t="n">
        <x:f>G2978-H2978</x:f>
        <x:v>0</x:v>
      </x:c>
      <x:c r="J2978" s="20" t="n">
        <x:f>IFERROR(H2978/G2978,0)</x:f>
        <x:v>1</x:v>
      </x:c>
      <x:c r="K2978" t="n">
        <x:v>20700</x:v>
      </x:c>
      <x:c r="L2978" t="n">
        <x:v>21081.5</x:v>
      </x:c>
      <x:c r="M2978" t="n">
        <x:v>21632</x:v>
      </x:c>
      <x:c r="N2978" t="n">
        <x:v>22027.25</x:v>
      </x:c>
      <x:c r="O2978" t="n">
        <x:v>22212</x:v>
      </x:c>
    </x:row>
    <x:row r="2979">
      <x:c r="A2979" t="str">
        <x:v>Assam</x:v>
      </x:c>
      <x:c r="B2979" t="str">
        <x:v>All India except Central University</x:v>
      </x:c>
      <x:c r="C2979" t="str">
        <x:v>902808</x:v>
      </x:c>
      <x:c r="D2979" t="str">
        <x:v>Tinsukia Medical College - Assam Pin - 786146, Lohari Bangali Gaon, Tinsukia</x:v>
      </x:c>
      <x:c r="E2979" t="str">
        <x:v>All India</x:v>
      </x:c>
      <x:c r="F2979" t="str">
        <x:v>SC</x:v>
      </x:c>
      <x:c r="G2979" t="n">
        <x:v>2</x:v>
      </x:c>
      <x:c r="H2979" t="n">
        <x:v>2</x:v>
      </x:c>
      <x:c r="I2979" t="n">
        <x:f>G2979-H2979</x:f>
        <x:v>0</x:v>
      </x:c>
      <x:c r="J2979" s="20" t="n">
        <x:f>IFERROR(H2979/G2979,0)</x:f>
        <x:v>1</x:v>
      </x:c>
      <x:c r="K2979" t="n">
        <x:v>89351</x:v>
      </x:c>
      <x:c r="L2979" t="n">
        <x:v>93048.5</x:v>
      </x:c>
      <x:c r="M2979" t="n">
        <x:v>96746</x:v>
      </x:c>
      <x:c r="N2979" t="n">
        <x:v>100443.5</x:v>
      </x:c>
      <x:c r="O2979" t="n">
        <x:v>104141</x:v>
      </x:c>
    </x:row>
    <x:row r="2980">
      <x:c r="A2980" t="str">
        <x:v>Assam</x:v>
      </x:c>
      <x:c r="B2980" t="str">
        <x:v>All India except Central University</x:v>
      </x:c>
      <x:c r="C2980" t="str">
        <x:v>902808</x:v>
      </x:c>
      <x:c r="D2980" t="str">
        <x:v>Tinsukia Medical College - Assam Pin - 786146, Lohari Bangali Gaon, Tinsukia</x:v>
      </x:c>
      <x:c r="E2980" t="str">
        <x:v>All India</x:v>
      </x:c>
      <x:c r="F2980" t="str">
        <x:v>ST</x:v>
      </x:c>
      <x:c r="G2980" t="n">
        <x:v>1</x:v>
      </x:c>
      <x:c r="H2980" t="n">
        <x:v>1</x:v>
      </x:c>
      <x:c r="I2980" t="n">
        <x:f>G2980-H2980</x:f>
        <x:v>0</x:v>
      </x:c>
      <x:c r="J2980" s="20" t="n">
        <x:f>IFERROR(H2980/G2980,0)</x:f>
        <x:v>1</x:v>
      </x:c>
      <x:c r="K2980" t="n">
        <x:v>119678</x:v>
      </x:c>
      <x:c r="L2980" t="n">
        <x:v>119678</x:v>
      </x:c>
      <x:c r="M2980" t="n">
        <x:v>119678</x:v>
      </x:c>
      <x:c r="N2980" t="n">
        <x:v>119678</x:v>
      </x:c>
      <x:c r="O2980" t="n">
        <x:v>119678</x:v>
      </x:c>
    </x:row>
    <x:row r="2981">
      <x:c r="A2981" t="str">
        <x:v>Tamil Nadu</x:v>
      </x:c>
      <x:c r="B2981" t="str">
        <x:v>All India except Central University</x:v>
      </x:c>
      <x:c r="C2981" t="str">
        <x:v>200265</x:v>
      </x:c>
      <x:c r="D2981" t="str">
        <x:v>Tirunelveli Medical College, Tirunelveli, THE DEAN, TIRUNELVELI MEDICAL COLLEGE, HIGHGROUND, TIRUNELVELI-11</x:v>
      </x:c>
      <x:c r="E2981" t="str">
        <x:v>All India</x:v>
      </x:c>
      <x:c r="F2981" t="str">
        <x:v>EWS</x:v>
      </x:c>
      <x:c r="G2981" t="n">
        <x:v>3</x:v>
      </x:c>
      <x:c r="H2981" t="n">
        <x:v>3</x:v>
      </x:c>
      <x:c r="I2981" t="n">
        <x:f>G2981-H2981</x:f>
        <x:v>0</x:v>
      </x:c>
      <x:c r="J2981" s="20" t="n">
        <x:f>IFERROR(H2981/G2981,0)</x:f>
        <x:v>1</x:v>
      </x:c>
      <x:c r="K2981" t="n">
        <x:v>21068</x:v>
      </x:c>
      <x:c r="L2981" t="n">
        <x:v>21104.5</x:v>
      </x:c>
      <x:c r="M2981" t="n">
        <x:v>21141</x:v>
      </x:c>
      <x:c r="N2981" t="n">
        <x:v>21153</x:v>
      </x:c>
      <x:c r="O2981" t="n">
        <x:v>21165</x:v>
      </x:c>
    </x:row>
    <x:row r="2982">
      <x:c r="A2982" t="str">
        <x:v>Tamil Nadu</x:v>
      </x:c>
      <x:c r="B2982" t="str">
        <x:v>All India except Central University</x:v>
      </x:c>
      <x:c r="C2982" t="str">
        <x:v>200265</x:v>
      </x:c>
      <x:c r="D2982" t="str">
        <x:v>Tirunelveli Medical College, Tirunelveli, THE DEAN, TIRUNELVELI MEDICAL COLLEGE, HIGHGROUND, TIRUNELVELI-11</x:v>
      </x:c>
      <x:c r="E2982" t="str">
        <x:v>All India</x:v>
      </x:c>
      <x:c r="F2982" t="str">
        <x:v>EWS PwD</x:v>
      </x:c>
      <x:c r="G2982" t="n">
        <x:v>1</x:v>
      </x:c>
      <x:c r="H2982" t="n">
        <x:v>1</x:v>
      </x:c>
      <x:c r="I2982" t="n">
        <x:f>G2982-H2982</x:f>
        <x:v>0</x:v>
      </x:c>
      <x:c r="J2982" s="20" t="n">
        <x:f>IFERROR(H2982/G2982,0)</x:f>
        <x:v>1</x:v>
      </x:c>
      <x:c r="K2982" t="n">
        <x:v>1009564</x:v>
      </x:c>
      <x:c r="L2982" t="n">
        <x:v>1009564</x:v>
      </x:c>
      <x:c r="M2982" t="n">
        <x:v>1009564</x:v>
      </x:c>
      <x:c r="N2982" t="n">
        <x:v>1009564</x:v>
      </x:c>
      <x:c r="O2982" t="n">
        <x:v>1009564</x:v>
      </x:c>
    </x:row>
    <x:row r="2983">
      <x:c r="A2983" t="str">
        <x:v>Tamil Nadu</x:v>
      </x:c>
      <x:c r="B2983" t="str">
        <x:v>All India except Central University</x:v>
      </x:c>
      <x:c r="C2983" t="str">
        <x:v>200265</x:v>
      </x:c>
      <x:c r="D2983" t="str">
        <x:v>Tirunelveli Medical College, Tirunelveli, THE DEAN, TIRUNELVELI MEDICAL COLLEGE, HIGHGROUND, TIRUNELVELI-11</x:v>
      </x:c>
      <x:c r="E2983" t="str">
        <x:v>All India</x:v>
      </x:c>
      <x:c r="F2983" t="str">
        <x:v>OBC</x:v>
      </x:c>
      <x:c r="G2983" t="n">
        <x:v>10</x:v>
      </x:c>
      <x:c r="H2983" t="n">
        <x:v>10</x:v>
      </x:c>
      <x:c r="I2983" t="n">
        <x:f>G2983-H2983</x:f>
        <x:v>0</x:v>
      </x:c>
      <x:c r="J2983" s="20" t="n">
        <x:f>IFERROR(H2983/G2983,0)</x:f>
        <x:v>1</x:v>
      </x:c>
      <x:c r="K2983" t="n">
        <x:v>6239</x:v>
      </x:c>
      <x:c r="L2983" t="n">
        <x:v>6346</x:v>
      </x:c>
      <x:c r="M2983" t="n">
        <x:v>6513.5</x:v>
      </x:c>
      <x:c r="N2983" t="n">
        <x:v>6929.75</x:v>
      </x:c>
      <x:c r="O2983" t="n">
        <x:v>7279</x:v>
      </x:c>
    </x:row>
    <x:row r="2984">
      <x:c r="A2984" t="str">
        <x:v>Tamil Nadu</x:v>
      </x:c>
      <x:c r="B2984" t="str">
        <x:v>All India except Central University</x:v>
      </x:c>
      <x:c r="C2984" t="str">
        <x:v>200265</x:v>
      </x:c>
      <x:c r="D2984" t="str">
        <x:v>Tirunelveli Medical College, Tirunelveli, THE DEAN, TIRUNELVELI MEDICAL COLLEGE, HIGHGROUND, TIRUNELVELI-11</x:v>
      </x:c>
      <x:c r="E2984" t="str">
        <x:v>All India</x:v>
      </x:c>
      <x:c r="F2984" t="str">
        <x:v>Open</x:v>
      </x:c>
      <x:c r="G2984" t="n">
        <x:v>15</x:v>
      </x:c>
      <x:c r="H2984" t="n">
        <x:v>15</x:v>
      </x:c>
      <x:c r="I2984" t="n">
        <x:f>G2984-H2984</x:f>
        <x:v>0</x:v>
      </x:c>
      <x:c r="J2984" s="20" t="n">
        <x:f>IFERROR(H2984/G2984,0)</x:f>
        <x:v>1</x:v>
      </x:c>
      <x:c r="K2984" t="n">
        <x:v>1389</x:v>
      </x:c>
      <x:c r="L2984" t="n">
        <x:v>4233.5</x:v>
      </x:c>
      <x:c r="M2984" t="n">
        <x:v>5383</x:v>
      </x:c>
      <x:c r="N2984" t="n">
        <x:v>5794.5</x:v>
      </x:c>
      <x:c r="O2984" t="n">
        <x:v>6237</x:v>
      </x:c>
    </x:row>
    <x:row r="2985">
      <x:c r="A2985" t="str">
        <x:v>Tamil Nadu</x:v>
      </x:c>
      <x:c r="B2985" t="str">
        <x:v>All India except Central University</x:v>
      </x:c>
      <x:c r="C2985" t="str">
        <x:v>200265</x:v>
      </x:c>
      <x:c r="D2985" t="str">
        <x:v>Tirunelveli Medical College, Tirunelveli, THE DEAN, TIRUNELVELI MEDICAL COLLEGE, HIGHGROUND, TIRUNELVELI-11</x:v>
      </x:c>
      <x:c r="E2985" t="str">
        <x:v>All India</x:v>
      </x:c>
      <x:c r="F2985" t="str">
        <x:v>Open PwD</x:v>
      </x:c>
      <x:c r="G2985" t="n">
        <x:v>1</x:v>
      </x:c>
      <x:c r="H2985" t="n">
        <x:v>1</x:v>
      </x:c>
      <x:c r="I2985" t="n">
        <x:f>G2985-H2985</x:f>
        <x:v>0</x:v>
      </x:c>
      <x:c r="J2985" s="20" t="n">
        <x:f>IFERROR(H2985/G2985,0)</x:f>
        <x:v>1</x:v>
      </x:c>
      <x:c r="K2985" t="n">
        <x:v>486628</x:v>
      </x:c>
      <x:c r="L2985" t="n">
        <x:v>486628</x:v>
      </x:c>
      <x:c r="M2985" t="n">
        <x:v>486628</x:v>
      </x:c>
      <x:c r="N2985" t="n">
        <x:v>486628</x:v>
      </x:c>
      <x:c r="O2985" t="n">
        <x:v>486628</x:v>
      </x:c>
    </x:row>
    <x:row r="2986">
      <x:c r="A2986" t="str">
        <x:v>Tamil Nadu</x:v>
      </x:c>
      <x:c r="B2986" t="str">
        <x:v>All India except Central University</x:v>
      </x:c>
      <x:c r="C2986" t="str">
        <x:v>200265</x:v>
      </x:c>
      <x:c r="D2986" t="str">
        <x:v>Tirunelveli Medical College, Tirunelveli, THE DEAN, TIRUNELVELI MEDICAL COLLEGE, HIGHGROUND, TIRUNELVELI-11</x:v>
      </x:c>
      <x:c r="E2986" t="str">
        <x:v>All India</x:v>
      </x:c>
      <x:c r="F2986" t="str">
        <x:v>SC</x:v>
      </x:c>
      <x:c r="G2986" t="n">
        <x:v>4</x:v>
      </x:c>
      <x:c r="H2986" t="n">
        <x:v>4</x:v>
      </x:c>
      <x:c r="I2986" t="n">
        <x:f>G2986-H2986</x:f>
        <x:v>0</x:v>
      </x:c>
      <x:c r="J2986" s="20" t="n">
        <x:f>IFERROR(H2986/G2986,0)</x:f>
        <x:v>1</x:v>
      </x:c>
      <x:c r="K2986" t="n">
        <x:v>27762</x:v>
      </x:c>
      <x:c r="L2986" t="n">
        <x:v>36112.5</x:v>
      </x:c>
      <x:c r="M2986" t="n">
        <x:v>39232.5</x:v>
      </x:c>
      <x:c r="N2986" t="n">
        <x:v>39761.25</x:v>
      </x:c>
      <x:c r="O2986" t="n">
        <x:v>40338</x:v>
      </x:c>
    </x:row>
    <x:row r="2987">
      <x:c r="A2987" t="str">
        <x:v>Tamil Nadu</x:v>
      </x:c>
      <x:c r="B2987" t="str">
        <x:v>All India except Central University</x:v>
      </x:c>
      <x:c r="C2987" t="str">
        <x:v>200265</x:v>
      </x:c>
      <x:c r="D2987" t="str">
        <x:v>Tirunelveli Medical College, Tirunelveli, THE DEAN, TIRUNELVELI MEDICAL COLLEGE, HIGHGROUND, TIRUNELVELI-11</x:v>
      </x:c>
      <x:c r="E2987" t="str">
        <x:v>All India</x:v>
      </x:c>
      <x:c r="F2987" t="str">
        <x:v>SC PwD</x:v>
      </x:c>
      <x:c r="G2987" t="n">
        <x:v>1</x:v>
      </x:c>
      <x:c r="H2987" t="n">
        <x:v>1</x:v>
      </x:c>
      <x:c r="I2987" t="n">
        <x:f>G2987-H2987</x:f>
        <x:v>0</x:v>
      </x:c>
      <x:c r="J2987" s="20" t="n">
        <x:f>IFERROR(H2987/G2987,0)</x:f>
        <x:v>1</x:v>
      </x:c>
      <x:c r="K2987" t="n">
        <x:v>566472</x:v>
      </x:c>
      <x:c r="L2987" t="n">
        <x:v>566472</x:v>
      </x:c>
      <x:c r="M2987" t="n">
        <x:v>566472</x:v>
      </x:c>
      <x:c r="N2987" t="n">
        <x:v>566472</x:v>
      </x:c>
      <x:c r="O2987" t="n">
        <x:v>566472</x:v>
      </x:c>
    </x:row>
    <x:row r="2988">
      <x:c r="A2988" t="str">
        <x:v>Tamil Nadu</x:v>
      </x:c>
      <x:c r="B2988" t="str">
        <x:v>All India except Central University</x:v>
      </x:c>
      <x:c r="C2988" t="str">
        <x:v>200265</x:v>
      </x:c>
      <x:c r="D2988" t="str">
        <x:v>Tirunelveli Medical College, Tirunelveli, THE DEAN, TIRUNELVELI MEDICAL COLLEGE, HIGHGROUND, TIRUNELVELI-11</x:v>
      </x:c>
      <x:c r="E2988" t="str">
        <x:v>All India</x:v>
      </x:c>
      <x:c r="F2988" t="str">
        <x:v>ST</x:v>
      </x:c>
      <x:c r="G2988" t="n">
        <x:v>2</x:v>
      </x:c>
      <x:c r="H2988" t="n">
        <x:v>2</x:v>
      </x:c>
      <x:c r="I2988" t="n">
        <x:f>G2988-H2988</x:f>
        <x:v>0</x:v>
      </x:c>
      <x:c r="J2988" s="20" t="n">
        <x:f>IFERROR(H2988/G2988,0)</x:f>
        <x:v>1</x:v>
      </x:c>
      <x:c r="K2988" t="n">
        <x:v>96092</x:v>
      </x:c>
      <x:c r="L2988" t="n">
        <x:v>101280</x:v>
      </x:c>
      <x:c r="M2988" t="n">
        <x:v>106468</x:v>
      </x:c>
      <x:c r="N2988" t="n">
        <x:v>111656</x:v>
      </x:c>
      <x:c r="O2988" t="n">
        <x:v>116844</x:v>
      </x:c>
    </x:row>
    <x:row r="2989">
      <x:c r="A2989" t="str">
        <x:v>Maharashtra</x:v>
      </x:c>
      <x:c r="B2989" t="str">
        <x:v>All India except Central University</x:v>
      </x:c>
      <x:c r="C2989" t="str">
        <x:v>200230</x:v>
      </x:c>
      <x:c r="D2989" t="str">
        <x:v>Topiwala National Medical College, Mumbai, Dr. A.L. Nair Road, Mumbai Central, Mumbai</x:v>
      </x:c>
      <x:c r="E2989" t="str">
        <x:v>All India</x:v>
      </x:c>
      <x:c r="F2989" t="str">
        <x:v>EWS</x:v>
      </x:c>
      <x:c r="G2989" t="n">
        <x:v>2</x:v>
      </x:c>
      <x:c r="H2989" t="n">
        <x:v>2</x:v>
      </x:c>
      <x:c r="I2989" t="n">
        <x:f>G2989-H2989</x:f>
        <x:v>0</x:v>
      </x:c>
      <x:c r="J2989" s="20" t="n">
        <x:f>IFERROR(H2989/G2989,0)</x:f>
        <x:v>1</x:v>
      </x:c>
      <x:c r="K2989" t="n">
        <x:v>5289</x:v>
      </x:c>
      <x:c r="L2989" t="n">
        <x:v>5437.75</x:v>
      </x:c>
      <x:c r="M2989" t="n">
        <x:v>5586.5</x:v>
      </x:c>
      <x:c r="N2989" t="n">
        <x:v>5735.25</x:v>
      </x:c>
      <x:c r="O2989" t="n">
        <x:v>5884</x:v>
      </x:c>
    </x:row>
    <x:row r="2990">
      <x:c r="A2990" t="str">
        <x:v>Maharashtra</x:v>
      </x:c>
      <x:c r="B2990" t="str">
        <x:v>All India except Central University</x:v>
      </x:c>
      <x:c r="C2990" t="str">
        <x:v>200230</x:v>
      </x:c>
      <x:c r="D2990" t="str">
        <x:v>Topiwala National Medical College, Mumbai, Dr. A.L. Nair Road, Mumbai Central, Mumbai</x:v>
      </x:c>
      <x:c r="E2990" t="str">
        <x:v>All India</x:v>
      </x:c>
      <x:c r="F2990" t="str">
        <x:v>OBC</x:v>
      </x:c>
      <x:c r="G2990" t="n">
        <x:v>6</x:v>
      </x:c>
      <x:c r="H2990" t="n">
        <x:v>6</x:v>
      </x:c>
      <x:c r="I2990" t="n">
        <x:f>G2990-H2990</x:f>
        <x:v>0</x:v>
      </x:c>
      <x:c r="J2990" s="20" t="n">
        <x:f>IFERROR(H2990/G2990,0)</x:f>
        <x:v>1</x:v>
      </x:c>
      <x:c r="K2990" t="n">
        <x:v>4904</x:v>
      </x:c>
      <x:c r="L2990" t="n">
        <x:v>5403.5</x:v>
      </x:c>
      <x:c r="M2990" t="n">
        <x:v>5676</x:v>
      </x:c>
      <x:c r="N2990" t="n">
        <x:v>5768.5</x:v>
      </x:c>
      <x:c r="O2990" t="n">
        <x:v>5782</x:v>
      </x:c>
    </x:row>
    <x:row r="2991">
      <x:c r="A2991" t="str">
        <x:v>Maharashtra</x:v>
      </x:c>
      <x:c r="B2991" t="str">
        <x:v>All India except Central University</x:v>
      </x:c>
      <x:c r="C2991" t="str">
        <x:v>200230</x:v>
      </x:c>
      <x:c r="D2991" t="str">
        <x:v>Topiwala National Medical College, Mumbai, Dr. A.L. Nair Road, Mumbai Central, Mumbai</x:v>
      </x:c>
      <x:c r="E2991" t="str">
        <x:v>All India</x:v>
      </x:c>
      <x:c r="F2991" t="str">
        <x:v>Open</x:v>
      </x:c>
      <x:c r="G2991" t="n">
        <x:v>8</x:v>
      </x:c>
      <x:c r="H2991" t="n">
        <x:v>8</x:v>
      </x:c>
      <x:c r="I2991" t="n">
        <x:f>G2991-H2991</x:f>
        <x:v>0</x:v>
      </x:c>
      <x:c r="J2991" s="20" t="n">
        <x:f>IFERROR(H2991/G2991,0)</x:f>
        <x:v>1</x:v>
      </x:c>
      <x:c r="K2991" t="n">
        <x:v>2538</x:v>
      </x:c>
      <x:c r="L2991" t="n">
        <x:v>2840</x:v>
      </x:c>
      <x:c r="M2991" t="n">
        <x:v>3091.5</x:v>
      </x:c>
      <x:c r="N2991" t="n">
        <x:v>3360</x:v>
      </x:c>
      <x:c r="O2991" t="n">
        <x:v>3572</x:v>
      </x:c>
    </x:row>
    <x:row r="2992">
      <x:c r="A2992" t="str">
        <x:v>Maharashtra</x:v>
      </x:c>
      <x:c r="B2992" t="str">
        <x:v>All India except Central University</x:v>
      </x:c>
      <x:c r="C2992" t="str">
        <x:v>200230</x:v>
      </x:c>
      <x:c r="D2992" t="str">
        <x:v>Topiwala National Medical College, Mumbai, Dr. A.L. Nair Road, Mumbai Central, Mumbai</x:v>
      </x:c>
      <x:c r="E2992" t="str">
        <x:v>All India</x:v>
      </x:c>
      <x:c r="F2992" t="str">
        <x:v>Open PwD</x:v>
      </x:c>
      <x:c r="G2992" t="n">
        <x:v>1</x:v>
      </x:c>
      <x:c r="H2992" t="n">
        <x:v>1</x:v>
      </x:c>
      <x:c r="I2992" t="n">
        <x:f>G2992-H2992</x:f>
        <x:v>0</x:v>
      </x:c>
      <x:c r="J2992" s="20" t="n">
        <x:f>IFERROR(H2992/G2992,0)</x:f>
        <x:v>1</x:v>
      </x:c>
      <x:c r="K2992" t="n">
        <x:v>203403</x:v>
      </x:c>
      <x:c r="L2992" t="n">
        <x:v>203403</x:v>
      </x:c>
      <x:c r="M2992" t="n">
        <x:v>203403</x:v>
      </x:c>
      <x:c r="N2992" t="n">
        <x:v>203403</x:v>
      </x:c>
      <x:c r="O2992" t="n">
        <x:v>203403</x:v>
      </x:c>
    </x:row>
    <x:row r="2993">
      <x:c r="A2993" t="str">
        <x:v>Maharashtra</x:v>
      </x:c>
      <x:c r="B2993" t="str">
        <x:v>All India except Central University</x:v>
      </x:c>
      <x:c r="C2993" t="str">
        <x:v>200230</x:v>
      </x:c>
      <x:c r="D2993" t="str">
        <x:v>Topiwala National Medical College, Mumbai, Dr. A.L. Nair Road, Mumbai Central, Mumbai</x:v>
      </x:c>
      <x:c r="E2993" t="str">
        <x:v>All India</x:v>
      </x:c>
      <x:c r="F2993" t="str">
        <x:v>SC</x:v>
      </x:c>
      <x:c r="G2993" t="n">
        <x:v>4</x:v>
      </x:c>
      <x:c r="H2993" t="n">
        <x:v>4</x:v>
      </x:c>
      <x:c r="I2993" t="n">
        <x:f>G2993-H2993</x:f>
        <x:v>0</x:v>
      </x:c>
      <x:c r="J2993" s="20" t="n">
        <x:f>IFERROR(H2993/G2993,0)</x:f>
        <x:v>1</x:v>
      </x:c>
      <x:c r="K2993" t="n">
        <x:v>23852</x:v>
      </x:c>
      <x:c r="L2993" t="n">
        <x:v>26257.25</x:v>
      </x:c>
      <x:c r="M2993" t="n">
        <x:v>30661</x:v>
      </x:c>
      <x:c r="N2993" t="n">
        <x:v>35241.25</x:v>
      </x:c>
      <x:c r="O2993" t="n">
        <x:v>38176</x:v>
      </x:c>
    </x:row>
    <x:row r="2994">
      <x:c r="A2994" t="str">
        <x:v>Maharashtra</x:v>
      </x:c>
      <x:c r="B2994" t="str">
        <x:v>All India except Central University</x:v>
      </x:c>
      <x:c r="C2994" t="str">
        <x:v>200230</x:v>
      </x:c>
      <x:c r="D2994" t="str">
        <x:v>Topiwala National Medical College, Mumbai, Dr. A.L. Nair Road, Mumbai Central, Mumbai</x:v>
      </x:c>
      <x:c r="E2994" t="str">
        <x:v>All India</x:v>
      </x:c>
      <x:c r="F2994" t="str">
        <x:v>ST</x:v>
      </x:c>
      <x:c r="G2994" t="n">
        <x:v>2</x:v>
      </x:c>
      <x:c r="H2994" t="n">
        <x:v>2</x:v>
      </x:c>
      <x:c r="I2994" t="n">
        <x:f>G2994-H2994</x:f>
        <x:v>0</x:v>
      </x:c>
      <x:c r="J2994" s="20" t="n">
        <x:f>IFERROR(H2994/G2994,0)</x:f>
        <x:v>1</x:v>
      </x:c>
      <x:c r="K2994" t="n">
        <x:v>63012</x:v>
      </x:c>
      <x:c r="L2994" t="n">
        <x:v>63237.5</x:v>
      </x:c>
      <x:c r="M2994" t="n">
        <x:v>63463</x:v>
      </x:c>
      <x:c r="N2994" t="n">
        <x:v>63688.5</x:v>
      </x:c>
      <x:c r="O2994" t="n">
        <x:v>63914</x:v>
      </x:c>
    </x:row>
    <x:row r="2995">
      <x:c r="A2995" t="str">
        <x:v>Uttar Pradesh</x:v>
      </x:c>
      <x:c r="B2995" t="str">
        <x:v>All India except Central University</x:v>
      </x:c>
      <x:c r="C2995" t="str">
        <x:v>200550</x:v>
      </x:c>
      <x:c r="D2995" t="str">
        <x:v>Uma Nath Singh Autonomous State Medical College Society Jaunpur, UNS AUTONOMOUS STATE MEDICAL COLLEGE SIDDIQUEPUR SHAHGANJ ROAD JAUNPUR UP</x:v>
      </x:c>
      <x:c r="E2995" t="str">
        <x:v>All India</x:v>
      </x:c>
      <x:c r="F2995" t="str">
        <x:v>EWS</x:v>
      </x:c>
      <x:c r="G2995" t="n">
        <x:v>2</x:v>
      </x:c>
      <x:c r="H2995" t="n">
        <x:v>2</x:v>
      </x:c>
      <x:c r="I2995" t="n">
        <x:f>G2995-H2995</x:f>
        <x:v>0</x:v>
      </x:c>
      <x:c r="J2995" s="20" t="n">
        <x:f>IFERROR(H2995/G2995,0)</x:f>
        <x:v>1</x:v>
      </x:c>
      <x:c r="K2995" t="n">
        <x:v>16154</x:v>
      </x:c>
      <x:c r="L2995" t="n">
        <x:v>16225</x:v>
      </x:c>
      <x:c r="M2995" t="n">
        <x:v>16296</x:v>
      </x:c>
      <x:c r="N2995" t="n">
        <x:v>16367</x:v>
      </x:c>
      <x:c r="O2995" t="n">
        <x:v>16438</x:v>
      </x:c>
    </x:row>
    <x:row r="2996">
      <x:c r="A2996" t="str">
        <x:v>Uttar Pradesh</x:v>
      </x:c>
      <x:c r="B2996" t="str">
        <x:v>All India except Central University</x:v>
      </x:c>
      <x:c r="C2996" t="str">
        <x:v>200550</x:v>
      </x:c>
      <x:c r="D2996" t="str">
        <x:v>Uma Nath Singh Autonomous State Medical College Society Jaunpur, UNS AUTONOMOUS STATE MEDICAL COLLEGE SIDDIQUEPUR SHAHGANJ ROAD JAUNPUR UP</x:v>
      </x:c>
      <x:c r="E2996" t="str">
        <x:v>All India</x:v>
      </x:c>
      <x:c r="F2996" t="str">
        <x:v>OBC</x:v>
      </x:c>
      <x:c r="G2996" t="n">
        <x:v>4</x:v>
      </x:c>
      <x:c r="H2996" t="n">
        <x:v>4</x:v>
      </x:c>
      <x:c r="I2996" t="n">
        <x:f>G2996-H2996</x:f>
        <x:v>0</x:v>
      </x:c>
      <x:c r="J2996" s="20" t="n">
        <x:f>IFERROR(H2996/G2996,0)</x:f>
        <x:v>1</x:v>
      </x:c>
      <x:c r="K2996" t="n">
        <x:v>16077</x:v>
      </x:c>
      <x:c r="L2996" t="n">
        <x:v>16235.25</x:v>
      </x:c>
      <x:c r="M2996" t="n">
        <x:v>16313.5</x:v>
      </x:c>
      <x:c r="N2996" t="n">
        <x:v>16468.75</x:v>
      </x:c>
      <x:c r="O2996" t="n">
        <x:v>16858</x:v>
      </x:c>
    </x:row>
    <x:row r="2997">
      <x:c r="A2997" t="str">
        <x:v>Uttar Pradesh</x:v>
      </x:c>
      <x:c r="B2997" t="str">
        <x:v>All India except Central University</x:v>
      </x:c>
      <x:c r="C2997" t="str">
        <x:v>200550</x:v>
      </x:c>
      <x:c r="D2997" t="str">
        <x:v>Uma Nath Singh Autonomous State Medical College Society Jaunpur, UNS AUTONOMOUS STATE MEDICAL COLLEGE SIDDIQUEPUR SHAHGANJ ROAD JAUNPUR UP</x:v>
      </x:c>
      <x:c r="E2997" t="str">
        <x:v>All India</x:v>
      </x:c>
      <x:c r="F2997" t="str">
        <x:v>Open</x:v>
      </x:c>
      <x:c r="G2997" t="n">
        <x:v>6</x:v>
      </x:c>
      <x:c r="H2997" t="n">
        <x:v>6</x:v>
      </x:c>
      <x:c r="I2997" t="n">
        <x:f>G2997-H2997</x:f>
        <x:v>0</x:v>
      </x:c>
      <x:c r="J2997" s="20" t="n">
        <x:f>IFERROR(H2997/G2997,0)</x:f>
        <x:v>1</x:v>
      </x:c>
      <x:c r="K2997" t="n">
        <x:v>14048</x:v>
      </x:c>
      <x:c r="L2997" t="n">
        <x:v>14267.75</x:v>
      </x:c>
      <x:c r="M2997" t="n">
        <x:v>14638</x:v>
      </x:c>
      <x:c r="N2997" t="n">
        <x:v>14945.25</x:v>
      </x:c>
      <x:c r="O2997" t="n">
        <x:v>16006</x:v>
      </x:c>
    </x:row>
    <x:row r="2998">
      <x:c r="A2998" t="str">
        <x:v>Uttar Pradesh</x:v>
      </x:c>
      <x:c r="B2998" t="str">
        <x:v>All India except Central University</x:v>
      </x:c>
      <x:c r="C2998" t="str">
        <x:v>200550</x:v>
      </x:c>
      <x:c r="D2998" t="str">
        <x:v>Uma Nath Singh Autonomous State Medical College Society Jaunpur, UNS AUTONOMOUS STATE MEDICAL COLLEGE SIDDIQUEPUR SHAHGANJ ROAD JAUNPUR UP</x:v>
      </x:c>
      <x:c r="E2998" t="str">
        <x:v>All India</x:v>
      </x:c>
      <x:c r="F2998" t="str">
        <x:v>SC</x:v>
      </x:c>
      <x:c r="G2998" t="n">
        <x:v>2</x:v>
      </x:c>
      <x:c r="H2998" t="n">
        <x:v>2</x:v>
      </x:c>
      <x:c r="I2998" t="n">
        <x:f>G2998-H2998</x:f>
        <x:v>0</x:v>
      </x:c>
      <x:c r="J2998" s="20" t="n">
        <x:f>IFERROR(H2998/G2998,0)</x:f>
        <x:v>1</x:v>
      </x:c>
      <x:c r="K2998" t="n">
        <x:v>85834</x:v>
      </x:c>
      <x:c r="L2998" t="n">
        <x:v>86261.5</x:v>
      </x:c>
      <x:c r="M2998" t="n">
        <x:v>86689</x:v>
      </x:c>
      <x:c r="N2998" t="n">
        <x:v>87116.5</x:v>
      </x:c>
      <x:c r="O2998" t="n">
        <x:v>87544</x:v>
      </x:c>
    </x:row>
    <x:row r="2999">
      <x:c r="A2999" t="str">
        <x:v>Uttar Pradesh</x:v>
      </x:c>
      <x:c r="B2999" t="str">
        <x:v>All India except Central University</x:v>
      </x:c>
      <x:c r="C2999" t="str">
        <x:v>200550</x:v>
      </x:c>
      <x:c r="D2999" t="str">
        <x:v>Uma Nath Singh Autonomous State Medical College Society Jaunpur, UNS AUTONOMOUS STATE MEDICAL COLLEGE SIDDIQUEPUR SHAHGANJ ROAD JAUNPUR UP</x:v>
      </x:c>
      <x:c r="E2999" t="str">
        <x:v>All India</x:v>
      </x:c>
      <x:c r="F2999" t="str">
        <x:v>ST</x:v>
      </x:c>
      <x:c r="G2999" t="n">
        <x:v>1</x:v>
      </x:c>
      <x:c r="H2999" t="n">
        <x:v>1</x:v>
      </x:c>
      <x:c r="I2999" t="n">
        <x:f>G2999-H2999</x:f>
        <x:v>0</x:v>
      </x:c>
      <x:c r="J2999" s="20" t="n">
        <x:f>IFERROR(H2999/G2999,0)</x:f>
        <x:v>1</x:v>
      </x:c>
      <x:c r="K2999" t="n">
        <x:v>106133</x:v>
      </x:c>
      <x:c r="L2999" t="n">
        <x:v>106133</x:v>
      </x:c>
      <x:c r="M2999" t="n">
        <x:v>106133</x:v>
      </x:c>
      <x:c r="N2999" t="n">
        <x:v>106133</x:v>
      </x:c>
      <x:c r="O2999" t="n">
        <x:v>106133</x:v>
      </x:c>
    </x:row>
    <x:row r="3000">
      <x:c r="A3000" t="str">
        <x:v>Delhi</x:v>
      </x:c>
      <x:c r="B3000" t="str">
        <x:v>Central University</x:v>
      </x:c>
      <x:c r="C3000" t="str">
        <x:v>200450</x:v>
      </x:c>
      <x:c r="D3000" t="str">
        <x:v>University College of Medical Sciences &amp; GTB Hospital, New Delhi, Dilshad Garden</x:v>
      </x:c>
      <x:c r="E3000" t="str">
        <x:v>All India</x:v>
      </x:c>
      <x:c r="F3000" t="str">
        <x:v>EWS</x:v>
      </x:c>
      <x:c r="G3000" t="n">
        <x:v>3</x:v>
      </x:c>
      <x:c r="H3000" t="n">
        <x:v>3</x:v>
      </x:c>
      <x:c r="I3000" t="n">
        <x:f>G3000-H3000</x:f>
        <x:v>0</x:v>
      </x:c>
      <x:c r="J3000" s="20" t="n">
        <x:f>IFERROR(H3000/G3000,0)</x:f>
        <x:v>1</x:v>
      </x:c>
      <x:c r="K3000" t="n">
        <x:v>993</x:v>
      </x:c>
      <x:c r="L3000" t="n">
        <x:v>1076.5</x:v>
      </x:c>
      <x:c r="M3000" t="n">
        <x:v>1160</x:v>
      </x:c>
      <x:c r="N3000" t="n">
        <x:v>1215.5</x:v>
      </x:c>
      <x:c r="O3000" t="n">
        <x:v>1271</x:v>
      </x:c>
    </x:row>
    <x:row r="3001">
      <x:c r="A3001" t="str">
        <x:v>Delhi</x:v>
      </x:c>
      <x:c r="B3001" t="str">
        <x:v>Central University</x:v>
      </x:c>
      <x:c r="C3001" t="str">
        <x:v>200450</x:v>
      </x:c>
      <x:c r="D3001" t="str">
        <x:v>University College of Medical Sciences &amp; GTB Hospital, New Delhi, Dilshad Garden</x:v>
      </x:c>
      <x:c r="E3001" t="str">
        <x:v>All India</x:v>
      </x:c>
      <x:c r="F3001" t="str">
        <x:v>OBC</x:v>
      </x:c>
      <x:c r="G3001" t="n">
        <x:v>6</x:v>
      </x:c>
      <x:c r="H3001" t="n">
        <x:v>6</x:v>
      </x:c>
      <x:c r="I3001" t="n">
        <x:f>G3001-H3001</x:f>
        <x:v>0</x:v>
      </x:c>
      <x:c r="J3001" s="20" t="n">
        <x:f>IFERROR(H3001/G3001,0)</x:f>
        <x:v>1</x:v>
      </x:c>
      <x:c r="K3001" t="n">
        <x:v>481</x:v>
      </x:c>
      <x:c r="L3001" t="n">
        <x:v>655</x:v>
      </x:c>
      <x:c r="M3001" t="n">
        <x:v>721.5</x:v>
      </x:c>
      <x:c r="N3001" t="n">
        <x:v>768.5</x:v>
      </x:c>
      <x:c r="O3001" t="n">
        <x:v>926</x:v>
      </x:c>
    </x:row>
    <x:row r="3002">
      <x:c r="A3002" t="str">
        <x:v>Delhi</x:v>
      </x:c>
      <x:c r="B3002" t="str">
        <x:v>Central University</x:v>
      </x:c>
      <x:c r="C3002" t="str">
        <x:v>200450</x:v>
      </x:c>
      <x:c r="D3002" t="str">
        <x:v>University College of Medical Sciences &amp; GTB Hospital, New Delhi, Dilshad Garden</x:v>
      </x:c>
      <x:c r="E3002" t="str">
        <x:v>All India</x:v>
      </x:c>
      <x:c r="F3002" t="str">
        <x:v>OBC PwD</x:v>
      </x:c>
      <x:c r="G3002" t="n">
        <x:v>1</x:v>
      </x:c>
      <x:c r="H3002" t="n">
        <x:v>1</x:v>
      </x:c>
      <x:c r="I3002" t="n">
        <x:f>G3002-H3002</x:f>
        <x:v>0</x:v>
      </x:c>
      <x:c r="J3002" s="20" t="n">
        <x:f>IFERROR(H3002/G3002,0)</x:f>
        <x:v>1</x:v>
      </x:c>
      <x:c r="K3002" t="n">
        <x:v>272768</x:v>
      </x:c>
      <x:c r="L3002" t="n">
        <x:v>272768</x:v>
      </x:c>
      <x:c r="M3002" t="n">
        <x:v>272768</x:v>
      </x:c>
      <x:c r="N3002" t="n">
        <x:v>272768</x:v>
      </x:c>
      <x:c r="O3002" t="n">
        <x:v>272768</x:v>
      </x:c>
    </x:row>
    <x:row r="3003">
      <x:c r="A3003" t="str">
        <x:v>Delhi</x:v>
      </x:c>
      <x:c r="B3003" t="str">
        <x:v>Central University</x:v>
      </x:c>
      <x:c r="C3003" t="str">
        <x:v>200450</x:v>
      </x:c>
      <x:c r="D3003" t="str">
        <x:v>University College of Medical Sciences &amp; GTB Hospital, New Delhi, Dilshad Garden</x:v>
      </x:c>
      <x:c r="E3003" t="str">
        <x:v>All India</x:v>
      </x:c>
      <x:c r="F3003" t="str">
        <x:v>Open</x:v>
      </x:c>
      <x:c r="G3003" t="n">
        <x:v>8</x:v>
      </x:c>
      <x:c r="H3003" t="n">
        <x:v>8</x:v>
      </x:c>
      <x:c r="I3003" t="n">
        <x:f>G3003-H3003</x:f>
        <x:v>0</x:v>
      </x:c>
      <x:c r="J3003" s="20" t="n">
        <x:f>IFERROR(H3003/G3003,0)</x:f>
        <x:v>1</x:v>
      </x:c>
      <x:c r="K3003" t="n">
        <x:v>196</x:v>
      </x:c>
      <x:c r="L3003" t="n">
        <x:v>222</x:v>
      </x:c>
      <x:c r="M3003" t="n">
        <x:v>247</x:v>
      </x:c>
      <x:c r="N3003" t="n">
        <x:v>284.5</x:v>
      </x:c>
      <x:c r="O3003" t="n">
        <x:v>435</x:v>
      </x:c>
    </x:row>
    <x:row r="3004">
      <x:c r="A3004" t="str">
        <x:v>Delhi</x:v>
      </x:c>
      <x:c r="B3004" t="str">
        <x:v>Central University</x:v>
      </x:c>
      <x:c r="C3004" t="str">
        <x:v>200450</x:v>
      </x:c>
      <x:c r="D3004" t="str">
        <x:v>University College of Medical Sciences &amp; GTB Hospital, New Delhi, Dilshad Garden</x:v>
      </x:c>
      <x:c r="E3004" t="str">
        <x:v>All India</x:v>
      </x:c>
      <x:c r="F3004" t="str">
        <x:v>Open PwD</x:v>
      </x:c>
      <x:c r="G3004" t="n">
        <x:v>1</x:v>
      </x:c>
      <x:c r="H3004" t="n">
        <x:v>1</x:v>
      </x:c>
      <x:c r="I3004" t="n">
        <x:f>G3004-H3004</x:f>
        <x:v>0</x:v>
      </x:c>
      <x:c r="J3004" s="20" t="n">
        <x:f>IFERROR(H3004/G3004,0)</x:f>
        <x:v>1</x:v>
      </x:c>
      <x:c r="K3004" t="n">
        <x:v>116602</x:v>
      </x:c>
      <x:c r="L3004" t="n">
        <x:v>116602</x:v>
      </x:c>
      <x:c r="M3004" t="n">
        <x:v>116602</x:v>
      </x:c>
      <x:c r="N3004" t="n">
        <x:v>116602</x:v>
      </x:c>
      <x:c r="O3004" t="n">
        <x:v>116602</x:v>
      </x:c>
    </x:row>
    <x:row r="3005">
      <x:c r="A3005" t="str">
        <x:v>Delhi</x:v>
      </x:c>
      <x:c r="B3005" t="str">
        <x:v>Central University</x:v>
      </x:c>
      <x:c r="C3005" t="str">
        <x:v>200450</x:v>
      </x:c>
      <x:c r="D3005" t="str">
        <x:v>University College of Medical Sciences &amp; GTB Hospital, New Delhi, Dilshad Garden</x:v>
      </x:c>
      <x:c r="E3005" t="str">
        <x:v>All India</x:v>
      </x:c>
      <x:c r="F3005" t="str">
        <x:v>SC</x:v>
      </x:c>
      <x:c r="G3005" t="n">
        <x:v>3</x:v>
      </x:c>
      <x:c r="H3005" t="n">
        <x:v>3</x:v>
      </x:c>
      <x:c r="I3005" t="n">
        <x:f>G3005-H3005</x:f>
        <x:v>0</x:v>
      </x:c>
      <x:c r="J3005" s="20" t="n">
        <x:f>IFERROR(H3005/G3005,0)</x:f>
        <x:v>1</x:v>
      </x:c>
      <x:c r="K3005" t="n">
        <x:v>3611</x:v>
      </x:c>
      <x:c r="L3005" t="n">
        <x:v>5054</x:v>
      </x:c>
      <x:c r="M3005" t="n">
        <x:v>6497</x:v>
      </x:c>
      <x:c r="N3005" t="n">
        <x:v>7229.5</x:v>
      </x:c>
      <x:c r="O3005" t="n">
        <x:v>7962</x:v>
      </x:c>
    </x:row>
    <x:row r="3006">
      <x:c r="A3006" t="str">
        <x:v>Delhi</x:v>
      </x:c>
      <x:c r="B3006" t="str">
        <x:v>Central University</x:v>
      </x:c>
      <x:c r="C3006" t="str">
        <x:v>200450</x:v>
      </x:c>
      <x:c r="D3006" t="str">
        <x:v>University College of Medical Sciences &amp; GTB Hospital, New Delhi, Dilshad Garden</x:v>
      </x:c>
      <x:c r="E3006" t="str">
        <x:v>All India</x:v>
      </x:c>
      <x:c r="F3006" t="str">
        <x:v>SC PwD</x:v>
      </x:c>
      <x:c r="G3006" t="n">
        <x:v>1</x:v>
      </x:c>
      <x:c r="H3006" t="n">
        <x:v>1</x:v>
      </x:c>
      <x:c r="I3006" t="n">
        <x:f>G3006-H3006</x:f>
        <x:v>0</x:v>
      </x:c>
      <x:c r="J3006" s="20" t="n">
        <x:f>IFERROR(H3006/G3006,0)</x:f>
        <x:v>1</x:v>
      </x:c>
      <x:c r="K3006" t="n">
        <x:v>300594</x:v>
      </x:c>
      <x:c r="L3006" t="n">
        <x:v>300594</x:v>
      </x:c>
      <x:c r="M3006" t="n">
        <x:v>300594</x:v>
      </x:c>
      <x:c r="N3006" t="n">
        <x:v>300594</x:v>
      </x:c>
      <x:c r="O3006" t="n">
        <x:v>300594</x:v>
      </x:c>
    </x:row>
    <x:row r="3007">
      <x:c r="A3007" t="str">
        <x:v>Delhi</x:v>
      </x:c>
      <x:c r="B3007" t="str">
        <x:v>Central University</x:v>
      </x:c>
      <x:c r="C3007" t="str">
        <x:v>200450</x:v>
      </x:c>
      <x:c r="D3007" t="str">
        <x:v>University College of Medical Sciences &amp; GTB Hospital, New Delhi, Dilshad Garden</x:v>
      </x:c>
      <x:c r="E3007" t="str">
        <x:v>All India</x:v>
      </x:c>
      <x:c r="F3007" t="str">
        <x:v>ST</x:v>
      </x:c>
      <x:c r="G3007" t="n">
        <x:v>2</x:v>
      </x:c>
      <x:c r="H3007" t="n">
        <x:v>2</x:v>
      </x:c>
      <x:c r="I3007" t="n">
        <x:f>G3007-H3007</x:f>
        <x:v>0</x:v>
      </x:c>
      <x:c r="J3007" s="20" t="n">
        <x:f>IFERROR(H3007/G3007,0)</x:f>
        <x:v>1</x:v>
      </x:c>
      <x:c r="K3007" t="n">
        <x:v>9102</x:v>
      </x:c>
      <x:c r="L3007" t="n">
        <x:v>9312.75</x:v>
      </x:c>
      <x:c r="M3007" t="n">
        <x:v>9523.5</x:v>
      </x:c>
      <x:c r="N3007" t="n">
        <x:v>9734.25</x:v>
      </x:c>
      <x:c r="O3007" t="n">
        <x:v>9945</x:v>
      </x:c>
    </x:row>
    <x:row r="3008">
      <x:c r="A3008" t="str">
        <x:v>Delhi</x:v>
      </x:c>
      <x:c r="B3008" t="str">
        <x:v>Central University</x:v>
      </x:c>
      <x:c r="C3008" t="str">
        <x:v>200450</x:v>
      </x:c>
      <x:c r="D3008" t="str">
        <x:v>University College of Medical Sciences &amp; GTB Hospital, New Delhi, Dilshad Garden</x:v>
      </x:c>
      <x:c r="E3008" t="str">
        <x:v>Delhi NCR CW</x:v>
      </x:c>
      <x:c r="F3008" t="str">
        <x:v>OBC</x:v>
      </x:c>
      <x:c r="G3008" t="n">
        <x:v>2</x:v>
      </x:c>
      <x:c r="H3008" t="n">
        <x:v>2</x:v>
      </x:c>
      <x:c r="I3008" t="n">
        <x:f>G3008-H3008</x:f>
        <x:v>0</x:v>
      </x:c>
      <x:c r="J3008" s="20" t="n">
        <x:f>IFERROR(H3008/G3008,0)</x:f>
        <x:v>1</x:v>
      </x:c>
      <x:c r="K3008" t="n">
        <x:v>13216</x:v>
      </x:c>
      <x:c r="L3008" t="n">
        <x:v>152436</x:v>
      </x:c>
      <x:c r="M3008" t="n">
        <x:v>291656</x:v>
      </x:c>
      <x:c r="N3008" t="n">
        <x:v>430876</x:v>
      </x:c>
      <x:c r="O3008" t="n">
        <x:v>570096</x:v>
      </x:c>
    </x:row>
    <x:row r="3009">
      <x:c r="A3009" t="str">
        <x:v>Delhi</x:v>
      </x:c>
      <x:c r="B3009" t="str">
        <x:v>Central University</x:v>
      </x:c>
      <x:c r="C3009" t="str">
        <x:v>200450</x:v>
      </x:c>
      <x:c r="D3009" t="str">
        <x:v>University College of Medical Sciences &amp; GTB Hospital, New Delhi, Dilshad Garden</x:v>
      </x:c>
      <x:c r="E3009" t="str">
        <x:v>Delhi NCR CW</x:v>
      </x:c>
      <x:c r="F3009" t="str">
        <x:v>Open</x:v>
      </x:c>
      <x:c r="G3009" t="n">
        <x:v>3</x:v>
      </x:c>
      <x:c r="H3009" t="n">
        <x:v>3</x:v>
      </x:c>
      <x:c r="I3009" t="n">
        <x:f>G3009-H3009</x:f>
        <x:v>0</x:v>
      </x:c>
      <x:c r="J3009" s="20" t="n">
        <x:f>IFERROR(H3009/G3009,0)</x:f>
        <x:v>1</x:v>
      </x:c>
      <x:c r="K3009" t="n">
        <x:v>289422</x:v>
      </x:c>
      <x:c r="L3009" t="n">
        <x:v>306392</x:v>
      </x:c>
      <x:c r="M3009" t="n">
        <x:v>323362</x:v>
      </x:c>
      <x:c r="N3009" t="n">
        <x:v>352885</x:v>
      </x:c>
      <x:c r="O3009" t="n">
        <x:v>382408</x:v>
      </x:c>
    </x:row>
    <x:row r="3010">
      <x:c r="A3010" t="str">
        <x:v>Delhi</x:v>
      </x:c>
      <x:c r="B3010" t="str">
        <x:v>Central University</x:v>
      </x:c>
      <x:c r="C3010" t="str">
        <x:v>200450</x:v>
      </x:c>
      <x:c r="D3010" t="str">
        <x:v>University College of Medical Sciences &amp; GTB Hospital, New Delhi, Dilshad Garden</x:v>
      </x:c>
      <x:c r="E3010" t="str">
        <x:v>Delhi NCR CW</x:v>
      </x:c>
      <x:c r="F3010" t="str">
        <x:v>SC</x:v>
      </x:c>
      <x:c r="G3010" t="n">
        <x:v>1</x:v>
      </x:c>
      <x:c r="H3010" t="n">
        <x:v>1</x:v>
      </x:c>
      <x:c r="I3010" t="n">
        <x:f>G3010-H3010</x:f>
        <x:v>0</x:v>
      </x:c>
      <x:c r="J3010" s="20" t="n">
        <x:f>IFERROR(H3010/G3010,0)</x:f>
        <x:v>1</x:v>
      </x:c>
      <x:c r="K3010" t="n">
        <x:v>124962</x:v>
      </x:c>
      <x:c r="L3010" t="n">
        <x:v>124962</x:v>
      </x:c>
      <x:c r="M3010" t="n">
        <x:v>124962</x:v>
      </x:c>
      <x:c r="N3010" t="n">
        <x:v>124962</x:v>
      </x:c>
      <x:c r="O3010" t="n">
        <x:v>124962</x:v>
      </x:c>
    </x:row>
    <x:row r="3011">
      <x:c r="A3011" t="str">
        <x:v>Delhi</x:v>
      </x:c>
      <x:c r="B3011" t="str">
        <x:v>Central University</x:v>
      </x:c>
      <x:c r="C3011" t="str">
        <x:v>200450</x:v>
      </x:c>
      <x:c r="D3011" t="str">
        <x:v>University College of Medical Sciences &amp; GTB Hospital, New Delhi, Dilshad Garden</x:v>
      </x:c>
      <x:c r="E3011" t="str">
        <x:v>Delhi NCR CW</x:v>
      </x:c>
      <x:c r="F3011" t="str">
        <x:v>ST</x:v>
      </x:c>
      <x:c r="G3011" t="n">
        <x:v>1</x:v>
      </x:c>
      <x:c r="H3011" t="n">
        <x:v>0</x:v>
      </x:c>
      <x:c r="I3011" t="n">
        <x:f>G3011-H3011</x:f>
        <x:v>1</x:v>
      </x:c>
      <x:c r="J3011" s="20" t="n">
        <x:f>IFERROR(H3011/G3011,0)</x:f>
        <x:v>0</x:v>
      </x:c>
      <x:c r="K3011"/>
      <x:c r="L3011"/>
      <x:c r="M3011"/>
      <x:c r="N3011"/>
      <x:c r="O3011"/>
    </x:row>
    <x:row r="3012">
      <x:c r="A3012" t="str">
        <x:v>Delhi</x:v>
      </x:c>
      <x:c r="B3012" t="str">
        <x:v>Central University</x:v>
      </x:c>
      <x:c r="C3012" t="str">
        <x:v>200450</x:v>
      </x:c>
      <x:c r="D3012" t="str">
        <x:v>University College of Medical Sciences &amp; GTB Hospital, New Delhi, Dilshad Garden</x:v>
      </x:c>
      <x:c r="E3012" t="str">
        <x:v>Delhi University Quota</x:v>
      </x:c>
      <x:c r="F3012" t="str">
        <x:v>EWS</x:v>
      </x:c>
      <x:c r="G3012" t="n">
        <x:v>9</x:v>
      </x:c>
      <x:c r="H3012" t="n">
        <x:v>9</x:v>
      </x:c>
      <x:c r="I3012" t="n">
        <x:f>G3012-H3012</x:f>
        <x:v>0</x:v>
      </x:c>
      <x:c r="J3012" s="20" t="n">
        <x:f>IFERROR(H3012/G3012,0)</x:f>
        <x:v>1</x:v>
      </x:c>
      <x:c r="K3012" t="n">
        <x:v>5096</x:v>
      </x:c>
      <x:c r="L3012" t="n">
        <x:v>5183</x:v>
      </x:c>
      <x:c r="M3012" t="n">
        <x:v>5545</x:v>
      </x:c>
      <x:c r="N3012" t="n">
        <x:v>6062</x:v>
      </x:c>
      <x:c r="O3012" t="n">
        <x:v>6151</x:v>
      </x:c>
    </x:row>
    <x:row r="3013">
      <x:c r="A3013" t="str">
        <x:v>Delhi</x:v>
      </x:c>
      <x:c r="B3013" t="str">
        <x:v>Central University</x:v>
      </x:c>
      <x:c r="C3013" t="str">
        <x:v>200450</x:v>
      </x:c>
      <x:c r="D3013" t="str">
        <x:v>University College of Medical Sciences &amp; GTB Hospital, New Delhi, Dilshad Garden</x:v>
      </x:c>
      <x:c r="E3013" t="str">
        <x:v>Delhi University Quota</x:v>
      </x:c>
      <x:c r="F3013" t="str">
        <x:v>OBC</x:v>
      </x:c>
      <x:c r="G3013" t="n">
        <x:v>35</x:v>
      </x:c>
      <x:c r="H3013" t="n">
        <x:v>35</x:v>
      </x:c>
      <x:c r="I3013" t="n">
        <x:f>G3013-H3013</x:f>
        <x:v>0</x:v>
      </x:c>
      <x:c r="J3013" s="20" t="n">
        <x:f>IFERROR(H3013/G3013,0)</x:f>
        <x:v>1</x:v>
      </x:c>
      <x:c r="K3013" t="n">
        <x:v>6367</x:v>
      </x:c>
      <x:c r="L3013" t="n">
        <x:v>8383</x:v>
      </x:c>
      <x:c r="M3013" t="n">
        <x:v>9323</x:v>
      </x:c>
      <x:c r="N3013" t="n">
        <x:v>10392.5</x:v>
      </x:c>
      <x:c r="O3013" t="n">
        <x:v>11024</x:v>
      </x:c>
    </x:row>
    <x:row r="3014">
      <x:c r="A3014" t="str">
        <x:v>Delhi</x:v>
      </x:c>
      <x:c r="B3014" t="str">
        <x:v>Central University</x:v>
      </x:c>
      <x:c r="C3014" t="str">
        <x:v>200450</x:v>
      </x:c>
      <x:c r="D3014" t="str">
        <x:v>University College of Medical Sciences &amp; GTB Hospital, New Delhi, Dilshad Garden</x:v>
      </x:c>
      <x:c r="E3014" t="str">
        <x:v>Delhi University Quota</x:v>
      </x:c>
      <x:c r="F3014" t="str">
        <x:v>OBC PwD</x:v>
      </x:c>
      <x:c r="G3014" t="n">
        <x:v>2</x:v>
      </x:c>
      <x:c r="H3014" t="n">
        <x:v>0</x:v>
      </x:c>
      <x:c r="I3014" t="n">
        <x:f>G3014-H3014</x:f>
        <x:v>2</x:v>
      </x:c>
      <x:c r="J3014" s="20" t="n">
        <x:f>IFERROR(H3014/G3014,0)</x:f>
        <x:v>0</x:v>
      </x:c>
      <x:c r="K3014"/>
      <x:c r="L3014"/>
      <x:c r="M3014"/>
      <x:c r="N3014"/>
      <x:c r="O3014"/>
    </x:row>
    <x:row r="3015">
      <x:c r="A3015" t="str">
        <x:v>Delhi</x:v>
      </x:c>
      <x:c r="B3015" t="str">
        <x:v>Central University</x:v>
      </x:c>
      <x:c r="C3015" t="str">
        <x:v>200450</x:v>
      </x:c>
      <x:c r="D3015" t="str">
        <x:v>University College of Medical Sciences &amp; GTB Hospital, New Delhi, Dilshad Garden</x:v>
      </x:c>
      <x:c r="E3015" t="str">
        <x:v>Delhi University Quota</x:v>
      </x:c>
      <x:c r="F3015" t="str">
        <x:v>Open</x:v>
      </x:c>
      <x:c r="G3015" t="n">
        <x:v>58</x:v>
      </x:c>
      <x:c r="H3015" t="n">
        <x:v>58</x:v>
      </x:c>
      <x:c r="I3015" t="n">
        <x:f>G3015-H3015</x:f>
        <x:v>0</x:v>
      </x:c>
      <x:c r="J3015" s="20" t="n">
        <x:f>IFERROR(H3015/G3015,0)</x:f>
        <x:v>1</x:v>
      </x:c>
      <x:c r="K3015" t="n">
        <x:v>2598</x:v>
      </x:c>
      <x:c r="L3015" t="n">
        <x:v>3512</x:v>
      </x:c>
      <x:c r="M3015" t="n">
        <x:v>3802.5</x:v>
      </x:c>
      <x:c r="N3015" t="n">
        <x:v>4473.75</x:v>
      </x:c>
      <x:c r="O3015" t="n">
        <x:v>4952</x:v>
      </x:c>
    </x:row>
    <x:row r="3016">
      <x:c r="A3016" t="str">
        <x:v>Delhi</x:v>
      </x:c>
      <x:c r="B3016" t="str">
        <x:v>Central University</x:v>
      </x:c>
      <x:c r="C3016" t="str">
        <x:v>200450</x:v>
      </x:c>
      <x:c r="D3016" t="str">
        <x:v>University College of Medical Sciences &amp; GTB Hospital, New Delhi, Dilshad Garden</x:v>
      </x:c>
      <x:c r="E3016" t="str">
        <x:v>Delhi University Quota</x:v>
      </x:c>
      <x:c r="F3016" t="str">
        <x:v>Open PwD</x:v>
      </x:c>
      <x:c r="G3016" t="n">
        <x:v>3</x:v>
      </x:c>
      <x:c r="H3016" t="n">
        <x:v>3</x:v>
      </x:c>
      <x:c r="I3016" t="n">
        <x:f>G3016-H3016</x:f>
        <x:v>0</x:v>
      </x:c>
      <x:c r="J3016" s="20" t="n">
        <x:f>IFERROR(H3016/G3016,0)</x:f>
        <x:v>1</x:v>
      </x:c>
      <x:c r="K3016" t="n">
        <x:v>471711</x:v>
      </x:c>
      <x:c r="L3016" t="n">
        <x:v>540346</x:v>
      </x:c>
      <x:c r="M3016" t="n">
        <x:v>608981</x:v>
      </x:c>
      <x:c r="N3016" t="n">
        <x:v>685863</x:v>
      </x:c>
      <x:c r="O3016" t="n">
        <x:v>762745</x:v>
      </x:c>
    </x:row>
    <x:row r="3017">
      <x:c r="A3017" t="str">
        <x:v>Delhi</x:v>
      </x:c>
      <x:c r="B3017" t="str">
        <x:v>Central University</x:v>
      </x:c>
      <x:c r="C3017" t="str">
        <x:v>200450</x:v>
      </x:c>
      <x:c r="D3017" t="str">
        <x:v>University College of Medical Sciences &amp; GTB Hospital, New Delhi, Dilshad Garden</x:v>
      </x:c>
      <x:c r="E3017" t="str">
        <x:v>Delhi University Quota</x:v>
      </x:c>
      <x:c r="F3017" t="str">
        <x:v>SC</x:v>
      </x:c>
      <x:c r="G3017" t="n">
        <x:v>20</x:v>
      </x:c>
      <x:c r="H3017" t="n">
        <x:v>20</x:v>
      </x:c>
      <x:c r="I3017" t="n">
        <x:f>G3017-H3017</x:f>
        <x:v>0</x:v>
      </x:c>
      <x:c r="J3017" s="20" t="n">
        <x:f>IFERROR(H3017/G3017,0)</x:f>
        <x:v>1</x:v>
      </x:c>
      <x:c r="K3017" t="n">
        <x:v>42557</x:v>
      </x:c>
      <x:c r="L3017" t="n">
        <x:v>49865.75</x:v>
      </x:c>
      <x:c r="M3017" t="n">
        <x:v>52161.5</x:v>
      </x:c>
      <x:c r="N3017" t="n">
        <x:v>55654.5</x:v>
      </x:c>
      <x:c r="O3017" t="n">
        <x:v>58638</x:v>
      </x:c>
    </x:row>
    <x:row r="3018">
      <x:c r="A3018" t="str">
        <x:v>Delhi</x:v>
      </x:c>
      <x:c r="B3018" t="str">
        <x:v>Central University</x:v>
      </x:c>
      <x:c r="C3018" t="str">
        <x:v>200450</x:v>
      </x:c>
      <x:c r="D3018" t="str">
        <x:v>University College of Medical Sciences &amp; GTB Hospital, New Delhi, Dilshad Garden</x:v>
      </x:c>
      <x:c r="E3018" t="str">
        <x:v>Delhi University Quota</x:v>
      </x:c>
      <x:c r="F3018" t="str">
        <x:v>SC PwD</x:v>
      </x:c>
      <x:c r="G3018" t="n">
        <x:v>1</x:v>
      </x:c>
      <x:c r="H3018" t="n">
        <x:v>1</x:v>
      </x:c>
      <x:c r="I3018" t="n">
        <x:f>G3018-H3018</x:f>
        <x:v>0</x:v>
      </x:c>
      <x:c r="J3018" s="20" t="n">
        <x:f>IFERROR(H3018/G3018,0)</x:f>
        <x:v>1</x:v>
      </x:c>
      <x:c r="K3018" t="n">
        <x:v>1108053</x:v>
      </x:c>
      <x:c r="L3018" t="n">
        <x:v>1108053</x:v>
      </x:c>
      <x:c r="M3018" t="n">
        <x:v>1108053</x:v>
      </x:c>
      <x:c r="N3018" t="n">
        <x:v>1108053</x:v>
      </x:c>
      <x:c r="O3018" t="n">
        <x:v>1108053</x:v>
      </x:c>
    </x:row>
    <x:row r="3019">
      <x:c r="A3019" t="str">
        <x:v>Delhi</x:v>
      </x:c>
      <x:c r="B3019" t="str">
        <x:v>Central University</x:v>
      </x:c>
      <x:c r="C3019" t="str">
        <x:v>200450</x:v>
      </x:c>
      <x:c r="D3019" t="str">
        <x:v>University College of Medical Sciences &amp; GTB Hospital, New Delhi, Dilshad Garden</x:v>
      </x:c>
      <x:c r="E3019" t="str">
        <x:v>Delhi University Quota</x:v>
      </x:c>
      <x:c r="F3019" t="str">
        <x:v>ST</x:v>
      </x:c>
      <x:c r="G3019" t="n">
        <x:v>10</x:v>
      </x:c>
      <x:c r="H3019" t="n">
        <x:v>10</x:v>
      </x:c>
      <x:c r="I3019" t="n">
        <x:f>G3019-H3019</x:f>
        <x:v>0</x:v>
      </x:c>
      <x:c r="J3019" s="20" t="n">
        <x:f>IFERROR(H3019/G3019,0)</x:f>
        <x:v>1</x:v>
      </x:c>
      <x:c r="K3019" t="n">
        <x:v>75216</x:v>
      </x:c>
      <x:c r="L3019" t="n">
        <x:v>81960</x:v>
      </x:c>
      <x:c r="M3019" t="n">
        <x:v>88568.5</x:v>
      </x:c>
      <x:c r="N3019" t="n">
        <x:v>92965.5</x:v>
      </x:c>
      <x:c r="O3019" t="n">
        <x:v>109421</x:v>
      </x:c>
    </x:row>
    <x:row r="3020">
      <x:c r="A3020" t="str">
        <x:v>Uttar Pradesh</x:v>
      </x:c>
      <x:c r="B3020" t="str">
        <x:v>All India except Central University</x:v>
      </x:c>
      <x:c r="C3020" t="str">
        <x:v>200301</x:v>
      </x:c>
      <x:c r="D3020" t="str">
        <x:v>Uttar Pradesh University of Medical Sciences, (Prev. UP Rural Inst.of Med.Sc&amp;R) Etawah, SAIFAI ETAWAH</x:v>
      </x:c>
      <x:c r="E3020" t="str">
        <x:v>All India</x:v>
      </x:c>
      <x:c r="F3020" t="str">
        <x:v>EWS</x:v>
      </x:c>
      <x:c r="G3020" t="n">
        <x:v>3</x:v>
      </x:c>
      <x:c r="H3020" t="n">
        <x:v>3</x:v>
      </x:c>
      <x:c r="I3020" t="n">
        <x:f>G3020-H3020</x:f>
        <x:v>0</x:v>
      </x:c>
      <x:c r="J3020" s="20" t="n">
        <x:f>IFERROR(H3020/G3020,0)</x:f>
        <x:v>1</x:v>
      </x:c>
      <x:c r="K3020" t="n">
        <x:v>9278</x:v>
      </x:c>
      <x:c r="L3020" t="n">
        <x:v>9282.5</x:v>
      </x:c>
      <x:c r="M3020" t="n">
        <x:v>9287</x:v>
      </x:c>
      <x:c r="N3020" t="n">
        <x:v>9878</x:v>
      </x:c>
      <x:c r="O3020" t="n">
        <x:v>10469</x:v>
      </x:c>
    </x:row>
    <x:row r="3021">
      <x:c r="A3021" t="str">
        <x:v>Uttar Pradesh</x:v>
      </x:c>
      <x:c r="B3021" t="str">
        <x:v>All India except Central University</x:v>
      </x:c>
      <x:c r="C3021" t="str">
        <x:v>200301</x:v>
      </x:c>
      <x:c r="D3021" t="str">
        <x:v>Uttar Pradesh University of Medical Sciences, (Prev. UP Rural Inst.of Med.Sc&amp;R) Etawah, SAIFAI ETAWAH</x:v>
      </x:c>
      <x:c r="E3021" t="str">
        <x:v>All India</x:v>
      </x:c>
      <x:c r="F3021" t="str">
        <x:v>OBC</x:v>
      </x:c>
      <x:c r="G3021" t="n">
        <x:v>8</x:v>
      </x:c>
      <x:c r="H3021" t="n">
        <x:v>8</x:v>
      </x:c>
      <x:c r="I3021" t="n">
        <x:f>G3021-H3021</x:f>
        <x:v>0</x:v>
      </x:c>
      <x:c r="J3021" s="20" t="n">
        <x:f>IFERROR(H3021/G3021,0)</x:f>
        <x:v>1</x:v>
      </x:c>
      <x:c r="K3021" t="n">
        <x:v>7877</x:v>
      </x:c>
      <x:c r="L3021" t="n">
        <x:v>8335.5</x:v>
      </x:c>
      <x:c r="M3021" t="n">
        <x:v>8566.5</x:v>
      </x:c>
      <x:c r="N3021" t="n">
        <x:v>8716.5</x:v>
      </x:c>
      <x:c r="O3021" t="n">
        <x:v>9009</x:v>
      </x:c>
    </x:row>
    <x:row r="3022">
      <x:c r="A3022" t="str">
        <x:v>Uttar Pradesh</x:v>
      </x:c>
      <x:c r="B3022" t="str">
        <x:v>All India except Central University</x:v>
      </x:c>
      <x:c r="C3022" t="str">
        <x:v>200301</x:v>
      </x:c>
      <x:c r="D3022" t="str">
        <x:v>Uttar Pradesh University of Medical Sciences, (Prev. UP Rural Inst.of Med.Sc&amp;R) Etawah, SAIFAI ETAWAH</x:v>
      </x:c>
      <x:c r="E3022" t="str">
        <x:v>All India</x:v>
      </x:c>
      <x:c r="F3022" t="str">
        <x:v>Open</x:v>
      </x:c>
      <x:c r="G3022" t="n">
        <x:v>11</x:v>
      </x:c>
      <x:c r="H3022" t="n">
        <x:v>11</x:v>
      </x:c>
      <x:c r="I3022" t="n">
        <x:f>G3022-H3022</x:f>
        <x:v>0</x:v>
      </x:c>
      <x:c r="J3022" s="20" t="n">
        <x:f>IFERROR(H3022/G3022,0)</x:f>
        <x:v>1</x:v>
      </x:c>
      <x:c r="K3022" t="n">
        <x:v>4592</x:v>
      </x:c>
      <x:c r="L3022" t="n">
        <x:v>6928</x:v>
      </x:c>
      <x:c r="M3022" t="n">
        <x:v>7228</x:v>
      </x:c>
      <x:c r="N3022" t="n">
        <x:v>7464</x:v>
      </x:c>
      <x:c r="O3022" t="n">
        <x:v>7583</x:v>
      </x:c>
    </x:row>
    <x:row r="3023">
      <x:c r="A3023" t="str">
        <x:v>Uttar Pradesh</x:v>
      </x:c>
      <x:c r="B3023" t="str">
        <x:v>All India except Central University</x:v>
      </x:c>
      <x:c r="C3023" t="str">
        <x:v>200301</x:v>
      </x:c>
      <x:c r="D3023" t="str">
        <x:v>Uttar Pradesh University of Medical Sciences, (Prev. UP Rural Inst.of Med.Sc&amp;R) Etawah, SAIFAI ETAWAH</x:v>
      </x:c>
      <x:c r="E3023" t="str">
        <x:v>All India</x:v>
      </x:c>
      <x:c r="F3023" t="str">
        <x:v>Open PwD</x:v>
      </x:c>
      <x:c r="G3023" t="n">
        <x:v>1</x:v>
      </x:c>
      <x:c r="H3023" t="n">
        <x:v>1</x:v>
      </x:c>
      <x:c r="I3023" t="n">
        <x:f>G3023-H3023</x:f>
        <x:v>0</x:v>
      </x:c>
      <x:c r="J3023" s="20" t="n">
        <x:f>IFERROR(H3023/G3023,0)</x:f>
        <x:v>1</x:v>
      </x:c>
      <x:c r="K3023" t="n">
        <x:v>144564</x:v>
      </x:c>
      <x:c r="L3023" t="n">
        <x:v>144564</x:v>
      </x:c>
      <x:c r="M3023" t="n">
        <x:v>144564</x:v>
      </x:c>
      <x:c r="N3023" t="n">
        <x:v>144564</x:v>
      </x:c>
      <x:c r="O3023" t="n">
        <x:v>144564</x:v>
      </x:c>
    </x:row>
    <x:row r="3024">
      <x:c r="A3024" t="str">
        <x:v>Uttar Pradesh</x:v>
      </x:c>
      <x:c r="B3024" t="str">
        <x:v>All India except Central University</x:v>
      </x:c>
      <x:c r="C3024" t="str">
        <x:v>200301</x:v>
      </x:c>
      <x:c r="D3024" t="str">
        <x:v>Uttar Pradesh University of Medical Sciences, (Prev. UP Rural Inst.of Med.Sc&amp;R) Etawah, SAIFAI ETAWAH</x:v>
      </x:c>
      <x:c r="E3024" t="str">
        <x:v>All India</x:v>
      </x:c>
      <x:c r="F3024" t="str">
        <x:v>SC</x:v>
      </x:c>
      <x:c r="G3024" t="n">
        <x:v>4</x:v>
      </x:c>
      <x:c r="H3024" t="n">
        <x:v>4</x:v>
      </x:c>
      <x:c r="I3024" t="n">
        <x:f>G3024-H3024</x:f>
        <x:v>0</x:v>
      </x:c>
      <x:c r="J3024" s="20" t="n">
        <x:f>IFERROR(H3024/G3024,0)</x:f>
        <x:v>1</x:v>
      </x:c>
      <x:c r="K3024" t="n">
        <x:v>49305</x:v>
      </x:c>
      <x:c r="L3024" t="n">
        <x:v>51426</x:v>
      </x:c>
      <x:c r="M3024" t="n">
        <x:v>52867.5</x:v>
      </x:c>
      <x:c r="N3024" t="n">
        <x:v>54514</x:v>
      </x:c>
      <x:c r="O3024" t="n">
        <x:v>57250</x:v>
      </x:c>
    </x:row>
    <x:row r="3025">
      <x:c r="A3025" t="str">
        <x:v>Uttar Pradesh</x:v>
      </x:c>
      <x:c r="B3025" t="str">
        <x:v>All India except Central University</x:v>
      </x:c>
      <x:c r="C3025" t="str">
        <x:v>200301</x:v>
      </x:c>
      <x:c r="D3025" t="str">
        <x:v>Uttar Pradesh University of Medical Sciences, (Prev. UP Rural Inst.of Med.Sc&amp;R) Etawah, SAIFAI ETAWAH</x:v>
      </x:c>
      <x:c r="E3025" t="str">
        <x:v>All India</x:v>
      </x:c>
      <x:c r="F3025" t="str">
        <x:v>SC PwD</x:v>
      </x:c>
      <x:c r="G3025" t="n">
        <x:v>1</x:v>
      </x:c>
      <x:c r="H3025" t="n">
        <x:v>1</x:v>
      </x:c>
      <x:c r="I3025" t="n">
        <x:f>G3025-H3025</x:f>
        <x:v>0</x:v>
      </x:c>
      <x:c r="J3025" s="20" t="n">
        <x:f>IFERROR(H3025/G3025,0)</x:f>
        <x:v>1</x:v>
      </x:c>
      <x:c r="K3025" t="n">
        <x:v>644143</x:v>
      </x:c>
      <x:c r="L3025" t="n">
        <x:v>644143</x:v>
      </x:c>
      <x:c r="M3025" t="n">
        <x:v>644143</x:v>
      </x:c>
      <x:c r="N3025" t="n">
        <x:v>644143</x:v>
      </x:c>
      <x:c r="O3025" t="n">
        <x:v>644143</x:v>
      </x:c>
    </x:row>
    <x:row r="3026">
      <x:c r="A3026" t="str">
        <x:v>Uttar Pradesh</x:v>
      </x:c>
      <x:c r="B3026" t="str">
        <x:v>All India except Central University</x:v>
      </x:c>
      <x:c r="C3026" t="str">
        <x:v>200301</x:v>
      </x:c>
      <x:c r="D3026" t="str">
        <x:v>Uttar Pradesh University of Medical Sciences, (Prev. UP Rural Inst.of Med.Sc&amp;R) Etawah, SAIFAI ETAWAH</x:v>
      </x:c>
      <x:c r="E3026" t="str">
        <x:v>All India</x:v>
      </x:c>
      <x:c r="F3026" t="str">
        <x:v>ST</x:v>
      </x:c>
      <x:c r="G3026" t="n">
        <x:v>1</x:v>
      </x:c>
      <x:c r="H3026" t="n">
        <x:v>1</x:v>
      </x:c>
      <x:c r="I3026" t="n">
        <x:f>G3026-H3026</x:f>
        <x:v>0</x:v>
      </x:c>
      <x:c r="J3026" s="20" t="n">
        <x:f>IFERROR(H3026/G3026,0)</x:f>
        <x:v>1</x:v>
      </x:c>
      <x:c r="K3026" t="n">
        <x:v>76807</x:v>
      </x:c>
      <x:c r="L3026" t="n">
        <x:v>76807</x:v>
      </x:c>
      <x:c r="M3026" t="n">
        <x:v>76807</x:v>
      </x:c>
      <x:c r="N3026" t="n">
        <x:v>76807</x:v>
      </x:c>
      <x:c r="O3026" t="n">
        <x:v>76807</x:v>
      </x:c>
    </x:row>
    <x:row r="3027">
      <x:c r="A3027" t="str">
        <x:v>Uttar Pradesh</x:v>
      </x:c>
      <x:c r="B3027" t="str">
        <x:v>All India except Central University</x:v>
      </x:c>
      <x:c r="C3027" t="str">
        <x:v>200301</x:v>
      </x:c>
      <x:c r="D3027" t="str">
        <x:v>Uttar Pradesh University of Medical Sciences, (Prev. UP Rural Inst.of Med.Sc&amp;R) Etawah, SAIFAI ETAWAH</x:v>
      </x:c>
      <x:c r="E3027" t="str">
        <x:v>All India</x:v>
      </x:c>
      <x:c r="F3027" t="str">
        <x:v>ST PwD</x:v>
      </x:c>
      <x:c r="G3027" t="n">
        <x:v>1</x:v>
      </x:c>
      <x:c r="H3027" t="n">
        <x:v>1</x:v>
      </x:c>
      <x:c r="I3027" t="n">
        <x:f>G3027-H3027</x:f>
        <x:v>0</x:v>
      </x:c>
      <x:c r="J3027" s="20" t="n">
        <x:f>IFERROR(H3027/G3027,0)</x:f>
        <x:v>1</x:v>
      </x:c>
      <x:c r="K3027" t="n">
        <x:v>635218</x:v>
      </x:c>
      <x:c r="L3027" t="n">
        <x:v>635218</x:v>
      </x:c>
      <x:c r="M3027" t="n">
        <x:v>635218</x:v>
      </x:c>
      <x:c r="N3027" t="n">
        <x:v>635218</x:v>
      </x:c>
      <x:c r="O3027" t="n">
        <x:v>635218</x:v>
      </x:c>
    </x:row>
    <x:row r="3028">
      <x:c r="A3028" t="str">
        <x:v>Bihar</x:v>
      </x:c>
      <x:c r="B3028" t="str">
        <x:v>All India except Central University</x:v>
      </x:c>
      <x:c r="C3028" t="str">
        <x:v>200118</x:v>
      </x:c>
      <x:c r="D3028" t="str">
        <x:v>VARDHMAN INSTITUTE OF MEDICAL SCIENCES, NALANDA, BMIMS, PAWAPURI NALNADA</x:v>
      </x:c>
      <x:c r="E3028" t="str">
        <x:v>All India</x:v>
      </x:c>
      <x:c r="F3028" t="str">
        <x:v>EWS</x:v>
      </x:c>
      <x:c r="G3028" t="n">
        <x:v>1</x:v>
      </x:c>
      <x:c r="H3028" t="n">
        <x:v>1</x:v>
      </x:c>
      <x:c r="I3028" t="n">
        <x:f>G3028-H3028</x:f>
        <x:v>0</x:v>
      </x:c>
      <x:c r="J3028" s="20" t="n">
        <x:f>IFERROR(H3028/G3028,0)</x:f>
        <x:v>1</x:v>
      </x:c>
      <x:c r="K3028" t="n">
        <x:v>12152</x:v>
      </x:c>
      <x:c r="L3028" t="n">
        <x:v>12152</x:v>
      </x:c>
      <x:c r="M3028" t="n">
        <x:v>12152</x:v>
      </x:c>
      <x:c r="N3028" t="n">
        <x:v>12152</x:v>
      </x:c>
      <x:c r="O3028" t="n">
        <x:v>12152</x:v>
      </x:c>
    </x:row>
    <x:row r="3029">
      <x:c r="A3029" t="str">
        <x:v>Bihar</x:v>
      </x:c>
      <x:c r="B3029" t="str">
        <x:v>All India except Central University</x:v>
      </x:c>
      <x:c r="C3029" t="str">
        <x:v>200118</x:v>
      </x:c>
      <x:c r="D3029" t="str">
        <x:v>VARDHMAN INSTITUTE OF MEDICAL SCIENCES, NALANDA, BMIMS, PAWAPURI NALNADA</x:v>
      </x:c>
      <x:c r="E3029" t="str">
        <x:v>All India</x:v>
      </x:c>
      <x:c r="F3029" t="str">
        <x:v>OBC</x:v>
      </x:c>
      <x:c r="G3029" t="n">
        <x:v>4</x:v>
      </x:c>
      <x:c r="H3029" t="n">
        <x:v>4</x:v>
      </x:c>
      <x:c r="I3029" t="n">
        <x:f>G3029-H3029</x:f>
        <x:v>0</x:v>
      </x:c>
      <x:c r="J3029" s="20" t="n">
        <x:f>IFERROR(H3029/G3029,0)</x:f>
        <x:v>1</x:v>
      </x:c>
      <x:c r="K3029" t="n">
        <x:v>9362</x:v>
      </x:c>
      <x:c r="L3029" t="n">
        <x:v>9378.5</x:v>
      </x:c>
      <x:c r="M3029" t="n">
        <x:v>9611</x:v>
      </x:c>
      <x:c r="N3029" t="n">
        <x:v>9975.75</x:v>
      </x:c>
      <x:c r="O3029" t="n">
        <x:v>10389</x:v>
      </x:c>
    </x:row>
    <x:row r="3030">
      <x:c r="A3030" t="str">
        <x:v>Bihar</x:v>
      </x:c>
      <x:c r="B3030" t="str">
        <x:v>All India except Central University</x:v>
      </x:c>
      <x:c r="C3030" t="str">
        <x:v>200118</x:v>
      </x:c>
      <x:c r="D3030" t="str">
        <x:v>VARDHMAN INSTITUTE OF MEDICAL SCIENCES, NALANDA, BMIMS, PAWAPURI NALNADA</x:v>
      </x:c>
      <x:c r="E3030" t="str">
        <x:v>All India</x:v>
      </x:c>
      <x:c r="F3030" t="str">
        <x:v>OBC PwD</x:v>
      </x:c>
      <x:c r="G3030" t="n">
        <x:v>1</x:v>
      </x:c>
      <x:c r="H3030" t="n">
        <x:v>1</x:v>
      </x:c>
      <x:c r="I3030" t="n">
        <x:f>G3030-H3030</x:f>
        <x:v>0</x:v>
      </x:c>
      <x:c r="J3030" s="20" t="n">
        <x:f>IFERROR(H3030/G3030,0)</x:f>
        <x:v>1</x:v>
      </x:c>
      <x:c r="K3030" t="n">
        <x:v>522502</x:v>
      </x:c>
      <x:c r="L3030" t="n">
        <x:v>522502</x:v>
      </x:c>
      <x:c r="M3030" t="n">
        <x:v>522502</x:v>
      </x:c>
      <x:c r="N3030" t="n">
        <x:v>522502</x:v>
      </x:c>
      <x:c r="O3030" t="n">
        <x:v>522502</x:v>
      </x:c>
    </x:row>
    <x:row r="3031">
      <x:c r="A3031" t="str">
        <x:v>Bihar</x:v>
      </x:c>
      <x:c r="B3031" t="str">
        <x:v>All India except Central University</x:v>
      </x:c>
      <x:c r="C3031" t="str">
        <x:v>200118</x:v>
      </x:c>
      <x:c r="D3031" t="str">
        <x:v>VARDHMAN INSTITUTE OF MEDICAL SCIENCES, NALANDA, BMIMS, PAWAPURI NALNADA</x:v>
      </x:c>
      <x:c r="E3031" t="str">
        <x:v>All India</x:v>
      </x:c>
      <x:c r="F3031" t="str">
        <x:v>Open</x:v>
      </x:c>
      <x:c r="G3031" t="n">
        <x:v>8</x:v>
      </x:c>
      <x:c r="H3031" t="n">
        <x:v>8</x:v>
      </x:c>
      <x:c r="I3031" t="n">
        <x:f>G3031-H3031</x:f>
        <x:v>0</x:v>
      </x:c>
      <x:c r="J3031" s="20" t="n">
        <x:f>IFERROR(H3031/G3031,0)</x:f>
        <x:v>1</x:v>
      </x:c>
      <x:c r="K3031" t="n">
        <x:v>2176</x:v>
      </x:c>
      <x:c r="L3031" t="n">
        <x:v>6090</x:v>
      </x:c>
      <x:c r="M3031" t="n">
        <x:v>8031.5</x:v>
      </x:c>
      <x:c r="N3031" t="n">
        <x:v>8306.25</x:v>
      </x:c>
      <x:c r="O3031" t="n">
        <x:v>8727</x:v>
      </x:c>
    </x:row>
    <x:row r="3032">
      <x:c r="A3032" t="str">
        <x:v>Bihar</x:v>
      </x:c>
      <x:c r="B3032" t="str">
        <x:v>All India except Central University</x:v>
      </x:c>
      <x:c r="C3032" t="str">
        <x:v>200118</x:v>
      </x:c>
      <x:c r="D3032" t="str">
        <x:v>VARDHMAN INSTITUTE OF MEDICAL SCIENCES, NALANDA, BMIMS, PAWAPURI NALNADA</x:v>
      </x:c>
      <x:c r="E3032" t="str">
        <x:v>All India</x:v>
      </x:c>
      <x:c r="F3032" t="str">
        <x:v>SC</x:v>
      </x:c>
      <x:c r="G3032" t="n">
        <x:v>3</x:v>
      </x:c>
      <x:c r="H3032" t="n">
        <x:v>3</x:v>
      </x:c>
      <x:c r="I3032" t="n">
        <x:f>G3032-H3032</x:f>
        <x:v>0</x:v>
      </x:c>
      <x:c r="J3032" s="20" t="n">
        <x:f>IFERROR(H3032/G3032,0)</x:f>
        <x:v>1</x:v>
      </x:c>
      <x:c r="K3032" t="n">
        <x:v>55019</x:v>
      </x:c>
      <x:c r="L3032" t="n">
        <x:v>59872</x:v>
      </x:c>
      <x:c r="M3032" t="n">
        <x:v>64725</x:v>
      </x:c>
      <x:c r="N3032" t="n">
        <x:v>66950.5</x:v>
      </x:c>
      <x:c r="O3032" t="n">
        <x:v>69176</x:v>
      </x:c>
    </x:row>
    <x:row r="3033">
      <x:c r="A3033" t="str">
        <x:v>Bihar</x:v>
      </x:c>
      <x:c r="B3033" t="str">
        <x:v>All India except Central University</x:v>
      </x:c>
      <x:c r="C3033" t="str">
        <x:v>200118</x:v>
      </x:c>
      <x:c r="D3033" t="str">
        <x:v>VARDHMAN INSTITUTE OF MEDICAL SCIENCES, NALANDA, BMIMS, PAWAPURI NALNADA</x:v>
      </x:c>
      <x:c r="E3033" t="str">
        <x:v>All India</x:v>
      </x:c>
      <x:c r="F3033" t="str">
        <x:v>ST</x:v>
      </x:c>
      <x:c r="G3033" t="n">
        <x:v>1</x:v>
      </x:c>
      <x:c r="H3033" t="n">
        <x:v>1</x:v>
      </x:c>
      <x:c r="I3033" t="n">
        <x:f>G3033-H3033</x:f>
        <x:v>0</x:v>
      </x:c>
      <x:c r="J3033" s="20" t="n">
        <x:f>IFERROR(H3033/G3033,0)</x:f>
        <x:v>1</x:v>
      </x:c>
      <x:c r="K3033" t="n">
        <x:v>34211</x:v>
      </x:c>
      <x:c r="L3033" t="n">
        <x:v>34211</x:v>
      </x:c>
      <x:c r="M3033" t="n">
        <x:v>34211</x:v>
      </x:c>
      <x:c r="N3033" t="n">
        <x:v>34211</x:v>
      </x:c>
      <x:c r="O3033" t="n">
        <x:v>34211</x:v>
      </x:c>
    </x:row>
    <x:row r="3034">
      <x:c r="A3034" t="str">
        <x:v>Tamil Nadu</x:v>
      </x:c>
      <x:c r="B3034" t="str">
        <x:v>Deemed University</x:v>
      </x:c>
      <x:c r="C3034" t="str">
        <x:v>200537</x:v>
      </x:c>
      <x:c r="D3034" t="str">
        <x:v>VELS Medical College &amp; Hospital, 12-123, Velan Nagar, Manjankaranai Village, Periyapalayam Road, Uthukottai Taluk, Tiruvallur Dist.</x:v>
      </x:c>
      <x:c r="E3034" t="str">
        <x:v>NRI</x:v>
      </x:c>
      <x:c r="F3034" t="str">
        <x:v>Open</x:v>
      </x:c>
      <x:c r="G3034" t="n">
        <x:v>38</x:v>
      </x:c>
      <x:c r="H3034" t="n">
        <x:v>0</x:v>
      </x:c>
      <x:c r="I3034" t="n">
        <x:f>G3034-H3034</x:f>
        <x:v>38</x:v>
      </x:c>
      <x:c r="J3034" s="20" t="n">
        <x:f>IFERROR(H3034/G3034,0)</x:f>
        <x:v>0</x:v>
      </x:c>
      <x:c r="K3034"/>
      <x:c r="L3034"/>
      <x:c r="M3034"/>
      <x:c r="N3034"/>
      <x:c r="O3034"/>
    </x:row>
    <x:row r="3035">
      <x:c r="A3035" t="str">
        <x:v>Tamil Nadu</x:v>
      </x:c>
      <x:c r="B3035" t="str">
        <x:v>Deemed University</x:v>
      </x:c>
      <x:c r="C3035" t="str">
        <x:v>200537</x:v>
      </x:c>
      <x:c r="D3035" t="str">
        <x:v>VELS Medical College &amp; Hospital, 12-123, Velan Nagar, Manjankaranai Village, Periyapalayam Road, Uthukottai Taluk, Tiruvallur Dist.</x:v>
      </x:c>
      <x:c r="E3035" t="str">
        <x:v>Self-Financed Merit</x:v>
      </x:c>
      <x:c r="F3035" t="str">
        <x:v>Open</x:v>
      </x:c>
      <x:c r="G3035" t="n">
        <x:v>212</x:v>
      </x:c>
      <x:c r="H3035" t="n">
        <x:v>212</x:v>
      </x:c>
      <x:c r="I3035" t="n">
        <x:f>G3035-H3035</x:f>
        <x:v>0</x:v>
      </x:c>
      <x:c r="J3035" s="20" t="n">
        <x:f>IFERROR(H3035/G3035,0)</x:f>
        <x:v>1</x:v>
      </x:c>
      <x:c r="K3035" t="n">
        <x:v>349252</x:v>
      </x:c>
      <x:c r="L3035" t="n">
        <x:v>662021.5</x:v>
      </x:c>
      <x:c r="M3035" t="n">
        <x:v>746453</x:v>
      </x:c>
      <x:c r="N3035" t="n">
        <x:v>841305</x:v>
      </x:c>
      <x:c r="O3035" t="n">
        <x:v>909875</x:v>
      </x:c>
    </x:row>
    <x:row r="3036">
      <x:c r="A3036" t="str">
        <x:v>Delhi</x:v>
      </x:c>
      <x:c r="B3036" t="str">
        <x:v>Central University</x:v>
      </x:c>
      <x:c r="C3036" t="str">
        <x:v>200495</x:v>
      </x:c>
      <x:c r="D3036" t="str">
        <x:v>Vardhman Mahavir Medical College &amp; Safdarjung Hospital, Delhi, Vardhman Mahavir Medical College And Safdarjung Hospital, New Delhi, Delhi (NCT), 110029</x:v>
      </x:c>
      <x:c r="E3036" t="str">
        <x:v>All India</x:v>
      </x:c>
      <x:c r="F3036" t="str">
        <x:v>EWS</x:v>
      </x:c>
      <x:c r="G3036" t="n">
        <x:v>2</x:v>
      </x:c>
      <x:c r="H3036" t="n">
        <x:v>2</x:v>
      </x:c>
      <x:c r="I3036" t="n">
        <x:f>G3036-H3036</x:f>
        <x:v>0</x:v>
      </x:c>
      <x:c r="J3036" s="20" t="n">
        <x:f>IFERROR(H3036/G3036,0)</x:f>
        <x:v>1</x:v>
      </x:c>
      <x:c r="K3036" t="n">
        <x:v>476</x:v>
      </x:c>
      <x:c r="L3036" t="n">
        <x:v>515.25</x:v>
      </x:c>
      <x:c r="M3036" t="n">
        <x:v>554.5</x:v>
      </x:c>
      <x:c r="N3036" t="n">
        <x:v>593.75</x:v>
      </x:c>
      <x:c r="O3036" t="n">
        <x:v>633</x:v>
      </x:c>
    </x:row>
    <x:row r="3037">
      <x:c r="A3037" t="str">
        <x:v>Delhi</x:v>
      </x:c>
      <x:c r="B3037" t="str">
        <x:v>Central University</x:v>
      </x:c>
      <x:c r="C3037" t="str">
        <x:v>200495</x:v>
      </x:c>
      <x:c r="D3037" t="str">
        <x:v>Vardhman Mahavir Medical College &amp; Safdarjung Hospital, Delhi, Vardhman Mahavir Medical College And Safdarjung Hospital, New Delhi, Delhi (NCT), 110029</x:v>
      </x:c>
      <x:c r="E3037" t="str">
        <x:v>All India</x:v>
      </x:c>
      <x:c r="F3037" t="str">
        <x:v>OBC</x:v>
      </x:c>
      <x:c r="G3037" t="n">
        <x:v>7</x:v>
      </x:c>
      <x:c r="H3037" t="n">
        <x:v>7</x:v>
      </x:c>
      <x:c r="I3037" t="n">
        <x:f>G3037-H3037</x:f>
        <x:v>0</x:v>
      </x:c>
      <x:c r="J3037" s="20" t="n">
        <x:f>IFERROR(H3037/G3037,0)</x:f>
        <x:v>1</x:v>
      </x:c>
      <x:c r="K3037" t="n">
        <x:v>205</x:v>
      </x:c>
      <x:c r="L3037" t="n">
        <x:v>255</x:v>
      </x:c>
      <x:c r="M3037" t="n">
        <x:v>313</x:v>
      </x:c>
      <x:c r="N3037" t="n">
        <x:v>328</x:v>
      </x:c>
      <x:c r="O3037" t="n">
        <x:v>345</x:v>
      </x:c>
    </x:row>
    <x:row r="3038">
      <x:c r="A3038" t="str">
        <x:v>Delhi</x:v>
      </x:c>
      <x:c r="B3038" t="str">
        <x:v>Central University</x:v>
      </x:c>
      <x:c r="C3038" t="str">
        <x:v>200495</x:v>
      </x:c>
      <x:c r="D3038" t="str">
        <x:v>Vardhman Mahavir Medical College &amp; Safdarjung Hospital, Delhi, Vardhman Mahavir Medical College And Safdarjung Hospital, New Delhi, Delhi (NCT), 110029</x:v>
      </x:c>
      <x:c r="E3038" t="str">
        <x:v>All India</x:v>
      </x:c>
      <x:c r="F3038" t="str">
        <x:v>Open</x:v>
      </x:c>
      <x:c r="G3038" t="n">
        <x:v>10</x:v>
      </x:c>
      <x:c r="H3038" t="n">
        <x:v>10</x:v>
      </x:c>
      <x:c r="I3038" t="n">
        <x:f>G3038-H3038</x:f>
        <x:v>0</x:v>
      </x:c>
      <x:c r="J3038" s="20" t="n">
        <x:f>IFERROR(H3038/G3038,0)</x:f>
        <x:v>1</x:v>
      </x:c>
      <x:c r="K3038" t="n">
        <x:v>56</x:v>
      </x:c>
      <x:c r="L3038" t="n">
        <x:v>95.5</x:v>
      </x:c>
      <x:c r="M3038" t="n">
        <x:v>99.5</x:v>
      </x:c>
      <x:c r="N3038" t="n">
        <x:v>106.5</x:v>
      </x:c>
      <x:c r="O3038" t="n">
        <x:v>124</x:v>
      </x:c>
    </x:row>
    <x:row r="3039">
      <x:c r="A3039" t="str">
        <x:v>Delhi</x:v>
      </x:c>
      <x:c r="B3039" t="str">
        <x:v>Central University</x:v>
      </x:c>
      <x:c r="C3039" t="str">
        <x:v>200495</x:v>
      </x:c>
      <x:c r="D3039" t="str">
        <x:v>Vardhman Mahavir Medical College &amp; Safdarjung Hospital, Delhi, Vardhman Mahavir Medical College And Safdarjung Hospital, New Delhi, Delhi (NCT), 110029</x:v>
      </x:c>
      <x:c r="E3039" t="str">
        <x:v>All India</x:v>
      </x:c>
      <x:c r="F3039" t="str">
        <x:v>SC</x:v>
      </x:c>
      <x:c r="G3039" t="n">
        <x:v>4</x:v>
      </x:c>
      <x:c r="H3039" t="n">
        <x:v>4</x:v>
      </x:c>
      <x:c r="I3039" t="n">
        <x:f>G3039-H3039</x:f>
        <x:v>0</x:v>
      </x:c>
      <x:c r="J3039" s="20" t="n">
        <x:f>IFERROR(H3039/G3039,0)</x:f>
        <x:v>1</x:v>
      </x:c>
      <x:c r="K3039" t="n">
        <x:v>876</x:v>
      </x:c>
      <x:c r="L3039" t="n">
        <x:v>891.75</x:v>
      </x:c>
      <x:c r="M3039" t="n">
        <x:v>1121</x:v>
      </x:c>
      <x:c r="N3039" t="n">
        <x:v>1352.5</x:v>
      </x:c>
      <x:c r="O3039" t="n">
        <x:v>1375</x:v>
      </x:c>
    </x:row>
    <x:row r="3040">
      <x:c r="A3040" t="str">
        <x:v>Delhi</x:v>
      </x:c>
      <x:c r="B3040" t="str">
        <x:v>Central University</x:v>
      </x:c>
      <x:c r="C3040" t="str">
        <x:v>200495</x:v>
      </x:c>
      <x:c r="D3040" t="str">
        <x:v>Vardhman Mahavir Medical College &amp; Safdarjung Hospital, Delhi, Vardhman Mahavir Medical College And Safdarjung Hospital, New Delhi, Delhi (NCT), 110029</x:v>
      </x:c>
      <x:c r="E3040" t="str">
        <x:v>All India</x:v>
      </x:c>
      <x:c r="F3040" t="str">
        <x:v>ST</x:v>
      </x:c>
      <x:c r="G3040" t="n">
        <x:v>2</x:v>
      </x:c>
      <x:c r="H3040" t="n">
        <x:v>2</x:v>
      </x:c>
      <x:c r="I3040" t="n">
        <x:f>G3040-H3040</x:f>
        <x:v>0</x:v>
      </x:c>
      <x:c r="J3040" s="20" t="n">
        <x:f>IFERROR(H3040/G3040,0)</x:f>
        <x:v>1</x:v>
      </x:c>
      <x:c r="K3040" t="n">
        <x:v>1077</x:v>
      </x:c>
      <x:c r="L3040" t="n">
        <x:v>1376</x:v>
      </x:c>
      <x:c r="M3040" t="n">
        <x:v>1675</x:v>
      </x:c>
      <x:c r="N3040" t="n">
        <x:v>1974</x:v>
      </x:c>
      <x:c r="O3040" t="n">
        <x:v>2273</x:v>
      </x:c>
    </x:row>
    <x:row r="3041">
      <x:c r="A3041" t="str">
        <x:v>Delhi</x:v>
      </x:c>
      <x:c r="B3041" t="str">
        <x:v>Central University</x:v>
      </x:c>
      <x:c r="C3041" t="str">
        <x:v>200495</x:v>
      </x:c>
      <x:c r="D3041" t="str">
        <x:v>Vardhman Mahavir Medical College &amp; Safdarjung Hospital, Delhi, Vardhman Mahavir Medical College And Safdarjung Hospital, New Delhi, Delhi (NCT), 110029</x:v>
      </x:c>
      <x:c r="E3041" t="str">
        <x:v>Delhi NCR CW</x:v>
      </x:c>
      <x:c r="F3041" t="str">
        <x:v>OBC</x:v>
      </x:c>
      <x:c r="G3041" t="n">
        <x:v>1</x:v>
      </x:c>
      <x:c r="H3041" t="n">
        <x:v>1</x:v>
      </x:c>
      <x:c r="I3041" t="n">
        <x:f>G3041-H3041</x:f>
        <x:v>0</x:v>
      </x:c>
      <x:c r="J3041" s="20" t="n">
        <x:f>IFERROR(H3041/G3041,0)</x:f>
        <x:v>1</x:v>
      </x:c>
      <x:c r="K3041" t="n">
        <x:v>375999</x:v>
      </x:c>
      <x:c r="L3041" t="n">
        <x:v>375999</x:v>
      </x:c>
      <x:c r="M3041" t="n">
        <x:v>375999</x:v>
      </x:c>
      <x:c r="N3041" t="n">
        <x:v>375999</x:v>
      </x:c>
      <x:c r="O3041" t="n">
        <x:v>375999</x:v>
      </x:c>
    </x:row>
    <x:row r="3042">
      <x:c r="A3042" t="str">
        <x:v>Delhi</x:v>
      </x:c>
      <x:c r="B3042" t="str">
        <x:v>Central University</x:v>
      </x:c>
      <x:c r="C3042" t="str">
        <x:v>200495</x:v>
      </x:c>
      <x:c r="D3042" t="str">
        <x:v>Vardhman Mahavir Medical College &amp; Safdarjung Hospital, Delhi, Vardhman Mahavir Medical College And Safdarjung Hospital, New Delhi, Delhi (NCT), 110029</x:v>
      </x:c>
      <x:c r="E3042" t="str">
        <x:v>Delhi NCR CW</x:v>
      </x:c>
      <x:c r="F3042" t="str">
        <x:v>Open</x:v>
      </x:c>
      <x:c r="G3042" t="n">
        <x:v>3</x:v>
      </x:c>
      <x:c r="H3042" t="n">
        <x:v>3</x:v>
      </x:c>
      <x:c r="I3042" t="n">
        <x:f>G3042-H3042</x:f>
        <x:v>0</x:v>
      </x:c>
      <x:c r="J3042" s="20" t="n">
        <x:f>IFERROR(H3042/G3042,0)</x:f>
        <x:v>1</x:v>
      </x:c>
      <x:c r="K3042" t="n">
        <x:v>66531</x:v>
      </x:c>
      <x:c r="L3042" t="n">
        <x:v>291910</x:v>
      </x:c>
      <x:c r="M3042" t="n">
        <x:v>517289</x:v>
      </x:c>
      <x:c r="N3042" t="n">
        <x:v>656656</x:v>
      </x:c>
      <x:c r="O3042" t="n">
        <x:v>796023</x:v>
      </x:c>
    </x:row>
    <x:row r="3043">
      <x:c r="A3043" t="str">
        <x:v>Delhi</x:v>
      </x:c>
      <x:c r="B3043" t="str">
        <x:v>Central University</x:v>
      </x:c>
      <x:c r="C3043" t="str">
        <x:v>200495</x:v>
      </x:c>
      <x:c r="D3043" t="str">
        <x:v>Vardhman Mahavir Medical College &amp; Safdarjung Hospital, Delhi, Vardhman Mahavir Medical College And Safdarjung Hospital, New Delhi, Delhi (NCT), 110029</x:v>
      </x:c>
      <x:c r="E3043" t="str">
        <x:v>IP University Quota</x:v>
      </x:c>
      <x:c r="F3043" t="str">
        <x:v>EWS</x:v>
      </x:c>
      <x:c r="G3043" t="n">
        <x:v>13</x:v>
      </x:c>
      <x:c r="H3043" t="n">
        <x:v>13</x:v>
      </x:c>
      <x:c r="I3043" t="n">
        <x:f>G3043-H3043</x:f>
        <x:v>0</x:v>
      </x:c>
      <x:c r="J3043" s="20" t="n">
        <x:f>IFERROR(H3043/G3043,0)</x:f>
        <x:v>1</x:v>
      </x:c>
      <x:c r="K3043" t="n">
        <x:v>1917</x:v>
      </x:c>
      <x:c r="L3043" t="n">
        <x:v>2069</x:v>
      </x:c>
      <x:c r="M3043" t="n">
        <x:v>3092</x:v>
      </x:c>
      <x:c r="N3043" t="n">
        <x:v>3600</x:v>
      </x:c>
      <x:c r="O3043" t="n">
        <x:v>3878</x:v>
      </x:c>
    </x:row>
    <x:row r="3044">
      <x:c r="A3044" t="str">
        <x:v>Delhi</x:v>
      </x:c>
      <x:c r="B3044" t="str">
        <x:v>Central University</x:v>
      </x:c>
      <x:c r="C3044" t="str">
        <x:v>200495</x:v>
      </x:c>
      <x:c r="D3044" t="str">
        <x:v>Vardhman Mahavir Medical College &amp; Safdarjung Hospital, Delhi, Vardhman Mahavir Medical College And Safdarjung Hospital, New Delhi, Delhi (NCT), 110029</x:v>
      </x:c>
      <x:c r="E3044" t="str">
        <x:v>IP University Quota</x:v>
      </x:c>
      <x:c r="F3044" t="str">
        <x:v>EWS PwD</x:v>
      </x:c>
      <x:c r="G3044" t="n">
        <x:v>1</x:v>
      </x:c>
      <x:c r="H3044" t="n">
        <x:v>0</x:v>
      </x:c>
      <x:c r="I3044" t="n">
        <x:f>G3044-H3044</x:f>
        <x:v>1</x:v>
      </x:c>
      <x:c r="J3044" s="20" t="n">
        <x:f>IFERROR(H3044/G3044,0)</x:f>
        <x:v>0</x:v>
      </x:c>
      <x:c r="K3044"/>
      <x:c r="L3044"/>
      <x:c r="M3044"/>
      <x:c r="N3044"/>
      <x:c r="O3044"/>
    </x:row>
    <x:row r="3045">
      <x:c r="A3045" t="str">
        <x:v>Delhi</x:v>
      </x:c>
      <x:c r="B3045" t="str">
        <x:v>Central University</x:v>
      </x:c>
      <x:c r="C3045" t="str">
        <x:v>200495</x:v>
      </x:c>
      <x:c r="D3045" t="str">
        <x:v>Vardhman Mahavir Medical College &amp; Safdarjung Hospital, Delhi, Vardhman Mahavir Medical College And Safdarjung Hospital, New Delhi, Delhi (NCT), 110029</x:v>
      </x:c>
      <x:c r="E3045" t="str">
        <x:v>IP University Quota</x:v>
      </x:c>
      <x:c r="F3045" t="str">
        <x:v>OBC</x:v>
      </x:c>
      <x:c r="G3045" t="n">
        <x:v>36</x:v>
      </x:c>
      <x:c r="H3045" t="n">
        <x:v>36</x:v>
      </x:c>
      <x:c r="I3045" t="n">
        <x:f>G3045-H3045</x:f>
        <x:v>0</x:v>
      </x:c>
      <x:c r="J3045" s="20" t="n">
        <x:f>IFERROR(H3045/G3045,0)</x:f>
        <x:v>1</x:v>
      </x:c>
      <x:c r="K3045" t="n">
        <x:v>1450</x:v>
      </x:c>
      <x:c r="L3045" t="n">
        <x:v>2191</x:v>
      </x:c>
      <x:c r="M3045" t="n">
        <x:v>3134.5</x:v>
      </x:c>
      <x:c r="N3045" t="n">
        <x:v>3682.25</x:v>
      </x:c>
      <x:c r="O3045" t="n">
        <x:v>4127</x:v>
      </x:c>
    </x:row>
    <x:row r="3046">
      <x:c r="A3046" t="str">
        <x:v>Delhi</x:v>
      </x:c>
      <x:c r="B3046" t="str">
        <x:v>Central University</x:v>
      </x:c>
      <x:c r="C3046" t="str">
        <x:v>200495</x:v>
      </x:c>
      <x:c r="D3046" t="str">
        <x:v>Vardhman Mahavir Medical College &amp; Safdarjung Hospital, Delhi, Vardhman Mahavir Medical College And Safdarjung Hospital, New Delhi, Delhi (NCT), 110029</x:v>
      </x:c>
      <x:c r="E3046" t="str">
        <x:v>IP University Quota</x:v>
      </x:c>
      <x:c r="F3046" t="str">
        <x:v>OBC PwD</x:v>
      </x:c>
      <x:c r="G3046" t="n">
        <x:v>1</x:v>
      </x:c>
      <x:c r="H3046" t="n">
        <x:v>1</x:v>
      </x:c>
      <x:c r="I3046" t="n">
        <x:f>G3046-H3046</x:f>
        <x:v>0</x:v>
      </x:c>
      <x:c r="J3046" s="20" t="n">
        <x:f>IFERROR(H3046/G3046,0)</x:f>
        <x:v>1</x:v>
      </x:c>
      <x:c r="K3046" t="n">
        <x:v>476566</x:v>
      </x:c>
      <x:c r="L3046" t="n">
        <x:v>476566</x:v>
      </x:c>
      <x:c r="M3046" t="n">
        <x:v>476566</x:v>
      </x:c>
      <x:c r="N3046" t="n">
        <x:v>476566</x:v>
      </x:c>
      <x:c r="O3046" t="n">
        <x:v>476566</x:v>
      </x:c>
    </x:row>
    <x:row r="3047">
      <x:c r="A3047" t="str">
        <x:v>Delhi</x:v>
      </x:c>
      <x:c r="B3047" t="str">
        <x:v>Central University</x:v>
      </x:c>
      <x:c r="C3047" t="str">
        <x:v>200495</x:v>
      </x:c>
      <x:c r="D3047" t="str">
        <x:v>Vardhman Mahavir Medical College &amp; Safdarjung Hospital, Delhi, Vardhman Mahavir Medical College And Safdarjung Hospital, New Delhi, Delhi (NCT), 110029</x:v>
      </x:c>
      <x:c r="E3047" t="str">
        <x:v>IP University Quota</x:v>
      </x:c>
      <x:c r="F3047" t="str">
        <x:v>Open</x:v>
      </x:c>
      <x:c r="G3047" t="n">
        <x:v>50</x:v>
      </x:c>
      <x:c r="H3047" t="n">
        <x:v>50</x:v>
      </x:c>
      <x:c r="I3047" t="n">
        <x:f>G3047-H3047</x:f>
        <x:v>0</x:v>
      </x:c>
      <x:c r="J3047" s="20" t="n">
        <x:f>IFERROR(H3047/G3047,0)</x:f>
        <x:v>1</x:v>
      </x:c>
      <x:c r="K3047" t="n">
        <x:v>140</x:v>
      </x:c>
      <x:c r="L3047" t="n">
        <x:v>390.5</x:v>
      </x:c>
      <x:c r="M3047" t="n">
        <x:v>742.5</x:v>
      </x:c>
      <x:c r="N3047" t="n">
        <x:v>1047.25</x:v>
      </x:c>
      <x:c r="O3047" t="n">
        <x:v>1381</x:v>
      </x:c>
    </x:row>
    <x:row r="3048">
      <x:c r="A3048" t="str">
        <x:v>Delhi</x:v>
      </x:c>
      <x:c r="B3048" t="str">
        <x:v>Central University</x:v>
      </x:c>
      <x:c r="C3048" t="str">
        <x:v>200495</x:v>
      </x:c>
      <x:c r="D3048" t="str">
        <x:v>Vardhman Mahavir Medical College &amp; Safdarjung Hospital, Delhi, Vardhman Mahavir Medical College And Safdarjung Hospital, New Delhi, Delhi (NCT), 110029</x:v>
      </x:c>
      <x:c r="E3048" t="str">
        <x:v>IP University Quota</x:v>
      </x:c>
      <x:c r="F3048" t="str">
        <x:v>Open PwD</x:v>
      </x:c>
      <x:c r="G3048" t="n">
        <x:v>3</x:v>
      </x:c>
      <x:c r="H3048" t="n">
        <x:v>3</x:v>
      </x:c>
      <x:c r="I3048" t="n">
        <x:f>G3048-H3048</x:f>
        <x:v>0</x:v>
      </x:c>
      <x:c r="J3048" s="20" t="n">
        <x:f>IFERROR(H3048/G3048,0)</x:f>
        <x:v>1</x:v>
      </x:c>
      <x:c r="K3048" t="n">
        <x:v>167595</x:v>
      </x:c>
      <x:c r="L3048" t="n">
        <x:v>207399.5</x:v>
      </x:c>
      <x:c r="M3048" t="n">
        <x:v>247204</x:v>
      </x:c>
      <x:c r="N3048" t="n">
        <x:v>264302</x:v>
      </x:c>
      <x:c r="O3048" t="n">
        <x:v>281400</x:v>
      </x:c>
    </x:row>
    <x:row r="3049">
      <x:c r="A3049" t="str">
        <x:v>Delhi</x:v>
      </x:c>
      <x:c r="B3049" t="str">
        <x:v>Central University</x:v>
      </x:c>
      <x:c r="C3049" t="str">
        <x:v>200495</x:v>
      </x:c>
      <x:c r="D3049" t="str">
        <x:v>Vardhman Mahavir Medical College &amp; Safdarjung Hospital, Delhi, Vardhman Mahavir Medical College And Safdarjung Hospital, New Delhi, Delhi (NCT), 110029</x:v>
      </x:c>
      <x:c r="E3049" t="str">
        <x:v>IP University Quota</x:v>
      </x:c>
      <x:c r="F3049" t="str">
        <x:v>SC</x:v>
      </x:c>
      <x:c r="G3049" t="n">
        <x:v>19</x:v>
      </x:c>
      <x:c r="H3049" t="n">
        <x:v>19</x:v>
      </x:c>
      <x:c r="I3049" t="n">
        <x:f>G3049-H3049</x:f>
        <x:v>0</x:v>
      </x:c>
      <x:c r="J3049" s="20" t="n">
        <x:f>IFERROR(H3049/G3049,0)</x:f>
        <x:v>1</x:v>
      </x:c>
      <x:c r="K3049" t="n">
        <x:v>1464</x:v>
      </x:c>
      <x:c r="L3049" t="n">
        <x:v>9509</x:v>
      </x:c>
      <x:c r="M3049" t="n">
        <x:v>14914</x:v>
      </x:c>
      <x:c r="N3049" t="n">
        <x:v>20948.5</x:v>
      </x:c>
      <x:c r="O3049" t="n">
        <x:v>23604</x:v>
      </x:c>
    </x:row>
    <x:row r="3050">
      <x:c r="A3050" t="str">
        <x:v>Delhi</x:v>
      </x:c>
      <x:c r="B3050" t="str">
        <x:v>Central University</x:v>
      </x:c>
      <x:c r="C3050" t="str">
        <x:v>200495</x:v>
      </x:c>
      <x:c r="D3050" t="str">
        <x:v>Vardhman Mahavir Medical College &amp; Safdarjung Hospital, Delhi, Vardhman Mahavir Medical College And Safdarjung Hospital, New Delhi, Delhi (NCT), 110029</x:v>
      </x:c>
      <x:c r="E3050" t="str">
        <x:v>IP University Quota</x:v>
      </x:c>
      <x:c r="F3050" t="str">
        <x:v>SC PwD</x:v>
      </x:c>
      <x:c r="G3050" t="n">
        <x:v>1</x:v>
      </x:c>
      <x:c r="H3050" t="n">
        <x:v>1</x:v>
      </x:c>
      <x:c r="I3050" t="n">
        <x:f>G3050-H3050</x:f>
        <x:v>0</x:v>
      </x:c>
      <x:c r="J3050" s="20" t="n">
        <x:f>IFERROR(H3050/G3050,0)</x:f>
        <x:v>1</x:v>
      </x:c>
      <x:c r="K3050" t="n">
        <x:v>290318</x:v>
      </x:c>
      <x:c r="L3050" t="n">
        <x:v>290318</x:v>
      </x:c>
      <x:c r="M3050" t="n">
        <x:v>290318</x:v>
      </x:c>
      <x:c r="N3050" t="n">
        <x:v>290318</x:v>
      </x:c>
      <x:c r="O3050" t="n">
        <x:v>290318</x:v>
      </x:c>
    </x:row>
    <x:row r="3051">
      <x:c r="A3051" t="str">
        <x:v>Delhi</x:v>
      </x:c>
      <x:c r="B3051" t="str">
        <x:v>Central University</x:v>
      </x:c>
      <x:c r="C3051" t="str">
        <x:v>200495</x:v>
      </x:c>
      <x:c r="D3051" t="str">
        <x:v>Vardhman Mahavir Medical College &amp; Safdarjung Hospital, Delhi, Vardhman Mahavir Medical College And Safdarjung Hospital, New Delhi, Delhi (NCT), 110029</x:v>
      </x:c>
      <x:c r="E3051" t="str">
        <x:v>IP University Quota</x:v>
      </x:c>
      <x:c r="F3051" t="str">
        <x:v>ST</x:v>
      </x:c>
      <x:c r="G3051" t="n">
        <x:v>10</x:v>
      </x:c>
      <x:c r="H3051" t="n">
        <x:v>10</x:v>
      </x:c>
      <x:c r="I3051" t="n">
        <x:f>G3051-H3051</x:f>
        <x:v>0</x:v>
      </x:c>
      <x:c r="J3051" s="20" t="n">
        <x:f>IFERROR(H3051/G3051,0)</x:f>
        <x:v>1</x:v>
      </x:c>
      <x:c r="K3051" t="n">
        <x:v>25762</x:v>
      </x:c>
      <x:c r="L3051" t="n">
        <x:v>43641.25</x:v>
      </x:c>
      <x:c r="M3051" t="n">
        <x:v>48902</x:v>
      </x:c>
      <x:c r="N3051" t="n">
        <x:v>61631</x:v>
      </x:c>
      <x:c r="O3051" t="n">
        <x:v>64896</x:v>
      </x:c>
    </x:row>
    <x:row r="3052">
      <x:c r="A3052" t="str">
        <x:v>Delhi</x:v>
      </x:c>
      <x:c r="B3052" t="str">
        <x:v>Central University</x:v>
      </x:c>
      <x:c r="C3052" t="str">
        <x:v>200495</x:v>
      </x:c>
      <x:c r="D3052" t="str">
        <x:v>Vardhman Mahavir Medical College &amp; Safdarjung Hospital, Delhi, Vardhman Mahavir Medical College And Safdarjung Hospital, New Delhi, Delhi (NCT), 110029</x:v>
      </x:c>
      <x:c r="E3052" t="str">
        <x:v>IP University Quota</x:v>
      </x:c>
      <x:c r="F3052" t="str">
        <x:v>ST PwD</x:v>
      </x:c>
      <x:c r="G3052" t="n">
        <x:v>1</x:v>
      </x:c>
      <x:c r="H3052" t="n">
        <x:v>0</x:v>
      </x:c>
      <x:c r="I3052" t="n">
        <x:f>G3052-H3052</x:f>
        <x:v>1</x:v>
      </x:c>
      <x:c r="J3052" s="20" t="n">
        <x:f>IFERROR(H3052/G3052,0)</x:f>
        <x:v>0</x:v>
      </x:c>
      <x:c r="K3052"/>
      <x:c r="L3052"/>
      <x:c r="M3052"/>
      <x:c r="N3052"/>
      <x:c r="O3052"/>
    </x:row>
    <x:row r="3053">
      <x:c r="A3053" t="str">
        <x:v>Uttarakhand</x:v>
      </x:c>
      <x:c r="B3053" t="str">
        <x:v>All India except Central University</x:v>
      </x:c>
      <x:c r="C3053" t="str">
        <x:v>200304</x:v>
      </x:c>
      <x:c r="D3053" t="str">
        <x:v>Veer Chandra Singh Garhwali Govt. Medical Sc. &amp; Research Instt, Srinagar, Pauri Garhwal, BADRINATH MARG, SRIKOT, SRINAGAR - PAURI GARHWAL</x:v>
      </x:c>
      <x:c r="E3053" t="str">
        <x:v>All India</x:v>
      </x:c>
      <x:c r="F3053" t="str">
        <x:v>EWS</x:v>
      </x:c>
      <x:c r="G3053" t="n">
        <x:v>2</x:v>
      </x:c>
      <x:c r="H3053" t="n">
        <x:v>2</x:v>
      </x:c>
      <x:c r="I3053" t="n">
        <x:f>G3053-H3053</x:f>
        <x:v>0</x:v>
      </x:c>
      <x:c r="J3053" s="20" t="n">
        <x:f>IFERROR(H3053/G3053,0)</x:f>
        <x:v>1</x:v>
      </x:c>
      <x:c r="K3053" t="n">
        <x:v>12280</x:v>
      </x:c>
      <x:c r="L3053" t="n">
        <x:v>12676.25</x:v>
      </x:c>
      <x:c r="M3053" t="n">
        <x:v>13072.5</x:v>
      </x:c>
      <x:c r="N3053" t="n">
        <x:v>13468.75</x:v>
      </x:c>
      <x:c r="O3053" t="n">
        <x:v>13865</x:v>
      </x:c>
    </x:row>
    <x:row r="3054">
      <x:c r="A3054" t="str">
        <x:v>Uttarakhand</x:v>
      </x:c>
      <x:c r="B3054" t="str">
        <x:v>All India except Central University</x:v>
      </x:c>
      <x:c r="C3054" t="str">
        <x:v>200304</x:v>
      </x:c>
      <x:c r="D3054" t="str">
        <x:v>Veer Chandra Singh Garhwali Govt. Medical Sc. &amp; Research Instt, Srinagar, Pauri Garhwal, BADRINATH MARG, SRIKOT, SRINAGAR - PAURI GARHWAL</x:v>
      </x:c>
      <x:c r="E3054" t="str">
        <x:v>All India</x:v>
      </x:c>
      <x:c r="F3054" t="str">
        <x:v>OBC</x:v>
      </x:c>
      <x:c r="G3054" t="n">
        <x:v>6</x:v>
      </x:c>
      <x:c r="H3054" t="n">
        <x:v>6</x:v>
      </x:c>
      <x:c r="I3054" t="n">
        <x:f>G3054-H3054</x:f>
        <x:v>0</x:v>
      </x:c>
      <x:c r="J3054" s="20" t="n">
        <x:f>IFERROR(H3054/G3054,0)</x:f>
        <x:v>1</x:v>
      </x:c>
      <x:c r="K3054" t="n">
        <x:v>11557</x:v>
      </x:c>
      <x:c r="L3054" t="n">
        <x:v>12037.5</x:v>
      </x:c>
      <x:c r="M3054" t="n">
        <x:v>12184</x:v>
      </x:c>
      <x:c r="N3054" t="n">
        <x:v>12707.75</x:v>
      </x:c>
      <x:c r="O3054" t="n">
        <x:v>13007</x:v>
      </x:c>
    </x:row>
    <x:row r="3055">
      <x:c r="A3055" t="str">
        <x:v>Uttarakhand</x:v>
      </x:c>
      <x:c r="B3055" t="str">
        <x:v>All India except Central University</x:v>
      </x:c>
      <x:c r="C3055" t="str">
        <x:v>200304</x:v>
      </x:c>
      <x:c r="D3055" t="str">
        <x:v>Veer Chandra Singh Garhwali Govt. Medical Sc. &amp; Research Instt, Srinagar, Pauri Garhwal, BADRINATH MARG, SRIKOT, SRINAGAR - PAURI GARHWAL</x:v>
      </x:c>
      <x:c r="E3055" t="str">
        <x:v>All India</x:v>
      </x:c>
      <x:c r="F3055" t="str">
        <x:v>OBC PwD</x:v>
      </x:c>
      <x:c r="G3055" t="n">
        <x:v>1</x:v>
      </x:c>
      <x:c r="H3055" t="n">
        <x:v>1</x:v>
      </x:c>
      <x:c r="I3055" t="n">
        <x:f>G3055-H3055</x:f>
        <x:v>0</x:v>
      </x:c>
      <x:c r="J3055" s="20" t="n">
        <x:f>IFERROR(H3055/G3055,0)</x:f>
        <x:v>1</x:v>
      </x:c>
      <x:c r="K3055" t="n">
        <x:v>631546</x:v>
      </x:c>
      <x:c r="L3055" t="n">
        <x:v>631546</x:v>
      </x:c>
      <x:c r="M3055" t="n">
        <x:v>631546</x:v>
      </x:c>
      <x:c r="N3055" t="n">
        <x:v>631546</x:v>
      </x:c>
      <x:c r="O3055" t="n">
        <x:v>631546</x:v>
      </x:c>
    </x:row>
    <x:row r="3056">
      <x:c r="A3056" t="str">
        <x:v>Uttarakhand</x:v>
      </x:c>
      <x:c r="B3056" t="str">
        <x:v>All India except Central University</x:v>
      </x:c>
      <x:c r="C3056" t="str">
        <x:v>200304</x:v>
      </x:c>
      <x:c r="D3056" t="str">
        <x:v>Veer Chandra Singh Garhwali Govt. Medical Sc. &amp; Research Instt, Srinagar, Pauri Garhwal, BADRINATH MARG, SRIKOT, SRINAGAR - PAURI GARHWAL</x:v>
      </x:c>
      <x:c r="E3056" t="str">
        <x:v>All India</x:v>
      </x:c>
      <x:c r="F3056" t="str">
        <x:v>Open</x:v>
      </x:c>
      <x:c r="G3056" t="n">
        <x:v>7</x:v>
      </x:c>
      <x:c r="H3056" t="n">
        <x:v>7</x:v>
      </x:c>
      <x:c r="I3056" t="n">
        <x:f>G3056-H3056</x:f>
        <x:v>0</x:v>
      </x:c>
      <x:c r="J3056" s="20" t="n">
        <x:f>IFERROR(H3056/G3056,0)</x:f>
        <x:v>1</x:v>
      </x:c>
      <x:c r="K3056" t="n">
        <x:v>5810</x:v>
      </x:c>
      <x:c r="L3056" t="n">
        <x:v>7003</x:v>
      </x:c>
      <x:c r="M3056" t="n">
        <x:v>8322</x:v>
      </x:c>
      <x:c r="N3056" t="n">
        <x:v>10089.5</x:v>
      </x:c>
      <x:c r="O3056" t="n">
        <x:v>10587</x:v>
      </x:c>
    </x:row>
    <x:row r="3057">
      <x:c r="A3057" t="str">
        <x:v>Uttarakhand</x:v>
      </x:c>
      <x:c r="B3057" t="str">
        <x:v>All India except Central University</x:v>
      </x:c>
      <x:c r="C3057" t="str">
        <x:v>200304</x:v>
      </x:c>
      <x:c r="D3057" t="str">
        <x:v>Veer Chandra Singh Garhwali Govt. Medical Sc. &amp; Research Instt, Srinagar, Pauri Garhwal, BADRINATH MARG, SRIKOT, SRINAGAR - PAURI GARHWAL</x:v>
      </x:c>
      <x:c r="E3057" t="str">
        <x:v>All India</x:v>
      </x:c>
      <x:c r="F3057" t="str">
        <x:v>Open PwD</x:v>
      </x:c>
      <x:c r="G3057" t="n">
        <x:v>1</x:v>
      </x:c>
      <x:c r="H3057" t="n">
        <x:v>1</x:v>
      </x:c>
      <x:c r="I3057" t="n">
        <x:f>G3057-H3057</x:f>
        <x:v>0</x:v>
      </x:c>
      <x:c r="J3057" s="20" t="n">
        <x:f>IFERROR(H3057/G3057,0)</x:f>
        <x:v>1</x:v>
      </x:c>
      <x:c r="K3057" t="n">
        <x:v>242669</x:v>
      </x:c>
      <x:c r="L3057" t="n">
        <x:v>242669</x:v>
      </x:c>
      <x:c r="M3057" t="n">
        <x:v>242669</x:v>
      </x:c>
      <x:c r="N3057" t="n">
        <x:v>242669</x:v>
      </x:c>
      <x:c r="O3057" t="n">
        <x:v>242669</x:v>
      </x:c>
    </x:row>
    <x:row r="3058">
      <x:c r="A3058" t="str">
        <x:v>Uttarakhand</x:v>
      </x:c>
      <x:c r="B3058" t="str">
        <x:v>All India except Central University</x:v>
      </x:c>
      <x:c r="C3058" t="str">
        <x:v>200304</x:v>
      </x:c>
      <x:c r="D3058" t="str">
        <x:v>Veer Chandra Singh Garhwali Govt. Medical Sc. &amp; Research Instt, Srinagar, Pauri Garhwal, BADRINATH MARG, SRIKOT, SRINAGAR - PAURI GARHWAL</x:v>
      </x:c>
      <x:c r="E3058" t="str">
        <x:v>All India</x:v>
      </x:c>
      <x:c r="F3058" t="str">
        <x:v>SC</x:v>
      </x:c>
      <x:c r="G3058" t="n">
        <x:v>4</x:v>
      </x:c>
      <x:c r="H3058" t="n">
        <x:v>4</x:v>
      </x:c>
      <x:c r="I3058" t="n">
        <x:f>G3058-H3058</x:f>
        <x:v>0</x:v>
      </x:c>
      <x:c r="J3058" s="20" t="n">
        <x:f>IFERROR(H3058/G3058,0)</x:f>
        <x:v>1</x:v>
      </x:c>
      <x:c r="K3058" t="n">
        <x:v>54204</x:v>
      </x:c>
      <x:c r="L3058" t="n">
        <x:v>56194.5</x:v>
      </x:c>
      <x:c r="M3058" t="n">
        <x:v>59627</x:v>
      </x:c>
      <x:c r="N3058" t="n">
        <x:v>62996.5</x:v>
      </x:c>
      <x:c r="O3058" t="n">
        <x:v>64798</x:v>
      </x:c>
    </x:row>
    <x:row r="3059">
      <x:c r="A3059" t="str">
        <x:v>Uttarakhand</x:v>
      </x:c>
      <x:c r="B3059" t="str">
        <x:v>All India except Central University</x:v>
      </x:c>
      <x:c r="C3059" t="str">
        <x:v>200304</x:v>
      </x:c>
      <x:c r="D3059" t="str">
        <x:v>Veer Chandra Singh Garhwali Govt. Medical Sc. &amp; Research Instt, Srinagar, Pauri Garhwal, BADRINATH MARG, SRIKOT, SRINAGAR - PAURI GARHWAL</x:v>
      </x:c>
      <x:c r="E3059" t="str">
        <x:v>All India</x:v>
      </x:c>
      <x:c r="F3059" t="str">
        <x:v>ST</x:v>
      </x:c>
      <x:c r="G3059" t="n">
        <x:v>2</x:v>
      </x:c>
      <x:c r="H3059" t="n">
        <x:v>2</x:v>
      </x:c>
      <x:c r="I3059" t="n">
        <x:f>G3059-H3059</x:f>
        <x:v>0</x:v>
      </x:c>
      <x:c r="J3059" s="20" t="n">
        <x:f>IFERROR(H3059/G3059,0)</x:f>
        <x:v>1</x:v>
      </x:c>
      <x:c r="K3059" t="n">
        <x:v>81349</x:v>
      </x:c>
      <x:c r="L3059" t="n">
        <x:v>83281.75</x:v>
      </x:c>
      <x:c r="M3059" t="n">
        <x:v>85214.5</x:v>
      </x:c>
      <x:c r="N3059" t="n">
        <x:v>87147.25</x:v>
      </x:c>
      <x:c r="O3059" t="n">
        <x:v>89080</x:v>
      </x:c>
    </x:row>
    <x:row r="3060">
      <x:c r="A3060" t="str">
        <x:v>Odisha</x:v>
      </x:c>
      <x:c r="B3060" t="str">
        <x:v>All India except Central University</x:v>
      </x:c>
      <x:c r="C3060" t="str">
        <x:v>200240</x:v>
      </x:c>
      <x:c r="D3060" t="str">
        <x:v>Veer Surendra Sai Institute of Medical Sciences and Research, Burla, AYURVIHAR,BURLA, SAMBALPUR</x:v>
      </x:c>
      <x:c r="E3060" t="str">
        <x:v>All India</x:v>
      </x:c>
      <x:c r="F3060" t="str">
        <x:v>EWS</x:v>
      </x:c>
      <x:c r="G3060" t="n">
        <x:v>4</x:v>
      </x:c>
      <x:c r="H3060" t="n">
        <x:v>4</x:v>
      </x:c>
      <x:c r="I3060" t="n">
        <x:f>G3060-H3060</x:f>
        <x:v>0</x:v>
      </x:c>
      <x:c r="J3060" s="20" t="n">
        <x:f>IFERROR(H3060/G3060,0)</x:f>
        <x:v>1</x:v>
      </x:c>
      <x:c r="K3060" t="n">
        <x:v>6452</x:v>
      </x:c>
      <x:c r="L3060" t="n">
        <x:v>6849.5</x:v>
      </x:c>
      <x:c r="M3060" t="n">
        <x:v>7104.5</x:v>
      </x:c>
      <x:c r="N3060" t="n">
        <x:v>7653.75</x:v>
      </x:c>
      <x:c r="O3060" t="n">
        <x:v>8934</x:v>
      </x:c>
    </x:row>
    <x:row r="3061">
      <x:c r="A3061" t="str">
        <x:v>Odisha</x:v>
      </x:c>
      <x:c r="B3061" t="str">
        <x:v>All India except Central University</x:v>
      </x:c>
      <x:c r="C3061" t="str">
        <x:v>200240</x:v>
      </x:c>
      <x:c r="D3061" t="str">
        <x:v>Veer Surendra Sai Institute of Medical Sciences and Research, Burla, AYURVIHAR,BURLA, SAMBALPUR</x:v>
      </x:c>
      <x:c r="E3061" t="str">
        <x:v>All India</x:v>
      </x:c>
      <x:c r="F3061" t="str">
        <x:v>OBC</x:v>
      </x:c>
      <x:c r="G3061" t="n">
        <x:v>10</x:v>
      </x:c>
      <x:c r="H3061" t="n">
        <x:v>10</x:v>
      </x:c>
      <x:c r="I3061" t="n">
        <x:f>G3061-H3061</x:f>
        <x:v>0</x:v>
      </x:c>
      <x:c r="J3061" s="20" t="n">
        <x:f>IFERROR(H3061/G3061,0)</x:f>
        <x:v>1</x:v>
      </x:c>
      <x:c r="K3061" t="n">
        <x:v>6386</x:v>
      </x:c>
      <x:c r="L3061" t="n">
        <x:v>6763.5</x:v>
      </x:c>
      <x:c r="M3061" t="n">
        <x:v>7026.5</x:v>
      </x:c>
      <x:c r="N3061" t="n">
        <x:v>7665.25</x:v>
      </x:c>
      <x:c r="O3061" t="n">
        <x:v>7938</x:v>
      </x:c>
    </x:row>
    <x:row r="3062">
      <x:c r="A3062" t="str">
        <x:v>Odisha</x:v>
      </x:c>
      <x:c r="B3062" t="str">
        <x:v>All India except Central University</x:v>
      </x:c>
      <x:c r="C3062" t="str">
        <x:v>200240</x:v>
      </x:c>
      <x:c r="D3062" t="str">
        <x:v>Veer Surendra Sai Institute of Medical Sciences and Research, Burla, AYURVIHAR,BURLA, SAMBALPUR</x:v>
      </x:c>
      <x:c r="E3062" t="str">
        <x:v>All India</x:v>
      </x:c>
      <x:c r="F3062" t="str">
        <x:v>Open</x:v>
      </x:c>
      <x:c r="G3062" t="n">
        <x:v>13</x:v>
      </x:c>
      <x:c r="H3062" t="n">
        <x:v>13</x:v>
      </x:c>
      <x:c r="I3062" t="n">
        <x:f>G3062-H3062</x:f>
        <x:v>0</x:v>
      </x:c>
      <x:c r="J3062" s="20" t="n">
        <x:f>IFERROR(H3062/G3062,0)</x:f>
        <x:v>1</x:v>
      </x:c>
      <x:c r="K3062" t="n">
        <x:v>3103</x:v>
      </x:c>
      <x:c r="L3062" t="n">
        <x:v>4080</x:v>
      </x:c>
      <x:c r="M3062" t="n">
        <x:v>4924</x:v>
      </x:c>
      <x:c r="N3062" t="n">
        <x:v>5556</x:v>
      </x:c>
      <x:c r="O3062" t="n">
        <x:v>5743</x:v>
      </x:c>
    </x:row>
    <x:row r="3063">
      <x:c r="A3063" t="str">
        <x:v>Odisha</x:v>
      </x:c>
      <x:c r="B3063" t="str">
        <x:v>All India except Central University</x:v>
      </x:c>
      <x:c r="C3063" t="str">
        <x:v>200240</x:v>
      </x:c>
      <x:c r="D3063" t="str">
        <x:v>Veer Surendra Sai Institute of Medical Sciences and Research, Burla, AYURVIHAR,BURLA, SAMBALPUR</x:v>
      </x:c>
      <x:c r="E3063" t="str">
        <x:v>All India</x:v>
      </x:c>
      <x:c r="F3063" t="str">
        <x:v>Open PwD</x:v>
      </x:c>
      <x:c r="G3063" t="n">
        <x:v>1</x:v>
      </x:c>
      <x:c r="H3063" t="n">
        <x:v>1</x:v>
      </x:c>
      <x:c r="I3063" t="n">
        <x:f>G3063-H3063</x:f>
        <x:v>0</x:v>
      </x:c>
      <x:c r="J3063" s="20" t="n">
        <x:f>IFERROR(H3063/G3063,0)</x:f>
        <x:v>1</x:v>
      </x:c>
      <x:c r="K3063" t="n">
        <x:v>321658</x:v>
      </x:c>
      <x:c r="L3063" t="n">
        <x:v>321658</x:v>
      </x:c>
      <x:c r="M3063" t="n">
        <x:v>321658</x:v>
      </x:c>
      <x:c r="N3063" t="n">
        <x:v>321658</x:v>
      </x:c>
      <x:c r="O3063" t="n">
        <x:v>321658</x:v>
      </x:c>
    </x:row>
    <x:row r="3064">
      <x:c r="A3064" t="str">
        <x:v>Odisha</x:v>
      </x:c>
      <x:c r="B3064" t="str">
        <x:v>All India except Central University</x:v>
      </x:c>
      <x:c r="C3064" t="str">
        <x:v>200240</x:v>
      </x:c>
      <x:c r="D3064" t="str">
        <x:v>Veer Surendra Sai Institute of Medical Sciences and Research, Burla, AYURVIHAR,BURLA, SAMBALPUR</x:v>
      </x:c>
      <x:c r="E3064" t="str">
        <x:v>All India</x:v>
      </x:c>
      <x:c r="F3064" t="str">
        <x:v>SC</x:v>
      </x:c>
      <x:c r="G3064" t="n">
        <x:v>6</x:v>
      </x:c>
      <x:c r="H3064" t="n">
        <x:v>6</x:v>
      </x:c>
      <x:c r="I3064" t="n">
        <x:f>G3064-H3064</x:f>
        <x:v>0</x:v>
      </x:c>
      <x:c r="J3064" s="20" t="n">
        <x:f>IFERROR(H3064/G3064,0)</x:f>
        <x:v>1</x:v>
      </x:c>
      <x:c r="K3064" t="n">
        <x:v>33010</x:v>
      </x:c>
      <x:c r="L3064" t="n">
        <x:v>38283.75</x:v>
      </x:c>
      <x:c r="M3064" t="n">
        <x:v>38944.5</x:v>
      </x:c>
      <x:c r="N3064" t="n">
        <x:v>41607.75</x:v>
      </x:c>
      <x:c r="O3064" t="n">
        <x:v>42764</x:v>
      </x:c>
    </x:row>
    <x:row r="3065">
      <x:c r="A3065" t="str">
        <x:v>Odisha</x:v>
      </x:c>
      <x:c r="B3065" t="str">
        <x:v>All India except Central University</x:v>
      </x:c>
      <x:c r="C3065" t="str">
        <x:v>200240</x:v>
      </x:c>
      <x:c r="D3065" t="str">
        <x:v>Veer Surendra Sai Institute of Medical Sciences and Research, Burla, AYURVIHAR,BURLA, SAMBALPUR</x:v>
      </x:c>
      <x:c r="E3065" t="str">
        <x:v>All India</x:v>
      </x:c>
      <x:c r="F3065" t="str">
        <x:v>ST</x:v>
      </x:c>
      <x:c r="G3065" t="n">
        <x:v>3</x:v>
      </x:c>
      <x:c r="H3065" t="n">
        <x:v>3</x:v>
      </x:c>
      <x:c r="I3065" t="n">
        <x:f>G3065-H3065</x:f>
        <x:v>0</x:v>
      </x:c>
      <x:c r="J3065" s="20" t="n">
        <x:f>IFERROR(H3065/G3065,0)</x:f>
        <x:v>1</x:v>
      </x:c>
      <x:c r="K3065" t="n">
        <x:v>91831</x:v>
      </x:c>
      <x:c r="L3065" t="n">
        <x:v>92117.5</x:v>
      </x:c>
      <x:c r="M3065" t="n">
        <x:v>92404</x:v>
      </x:c>
      <x:c r="N3065" t="n">
        <x:v>97841.5</x:v>
      </x:c>
      <x:c r="O3065" t="n">
        <x:v>103279</x:v>
      </x:c>
    </x:row>
    <x:row r="3066">
      <x:c r="A3066" t="str">
        <x:v>Karnataka</x:v>
      </x:c>
      <x:c r="B3066" t="str">
        <x:v>All India except Central University</x:v>
      </x:c>
      <x:c r="C3066" t="str">
        <x:v>200181</x:v>
      </x:c>
      <x:c r="D3066" t="str">
        <x:v>Vijaynagar Institute of Medical Sciences, Bellary, Cantonment, Ballari</x:v>
      </x:c>
      <x:c r="E3066" t="str">
        <x:v>All India</x:v>
      </x:c>
      <x:c r="F3066" t="str">
        <x:v>EWS</x:v>
      </x:c>
      <x:c r="G3066" t="n">
        <x:v>4</x:v>
      </x:c>
      <x:c r="H3066" t="n">
        <x:v>4</x:v>
      </x:c>
      <x:c r="I3066" t="n">
        <x:f>G3066-H3066</x:f>
        <x:v>0</x:v>
      </x:c>
      <x:c r="J3066" s="20" t="n">
        <x:f>IFERROR(H3066/G3066,0)</x:f>
        <x:v>1</x:v>
      </x:c>
      <x:c r="K3066" t="n">
        <x:v>13579</x:v>
      </x:c>
      <x:c r="L3066" t="n">
        <x:v>15551.5</x:v>
      </x:c>
      <x:c r="M3066" t="n">
        <x:v>16495</x:v>
      </x:c>
      <x:c r="N3066" t="n">
        <x:v>16871</x:v>
      </x:c>
      <x:c r="O3066" t="n">
        <x:v>17141</x:v>
      </x:c>
    </x:row>
    <x:row r="3067">
      <x:c r="A3067" t="str">
        <x:v>Karnataka</x:v>
      </x:c>
      <x:c r="B3067" t="str">
        <x:v>All India except Central University</x:v>
      </x:c>
      <x:c r="C3067" t="str">
        <x:v>200181</x:v>
      </x:c>
      <x:c r="D3067" t="str">
        <x:v>Vijaynagar Institute of Medical Sciences, Bellary, Cantonment, Ballari</x:v>
      </x:c>
      <x:c r="E3067" t="str">
        <x:v>All India</x:v>
      </x:c>
      <x:c r="F3067" t="str">
        <x:v>OBC</x:v>
      </x:c>
      <x:c r="G3067" t="n">
        <x:v>9</x:v>
      </x:c>
      <x:c r="H3067" t="n">
        <x:v>9</x:v>
      </x:c>
      <x:c r="I3067" t="n">
        <x:f>G3067-H3067</x:f>
        <x:v>0</x:v>
      </x:c>
      <x:c r="J3067" s="20" t="n">
        <x:f>IFERROR(H3067/G3067,0)</x:f>
        <x:v>1</x:v>
      </x:c>
      <x:c r="K3067" t="n">
        <x:v>11746</x:v>
      </x:c>
      <x:c r="L3067" t="n">
        <x:v>11975</x:v>
      </x:c>
      <x:c r="M3067" t="n">
        <x:v>12557</x:v>
      </x:c>
      <x:c r="N3067" t="n">
        <x:v>12924</x:v>
      </x:c>
      <x:c r="O3067" t="n">
        <x:v>14000</x:v>
      </x:c>
    </x:row>
    <x:row r="3068">
      <x:c r="A3068" t="str">
        <x:v>Karnataka</x:v>
      </x:c>
      <x:c r="B3068" t="str">
        <x:v>All India except Central University</x:v>
      </x:c>
      <x:c r="C3068" t="str">
        <x:v>200181</x:v>
      </x:c>
      <x:c r="D3068" t="str">
        <x:v>Vijaynagar Institute of Medical Sciences, Bellary, Cantonment, Ballari</x:v>
      </x:c>
      <x:c r="E3068" t="str">
        <x:v>All India</x:v>
      </x:c>
      <x:c r="F3068" t="str">
        <x:v>OBC PwD</x:v>
      </x:c>
      <x:c r="G3068" t="n">
        <x:v>1</x:v>
      </x:c>
      <x:c r="H3068" t="n">
        <x:v>1</x:v>
      </x:c>
      <x:c r="I3068" t="n">
        <x:f>G3068-H3068</x:f>
        <x:v>0</x:v>
      </x:c>
      <x:c r="J3068" s="20" t="n">
        <x:f>IFERROR(H3068/G3068,0)</x:f>
        <x:v>1</x:v>
      </x:c>
      <x:c r="K3068" t="n">
        <x:v>544564</x:v>
      </x:c>
      <x:c r="L3068" t="n">
        <x:v>544564</x:v>
      </x:c>
      <x:c r="M3068" t="n">
        <x:v>544564</x:v>
      </x:c>
      <x:c r="N3068" t="n">
        <x:v>544564</x:v>
      </x:c>
      <x:c r="O3068" t="n">
        <x:v>544564</x:v>
      </x:c>
    </x:row>
    <x:row r="3069">
      <x:c r="A3069" t="str">
        <x:v>Karnataka</x:v>
      </x:c>
      <x:c r="B3069" t="str">
        <x:v>All India except Central University</x:v>
      </x:c>
      <x:c r="C3069" t="str">
        <x:v>200181</x:v>
      </x:c>
      <x:c r="D3069" t="str">
        <x:v>Vijaynagar Institute of Medical Sciences, Bellary, Cantonment, Ballari</x:v>
      </x:c>
      <x:c r="E3069" t="str">
        <x:v>All India</x:v>
      </x:c>
      <x:c r="F3069" t="str">
        <x:v>Open</x:v>
      </x:c>
      <x:c r="G3069" t="n">
        <x:v>15</x:v>
      </x:c>
      <x:c r="H3069" t="n">
        <x:v>15</x:v>
      </x:c>
      <x:c r="I3069" t="n">
        <x:f>G3069-H3069</x:f>
        <x:v>0</x:v>
      </x:c>
      <x:c r="J3069" s="20" t="n">
        <x:f>IFERROR(H3069/G3069,0)</x:f>
        <x:v>1</x:v>
      </x:c>
      <x:c r="K3069" t="n">
        <x:v>4606</x:v>
      </x:c>
      <x:c r="L3069" t="n">
        <x:v>7499</x:v>
      </x:c>
      <x:c r="M3069" t="n">
        <x:v>10397</x:v>
      </x:c>
      <x:c r="N3069" t="n">
        <x:v>10918.5</x:v>
      </x:c>
      <x:c r="O3069" t="n">
        <x:v>11615</x:v>
      </x:c>
    </x:row>
    <x:row r="3070">
      <x:c r="A3070" t="str">
        <x:v>Karnataka</x:v>
      </x:c>
      <x:c r="B3070" t="str">
        <x:v>All India except Central University</x:v>
      </x:c>
      <x:c r="C3070" t="str">
        <x:v>200181</x:v>
      </x:c>
      <x:c r="D3070" t="str">
        <x:v>Vijaynagar Institute of Medical Sciences, Bellary, Cantonment, Ballari</x:v>
      </x:c>
      <x:c r="E3070" t="str">
        <x:v>All India</x:v>
      </x:c>
      <x:c r="F3070" t="str">
        <x:v>Open PwD</x:v>
      </x:c>
      <x:c r="G3070" t="n">
        <x:v>1</x:v>
      </x:c>
      <x:c r="H3070" t="n">
        <x:v>1</x:v>
      </x:c>
      <x:c r="I3070" t="n">
        <x:f>G3070-H3070</x:f>
        <x:v>0</x:v>
      </x:c>
      <x:c r="J3070" s="20" t="n">
        <x:f>IFERROR(H3070/G3070,0)</x:f>
        <x:v>1</x:v>
      </x:c>
      <x:c r="K3070" t="n">
        <x:v>362709</x:v>
      </x:c>
      <x:c r="L3070" t="n">
        <x:v>362709</x:v>
      </x:c>
      <x:c r="M3070" t="n">
        <x:v>362709</x:v>
      </x:c>
      <x:c r="N3070" t="n">
        <x:v>362709</x:v>
      </x:c>
      <x:c r="O3070" t="n">
        <x:v>362709</x:v>
      </x:c>
    </x:row>
    <x:row r="3071">
      <x:c r="A3071" t="str">
        <x:v>Karnataka</x:v>
      </x:c>
      <x:c r="B3071" t="str">
        <x:v>All India except Central University</x:v>
      </x:c>
      <x:c r="C3071" t="str">
        <x:v>200181</x:v>
      </x:c>
      <x:c r="D3071" t="str">
        <x:v>Vijaynagar Institute of Medical Sciences, Bellary, Cantonment, Ballari</x:v>
      </x:c>
      <x:c r="E3071" t="str">
        <x:v>All India</x:v>
      </x:c>
      <x:c r="F3071" t="str">
        <x:v>SC</x:v>
      </x:c>
      <x:c r="G3071" t="n">
        <x:v>6</x:v>
      </x:c>
      <x:c r="H3071" t="n">
        <x:v>6</x:v>
      </x:c>
      <x:c r="I3071" t="n">
        <x:f>G3071-H3071</x:f>
        <x:v>0</x:v>
      </x:c>
      <x:c r="J3071" s="20" t="n">
        <x:f>IFERROR(H3071/G3071,0)</x:f>
        <x:v>1</x:v>
      </x:c>
      <x:c r="K3071" t="n">
        <x:v>46024</x:v>
      </x:c>
      <x:c r="L3071" t="n">
        <x:v>50874.25</x:v>
      </x:c>
      <x:c r="M3071" t="n">
        <x:v>55738.5</x:v>
      </x:c>
      <x:c r="N3071" t="n">
        <x:v>59178.5</x:v>
      </x:c>
      <x:c r="O3071" t="n">
        <x:v>63430</x:v>
      </x:c>
    </x:row>
    <x:row r="3072">
      <x:c r="A3072" t="str">
        <x:v>Karnataka</x:v>
      </x:c>
      <x:c r="B3072" t="str">
        <x:v>All India except Central University</x:v>
      </x:c>
      <x:c r="C3072" t="str">
        <x:v>200181</x:v>
      </x:c>
      <x:c r="D3072" t="str">
        <x:v>Vijaynagar Institute of Medical Sciences, Bellary, Cantonment, Ballari</x:v>
      </x:c>
      <x:c r="E3072" t="str">
        <x:v>All India</x:v>
      </x:c>
      <x:c r="F3072" t="str">
        <x:v>ST</x:v>
      </x:c>
      <x:c r="G3072" t="n">
        <x:v>2</x:v>
      </x:c>
      <x:c r="H3072" t="n">
        <x:v>2</x:v>
      </x:c>
      <x:c r="I3072" t="n">
        <x:f>G3072-H3072</x:f>
        <x:v>0</x:v>
      </x:c>
      <x:c r="J3072" s="20" t="n">
        <x:f>IFERROR(H3072/G3072,0)</x:f>
        <x:v>1</x:v>
      </x:c>
      <x:c r="K3072" t="n">
        <x:v>64312</x:v>
      </x:c>
      <x:c r="L3072" t="n">
        <x:v>65109.5</x:v>
      </x:c>
      <x:c r="M3072" t="n">
        <x:v>65907</x:v>
      </x:c>
      <x:c r="N3072" t="n">
        <x:v>66704.5</x:v>
      </x:c>
      <x:c r="O3072" t="n">
        <x:v>67502</x:v>
      </x:c>
    </x:row>
    <x:row r="3073">
      <x:c r="A3073" t="str">
        <x:v>Tamil Nadu</x:v>
      </x:c>
      <x:c r="B3073" t="str">
        <x:v>Deemed University</x:v>
      </x:c>
      <x:c r="C3073" t="str">
        <x:v>200401</x:v>
      </x:c>
      <x:c r="D3073" t="str">
        <x:v>Vinayaka Missions Kirupananda Variyar Medical College, Salem, Sankari Main Road, (NH-47), Seeragapadi, Salem</x:v>
      </x:c>
      <x:c r="E3073" t="str">
        <x:v>Self-Financed Merit</x:v>
      </x:c>
      <x:c r="F3073" t="str">
        <x:v>Open</x:v>
      </x:c>
      <x:c r="G3073" t="n">
        <x:v>200</x:v>
      </x:c>
      <x:c r="H3073" t="n">
        <x:v>200</x:v>
      </x:c>
      <x:c r="I3073" t="n">
        <x:f>G3073-H3073</x:f>
        <x:v>0</x:v>
      </x:c>
      <x:c r="J3073" s="20" t="n">
        <x:f>IFERROR(H3073/G3073,0)</x:f>
        <x:v>1</x:v>
      </x:c>
      <x:c r="K3073" t="n">
        <x:v>73351</x:v>
      </x:c>
      <x:c r="L3073" t="n">
        <x:v>591287.75</x:v>
      </x:c>
      <x:c r="M3073" t="n">
        <x:v>748735</x:v>
      </x:c>
      <x:c r="N3073" t="n">
        <x:v>896808</x:v>
      </x:c>
      <x:c r="O3073" t="n">
        <x:v>987550</x:v>
      </x:c>
    </x:row>
    <x:row r="3074">
      <x:c r="A3074" t="str">
        <x:v>Puducherry</x:v>
      </x:c>
      <x:c r="B3074" t="str">
        <x:v>Deemed University</x:v>
      </x:c>
      <x:c r="C3074" t="str">
        <x:v>200381</x:v>
      </x:c>
      <x:c r="D3074" t="str">
        <x:v>Vinayaka Missions Medical College, Karaikal, Pondicherry, KEEZHAKASAKUDIMEDU, KOTTUCHERRY(P.O), KARAIKAL - 609 609, U.T. OF PUDUCHERRY</x:v>
      </x:c>
      <x:c r="E3074" t="str">
        <x:v>Self-Financed Merit</x:v>
      </x:c>
      <x:c r="F3074" t="str">
        <x:v>Open</x:v>
      </x:c>
      <x:c r="G3074" t="n">
        <x:v>200</x:v>
      </x:c>
      <x:c r="H3074" t="n">
        <x:v>200</x:v>
      </x:c>
      <x:c r="I3074" t="n">
        <x:f>G3074-H3074</x:f>
        <x:v>0</x:v>
      </x:c>
      <x:c r="J3074" s="20" t="n">
        <x:f>IFERROR(H3074/G3074,0)</x:f>
        <x:v>1</x:v>
      </x:c>
      <x:c r="K3074" t="n">
        <x:v>182868</x:v>
      </x:c>
      <x:c r="L3074" t="n">
        <x:v>552291</x:v>
      </x:c>
      <x:c r="M3074" t="n">
        <x:v>665287.5</x:v>
      </x:c>
      <x:c r="N3074" t="n">
        <x:v>740583.75</x:v>
      </x:c>
      <x:c r="O3074" t="n">
        <x:v>805761</x:v>
      </x:c>
    </x:row>
    <x:row r="3075">
      <x:c r="A3075" t="str">
        <x:v>Madhya Pradesh</x:v>
      </x:c>
      <x:c r="B3075" t="str">
        <x:v>All India except Central University</x:v>
      </x:c>
      <x:c r="C3075" t="str">
        <x:v>902827</x:v>
      </x:c>
      <x:c r="D3075" t="str">
        <x:v>Virendra Kumar Sakhlecha Government Medical College, Kanawati, Mhow-Naseerabad Road, Neemuch</x:v>
      </x:c>
      <x:c r="E3075" t="str">
        <x:v>All India</x:v>
      </x:c>
      <x:c r="F3075" t="str">
        <x:v>EWS</x:v>
      </x:c>
      <x:c r="G3075" t="n">
        <x:v>2</x:v>
      </x:c>
      <x:c r="H3075" t="n">
        <x:v>2</x:v>
      </x:c>
      <x:c r="I3075" t="n">
        <x:f>G3075-H3075</x:f>
        <x:v>0</x:v>
      </x:c>
      <x:c r="J3075" s="20" t="n">
        <x:f>IFERROR(H3075/G3075,0)</x:f>
        <x:v>1</x:v>
      </x:c>
      <x:c r="K3075" t="n">
        <x:v>13733</x:v>
      </x:c>
      <x:c r="L3075" t="n">
        <x:v>14444</x:v>
      </x:c>
      <x:c r="M3075" t="n">
        <x:v>15155</x:v>
      </x:c>
      <x:c r="N3075" t="n">
        <x:v>15866</x:v>
      </x:c>
      <x:c r="O3075" t="n">
        <x:v>16577</x:v>
      </x:c>
    </x:row>
    <x:row r="3076">
      <x:c r="A3076" t="str">
        <x:v>Madhya Pradesh</x:v>
      </x:c>
      <x:c r="B3076" t="str">
        <x:v>All India except Central University</x:v>
      </x:c>
      <x:c r="C3076" t="str">
        <x:v>902827</x:v>
      </x:c>
      <x:c r="D3076" t="str">
        <x:v>Virendra Kumar Sakhlecha Government Medical College, Kanawati, Mhow-Naseerabad Road, Neemuch</x:v>
      </x:c>
      <x:c r="E3076" t="str">
        <x:v>All India</x:v>
      </x:c>
      <x:c r="F3076" t="str">
        <x:v>OBC</x:v>
      </x:c>
      <x:c r="G3076" t="n">
        <x:v>4</x:v>
      </x:c>
      <x:c r="H3076" t="n">
        <x:v>4</x:v>
      </x:c>
      <x:c r="I3076" t="n">
        <x:f>G3076-H3076</x:f>
        <x:v>0</x:v>
      </x:c>
      <x:c r="J3076" s="20" t="n">
        <x:f>IFERROR(H3076/G3076,0)</x:f>
        <x:v>1</x:v>
      </x:c>
      <x:c r="K3076" t="n">
        <x:v>13630</x:v>
      </x:c>
      <x:c r="L3076" t="n">
        <x:v>14015.5</x:v>
      </x:c>
      <x:c r="M3076" t="n">
        <x:v>14220.5</x:v>
      </x:c>
      <x:c r="N3076" t="n">
        <x:v>14308.25</x:v>
      </x:c>
      <x:c r="O3076" t="n">
        <x:v>14342</x:v>
      </x:c>
    </x:row>
    <x:row r="3077">
      <x:c r="A3077" t="str">
        <x:v>Madhya Pradesh</x:v>
      </x:c>
      <x:c r="B3077" t="str">
        <x:v>All India except Central University</x:v>
      </x:c>
      <x:c r="C3077" t="str">
        <x:v>902827</x:v>
      </x:c>
      <x:c r="D3077" t="str">
        <x:v>Virendra Kumar Sakhlecha Government Medical College, Kanawati, Mhow-Naseerabad Road, Neemuch</x:v>
      </x:c>
      <x:c r="E3077" t="str">
        <x:v>All India</x:v>
      </x:c>
      <x:c r="F3077" t="str">
        <x:v>Open</x:v>
      </x:c>
      <x:c r="G3077" t="n">
        <x:v>5</x:v>
      </x:c>
      <x:c r="H3077" t="n">
        <x:v>5</x:v>
      </x:c>
      <x:c r="I3077" t="n">
        <x:f>G3077-H3077</x:f>
        <x:v>0</x:v>
      </x:c>
      <x:c r="J3077" s="20" t="n">
        <x:f>IFERROR(H3077/G3077,0)</x:f>
        <x:v>1</x:v>
      </x:c>
      <x:c r="K3077" t="n">
        <x:v>10579</x:v>
      </x:c>
      <x:c r="L3077" t="n">
        <x:v>11120</x:v>
      </x:c>
      <x:c r="M3077" t="n">
        <x:v>11749</x:v>
      </x:c>
      <x:c r="N3077" t="n">
        <x:v>11968</x:v>
      </x:c>
      <x:c r="O3077" t="n">
        <x:v>12353</x:v>
      </x:c>
    </x:row>
    <x:row r="3078">
      <x:c r="A3078" t="str">
        <x:v>Madhya Pradesh</x:v>
      </x:c>
      <x:c r="B3078" t="str">
        <x:v>All India except Central University</x:v>
      </x:c>
      <x:c r="C3078" t="str">
        <x:v>902827</x:v>
      </x:c>
      <x:c r="D3078" t="str">
        <x:v>Virendra Kumar Sakhlecha Government Medical College, Kanawati, Mhow-Naseerabad Road, Neemuch</x:v>
      </x:c>
      <x:c r="E3078" t="str">
        <x:v>All India</x:v>
      </x:c>
      <x:c r="F3078" t="str">
        <x:v>Open PwD</x:v>
      </x:c>
      <x:c r="G3078" t="n">
        <x:v>1</x:v>
      </x:c>
      <x:c r="H3078" t="n">
        <x:v>1</x:v>
      </x:c>
      <x:c r="I3078" t="n">
        <x:f>G3078-H3078</x:f>
        <x:v>0</x:v>
      </x:c>
      <x:c r="J3078" s="20" t="n">
        <x:f>IFERROR(H3078/G3078,0)</x:f>
        <x:v>1</x:v>
      </x:c>
      <x:c r="K3078" t="n">
        <x:v>548841</x:v>
      </x:c>
      <x:c r="L3078" t="n">
        <x:v>548841</x:v>
      </x:c>
      <x:c r="M3078" t="n">
        <x:v>548841</x:v>
      </x:c>
      <x:c r="N3078" t="n">
        <x:v>548841</x:v>
      </x:c>
      <x:c r="O3078" t="n">
        <x:v>548841</x:v>
      </x:c>
    </x:row>
    <x:row r="3079">
      <x:c r="A3079" t="str">
        <x:v>Madhya Pradesh</x:v>
      </x:c>
      <x:c r="B3079" t="str">
        <x:v>All India except Central University</x:v>
      </x:c>
      <x:c r="C3079" t="str">
        <x:v>902827</x:v>
      </x:c>
      <x:c r="D3079" t="str">
        <x:v>Virendra Kumar Sakhlecha Government Medical College, Kanawati, Mhow-Naseerabad Road, Neemuch</x:v>
      </x:c>
      <x:c r="E3079" t="str">
        <x:v>All India</x:v>
      </x:c>
      <x:c r="F3079" t="str">
        <x:v>SC</x:v>
      </x:c>
      <x:c r="G3079" t="n">
        <x:v>1</x:v>
      </x:c>
      <x:c r="H3079" t="n">
        <x:v>1</x:v>
      </x:c>
      <x:c r="I3079" t="n">
        <x:f>G3079-H3079</x:f>
        <x:v>0</x:v>
      </x:c>
      <x:c r="J3079" s="20" t="n">
        <x:f>IFERROR(H3079/G3079,0)</x:f>
        <x:v>1</x:v>
      </x:c>
      <x:c r="K3079" t="n">
        <x:v>74222</x:v>
      </x:c>
      <x:c r="L3079" t="n">
        <x:v>74222</x:v>
      </x:c>
      <x:c r="M3079" t="n">
        <x:v>74222</x:v>
      </x:c>
      <x:c r="N3079" t="n">
        <x:v>74222</x:v>
      </x:c>
      <x:c r="O3079" t="n">
        <x:v>74222</x:v>
      </x:c>
    </x:row>
    <x:row r="3080">
      <x:c r="A3080" t="str">
        <x:v>Madhya Pradesh</x:v>
      </x:c>
      <x:c r="B3080" t="str">
        <x:v>All India except Central University</x:v>
      </x:c>
      <x:c r="C3080" t="str">
        <x:v>902827</x:v>
      </x:c>
      <x:c r="D3080" t="str">
        <x:v>Virendra Kumar Sakhlecha Government Medical College, Kanawati, Mhow-Naseerabad Road, Neemuch</x:v>
      </x:c>
      <x:c r="E3080" t="str">
        <x:v>All India</x:v>
      </x:c>
      <x:c r="F3080" t="str">
        <x:v>SC PwD</x:v>
      </x:c>
      <x:c r="G3080" t="n">
        <x:v>1</x:v>
      </x:c>
      <x:c r="H3080" t="n">
        <x:v>1</x:v>
      </x:c>
      <x:c r="I3080" t="n">
        <x:f>G3080-H3080</x:f>
        <x:v>0</x:v>
      </x:c>
      <x:c r="J3080" s="20" t="n">
        <x:f>IFERROR(H3080/G3080,0)</x:f>
        <x:v>1</x:v>
      </x:c>
      <x:c r="K3080" t="n">
        <x:v>1181286</x:v>
      </x:c>
      <x:c r="L3080" t="n">
        <x:v>1181286</x:v>
      </x:c>
      <x:c r="M3080" t="n">
        <x:v>1181286</x:v>
      </x:c>
      <x:c r="N3080" t="n">
        <x:v>1181286</x:v>
      </x:c>
      <x:c r="O3080" t="n">
        <x:v>1181286</x:v>
      </x:c>
    </x:row>
    <x:row r="3081">
      <x:c r="A3081" t="str">
        <x:v>Madhya Pradesh</x:v>
      </x:c>
      <x:c r="B3081" t="str">
        <x:v>All India except Central University</x:v>
      </x:c>
      <x:c r="C3081" t="str">
        <x:v>902827</x:v>
      </x:c>
      <x:c r="D3081" t="str">
        <x:v>Virendra Kumar Sakhlecha Government Medical College, Kanawati, Mhow-Naseerabad Road, Neemuch</x:v>
      </x:c>
      <x:c r="E3081" t="str">
        <x:v>All India</x:v>
      </x:c>
      <x:c r="F3081" t="str">
        <x:v>ST</x:v>
      </x:c>
      <x:c r="G3081" t="n">
        <x:v>1</x:v>
      </x:c>
      <x:c r="H3081" t="n">
        <x:v>1</x:v>
      </x:c>
      <x:c r="I3081" t="n">
        <x:f>G3081-H3081</x:f>
        <x:v>0</x:v>
      </x:c>
      <x:c r="J3081" s="20" t="n">
        <x:f>IFERROR(H3081/G3081,0)</x:f>
        <x:v>1</x:v>
      </x:c>
      <x:c r="K3081" t="n">
        <x:v>98103</x:v>
      </x:c>
      <x:c r="L3081" t="n">
        <x:v>98103</x:v>
      </x:c>
      <x:c r="M3081" t="n">
        <x:v>98103</x:v>
      </x:c>
      <x:c r="N3081" t="n">
        <x:v>98103</x:v>
      </x:c>
      <x:c r="O3081" t="n">
        <x:v>98103</x:v>
      </x:c>
    </x:row>
    <x:row r="3082">
      <x:c r="A3082" t="str">
        <x:v>Karnataka</x:v>
      </x:c>
      <x:c r="B3082" t="str">
        <x:v>All India except Central University</x:v>
      </x:c>
      <x:c r="C3082" t="str">
        <x:v>200601</x:v>
      </x:c>
      <x:c r="D3082" t="str">
        <x:v>Yadgiri Institute of Medical Sciences, Yadgiri, Chittapur Main Road, Yadgiri.</x:v>
      </x:c>
      <x:c r="E3082" t="str">
        <x:v>All India</x:v>
      </x:c>
      <x:c r="F3082" t="str">
        <x:v>EWS</x:v>
      </x:c>
      <x:c r="G3082" t="n">
        <x:v>3</x:v>
      </x:c>
      <x:c r="H3082" t="n">
        <x:v>3</x:v>
      </x:c>
      <x:c r="I3082" t="n">
        <x:f>G3082-H3082</x:f>
        <x:v>0</x:v>
      </x:c>
      <x:c r="J3082" s="20" t="n">
        <x:f>IFERROR(H3082/G3082,0)</x:f>
        <x:v>1</x:v>
      </x:c>
      <x:c r="K3082" t="n">
        <x:v>19247</x:v>
      </x:c>
      <x:c r="L3082" t="n">
        <x:v>21949</x:v>
      </x:c>
      <x:c r="M3082" t="n">
        <x:v>24651</x:v>
      </x:c>
      <x:c r="N3082" t="n">
        <x:v>24836.5</x:v>
      </x:c>
      <x:c r="O3082" t="n">
        <x:v>25022</x:v>
      </x:c>
    </x:row>
    <x:row r="3083">
      <x:c r="A3083" t="str">
        <x:v>Karnataka</x:v>
      </x:c>
      <x:c r="B3083" t="str">
        <x:v>All India except Central University</x:v>
      </x:c>
      <x:c r="C3083" t="str">
        <x:v>200601</x:v>
      </x:c>
      <x:c r="D3083" t="str">
        <x:v>Yadgiri Institute of Medical Sciences, Yadgiri, Chittapur Main Road, Yadgiri.</x:v>
      </x:c>
      <x:c r="E3083" t="str">
        <x:v>All India</x:v>
      </x:c>
      <x:c r="F3083" t="str">
        <x:v>OBC</x:v>
      </x:c>
      <x:c r="G3083" t="n">
        <x:v>6</x:v>
      </x:c>
      <x:c r="H3083" t="n">
        <x:v>6</x:v>
      </x:c>
      <x:c r="I3083" t="n">
        <x:f>G3083-H3083</x:f>
        <x:v>0</x:v>
      </x:c>
      <x:c r="J3083" s="20" t="n">
        <x:f>IFERROR(H3083/G3083,0)</x:f>
        <x:v>1</x:v>
      </x:c>
      <x:c r="K3083" t="n">
        <x:v>19735</x:v>
      </x:c>
      <x:c r="L3083" t="n">
        <x:v>19788.75</x:v>
      </x:c>
      <x:c r="M3083" t="n">
        <x:v>19926.5</x:v>
      </x:c>
      <x:c r="N3083" t="n">
        <x:v>20171.5</x:v>
      </x:c>
      <x:c r="O3083" t="n">
        <x:v>20327</x:v>
      </x:c>
    </x:row>
    <x:row r="3084">
      <x:c r="A3084" t="str">
        <x:v>Karnataka</x:v>
      </x:c>
      <x:c r="B3084" t="str">
        <x:v>All India except Central University</x:v>
      </x:c>
      <x:c r="C3084" t="str">
        <x:v>200601</x:v>
      </x:c>
      <x:c r="D3084" t="str">
        <x:v>Yadgiri Institute of Medical Sciences, Yadgiri, Chittapur Main Road, Yadgiri.</x:v>
      </x:c>
      <x:c r="E3084" t="str">
        <x:v>All India</x:v>
      </x:c>
      <x:c r="F3084" t="str">
        <x:v>Open</x:v>
      </x:c>
      <x:c r="G3084" t="n">
        <x:v>8</x:v>
      </x:c>
      <x:c r="H3084" t="n">
        <x:v>8</x:v>
      </x:c>
      <x:c r="I3084" t="n">
        <x:f>G3084-H3084</x:f>
        <x:v>0</x:v>
      </x:c>
      <x:c r="J3084" s="20" t="n">
        <x:f>IFERROR(H3084/G3084,0)</x:f>
        <x:v>1</x:v>
      </x:c>
      <x:c r="K3084" t="n">
        <x:v>15715</x:v>
      </x:c>
      <x:c r="L3084" t="n">
        <x:v>17892.25</x:v>
      </x:c>
      <x:c r="M3084" t="n">
        <x:v>18145</x:v>
      </x:c>
      <x:c r="N3084" t="n">
        <x:v>18351.75</x:v>
      </x:c>
      <x:c r="O3084" t="n">
        <x:v>18415</x:v>
      </x:c>
    </x:row>
    <x:row r="3085">
      <x:c r="A3085" t="str">
        <x:v>Karnataka</x:v>
      </x:c>
      <x:c r="B3085" t="str">
        <x:v>All India except Central University</x:v>
      </x:c>
      <x:c r="C3085" t="str">
        <x:v>200601</x:v>
      </x:c>
      <x:c r="D3085" t="str">
        <x:v>Yadgiri Institute of Medical Sciences, Yadgiri, Chittapur Main Road, Yadgiri.</x:v>
      </x:c>
      <x:c r="E3085" t="str">
        <x:v>All India</x:v>
      </x:c>
      <x:c r="F3085" t="str">
        <x:v>SC</x:v>
      </x:c>
      <x:c r="G3085" t="n">
        <x:v>3</x:v>
      </x:c>
      <x:c r="H3085" t="n">
        <x:v>3</x:v>
      </x:c>
      <x:c r="I3085" t="n">
        <x:f>G3085-H3085</x:f>
        <x:v>0</x:v>
      </x:c>
      <x:c r="J3085" s="20" t="n">
        <x:f>IFERROR(H3085/G3085,0)</x:f>
        <x:v>1</x:v>
      </x:c>
      <x:c r="K3085" t="n">
        <x:v>97624</x:v>
      </x:c>
      <x:c r="L3085" t="n">
        <x:v>97747.5</x:v>
      </x:c>
      <x:c r="M3085" t="n">
        <x:v>97871</x:v>
      </x:c>
      <x:c r="N3085" t="n">
        <x:v>97919.5</x:v>
      </x:c>
      <x:c r="O3085" t="n">
        <x:v>97968</x:v>
      </x:c>
    </x:row>
    <x:row r="3086">
      <x:c r="A3086" t="str">
        <x:v>Karnataka</x:v>
      </x:c>
      <x:c r="B3086" t="str">
        <x:v>All India except Central University</x:v>
      </x:c>
      <x:c r="C3086" t="str">
        <x:v>200601</x:v>
      </x:c>
      <x:c r="D3086" t="str">
        <x:v>Yadgiri Institute of Medical Sciences, Yadgiri, Chittapur Main Road, Yadgiri.</x:v>
      </x:c>
      <x:c r="E3086" t="str">
        <x:v>All India</x:v>
      </x:c>
      <x:c r="F3086" t="str">
        <x:v>ST</x:v>
      </x:c>
      <x:c r="G3086" t="n">
        <x:v>2</x:v>
      </x:c>
      <x:c r="H3086" t="n">
        <x:v>2</x:v>
      </x:c>
      <x:c r="I3086" t="n">
        <x:f>G3086-H3086</x:f>
        <x:v>0</x:v>
      </x:c>
      <x:c r="J3086" s="20" t="n">
        <x:f>IFERROR(H3086/G3086,0)</x:f>
        <x:v>1</x:v>
      </x:c>
      <x:c r="K3086" t="n">
        <x:v>112832</x:v>
      </x:c>
      <x:c r="L3086" t="n">
        <x:v>113028.25</x:v>
      </x:c>
      <x:c r="M3086" t="n">
        <x:v>113224.5</x:v>
      </x:c>
      <x:c r="N3086" t="n">
        <x:v>113420.75</x:v>
      </x:c>
      <x:c r="O3086" t="n">
        <x:v>113617</x:v>
      </x:c>
    </x:row>
    <x:row r="3087">
      <x:c r="A3087" t="str">
        <x:v>Karnataka</x:v>
      </x:c>
      <x:c r="B3087" t="str">
        <x:v>Deemed University</x:v>
      </x:c>
      <x:c r="C3087" t="str">
        <x:v>200351</x:v>
      </x:c>
      <x:c r="D3087" t="str">
        <x:v>Yenepoya Medical College, Mangalore, University Road Deralakatte Mangaluru</x:v>
      </x:c>
      <x:c r="E3087" t="str">
        <x:v>Muslim Minority</x:v>
      </x:c>
      <x:c r="F3087" t="str">
        <x:v>Open</x:v>
      </x:c>
      <x:c r="G3087" t="n">
        <x:v>65</x:v>
      </x:c>
      <x:c r="H3087" t="n">
        <x:v>65</x:v>
      </x:c>
      <x:c r="I3087" t="n">
        <x:f>G3087-H3087</x:f>
        <x:v>0</x:v>
      </x:c>
      <x:c r="J3087" s="20" t="n">
        <x:f>IFERROR(H3087/G3087,0)</x:f>
        <x:v>1</x:v>
      </x:c>
      <x:c r="K3087" t="n">
        <x:v>106241</x:v>
      </x:c>
      <x:c r="L3087" t="n">
        <x:v>249597</x:v>
      </x:c>
      <x:c r="M3087" t="n">
        <x:v>300986</x:v>
      </x:c>
      <x:c r="N3087" t="n">
        <x:v>360528</x:v>
      </x:c>
      <x:c r="O3087" t="n">
        <x:v>392303</x:v>
      </x:c>
    </x:row>
    <x:row r="3088">
      <x:c r="A3088" t="str">
        <x:v>Karnataka</x:v>
      </x:c>
      <x:c r="B3088" t="str">
        <x:v>Deemed University</x:v>
      </x:c>
      <x:c r="C3088" t="str">
        <x:v>200351</x:v>
      </x:c>
      <x:c r="D3088" t="str">
        <x:v>Yenepoya Medical College, Mangalore, University Road Deralakatte Mangaluru</x:v>
      </x:c>
      <x:c r="E3088" t="str">
        <x:v>NRI</x:v>
      </x:c>
      <x:c r="F3088" t="str">
        <x:v>Open</x:v>
      </x:c>
      <x:c r="G3088" t="n">
        <x:v>38</x:v>
      </x:c>
      <x:c r="H3088" t="n">
        <x:v>4</x:v>
      </x:c>
      <x:c r="I3088" t="n">
        <x:f>G3088-H3088</x:f>
        <x:v>34</x:v>
      </x:c>
      <x:c r="J3088" s="20" t="n">
        <x:f>IFERROR(H3088/G3088,0)</x:f>
        <x:v>0.10526315789473684</x:v>
      </x:c>
      <x:c r="K3088" t="n">
        <x:v>510110</x:v>
      </x:c>
      <x:c r="L3088" t="n">
        <x:v>635309.75</x:v>
      </x:c>
      <x:c r="M3088" t="n">
        <x:v>749874</x:v>
      </x:c>
      <x:c r="N3088" t="n">
        <x:v>848031.25</x:v>
      </x:c>
      <x:c r="O3088" t="n">
        <x:v>924010</x:v>
      </x:c>
    </x:row>
    <x:row r="3089">
      <x:c r="A3089" t="str">
        <x:v>Karnataka</x:v>
      </x:c>
      <x:c r="B3089" t="str">
        <x:v>Deemed University</x:v>
      </x:c>
      <x:c r="C3089" t="str">
        <x:v>200351</x:v>
      </x:c>
      <x:c r="D3089" t="str">
        <x:v>Yenepoya Medical College, Mangalore, University Road Deralakatte Mangaluru</x:v>
      </x:c>
      <x:c r="E3089" t="str">
        <x:v>Self-Financed Merit</x:v>
      </x:c>
      <x:c r="F3089" t="str">
        <x:v>Open</x:v>
      </x:c>
      <x:c r="G3089" t="n">
        <x:v>110</x:v>
      </x:c>
      <x:c r="H3089" t="n">
        <x:v>110</x:v>
      </x:c>
      <x:c r="I3089" t="n">
        <x:f>G3089-H3089</x:f>
        <x:v>0</x:v>
      </x:c>
      <x:c r="J3089" s="20" t="n">
        <x:f>IFERROR(H3089/G3089,0)</x:f>
        <x:v>1</x:v>
      </x:c>
      <x:c r="K3089" t="n">
        <x:v>103463</x:v>
      </x:c>
      <x:c r="L3089" t="n">
        <x:v>265893.75</x:v>
      </x:c>
      <x:c r="M3089" t="n">
        <x:v>303170.5</x:v>
      </x:c>
      <x:c r="N3089" t="n">
        <x:v>342087.5</x:v>
      </x:c>
      <x:c r="O3089" t="n">
        <x:v>375767</x:v>
      </x:c>
    </x:row>
    <x:row r="3090">
      <x:c r="A3090" t="str">
        <x:v>Mizoram</x:v>
      </x:c>
      <x:c r="B3090" t="str">
        <x:v>All India except Central University</x:v>
      </x:c>
      <x:c r="C3090" t="str">
        <x:v>200427</x:v>
      </x:c>
      <x:c r="D3090" t="str">
        <x:v>Zoram Medical College, Mizoram, Academic Block, Zoram Medical College and Hospital, Falkawn, Aizawl District, Mizoram - 796005</x:v>
      </x:c>
      <x:c r="E3090" t="str">
        <x:v>All India</x:v>
      </x:c>
      <x:c r="F3090" t="str">
        <x:v>EWS</x:v>
      </x:c>
      <x:c r="G3090" t="n">
        <x:v>1</x:v>
      </x:c>
      <x:c r="H3090" t="n">
        <x:v>1</x:v>
      </x:c>
      <x:c r="I3090" t="n">
        <x:f>G3090-H3090</x:f>
        <x:v>0</x:v>
      </x:c>
      <x:c r="J3090" s="20" t="n">
        <x:f>IFERROR(H3090/G3090,0)</x:f>
        <x:v>1</x:v>
      </x:c>
      <x:c r="K3090" t="n">
        <x:v>21368</x:v>
      </x:c>
      <x:c r="L3090" t="n">
        <x:v>21368</x:v>
      </x:c>
      <x:c r="M3090" t="n">
        <x:v>21368</x:v>
      </x:c>
      <x:c r="N3090" t="n">
        <x:v>21368</x:v>
      </x:c>
      <x:c r="O3090" t="n">
        <x:v>21368</x:v>
      </x:c>
    </x:row>
    <x:row r="3091">
      <x:c r="A3091" t="str">
        <x:v>Mizoram</x:v>
      </x:c>
      <x:c r="B3091" t="str">
        <x:v>All India except Central University</x:v>
      </x:c>
      <x:c r="C3091" t="str">
        <x:v>200427</x:v>
      </x:c>
      <x:c r="D3091" t="str">
        <x:v>Zoram Medical College, Mizoram, Academic Block, Zoram Medical College and Hospital, Falkawn, Aizawl District, Mizoram - 796005</x:v>
      </x:c>
      <x:c r="E3091" t="str">
        <x:v>All India</x:v>
      </x:c>
      <x:c r="F3091" t="str">
        <x:v>OBC</x:v>
      </x:c>
      <x:c r="G3091" t="n">
        <x:v>4</x:v>
      </x:c>
      <x:c r="H3091" t="n">
        <x:v>4</x:v>
      </x:c>
      <x:c r="I3091" t="n">
        <x:f>G3091-H3091</x:f>
        <x:v>0</x:v>
      </x:c>
      <x:c r="J3091" s="20" t="n">
        <x:f>IFERROR(H3091/G3091,0)</x:f>
        <x:v>1</x:v>
      </x:c>
      <x:c r="K3091" t="n">
        <x:v>21711</x:v>
      </x:c>
      <x:c r="L3091" t="n">
        <x:v>21813</x:v>
      </x:c>
      <x:c r="M3091" t="n">
        <x:v>21991.5</x:v>
      </x:c>
      <x:c r="N3091" t="n">
        <x:v>22331.75</x:v>
      </x:c>
      <x:c r="O3091" t="n">
        <x:v>22919</x:v>
      </x:c>
    </x:row>
    <x:row r="3092">
      <x:c r="A3092" t="str">
        <x:v>Mizoram</x:v>
      </x:c>
      <x:c r="B3092" t="str">
        <x:v>All India except Central University</x:v>
      </x:c>
      <x:c r="C3092" t="str">
        <x:v>200427</x:v>
      </x:c>
      <x:c r="D3092" t="str">
        <x:v>Zoram Medical College, Mizoram, Academic Block, Zoram Medical College and Hospital, Falkawn, Aizawl District, Mizoram - 796005</x:v>
      </x:c>
      <x:c r="E3092" t="str">
        <x:v>All India</x:v>
      </x:c>
      <x:c r="F3092" t="str">
        <x:v>Open</x:v>
      </x:c>
      <x:c r="G3092" t="n">
        <x:v>7</x:v>
      </x:c>
      <x:c r="H3092" t="n">
        <x:v>7</x:v>
      </x:c>
      <x:c r="I3092" t="n">
        <x:f>G3092-H3092</x:f>
        <x:v>0</x:v>
      </x:c>
      <x:c r="J3092" s="20" t="n">
        <x:f>IFERROR(H3092/G3092,0)</x:f>
        <x:v>1</x:v>
      </x:c>
      <x:c r="K3092" t="n">
        <x:v>19749</x:v>
      </x:c>
      <x:c r="L3092" t="n">
        <x:v>20469</x:v>
      </x:c>
      <x:c r="M3092" t="n">
        <x:v>20974</x:v>
      </x:c>
      <x:c r="N3092" t="n">
        <x:v>21136.5</x:v>
      </x:c>
      <x:c r="O3092" t="n">
        <x:v>21266</x:v>
      </x:c>
    </x:row>
    <x:row r="3093">
      <x:c r="A3093" t="str">
        <x:v>Mizoram</x:v>
      </x:c>
      <x:c r="B3093" t="str">
        <x:v>All India except Central University</x:v>
      </x:c>
      <x:c r="C3093" t="str">
        <x:v>200427</x:v>
      </x:c>
      <x:c r="D3093" t="str">
        <x:v>Zoram Medical College, Mizoram, Academic Block, Zoram Medical College and Hospital, Falkawn, Aizawl District, Mizoram - 796005</x:v>
      </x:c>
      <x:c r="E3093" t="str">
        <x:v>All India</x:v>
      </x:c>
      <x:c r="F3093" t="str">
        <x:v>SC</x:v>
      </x:c>
      <x:c r="G3093" t="n">
        <x:v>2</x:v>
      </x:c>
      <x:c r="H3093" t="n">
        <x:v>2</x:v>
      </x:c>
      <x:c r="I3093" t="n">
        <x:f>G3093-H3093</x:f>
        <x:v>0</x:v>
      </x:c>
      <x:c r="J3093" s="20" t="n">
        <x:f>IFERROR(H3093/G3093,0)</x:f>
        <x:v>1</x:v>
      </x:c>
      <x:c r="K3093" t="n">
        <x:v>101352</x:v>
      </x:c>
      <x:c r="L3093" t="n">
        <x:v>101971.25</x:v>
      </x:c>
      <x:c r="M3093" t="n">
        <x:v>102590.5</x:v>
      </x:c>
      <x:c r="N3093" t="n">
        <x:v>103209.75</x:v>
      </x:c>
      <x:c r="O3093" t="n">
        <x:v>103829</x:v>
      </x:c>
    </x:row>
    <x:row r="3094">
      <x:c r="A3094" t="str">
        <x:v>Mizoram</x:v>
      </x:c>
      <x:c r="B3094" t="str">
        <x:v>All India except Central University</x:v>
      </x:c>
      <x:c r="C3094" t="str">
        <x:v>200427</x:v>
      </x:c>
      <x:c r="D3094" t="str">
        <x:v>Zoram Medical College, Mizoram, Academic Block, Zoram Medical College and Hospital, Falkawn, Aizawl District, Mizoram - 796005</x:v>
      </x:c>
      <x:c r="E3094" t="str">
        <x:v>All India</x:v>
      </x:c>
      <x:c r="F3094" t="str">
        <x:v>ST</x:v>
      </x:c>
      <x:c r="G3094" t="n">
        <x:v>1</x:v>
      </x:c>
      <x:c r="H3094" t="n">
        <x:v>1</x:v>
      </x:c>
      <x:c r="I3094" t="n">
        <x:f>G3094-H3094</x:f>
        <x:v>0</x:v>
      </x:c>
      <x:c r="J3094" s="20" t="n">
        <x:f>IFERROR(H3094/G3094,0)</x:f>
        <x:v>1</x:v>
      </x:c>
      <x:c r="K3094" t="n">
        <x:v>108403</x:v>
      </x:c>
      <x:c r="L3094" t="n">
        <x:v>108403</x:v>
      </x:c>
      <x:c r="M3094" t="n">
        <x:v>108403</x:v>
      </x:c>
      <x:c r="N3094" t="n">
        <x:v>108403</x:v>
      </x:c>
      <x:c r="O3094" t="n">
        <x:v>108403</x:v>
      </x:c>
    </x:row>
  </x:sheetData>
  <x:conditionalFormatting sqref="I2:I309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{2BB52618-4E76-5D74-59A8-D89C9769F87D}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e017c6f5de2438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BB52618-4E76-5D74-59A8-D89C9769F87D}">
            <x14:dataBar gradient="1">
              <x14:cfvo type="min"/>
              <x14:cfvo type="max"/>
              <x14:fillColor rgb="FFA02B93"/>
            </x14:dataBar>
          </x14:cfRule>
          <xm:sqref>I2:I3094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How to interpret this Round-2 planning workbook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  <x:c r="AA1" s="23"/>
      <x:c r="AB1" s="23"/>
      <x:c r="AC1" s="23"/>
      <x:c r="AD1" s="23"/>
      <x:c r="AE1" s="23"/>
      <x:c r="AF1" s="23"/>
      <x:c r="AG1" s="23"/>
      <x:c r="AH1" s="23"/>
      <x:c r="AI1" s="23"/>
      <x:c r="AJ1" s="23"/>
      <x:c r="AK1" s="23"/>
      <x:c r="AL1" s="23"/>
      <x:c r="AM1" s="23"/>
    </x:row>
    <x:row r="3">
      <x:c r="A3" s="14" t="str">
        <x:v>Source layer</x:v>
      </x:c>
      <x:c r="B3" s="14" t="str">
        <x:v>Use</x:v>
      </x:c>
    </x:row>
    <x:row r="4">
      <x:c r="A4" t="str">
        <x:v>NMC 2026 seat matrix</x:v>
      </x:c>
      <x:c r="B4" t="str">
        <x:v>Approved MBBS intake for 823 colleges excluding INIs. Used as the overall non-INI capacity denominator.</x:v>
      </x:c>
    </x:row>
    <x:row r="5">
      <x:c r="A5" t="str">
        <x:v>MCC Round-1 seat matrix</x:v>
      </x:c>
      <x:c r="B5" t="str">
        <x:v>Actual MBBS seats offered by MCC in Round 1 at institute × quota × category level. This replaces a blanket 15% estimate for the central pool.</x:v>
      </x:c>
    </x:row>
    <x:row r="6">
      <x:c r="A6" t="str">
        <x:v>MCC Round-1 allotment result</x:v>
      </x:c>
      <x:c r="B6" t="str">
        <x:v>Actual Round-1 MBBS allotments and AIR distributions.</x:v>
      </x:c>
    </x:row>
    <x:row r="7">
      <x:c r="A7" t="str">
        <x:v>Net R1 Difference</x:v>
      </x:c>
      <x:c r="B7" t="str">
        <x:v>MCC Round-1 seats offered minus Round-1 allotments. It is an observed reconciliation gap, not a confirmed Round-2 vacancy list.</x:v>
      </x:c>
    </x:row>
    <x:row r="8">
      <x:c r="A8" t="str">
        <x:v>Approx Seats Outside MCC Matrix</x:v>
      </x:c>
      <x:c r="B8" t="str">
        <x:v>For colleges with a high-confidence NMC match: NMC total intake minus MCC Round-1 offered seats. It approximates the non-MCC pool; it may include state quota and other non-MCC pathways.</x:v>
      </x:c>
    </x:row>
    <x:row r="9">
      <x:c r="A9" t="str">
        <x:v>Regular Central</x:v>
      </x:c>
      <x:c r="B9" t="str">
        <x:v>All India, Open Seat Quota, Delhi University, IP University, ESI, AMU, Puducherry internal, Delhi CW and Foreign Country pathways. Detailed rows should be used for candidate-specific interpretation.</x:v>
      </x:c>
    </x:row>
    <x:row r="10">
      <x:c r="A10" t="str">
        <x:v>Private/Special</x:v>
      </x:c>
      <x:c r="B10" t="str">
        <x:v>Self-financed, NRI, NRI-AMU, Muslim Minority and Jain Minority pathways. These should not be mixed with ordinary government/AIQ opportunity.</x:v>
      </x:c>
    </x:row>
    <x:row r="11">
      <x:c r="A11" t="str">
        <x:v>AIR statistics</x:v>
      </x:c>
      <x:c r="B11" t="str">
        <x:v>Q1, median, Q3 and observed best/highest AIR are descriptive Round-1 allotment profiles, not official closing-rank predictions.</x:v>
      </x:c>
    </x:row>
    <x:row r="12">
      <x:c r="A12" t="str">
        <x:v>Round-2 update</x:v>
      </x:c>
      <x:c r="B12" t="str">
        <x:v>When official vacancy/virtual vacancy/newly added seat matrices are released, update the actual vacancy layer and retain these Round-1 profiles as the baseline.</x:v>
      </x:c>
    </x:row>
    <x:row r="15">
      <x:c r="A15" s="31" t="str">
        <x:v>State-student layer</x:v>
      </x:c>
      <x:c r="B15" s="31" t="str">
        <x:v>Interpretation</x:v>
      </x:c>
    </x:row>
    <x:row r="16">
      <x:c r="A16" t="str">
        <x:v>Government colleges</x:v>
      </x:c>
      <x:c r="B16" t="str">
        <x:v>Approximate state pool = NMC total intake − actual MCC Round-1 offered seats. This is a planning denominator until the official state seat matrix is available.</x:v>
      </x:c>
    </x:row>
    <x:row r="17">
      <x:c r="A17" t="str">
        <x:v>Private colleges</x:v>
      </x:c>
      <x:c r="B17" t="str">
        <x:v>Non-MCC seats may be distributed across state/government quota, management, minority and NRI pathways. Do not treat the full non-MCC balance as ordinary state quota.</x:v>
      </x:c>
    </x:row>
    <x:row r="18">
      <x:c r="A18" t="str">
        <x:v>State AIR prediction</x:v>
      </x:c>
      <x:c r="B18" t="str">
        <x:v>Not calculated from MCC AIRs. State Round-1 allotment/cutoff data must be added state-by-state before giving rank-specific probability.</x:v>
      </x:c>
    </x:row>
    <x:row r="19">
      <x:c r="A19" t="str">
        <x:v>2026 seat increases</x:v>
      </x:c>
      <x:c r="B19" t="str">
        <x:v>Used as an opportunity signal because increased capacity may change counselling depth compared with prior years.</x:v>
      </x:c>
    </x:row>
    <x:row r="20">
      <x:c r="A20" t="str">
        <x:v>Website use</x:v>
      </x:c>
      <x:c r="B20" t="str">
        <x:v>Ask domicile/state first, then show state colleges, approximate state-relevant seat pool, capacity expansion and—once available—actual state Round-1 category ranks and Round-2 vacancies.</x:v>
      </x:c>
    </x:row>
    <x:row r="21">
      <x:c r="A21" t="str">
        <x:v>Update path</x:v>
      </x:c>
      <x:c r="B21" t="str">
        <x:v>Official state Round-2 seat/vacancy matrices replace estimated availability without changing the NMC capacity layer.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8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26" hidden="0" customWidth="1"/>
    <x:col min="14" max="14" width="26" hidden="0" customWidth="1"/>
    <x:col min="15" max="15" width="26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2" hidden="0" customWidth="1"/>
  </x:cols>
  <x:sheetData>
    <x:row r="1">
      <x:c r="A1" s="32" t="str">
        <x:v>State</x:v>
      </x:c>
      <x:c r="B1" s="23" t="str">
        <x:v>NMC College Code</x:v>
      </x:c>
      <x:c r="C1" s="23" t="str">
        <x:v>College</x:v>
      </x:c>
      <x:c r="D1" s="23" t="str">
        <x:v>Management</x:v>
      </x:c>
      <x:c r="E1" s="23" t="str">
        <x:v>Seats Renewed</x:v>
      </x:c>
      <x:c r="F1" s="23" t="str">
        <x:v>Seats Increased 2026</x:v>
      </x:c>
      <x:c r="G1" s="23" t="str">
        <x:v>Total MBBS Seats 2026</x:v>
      </x:c>
      <x:c r="H1" s="23" t="str">
        <x:v>MCC Code</x:v>
      </x:c>
      <x:c r="I1" s="23" t="str">
        <x:v>MCC R1 Seats Offered</x:v>
      </x:c>
      <x:c r="J1" s="23" t="str">
        <x:v>MCC R1 Seats Allotted</x:v>
      </x:c>
      <x:c r="K1" s="23" t="str">
        <x:v>Approx Non-MCC / State-Relevant Pool</x:v>
      </x:c>
      <x:c r="L1" s="23" t="str">
        <x:v>Approx Non-MCC Share</x:v>
      </x:c>
      <x:c r="M1" s="23" t="str">
        <x:v>State Counselling Relevance</x:v>
      </x:c>
      <x:c r="N1" s="23" t="str">
        <x:v>Pool Interpretation</x:v>
      </x:c>
      <x:c r="O1" s="23" t="str">
        <x:v>State Opportunity Signal</x:v>
      </x:c>
      <x:c r="P1" s="23" t="str">
        <x:v>MCC R1 Open Median AIR*</x:v>
      </x:c>
      <x:c r="Q1" s="23" t="str">
        <x:v>MCC R1 OBC Median AIR*</x:v>
      </x:c>
      <x:c r="R1" s="23" t="str">
        <x:v>MCC R1 EWS Median AIR*</x:v>
      </x:c>
      <x:c r="S1" s="23" t="str">
        <x:v>MCC R1 SC Median AIR*</x:v>
      </x:c>
      <x:c r="T1" s="23" t="str">
        <x:v>MCC R1 ST Median AIR*</x:v>
      </x:c>
      <x:c r="U1" s="23" t="str">
        <x:v>State R1 Rank Data</x:v>
      </x:c>
    </x:row>
    <x:row r="2">
      <x:c r="A2" t="str">
        <x:v>Andaman &amp; Nicobar</x:v>
      </x:c>
      <x:c r="B2" t="str">
        <x:v>AN/001/G/1</x:v>
      </x:c>
      <x:c r="C2" t="str">
        <x:v>Andaman &amp; Nicobar Islands Institute of Medical Sciences, Port Blair</x:v>
      </x:c>
      <x:c r="D2" t="str">
        <x:v>Government</x:v>
      </x:c>
      <x:c r="E2" t="n">
        <x:v>114</x:v>
      </x:c>
      <x:c r="F2" t="n">
        <x:v>0</x:v>
      </x:c>
      <x:c r="G2" t="n">
        <x:v>114</x:v>
      </x:c>
      <x:c r="H2" t="str">
        <x:v>200101</x:v>
      </x:c>
      <x:c r="I2" t="n">
        <x:v>17</x:v>
      </x:c>
      <x:c r="J2" t="n">
        <x:v>17</x:v>
      </x:c>
      <x:c r="K2" t="n">
        <x:v>97</x:v>
      </x:c>
      <x:c r="L2" s="20" t="n">
        <x:v>0.8508771929824561</x:v>
      </x:c>
      <x:c r="M2" t="str">
        <x:v>High</x:v>
      </x:c>
      <x:c r="N2" t="str">
        <x:v>Approx. State/Non-MCC Pool</x:v>
      </x:c>
      <x:c r="O2" t="str">
        <x:v>Moderate state-counselling pool</x:v>
      </x:c>
      <x:c r="P2" t="n">
        <x:v>14652</x:v>
      </x:c>
      <x:c r="Q2" t="n">
        <x:v>19368</x:v>
      </x:c>
      <x:c r="R2" t="n">
        <x:v>21526</x:v>
      </x:c>
      <x:c r="S2" t="n">
        <x:v>58318</x:v>
      </x:c>
      <x:c r="T2" t="n">
        <x:v>116475</x:v>
      </x:c>
      <x:c r="U2" t="str">
        <x:v>Pending state Round-1 allotment/cutoff data</x:v>
      </x:c>
    </x:row>
    <x:row r="3">
      <x:c r="A3" t="str">
        <x:v>Andhra Pradesh</x:v>
      </x:c>
      <x:c r="B3" t="str">
        <x:v>AP/003/G/1</x:v>
      </x:c>
      <x:c r="C3" t="str">
        <x:v>Andhra Medical College, Visakhapatnam</x:v>
      </x:c>
      <x:c r="D3" t="str">
        <x:v>Government</x:v>
      </x:c>
      <x:c r="E3" t="n">
        <x:v>250</x:v>
      </x:c>
      <x:c r="F3" t="n">
        <x:v>0</x:v>
      </x:c>
      <x:c r="G3" t="n">
        <x:v>250</x:v>
      </x:c>
      <x:c r="H3" t="str">
        <x:v>200421</x:v>
      </x:c>
      <x:c r="I3" t="n">
        <x:v>37</x:v>
      </x:c>
      <x:c r="J3" t="n">
        <x:v>37</x:v>
      </x:c>
      <x:c r="K3" t="n">
        <x:v>213</x:v>
      </x:c>
      <x:c r="L3" s="20" t="n">
        <x:v>0.852</x:v>
      </x:c>
      <x:c r="M3" t="str">
        <x:v>High</x:v>
      </x:c>
      <x:c r="N3" t="str">
        <x:v>Approx. State/Non-MCC Pool</x:v>
      </x:c>
      <x:c r="O3" t="str">
        <x:v>Large state-counselling pool</x:v>
      </x:c>
      <x:c r="P3" t="n">
        <x:v>4274</x:v>
      </x:c>
      <x:c r="Q3" t="n">
        <x:v>4696</x:v>
      </x:c>
      <x:c r="R3" t="n">
        <x:v>5569</x:v>
      </x:c>
      <x:c r="S3" t="n">
        <x:v>29637</x:v>
      </x:c>
      <x:c r="T3" t="n">
        <x:v>45012</x:v>
      </x:c>
      <x:c r="U3" t="str">
        <x:v>Pending state Round-1 allotment/cutoff data</x:v>
      </x:c>
    </x:row>
    <x:row r="4">
      <x:c r="A4" t="str">
        <x:v>Andhra Pradesh</x:v>
      </x:c>
      <x:c r="B4" t="str">
        <x:v>AP/030/G/1</x:v>
      </x:c>
      <x:c r="C4" t="str">
        <x:v>Government Medical College, Kadapa ( previously Rajiv Gandhi Institute of Medical Sciences, Kadapa)</x:v>
      </x:c>
      <x:c r="D4" t="str">
        <x:v>Government</x:v>
      </x:c>
      <x:c r="E4" t="n">
        <x:v>175</x:v>
      </x:c>
      <x:c r="F4" t="n">
        <x:v>75</x:v>
      </x:c>
      <x:c r="G4" t="n">
        <x:v>250</x:v>
      </x:c>
      <x:c r="H4" t="str">
        <x:v>200441</x:v>
      </x:c>
      <x:c r="I4" t="n">
        <x:v>37</x:v>
      </x:c>
      <x:c r="J4" t="n">
        <x:v>37</x:v>
      </x:c>
      <x:c r="K4" t="n">
        <x:v>213</x:v>
      </x:c>
      <x:c r="L4" s="20" t="n">
        <x:v>0.852</x:v>
      </x:c>
      <x:c r="M4" t="str">
        <x:v>High</x:v>
      </x:c>
      <x:c r="N4" t="str">
        <x:v>Approx. State/Non-MCC Pool</x:v>
      </x:c>
      <x:c r="O4" t="str">
        <x:v>Expanded 2026 capacity + substantial state pool</x:v>
      </x:c>
      <x:c r="P4" t="n">
        <x:v>15398</x:v>
      </x:c>
      <x:c r="Q4" t="n">
        <x:v>17301</x:v>
      </x:c>
      <x:c r="R4" t="n">
        <x:v>21861</x:v>
      </x:c>
      <x:c r="S4" t="n">
        <x:v>79175</x:v>
      </x:c>
      <x:c r="T4" t="n">
        <x:v>102962</x:v>
      </x:c>
      <x:c r="U4" t="str">
        <x:v>Pending state Round-1 allotment/cutoff data</x:v>
      </x:c>
    </x:row>
    <x:row r="5">
      <x:c r="A5" t="str">
        <x:v>Andhra Pradesh</x:v>
      </x:c>
      <x:c r="B5" t="str">
        <x:v>AP/017/G/1</x:v>
      </x:c>
      <x:c r="C5" t="str">
        <x:v>Government Siddhartha Medical College, Vijaywada</x:v>
      </x:c>
      <x:c r="D5" t="str">
        <x:v>Government</x:v>
      </x:c>
      <x:c r="E5" t="n">
        <x:v>175</x:v>
      </x:c>
      <x:c r="F5" t="n">
        <x:v>75</x:v>
      </x:c>
      <x:c r="G5" t="n">
        <x:v>250</x:v>
      </x:c>
      <x:c r="H5" t="str">
        <x:v>200442</x:v>
      </x:c>
      <x:c r="I5" t="n">
        <x:v>37</x:v>
      </x:c>
      <x:c r="J5" t="n">
        <x:v>37</x:v>
      </x:c>
      <x:c r="K5" t="n">
        <x:v>213</x:v>
      </x:c>
      <x:c r="L5" s="20" t="n">
        <x:v>0.852</x:v>
      </x:c>
      <x:c r="M5" t="str">
        <x:v>High</x:v>
      </x:c>
      <x:c r="N5" t="str">
        <x:v>Approx. State/Non-MCC Pool</x:v>
      </x:c>
      <x:c r="O5" t="str">
        <x:v>Expanded 2026 capacity + substantial state pool</x:v>
      </x:c>
      <x:c r="P5" t="n">
        <x:v>8668</x:v>
      </x:c>
      <x:c r="Q5" t="n">
        <x:v>12587</x:v>
      </x:c>
      <x:c r="R5" t="n">
        <x:v>13174</x:v>
      </x:c>
      <x:c r="S5" t="n">
        <x:v>47251</x:v>
      </x:c>
      <x:c r="T5" t="n">
        <x:v>94892</x:v>
      </x:c>
      <x:c r="U5" t="str">
        <x:v>Pending state Round-1 allotment/cutoff data</x:v>
      </x:c>
    </x:row>
    <x:row r="6">
      <x:c r="A6" t="str">
        <x:v>Andhra Pradesh</x:v>
      </x:c>
      <x:c r="B6" t="str">
        <x:v>AP/020/G/1</x:v>
      </x:c>
      <x:c r="C6" t="str">
        <x:v>Guntur Medical College, Guntur</x:v>
      </x:c>
      <x:c r="D6" t="str">
        <x:v>Government</x:v>
      </x:c>
      <x:c r="E6" t="n">
        <x:v>250</x:v>
      </x:c>
      <x:c r="F6" t="n">
        <x:v>0</x:v>
      </x:c>
      <x:c r="G6" t="n">
        <x:v>250</x:v>
      </x:c>
      <x:c r="H6" t="str">
        <x:v>200423</x:v>
      </x:c>
      <x:c r="I6" t="n">
        <x:v>37</x:v>
      </x:c>
      <x:c r="J6" t="n">
        <x:v>37</x:v>
      </x:c>
      <x:c r="K6" t="n">
        <x:v>213</x:v>
      </x:c>
      <x:c r="L6" s="20" t="n">
        <x:v>0.852</x:v>
      </x:c>
      <x:c r="M6" t="str">
        <x:v>High</x:v>
      </x:c>
      <x:c r="N6" t="str">
        <x:v>Approx. State/Non-MCC Pool</x:v>
      </x:c>
      <x:c r="O6" t="str">
        <x:v>Large state-counselling pool</x:v>
      </x:c>
      <x:c r="P6" t="n">
        <x:v>5190</x:v>
      </x:c>
      <x:c r="Q6" t="n">
        <x:v>7425</x:v>
      </x:c>
      <x:c r="R6" t="n">
        <x:v>7558</x:v>
      </x:c>
      <x:c r="S6" t="n">
        <x:v>31786</x:v>
      </x:c>
      <x:c r="T6" t="n">
        <x:v>57806</x:v>
      </x:c>
      <x:c r="U6" t="str">
        <x:v>Pending state Round-1 allotment/cutoff data</x:v>
      </x:c>
    </x:row>
    <x:row r="7">
      <x:c r="A7" t="str">
        <x:v>Andhra Pradesh</x:v>
      </x:c>
      <x:c r="B7" t="str">
        <x:v>AP/023/G/1</x:v>
      </x:c>
      <x:c r="C7" t="str">
        <x:v>Kurnool Medical College, Kurnool</x:v>
      </x:c>
      <x:c r="D7" t="str">
        <x:v>Government</x:v>
      </x:c>
      <x:c r="E7" t="n">
        <x:v>250</x:v>
      </x:c>
      <x:c r="F7" t="n">
        <x:v>0</x:v>
      </x:c>
      <x:c r="G7" t="n">
        <x:v>250</x:v>
      </x:c>
      <x:c r="H7" t="str">
        <x:v>200424</x:v>
      </x:c>
      <x:c r="I7" t="n">
        <x:v>37</x:v>
      </x:c>
      <x:c r="J7" t="n">
        <x:v>37</x:v>
      </x:c>
      <x:c r="K7" t="n">
        <x:v>213</x:v>
      </x:c>
      <x:c r="L7" s="20" t="n">
        <x:v>0.852</x:v>
      </x:c>
      <x:c r="M7" t="str">
        <x:v>High</x:v>
      </x:c>
      <x:c r="N7" t="str">
        <x:v>Approx. State/Non-MCC Pool</x:v>
      </x:c>
      <x:c r="O7" t="str">
        <x:v>Large state-counselling pool</x:v>
      </x:c>
      <x:c r="P7" t="n">
        <x:v>6730</x:v>
      </x:c>
      <x:c r="Q7" t="n">
        <x:v>9561</x:v>
      </x:c>
      <x:c r="R7" t="n">
        <x:v>12582</x:v>
      </x:c>
      <x:c r="S7" t="n">
        <x:v>40758</x:v>
      </x:c>
      <x:c r="T7" t="n">
        <x:v>46474</x:v>
      </x:c>
      <x:c r="U7" t="str">
        <x:v>Pending state Round-1 allotment/cutoff data</x:v>
      </x:c>
    </x:row>
    <x:row r="8">
      <x:c r="A8" t="str">
        <x:v>Andhra Pradesh</x:v>
      </x:c>
      <x:c r="B8" t="str">
        <x:v>AP/033/G/1</x:v>
      </x:c>
      <x:c r="C8" t="str">
        <x:v>Rangaraya Medical College, Kakinada</x:v>
      </x:c>
      <x:c r="D8" t="str">
        <x:v>Government</x:v>
      </x:c>
      <x:c r="E8" t="n">
        <x:v>250</x:v>
      </x:c>
      <x:c r="F8" t="n">
        <x:v>0</x:v>
      </x:c>
      <x:c r="G8" t="n">
        <x:v>250</x:v>
      </x:c>
      <x:c r="H8" t="str">
        <x:v>200420</x:v>
      </x:c>
      <x:c r="I8" t="n">
        <x:v>37</x:v>
      </x:c>
      <x:c r="J8" t="n">
        <x:v>37</x:v>
      </x:c>
      <x:c r="K8" t="n">
        <x:v>213</x:v>
      </x:c>
      <x:c r="L8" s="20" t="n">
        <x:v>0.852</x:v>
      </x:c>
      <x:c r="M8" t="str">
        <x:v>High</x:v>
      </x:c>
      <x:c r="N8" t="str">
        <x:v>Approx. State/Non-MCC Pool</x:v>
      </x:c>
      <x:c r="O8" t="str">
        <x:v>Large state-counselling pool</x:v>
      </x:c>
      <x:c r="P8" t="n">
        <x:v>7002</x:v>
      </x:c>
      <x:c r="Q8" t="n">
        <x:v>9847</x:v>
      </x:c>
      <x:c r="R8" t="n">
        <x:v>14525</x:v>
      </x:c>
      <x:c r="S8" t="n">
        <x:v>41776</x:v>
      </x:c>
      <x:c r="T8" t="n">
        <x:v>70490</x:v>
      </x:c>
      <x:c r="U8" t="str">
        <x:v>Pending state Round-1 allotment/cutoff data</x:v>
      </x:c>
    </x:row>
    <x:row r="9">
      <x:c r="A9" t="str">
        <x:v>Andhra Pradesh</x:v>
      </x:c>
      <x:c r="B9" t="str">
        <x:v>AP/034/G/1</x:v>
      </x:c>
      <x:c r="C9" t="str">
        <x:v>S V Medical College, Tirupati</x:v>
      </x:c>
      <x:c r="D9" t="str">
        <x:v>Government</x:v>
      </x:c>
      <x:c r="E9" t="n">
        <x:v>240</x:v>
      </x:c>
      <x:c r="F9" t="n">
        <x:v>0</x:v>
      </x:c>
      <x:c r="G9" t="n">
        <x:v>240</x:v>
      </x:c>
      <x:c r="H9" t="str">
        <x:v>200426</x:v>
      </x:c>
      <x:c r="I9" t="n">
        <x:v>36</x:v>
      </x:c>
      <x:c r="J9" t="n">
        <x:v>36</x:v>
      </x:c>
      <x:c r="K9" t="n">
        <x:v>204</x:v>
      </x:c>
      <x:c r="L9" s="20" t="n">
        <x:v>0.85</x:v>
      </x:c>
      <x:c r="M9" t="str">
        <x:v>High</x:v>
      </x:c>
      <x:c r="N9" t="str">
        <x:v>Approx. State/Non-MCC Pool</x:v>
      </x:c>
      <x:c r="O9" t="str">
        <x:v>Large state-counselling pool</x:v>
      </x:c>
      <x:c r="P9" t="n">
        <x:v>8271</x:v>
      </x:c>
      <x:c r="Q9" t="n">
        <x:v>12444</x:v>
      </x:c>
      <x:c r="R9" t="n">
        <x:v>11774</x:v>
      </x:c>
      <x:c r="S9" t="n">
        <x:v>49741</x:v>
      </x:c>
      <x:c r="T9" t="n">
        <x:v>88282</x:v>
      </x:c>
      <x:c r="U9" t="str">
        <x:v>Pending state Round-1 allotment/cutoff data</x:v>
      </x:c>
    </x:row>
    <x:row r="10">
      <x:c r="A10" t="str">
        <x:v>Andhra Pradesh</x:v>
      </x:c>
      <x:c r="B10" t="str">
        <x:v>AP/001/G/1</x:v>
      </x:c>
      <x:c r="C10" t="str">
        <x:v>ACSR Government Medical College</x:v>
      </x:c>
      <x:c r="D10" t="str">
        <x:v>Government</x:v>
      </x:c>
      <x:c r="E10" t="n">
        <x:v>175</x:v>
      </x:c>
      <x:c r="F10" t="n">
        <x:v>25</x:v>
      </x:c>
      <x:c r="G10" t="n">
        <x:v>200</x:v>
      </x:c>
      <x:c r="H10" t="str">
        <x:v>200446</x:v>
      </x:c>
      <x:c r="I10" t="n">
        <x:v>30</x:v>
      </x:c>
      <x:c r="J10" t="n">
        <x:v>30</x:v>
      </x:c>
      <x:c r="K10" t="n">
        <x:v>170</x:v>
      </x:c>
      <x:c r="L10" s="20" t="n">
        <x:v>0.85</x:v>
      </x:c>
      <x:c r="M10" t="str">
        <x:v>High</x:v>
      </x:c>
      <x:c r="N10" t="str">
        <x:v>Approx. State/Non-MCC Pool</x:v>
      </x:c>
      <x:c r="O10" t="str">
        <x:v>Expanded 2026 capacity + substantial state pool</x:v>
      </x:c>
      <x:c r="P10" t="n">
        <x:v>12609</x:v>
      </x:c>
      <x:c r="Q10" t="n">
        <x:v>14908</x:v>
      </x:c>
      <x:c r="R10" t="n">
        <x:v>19844</x:v>
      </x:c>
      <x:c r="S10" t="n">
        <x:v>57614</x:v>
      </x:c>
      <x:c r="T10" t="n">
        <x:v>104329</x:v>
      </x:c>
      <x:c r="U10" t="str">
        <x:v>Pending state Round-1 allotment/cutoff data</x:v>
      </x:c>
    </x:row>
    <x:row r="11">
      <x:c r="A11" t="str">
        <x:v>Andhra Pradesh</x:v>
      </x:c>
      <x:c r="B11" t="str">
        <x:v>AP/010/G/1</x:v>
      </x:c>
      <x:c r="C11" t="str">
        <x:v>Government Medical College, Ananthapuram</x:v>
      </x:c>
      <x:c r="D11" t="str">
        <x:v>Government</x:v>
      </x:c>
      <x:c r="E11" t="n">
        <x:v>200</x:v>
      </x:c>
      <x:c r="F11" t="n">
        <x:v>0</x:v>
      </x:c>
      <x:c r="G11" t="n">
        <x:v>200</x:v>
      </x:c>
      <x:c r="H11" t="str">
        <x:v>200460</x:v>
      </x:c>
      <x:c r="I11" t="n">
        <x:v>30</x:v>
      </x:c>
      <x:c r="J11" t="n">
        <x:v>30</x:v>
      </x:c>
      <x:c r="K11" t="n">
        <x:v>170</x:v>
      </x:c>
      <x:c r="L11" s="20" t="n">
        <x:v>0.85</x:v>
      </x:c>
      <x:c r="M11" t="str">
        <x:v>High</x:v>
      </x:c>
      <x:c r="N11" t="str">
        <x:v>Approx. State/Non-MCC Pool</x:v>
      </x:c>
      <x:c r="O11" t="str">
        <x:v>Large state-counselling pool</x:v>
      </x:c>
      <x:c r="P11" t="n">
        <x:v>13514</x:v>
      </x:c>
      <x:c r="Q11" t="n">
        <x:v>16190</x:v>
      </x:c>
      <x:c r="R11" t="n">
        <x:v>21642</x:v>
      </x:c>
      <x:c r="S11" t="n">
        <x:v>71855</x:v>
      </x:c>
      <x:c r="T11" t="n">
        <x:v>86156</x:v>
      </x:c>
      <x:c r="U11" t="str">
        <x:v>Pending state Round-1 allotment/cutoff data</x:v>
      </x:c>
    </x:row>
    <x:row r="12">
      <x:c r="A12" t="str">
        <x:v>Andhra Pradesh</x:v>
      </x:c>
      <x:c r="B12" t="str">
        <x:v>AP/032/G/1</x:v>
      </x:c>
      <x:c r="C12" t="str">
        <x:v>Rajiv Gandhi Institute of Medical Sciences, Srikakulam</x:v>
      </x:c>
      <x:c r="D12" t="str">
        <x:v>Government</x:v>
      </x:c>
      <x:c r="E12" t="n">
        <x:v>200</x:v>
      </x:c>
      <x:c r="F12" t="n">
        <x:v>0</x:v>
      </x:c>
      <x:c r="G12" t="n">
        <x:v>200</x:v>
      </x:c>
      <x:c r="H12" t="str">
        <x:v>200444</x:v>
      </x:c>
      <x:c r="I12" t="n">
        <x:v>30</x:v>
      </x:c>
      <x:c r="J12" t="n">
        <x:v>30</x:v>
      </x:c>
      <x:c r="K12" t="n">
        <x:v>170</x:v>
      </x:c>
      <x:c r="L12" s="20" t="n">
        <x:v>0.85</x:v>
      </x:c>
      <x:c r="M12" t="str">
        <x:v>High</x:v>
      </x:c>
      <x:c r="N12" t="str">
        <x:v>Approx. State/Non-MCC Pool</x:v>
      </x:c>
      <x:c r="O12" t="str">
        <x:v>Large state-counselling pool</x:v>
      </x:c>
      <x:c r="P12" t="n">
        <x:v>16814</x:v>
      </x:c>
      <x:c r="Q12" t="n">
        <x:v>18714</x:v>
      </x:c>
      <x:c r="R12" t="n">
        <x:v>23181</x:v>
      </x:c>
      <x:c r="S12" t="n">
        <x:v>71446</x:v>
      </x:c>
      <x:c r="T12" t="n">
        <x:v>91710</x:v>
      </x:c>
      <x:c r="U12" t="str">
        <x:v>Pending state Round-1 allotment/cutoff data</x:v>
      </x:c>
    </x:row>
    <x:row r="13">
      <x:c r="A13" t="str">
        <x:v>Andhra Pradesh</x:v>
      </x:c>
      <x:c r="B13" t="str">
        <x:v>AP/037/G/1</x:v>
      </x:c>
      <x:c r="C13" t="str">
        <x:v>SVIMS - Sri Padmavathi Medical College for Women, Alipiri Road, Tirupati</x:v>
      </x:c>
      <x:c r="D13" t="str">
        <x:v>Government</x:v>
      </x:c>
      <x:c r="E13" t="n">
        <x:v>175</x:v>
      </x:c>
      <x:c r="F13" t="n">
        <x:v>0</x:v>
      </x:c>
      <x:c r="G13" t="n">
        <x:v>175</x:v>
      </x:c>
      <x:c r="H13" t="str">
        <x:v>200434</x:v>
      </x:c>
      <x:c r="I13" t="n">
        <x:v>26</x:v>
      </x:c>
      <x:c r="J13" t="n">
        <x:v>25</x:v>
      </x:c>
      <x:c r="K13" t="n">
        <x:v>149</x:v>
      </x:c>
      <x:c r="L13" s="20" t="n">
        <x:v>0.8514285714285714</x:v>
      </x:c>
      <x:c r="M13" t="str">
        <x:v>High</x:v>
      </x:c>
      <x:c r="N13" t="str">
        <x:v>Approx. State/Non-MCC Pool</x:v>
      </x:c>
      <x:c r="O13" t="str">
        <x:v>Moderate state-counselling pool</x:v>
      </x:c>
      <x:c r="P13" t="n">
        <x:v>12530</x:v>
      </x:c>
      <x:c r="Q13" t="n">
        <x:v>15848</x:v>
      </x:c>
      <x:c r="R13" t="n">
        <x:v>23584</x:v>
      </x:c>
      <x:c r="S13" t="n">
        <x:v>76486</x:v>
      </x:c>
      <x:c r="T13" t="n">
        <x:v>110072</x:v>
      </x:c>
      <x:c r="U13" t="str">
        <x:v>Pending state Round-1 allotment/cutoff data</x:v>
      </x:c>
    </x:row>
    <x:row r="14">
      <x:c r="A14" t="str">
        <x:v>Andhra Pradesh</x:v>
      </x:c>
      <x:c r="B14" t="str">
        <x:v>AP/011/G/1</x:v>
      </x:c>
      <x:c r="C14" t="str">
        <x:v>Government Medical College, Eluru</x:v>
      </x:c>
      <x:c r="D14" t="str">
        <x:v>Government</x:v>
      </x:c>
      <x:c r="E14" t="n">
        <x:v>150</x:v>
      </x:c>
      <x:c r="F14" t="n">
        <x:v>0</x:v>
      </x:c>
      <x:c r="G14" t="n">
        <x:v>150</x:v>
      </x:c>
      <x:c r="H14" t="str">
        <x:v>200672</x:v>
      </x:c>
      <x:c r="I14" t="n">
        <x:v>22</x:v>
      </x:c>
      <x:c r="J14" t="n">
        <x:v>22</x:v>
      </x:c>
      <x:c r="K14" t="n">
        <x:v>128</x:v>
      </x:c>
      <x:c r="L14" s="20" t="n">
        <x:v>0.8533333333333334</x:v>
      </x:c>
      <x:c r="M14" t="str">
        <x:v>High</x:v>
      </x:c>
      <x:c r="N14" t="str">
        <x:v>Approx. State/Non-MCC Pool</x:v>
      </x:c>
      <x:c r="O14" t="str">
        <x:v>Moderate state-counselling pool</x:v>
      </x:c>
      <x:c r="P14" t="n">
        <x:v>18708</x:v>
      </x:c>
      <x:c r="Q14" t="n">
        <x:v>20572</x:v>
      </x:c>
      <x:c r="R14" t="n">
        <x:v>23731</x:v>
      </x:c>
      <x:c r="S14" t="n">
        <x:v>65791</x:v>
      </x:c>
      <x:c r="T14"/>
      <x:c r="U14" t="str">
        <x:v>Pending state Round-1 allotment/cutoff data</x:v>
      </x:c>
    </x:row>
    <x:row r="15">
      <x:c r="A15" t="str">
        <x:v>Andhra Pradesh</x:v>
      </x:c>
      <x:c r="B15" t="str">
        <x:v>AP/012/G/1</x:v>
      </x:c>
      <x:c r="C15" t="str">
        <x:v>Government Medical College, Machilipatnam</x:v>
      </x:c>
      <x:c r="D15" t="str">
        <x:v>Government</x:v>
      </x:c>
      <x:c r="E15" t="n">
        <x:v>150</x:v>
      </x:c>
      <x:c r="F15" t="n">
        <x:v>0</x:v>
      </x:c>
      <x:c r="G15" t="n">
        <x:v>150</x:v>
      </x:c>
      <x:c r="H15" t="str">
        <x:v>200673</x:v>
      </x:c>
      <x:c r="I15" t="n">
        <x:v>22</x:v>
      </x:c>
      <x:c r="J15" t="n">
        <x:v>22</x:v>
      </x:c>
      <x:c r="K15" t="n">
        <x:v>128</x:v>
      </x:c>
      <x:c r="L15" s="20" t="n">
        <x:v>0.8533333333333334</x:v>
      </x:c>
      <x:c r="M15" t="str">
        <x:v>High</x:v>
      </x:c>
      <x:c r="N15" t="str">
        <x:v>Approx. State/Non-MCC Pool</x:v>
      </x:c>
      <x:c r="O15" t="str">
        <x:v>Moderate state-counselling pool</x:v>
      </x:c>
      <x:c r="P15" t="n">
        <x:v>20554</x:v>
      </x:c>
      <x:c r="Q15" t="n">
        <x:v>21150</x:v>
      </x:c>
      <x:c r="R15" t="n">
        <x:v>26177</x:v>
      </x:c>
      <x:c r="S15" t="n">
        <x:v>84702</x:v>
      </x:c>
      <x:c r="T15" t="n">
        <x:v>116472</x:v>
      </x:c>
      <x:c r="U15" t="str">
        <x:v>Pending state Round-1 allotment/cutoff data</x:v>
      </x:c>
    </x:row>
    <x:row r="16">
      <x:c r="A16" t="str">
        <x:v>Andhra Pradesh</x:v>
      </x:c>
      <x:c r="B16" t="str">
        <x:v>AP/013/G/1</x:v>
      </x:c>
      <x:c r="C16" t="str">
        <x:v>Government Medical College, Nandyal</x:v>
      </x:c>
      <x:c r="D16" t="str">
        <x:v>Government</x:v>
      </x:c>
      <x:c r="E16" t="n">
        <x:v>150</x:v>
      </x:c>
      <x:c r="F16" t="n">
        <x:v>0</x:v>
      </x:c>
      <x:c r="G16" t="n">
        <x:v>150</x:v>
      </x:c>
      <x:c r="H16" t="str">
        <x:v>200674</x:v>
      </x:c>
      <x:c r="I16" t="n">
        <x:v>22</x:v>
      </x:c>
      <x:c r="J16" t="n">
        <x:v>22</x:v>
      </x:c>
      <x:c r="K16" t="n">
        <x:v>128</x:v>
      </x:c>
      <x:c r="L16" s="20" t="n">
        <x:v>0.8533333333333334</x:v>
      </x:c>
      <x:c r="M16" t="str">
        <x:v>High</x:v>
      </x:c>
      <x:c r="N16" t="str">
        <x:v>Approx. State/Non-MCC Pool</x:v>
      </x:c>
      <x:c r="O16" t="str">
        <x:v>Moderate state-counselling pool</x:v>
      </x:c>
      <x:c r="P16" t="n">
        <x:v>19461</x:v>
      </x:c>
      <x:c r="Q16" t="n">
        <x:v>21118</x:v>
      </x:c>
      <x:c r="R16" t="n">
        <x:v>23136</x:v>
      </x:c>
      <x:c r="S16" t="n">
        <x:v>87398</x:v>
      </x:c>
      <x:c r="T16" t="n">
        <x:v>117359</x:v>
      </x:c>
      <x:c r="U16" t="str">
        <x:v>Pending state Round-1 allotment/cutoff data</x:v>
      </x:c>
    </x:row>
    <x:row r="17">
      <x:c r="A17" t="str">
        <x:v>Andhra Pradesh</x:v>
      </x:c>
      <x:c r="B17" t="str">
        <x:v>AP/031/G/1</x:v>
      </x:c>
      <x:c r="C17" t="str">
        <x:v>Government Medical College, Ongole (previously Rajiv Gandhi Institute of Medical Sciences, Ongole)</x:v>
      </x:c>
      <x:c r="D17" t="str">
        <x:v>Government</x:v>
      </x:c>
      <x:c r="E17" t="n">
        <x:v>150</x:v>
      </x:c>
      <x:c r="F17" t="n">
        <x:v>0</x:v>
      </x:c>
      <x:c r="G17" t="n">
        <x:v>150</x:v>
      </x:c>
      <x:c r="H17" t="str">
        <x:v>200443</x:v>
      </x:c>
      <x:c r="I17" t="n">
        <x:v>22</x:v>
      </x:c>
      <x:c r="J17" t="n">
        <x:v>22</x:v>
      </x:c>
      <x:c r="K17" t="n">
        <x:v>128</x:v>
      </x:c>
      <x:c r="L17" s="20" t="n">
        <x:v>0.8533333333333334</x:v>
      </x:c>
      <x:c r="M17" t="str">
        <x:v>High</x:v>
      </x:c>
      <x:c r="N17" t="str">
        <x:v>Approx. State/Non-MCC Pool</x:v>
      </x:c>
      <x:c r="O17" t="str">
        <x:v>Moderate state-counselling pool</x:v>
      </x:c>
      <x:c r="P17" t="n">
        <x:v>15776</x:v>
      </x:c>
      <x:c r="Q17" t="n">
        <x:v>18688</x:v>
      </x:c>
      <x:c r="R17" t="n">
        <x:v>19636</x:v>
      </x:c>
      <x:c r="S17" t="n">
        <x:v>65998</x:v>
      </x:c>
      <x:c r="T17" t="n">
        <x:v>106800</x:v>
      </x:c>
      <x:c r="U17" t="str">
        <x:v>Pending state Round-1 allotment/cutoff data</x:v>
      </x:c>
    </x:row>
    <x:row r="18">
      <x:c r="A18" t="str">
        <x:v>Andhra Pradesh</x:v>
      </x:c>
      <x:c r="B18" t="str">
        <x:v>AP/015/G/1</x:v>
      </x:c>
      <x:c r="C18" t="str">
        <x:v>Government Medical College, Rajamahendravaram</x:v>
      </x:c>
      <x:c r="D18" t="str">
        <x:v>Government</x:v>
      </x:c>
      <x:c r="E18" t="n">
        <x:v>150</x:v>
      </x:c>
      <x:c r="F18" t="n">
        <x:v>0</x:v>
      </x:c>
      <x:c r="G18" t="n">
        <x:v>150</x:v>
      </x:c>
      <x:c r="H18" t="str">
        <x:v>200662</x:v>
      </x:c>
      <x:c r="I18" t="n">
        <x:v>22</x:v>
      </x:c>
      <x:c r="J18" t="n">
        <x:v>22</x:v>
      </x:c>
      <x:c r="K18" t="n">
        <x:v>128</x:v>
      </x:c>
      <x:c r="L18" s="20" t="n">
        <x:v>0.8533333333333334</x:v>
      </x:c>
      <x:c r="M18" t="str">
        <x:v>High</x:v>
      </x:c>
      <x:c r="N18" t="str">
        <x:v>Approx. State/Non-MCC Pool</x:v>
      </x:c>
      <x:c r="O18" t="str">
        <x:v>Moderate state-counselling pool</x:v>
      </x:c>
      <x:c r="P18" t="n">
        <x:v>19446</x:v>
      </x:c>
      <x:c r="Q18" t="n">
        <x:v>20930</x:v>
      </x:c>
      <x:c r="R18" t="n">
        <x:v>25489</x:v>
      </x:c>
      <x:c r="S18" t="n">
        <x:v>57263</x:v>
      </x:c>
      <x:c r="T18" t="n">
        <x:v>93337</x:v>
      </x:c>
      <x:c r="U18" t="str">
        <x:v>Pending state Round-1 allotment/cutoff data</x:v>
      </x:c>
    </x:row>
    <x:row r="19">
      <x:c r="A19" t="str">
        <x:v>Andhra Pradesh</x:v>
      </x:c>
      <x:c r="B19" t="str">
        <x:v>AP/016/G/1</x:v>
      </x:c>
      <x:c r="C19" t="str">
        <x:v>Government medical college, vizianagaram</x:v>
      </x:c>
      <x:c r="D19" t="str">
        <x:v>Government</x:v>
      </x:c>
      <x:c r="E19" t="n">
        <x:v>150</x:v>
      </x:c>
      <x:c r="F19" t="n">
        <x:v>0</x:v>
      </x:c>
      <x:c r="G19" t="n">
        <x:v>150</x:v>
      </x:c>
      <x:c r="H19" t="str">
        <x:v>200668</x:v>
      </x:c>
      <x:c r="I19" t="n">
        <x:v>22</x:v>
      </x:c>
      <x:c r="J19" t="n">
        <x:v>22</x:v>
      </x:c>
      <x:c r="K19" t="n">
        <x:v>128</x:v>
      </x:c>
      <x:c r="L19" s="20" t="n">
        <x:v>0.8533333333333334</x:v>
      </x:c>
      <x:c r="M19" t="str">
        <x:v>High</x:v>
      </x:c>
      <x:c r="N19" t="str">
        <x:v>Approx. State/Non-MCC Pool</x:v>
      </x:c>
      <x:c r="O19" t="str">
        <x:v>Moderate state-counselling pool</x:v>
      </x:c>
      <x:c r="P19" t="n">
        <x:v>17920</x:v>
      </x:c>
      <x:c r="Q19" t="n">
        <x:v>21588</x:v>
      </x:c>
      <x:c r="R19" t="n">
        <x:v>23979</x:v>
      </x:c>
      <x:c r="S19" t="n">
        <x:v>73472</x:v>
      </x:c>
      <x:c r="T19" t="n">
        <x:v>126288</x:v>
      </x:c>
      <x:c r="U19" t="str">
        <x:v>Pending state Round-1 allotment/cutoff data</x:v>
      </x:c>
    </x:row>
    <x:row r="20">
      <x:c r="A20" t="str">
        <x:v>Andhra Pradesh</x:v>
      </x:c>
      <x:c r="B20" t="str">
        <x:v>AP/014/G/1</x:v>
      </x:c>
      <x:c r="C20" t="str">
        <x:v>Government Medical College, Paderu</x:v>
      </x:c>
      <x:c r="D20" t="str">
        <x:v>Government</x:v>
      </x:c>
      <x:c r="E20" t="n">
        <x:v>50</x:v>
      </x:c>
      <x:c r="F20" t="n">
        <x:v>0</x:v>
      </x:c>
      <x:c r="G20" t="n">
        <x:v>50</x:v>
      </x:c>
      <x:c r="H20" t="str">
        <x:v>902841</x:v>
      </x:c>
      <x:c r="I20" t="n">
        <x:v>15</x:v>
      </x:c>
      <x:c r="J20" t="n">
        <x:v>15</x:v>
      </x:c>
      <x:c r="K20" t="n">
        <x:v>35</x:v>
      </x:c>
      <x:c r="L20" s="20" t="n">
        <x:v>0.7</x:v>
      </x:c>
      <x:c r="M20" t="str">
        <x:v>High</x:v>
      </x:c>
      <x:c r="N20" t="str">
        <x:v>Approx. State/Non-MCC Pool</x:v>
      </x:c>
      <x:c r="O20" t="str">
        <x:v>Smaller state-counselling pool</x:v>
      </x:c>
      <x:c r="P20" t="n">
        <x:v>19466</x:v>
      </x:c>
      <x:c r="Q20" t="n">
        <x:v>21524</x:v>
      </x:c>
      <x:c r="R20" t="n">
        <x:v>26680</x:v>
      </x:c>
      <x:c r="S20" t="n">
        <x:v>80038</x:v>
      </x:c>
      <x:c r="T20" t="n">
        <x:v>118869</x:v>
      </x:c>
      <x:c r="U20" t="str">
        <x:v>Pending state Round-1 allotment/cutoff data</x:v>
      </x:c>
    </x:row>
    <x:row r="21">
      <x:c r="A21" t="str">
        <x:v>Andhra Pradesh</x:v>
      </x:c>
      <x:c r="B21" t="str">
        <x:v>New Establishment</x:v>
      </x:c>
      <x:c r="C21" t="str">
        <x:v>Government Medical College, Piduguralla</x:v>
      </x:c>
      <x:c r="D21" t="str">
        <x:v>Government</x:v>
      </x:c>
      <x:c r="E21" t="n">
        <x:v>0</x:v>
      </x:c>
      <x:c r="F21" t="n">
        <x:v>50</x:v>
      </x:c>
      <x:c r="G21" t="n">
        <x:v>50</x:v>
      </x:c>
      <x:c r="H21" t="str">
        <x:v>904744</x:v>
      </x:c>
      <x:c r="I21" t="n">
        <x:v>15</x:v>
      </x:c>
      <x:c r="J21" t="n">
        <x:v>15</x:v>
      </x:c>
      <x:c r="K21" t="n">
        <x:v>35</x:v>
      </x:c>
      <x:c r="L21" s="20" t="n">
        <x:v>0.7</x:v>
      </x:c>
      <x:c r="M21" t="str">
        <x:v>High</x:v>
      </x:c>
      <x:c r="N21" t="str">
        <x:v>Approx. State/Non-MCC Pool</x:v>
      </x:c>
      <x:c r="O21" t="str">
        <x:v>Expanded 2026 capacity + substantial state pool</x:v>
      </x:c>
      <x:c r="P21" t="n">
        <x:v>19127</x:v>
      </x:c>
      <x:c r="Q21" t="n">
        <x:v>22142</x:v>
      </x:c>
      <x:c r="R21" t="n">
        <x:v>21393</x:v>
      </x:c>
      <x:c r="S21" t="n">
        <x:v>82876</x:v>
      </x:c>
      <x:c r="T21" t="n">
        <x:v>72645</x:v>
      </x:c>
      <x:c r="U21" t="str">
        <x:v>Pending state Round-1 allotment/cutoff data</x:v>
      </x:c>
    </x:row>
    <x:row r="22">
      <x:c r="A22" t="str">
        <x:v>Andhra Pradesh</x:v>
      </x:c>
      <x:c r="B22" t="str">
        <x:v>AP/002/P/4</x:v>
      </x:c>
      <x:c r="C22" t="str">
        <x:v>Alluri Sitaram Raju Academy of Medical Sciences, Eluru</x:v>
      </x:c>
      <x:c r="D22" t="str">
        <x:v>Private</x:v>
      </x:c>
      <x:c r="E22" t="n">
        <x:v>250</x:v>
      </x:c>
      <x:c r="F22" t="n">
        <x:v>0</x:v>
      </x:c>
      <x:c r="G22" t="n">
        <x:v>250</x:v>
      </x:c>
      <x:c r="H22"/>
      <x:c r="I22" t="n">
        <x:v>0</x:v>
      </x:c>
      <x:c r="J22" t="n">
        <x:v>0</x:v>
      </x:c>
      <x:c r="K22" t="n">
        <x:v>250</x:v>
      </x:c>
      <x:c r="L22" s="20" t="n">
        <x:v>1</x:v>
      </x:c>
      <x:c r="M22" t="str">
        <x:v>Variable</x:v>
      </x:c>
      <x:c r="N22" t="str">
        <x:v>Approx. Non-MCC Pool</x:v>
      </x:c>
      <x:c r="O22" t="str">
        <x:v>Large non-MCC pool; quota split varies by state</x:v>
      </x:c>
      <x:c r="P22"/>
      <x:c r="Q22"/>
      <x:c r="R22"/>
      <x:c r="S22"/>
      <x:c r="T22"/>
      <x:c r="U22" t="str">
        <x:v>Pending state Round-1 allotment/cutoff data</x:v>
      </x:c>
    </x:row>
    <x:row r="23">
      <x:c r="A23" t="str">
        <x:v>Andhra Pradesh</x:v>
      </x:c>
      <x:c r="B23" t="str">
        <x:v>AP/019/P/4</x:v>
      </x:c>
      <x:c r="C23" t="str">
        <x:v>GSL Medical College, Rajahmundry</x:v>
      </x:c>
      <x:c r="D23" t="str">
        <x:v>Private</x:v>
      </x:c>
      <x:c r="E23" t="n">
        <x:v>250</x:v>
      </x:c>
      <x:c r="F23" t="n">
        <x:v>0</x:v>
      </x:c>
      <x:c r="G23" t="n">
        <x:v>250</x:v>
      </x:c>
      <x:c r="H23"/>
      <x:c r="I23" t="n">
        <x:v>0</x:v>
      </x:c>
      <x:c r="J23" t="n">
        <x:v>0</x:v>
      </x:c>
      <x:c r="K23" t="n">
        <x:v>250</x:v>
      </x:c>
      <x:c r="L23" s="20" t="n">
        <x:v>1</x:v>
      </x:c>
      <x:c r="M23" t="str">
        <x:v>Variable</x:v>
      </x:c>
      <x:c r="N23" t="str">
        <x:v>Approx. Non-MCC Pool</x:v>
      </x:c>
      <x:c r="O23" t="str">
        <x:v>Large non-MCC pool; quota split varies by state</x:v>
      </x:c>
      <x:c r="P23"/>
      <x:c r="Q23"/>
      <x:c r="R23"/>
      <x:c r="S23"/>
      <x:c r="T23"/>
      <x:c r="U23" t="str">
        <x:v>Pending state Round-1 allotment/cutoff data</x:v>
      </x:c>
    </x:row>
    <x:row r="24">
      <x:c r="A24" t="str">
        <x:v>Andhra Pradesh</x:v>
      </x:c>
      <x:c r="B24" t="str">
        <x:v>AP/022/P/4</x:v>
      </x:c>
      <x:c r="C24" t="str">
        <x:v>Konaseema Institute of Medical Sciences &amp; Research Foundation, Amalapuram</x:v>
      </x:c>
      <x:c r="D24" t="str">
        <x:v>Private</x:v>
      </x:c>
      <x:c r="E24" t="n">
        <x:v>200</x:v>
      </x:c>
      <x:c r="F24" t="n">
        <x:v>50</x:v>
      </x:c>
      <x:c r="G24" t="n">
        <x:v>250</x:v>
      </x:c>
      <x:c r="H24"/>
      <x:c r="I24" t="n">
        <x:v>0</x:v>
      </x:c>
      <x:c r="J24" t="n">
        <x:v>0</x:v>
      </x:c>
      <x:c r="K24" t="n">
        <x:v>250</x:v>
      </x:c>
      <x:c r="L24" s="20" t="n">
        <x:v>1</x:v>
      </x:c>
      <x:c r="M24" t="str">
        <x:v>Variable</x:v>
      </x:c>
      <x:c r="N24" t="str">
        <x:v>Approx. Non-MCC Pool</x:v>
      </x:c>
      <x:c r="O24" t="str">
        <x:v>Expanded 2026 capacity; state/management split to verify</x:v>
      </x:c>
      <x:c r="P24"/>
      <x:c r="Q24"/>
      <x:c r="R24"/>
      <x:c r="S24"/>
      <x:c r="T24"/>
      <x:c r="U24" t="str">
        <x:v>Pending state Round-1 allotment/cutoff data</x:v>
      </x:c>
    </x:row>
    <x:row r="25">
      <x:c r="A25" t="str">
        <x:v>Andhra Pradesh</x:v>
      </x:c>
      <x:c r="B25" t="str">
        <x:v>AP/027/P/4</x:v>
      </x:c>
      <x:c r="C25" t="str">
        <x:v>NRI Institute of Medical Sciences, Visakhapatnam</x:v>
      </x:c>
      <x:c r="D25" t="str">
        <x:v>Private</x:v>
      </x:c>
      <x:c r="E25" t="n">
        <x:v>250</x:v>
      </x:c>
      <x:c r="F25" t="n">
        <x:v>0</x:v>
      </x:c>
      <x:c r="G25" t="n">
        <x:v>250</x:v>
      </x:c>
      <x:c r="H25"/>
      <x:c r="I25" t="n">
        <x:v>0</x:v>
      </x:c>
      <x:c r="J25" t="n">
        <x:v>0</x:v>
      </x:c>
      <x:c r="K25" t="n">
        <x:v>250</x:v>
      </x:c>
      <x:c r="L25" s="20" t="n">
        <x:v>1</x:v>
      </x:c>
      <x:c r="M25" t="str">
        <x:v>Variable</x:v>
      </x:c>
      <x:c r="N25" t="str">
        <x:v>Approx. Non-MCC Pool</x:v>
      </x:c>
      <x:c r="O25" t="str">
        <x:v>Large non-MCC pool; quota split varies by state</x:v>
      </x:c>
      <x:c r="P25"/>
      <x:c r="Q25"/>
      <x:c r="R25"/>
      <x:c r="S25"/>
      <x:c r="T25"/>
      <x:c r="U25" t="str">
        <x:v>Pending state Round-1 allotment/cutoff data</x:v>
      </x:c>
    </x:row>
    <x:row r="26">
      <x:c r="A26" t="str">
        <x:v>Andhra Pradesh</x:v>
      </x:c>
      <x:c r="B26" t="str">
        <x:v>AP/025/P/4</x:v>
      </x:c>
      <x:c r="C26" t="str">
        <x:v>Narayana Medical College, Nellore</x:v>
      </x:c>
      <x:c r="D26" t="str">
        <x:v>Private</x:v>
      </x:c>
      <x:c r="E26" t="n">
        <x:v>250</x:v>
      </x:c>
      <x:c r="F26" t="n">
        <x:v>0</x:v>
      </x:c>
      <x:c r="G26" t="n">
        <x:v>250</x:v>
      </x:c>
      <x:c r="H26"/>
      <x:c r="I26" t="n">
        <x:v>0</x:v>
      </x:c>
      <x:c r="J26" t="n">
        <x:v>0</x:v>
      </x:c>
      <x:c r="K26" t="n">
        <x:v>250</x:v>
      </x:c>
      <x:c r="L26" s="20" t="n">
        <x:v>1</x:v>
      </x:c>
      <x:c r="M26" t="str">
        <x:v>Variable</x:v>
      </x:c>
      <x:c r="N26" t="str">
        <x:v>Approx. Non-MCC Pool</x:v>
      </x:c>
      <x:c r="O26" t="str">
        <x:v>Large non-MCC pool; quota split varies by state</x:v>
      </x:c>
      <x:c r="P26"/>
      <x:c r="Q26"/>
      <x:c r="R26"/>
      <x:c r="S26"/>
      <x:c r="T26"/>
      <x:c r="U26" t="str">
        <x:v>Pending state Round-1 allotment/cutoff data</x:v>
      </x:c>
    </x:row>
    <x:row r="27">
      <x:c r="A27" t="str">
        <x:v>Andhra Pradesh</x:v>
      </x:c>
      <x:c r="B27" t="str">
        <x:v>AP/035/P/4</x:v>
      </x:c>
      <x:c r="C27" t="str">
        <x:v>Santhiram Medical College, Nandyal</x:v>
      </x:c>
      <x:c r="D27" t="str">
        <x:v>Private</x:v>
      </x:c>
      <x:c r="E27" t="n">
        <x:v>250</x:v>
      </x:c>
      <x:c r="F27" t="n">
        <x:v>0</x:v>
      </x:c>
      <x:c r="G27" t="n">
        <x:v>250</x:v>
      </x:c>
      <x:c r="H27"/>
      <x:c r="I27" t="n">
        <x:v>0</x:v>
      </x:c>
      <x:c r="J27" t="n">
        <x:v>0</x:v>
      </x:c>
      <x:c r="K27" t="n">
        <x:v>250</x:v>
      </x:c>
      <x:c r="L27" s="20" t="n">
        <x:v>1</x:v>
      </x:c>
      <x:c r="M27" t="str">
        <x:v>Variable</x:v>
      </x:c>
      <x:c r="N27" t="str">
        <x:v>Approx. Non-MCC Pool</x:v>
      </x:c>
      <x:c r="O27" t="str">
        <x:v>Large non-MCC pool; quota split varies by state</x:v>
      </x:c>
      <x:c r="P27"/>
      <x:c r="Q27"/>
      <x:c r="R27"/>
      <x:c r="S27"/>
      <x:c r="T27"/>
      <x:c r="U27" t="str">
        <x:v>Pending state Round-1 allotment/cutoff data</x:v>
      </x:c>
    </x:row>
    <x:row r="28">
      <x:c r="A28" t="str">
        <x:v>Andhra Pradesh</x:v>
      </x:c>
      <x:c r="B28" t="str">
        <x:v>AP/038/P/4</x:v>
      </x:c>
      <x:c r="C28" t="str">
        <x:v>Viswabharathi Medical College</x:v>
      </x:c>
      <x:c r="D28" t="str">
        <x:v>Private</x:v>
      </x:c>
      <x:c r="E28" t="n">
        <x:v>250</x:v>
      </x:c>
      <x:c r="F28" t="n">
        <x:v>0</x:v>
      </x:c>
      <x:c r="G28" t="n">
        <x:v>250</x:v>
      </x:c>
      <x:c r="H28"/>
      <x:c r="I28" t="n">
        <x:v>0</x:v>
      </x:c>
      <x:c r="J28" t="n">
        <x:v>0</x:v>
      </x:c>
      <x:c r="K28" t="n">
        <x:v>250</x:v>
      </x:c>
      <x:c r="L28" s="20" t="n">
        <x:v>1</x:v>
      </x:c>
      <x:c r="M28" t="str">
        <x:v>Variable</x:v>
      </x:c>
      <x:c r="N28" t="str">
        <x:v>Approx. Non-MCC Pool</x:v>
      </x:c>
      <x:c r="O28" t="str">
        <x:v>Large non-MCC pool; quota split varies by state</x:v>
      </x:c>
      <x:c r="P28"/>
      <x:c r="Q28"/>
      <x:c r="R28"/>
      <x:c r="S28"/>
      <x:c r="T28"/>
      <x:c r="U28" t="str">
        <x:v>Pending state Round-1 allotment/cutoff data</x:v>
      </x:c>
    </x:row>
    <x:row r="29">
      <x:c r="A29" t="str">
        <x:v>Andhra Pradesh</x:v>
      </x:c>
      <x:c r="B29" t="str">
        <x:v>AP/008/P/4</x:v>
      </x:c>
      <x:c r="C29" t="str">
        <x:v>Gayathri Vidya Parishad Institute of Health Care &amp; Medical Technology, Visakhapatnam</x:v>
      </x:c>
      <x:c r="D29" t="str">
        <x:v>Private</x:v>
      </x:c>
      <x:c r="E29" t="n">
        <x:v>200</x:v>
      </x:c>
      <x:c r="F29" t="n">
        <x:v>0</x:v>
      </x:c>
      <x:c r="G29" t="n">
        <x:v>200</x:v>
      </x:c>
      <x:c r="H29"/>
      <x:c r="I29" t="n">
        <x:v>0</x:v>
      </x:c>
      <x:c r="J29" t="n">
        <x:v>0</x:v>
      </x:c>
      <x:c r="K29" t="n">
        <x:v>200</x:v>
      </x:c>
      <x:c r="L29" s="20" t="n">
        <x:v>1</x:v>
      </x:c>
      <x:c r="M29" t="str">
        <x:v>Variable</x:v>
      </x:c>
      <x:c r="N29" t="str">
        <x:v>Approx. Non-MCC Pool</x:v>
      </x:c>
      <x:c r="O29" t="str">
        <x:v>Large non-MCC pool; quota split varies by state</x:v>
      </x:c>
      <x:c r="P29"/>
      <x:c r="Q29"/>
      <x:c r="R29"/>
      <x:c r="S29"/>
      <x:c r="T29"/>
      <x:c r="U29" t="str">
        <x:v>Pending state Round-1 allotment/cutoff data</x:v>
      </x:c>
    </x:row>
    <x:row r="30">
      <x:c r="A30" t="str">
        <x:v>Andhra Pradesh</x:v>
      </x:c>
      <x:c r="B30" t="str">
        <x:v>AP/018/P/4</x:v>
      </x:c>
      <x:c r="C30" t="str">
        <x:v>Great Eastern Medical School and Hospital, Srikakulam</x:v>
      </x:c>
      <x:c r="D30" t="str">
        <x:v>Private</x:v>
      </x:c>
      <x:c r="E30" t="n">
        <x:v>150</x:v>
      </x:c>
      <x:c r="F30" t="n">
        <x:v>50</x:v>
      </x:c>
      <x:c r="G30" t="n">
        <x:v>200</x:v>
      </x:c>
      <x:c r="H30"/>
      <x:c r="I30" t="n">
        <x:v>0</x:v>
      </x:c>
      <x:c r="J30" t="n">
        <x:v>0</x:v>
      </x:c>
      <x:c r="K30" t="n">
        <x:v>200</x:v>
      </x:c>
      <x:c r="L30" s="20" t="n">
        <x:v>1</x:v>
      </x:c>
      <x:c r="M30" t="str">
        <x:v>Variable</x:v>
      </x:c>
      <x:c r="N30" t="str">
        <x:v>Approx. Non-MCC Pool</x:v>
      </x:c>
      <x:c r="O30" t="str">
        <x:v>Expanded 2026 capacity; state/management split to verify</x:v>
      </x:c>
      <x:c r="P30"/>
      <x:c r="Q30"/>
      <x:c r="R30"/>
      <x:c r="S30"/>
      <x:c r="T30"/>
      <x:c r="U30" t="str">
        <x:v>Pending state Round-1 allotment/cutoff data</x:v>
      </x:c>
    </x:row>
    <x:row r="31">
      <x:c r="A31" t="str">
        <x:v>Andhra Pradesh</x:v>
      </x:c>
      <x:c r="B31" t="str">
        <x:v>AP/024/P/3</x:v>
      </x:c>
      <x:c r="C31" t="str">
        <x:v>Maharajah Institute of Medical Sciences, Vizianagaram</x:v>
      </x:c>
      <x:c r="D31" t="str">
        <x:v>Private</x:v>
      </x:c>
      <x:c r="E31" t="n">
        <x:v>200</x:v>
      </x:c>
      <x:c r="F31" t="n">
        <x:v>0</x:v>
      </x:c>
      <x:c r="G31" t="n">
        <x:v>200</x:v>
      </x:c>
      <x:c r="H31"/>
      <x:c r="I31" t="n">
        <x:v>0</x:v>
      </x:c>
      <x:c r="J31" t="n">
        <x:v>0</x:v>
      </x:c>
      <x:c r="K31" t="n">
        <x:v>200</x:v>
      </x:c>
      <x:c r="L31" s="20" t="n">
        <x:v>1</x:v>
      </x:c>
      <x:c r="M31" t="str">
        <x:v>Variable</x:v>
      </x:c>
      <x:c r="N31" t="str">
        <x:v>Approx. Non-MCC Pool</x:v>
      </x:c>
      <x:c r="O31" t="str">
        <x:v>Large non-MCC pool; quota split varies by state</x:v>
      </x:c>
      <x:c r="P31"/>
      <x:c r="Q31"/>
      <x:c r="R31"/>
      <x:c r="S31"/>
      <x:c r="T31"/>
      <x:c r="U31" t="str">
        <x:v>Pending state Round-1 allotment/cutoff data</x:v>
      </x:c>
    </x:row>
    <x:row r="32">
      <x:c r="A32" t="str">
        <x:v>Andhra Pradesh</x:v>
      </x:c>
      <x:c r="B32" t="str">
        <x:v>AP/028/P/4</x:v>
      </x:c>
      <x:c r="C32" t="str">
        <x:v>NRI Medical College, Guntur</x:v>
      </x:c>
      <x:c r="D32" t="str">
        <x:v>Private</x:v>
      </x:c>
      <x:c r="E32" t="n">
        <x:v>200</x:v>
      </x:c>
      <x:c r="F32" t="n">
        <x:v>0</x:v>
      </x:c>
      <x:c r="G32" t="n">
        <x:v>200</x:v>
      </x:c>
      <x:c r="H32"/>
      <x:c r="I32" t="n">
        <x:v>0</x:v>
      </x:c>
      <x:c r="J32" t="n">
        <x:v>0</x:v>
      </x:c>
      <x:c r="K32" t="n">
        <x:v>200</x:v>
      </x:c>
      <x:c r="L32" s="20" t="n">
        <x:v>1</x:v>
      </x:c>
      <x:c r="M32" t="str">
        <x:v>Variable</x:v>
      </x:c>
      <x:c r="N32" t="str">
        <x:v>Approx. Non-MCC Pool</x:v>
      </x:c>
      <x:c r="O32" t="str">
        <x:v>Large non-MCC pool; quota split varies by state</x:v>
      </x:c>
      <x:c r="P32"/>
      <x:c r="Q32"/>
      <x:c r="R32"/>
      <x:c r="S32"/>
      <x:c r="T32"/>
      <x:c r="U32" t="str">
        <x:v>Pending state Round-1 allotment/cutoff data</x:v>
      </x:c>
    </x:row>
    <x:row r="33">
      <x:c r="A33" t="str">
        <x:v>Andhra Pradesh</x:v>
      </x:c>
      <x:c r="B33" t="str">
        <x:v>AP/026/P/4</x:v>
      </x:c>
      <x:c r="C33" t="str">
        <x:v>Nimra Institute of Medical Sciences, Krishna Dist.</x:v>
      </x:c>
      <x:c r="D33" t="str">
        <x:v>Private</x:v>
      </x:c>
      <x:c r="E33" t="n">
        <x:v>200</x:v>
      </x:c>
      <x:c r="F33" t="n">
        <x:v>0</x:v>
      </x:c>
      <x:c r="G33" t="n">
        <x:v>200</x:v>
      </x:c>
      <x:c r="H33"/>
      <x:c r="I33" t="n">
        <x:v>0</x:v>
      </x:c>
      <x:c r="J33" t="n">
        <x:v>0</x:v>
      </x:c>
      <x:c r="K33" t="n">
        <x:v>200</x:v>
      </x:c>
      <x:c r="L33" s="20" t="n">
        <x:v>1</x:v>
      </x:c>
      <x:c r="M33" t="str">
        <x:v>Variable</x:v>
      </x:c>
      <x:c r="N33" t="str">
        <x:v>Approx. Non-MCC Pool</x:v>
      </x:c>
      <x:c r="O33" t="str">
        <x:v>Large non-MCC pool; quota split varies by state</x:v>
      </x:c>
      <x:c r="P33"/>
      <x:c r="Q33"/>
      <x:c r="R33"/>
      <x:c r="S33"/>
      <x:c r="T33"/>
      <x:c r="U33" t="str">
        <x:v>Pending state Round-1 allotment/cutoff data</x:v>
      </x:c>
    </x:row>
    <x:row r="34">
      <x:c r="A34" t="str">
        <x:v>Andhra Pradesh</x:v>
      </x:c>
      <x:c r="B34" t="str">
        <x:v>AP/004/P/3</x:v>
      </x:c>
      <x:c r="C34" t="str">
        <x:v>Anna Gowri Medical College and Hospital</x:v>
      </x:c>
      <x:c r="D34" t="str">
        <x:v>Private</x:v>
      </x:c>
      <x:c r="E34" t="n">
        <x:v>150</x:v>
      </x:c>
      <x:c r="F34" t="n">
        <x:v>0</x:v>
      </x:c>
      <x:c r="G34" t="n">
        <x:v>150</x:v>
      </x:c>
      <x:c r="H34"/>
      <x:c r="I34" t="n">
        <x:v>0</x:v>
      </x:c>
      <x:c r="J34" t="n">
        <x:v>0</x:v>
      </x:c>
      <x:c r="K34" t="n">
        <x:v>150</x:v>
      </x:c>
      <x:c r="L34" s="20" t="n">
        <x:v>1</x:v>
      </x:c>
      <x:c r="M34" t="str">
        <x:v>Variable</x:v>
      </x:c>
      <x:c r="N34" t="str">
        <x:v>Approx. Non-MCC Pool</x:v>
      </x:c>
      <x:c r="O34" t="str">
        <x:v>Large non-MCC pool; quota split varies by state</x:v>
      </x:c>
      <x:c r="P34"/>
      <x:c r="Q34"/>
      <x:c r="R34"/>
      <x:c r="S34"/>
      <x:c r="T34"/>
      <x:c r="U34" t="str">
        <x:v>Pending state Round-1 allotment/cutoff data</x:v>
      </x:c>
    </x:row>
    <x:row r="35">
      <x:c r="A35" t="str">
        <x:v>Andhra Pradesh</x:v>
      </x:c>
      <x:c r="B35" t="str">
        <x:v>AP/005/P/4</x:v>
      </x:c>
      <x:c r="C35" t="str">
        <x:v>Apollo Institute of Medical Sciences and Research, Chittoor</x:v>
      </x:c>
      <x:c r="D35" t="str">
        <x:v>Private</x:v>
      </x:c>
      <x:c r="E35" t="n">
        <x:v>150</x:v>
      </x:c>
      <x:c r="F35" t="n">
        <x:v>0</x:v>
      </x:c>
      <x:c r="G35" t="n">
        <x:v>150</x:v>
      </x:c>
      <x:c r="H35"/>
      <x:c r="I35" t="n">
        <x:v>0</x:v>
      </x:c>
      <x:c r="J35" t="n">
        <x:v>0</x:v>
      </x:c>
      <x:c r="K35" t="n">
        <x:v>150</x:v>
      </x:c>
      <x:c r="L35" s="20" t="n">
        <x:v>1</x:v>
      </x:c>
      <x:c r="M35" t="str">
        <x:v>Variable</x:v>
      </x:c>
      <x:c r="N35" t="str">
        <x:v>Approx. Non-MCC Pool</x:v>
      </x:c>
      <x:c r="O35" t="str">
        <x:v>Large non-MCC pool; quota split varies by state</x:v>
      </x:c>
      <x:c r="P35"/>
      <x:c r="Q35"/>
      <x:c r="R35"/>
      <x:c r="S35"/>
      <x:c r="T35"/>
      <x:c r="U35" t="str">
        <x:v>Pending state Round-1 allotment/cutoff data</x:v>
      </x:c>
    </x:row>
    <x:row r="36">
      <x:c r="A36" t="str">
        <x:v>Andhra Pradesh</x:v>
      </x:c>
      <x:c r="B36" t="str">
        <x:v>AP/006/P/4</x:v>
      </x:c>
      <x:c r="C36" t="str">
        <x:v>Dr. P.S.I. Medical College , Chinoutpalli</x:v>
      </x:c>
      <x:c r="D36" t="str">
        <x:v>Private</x:v>
      </x:c>
      <x:c r="E36" t="n">
        <x:v>150</x:v>
      </x:c>
      <x:c r="F36" t="n">
        <x:v>0</x:v>
      </x:c>
      <x:c r="G36" t="n">
        <x:v>150</x:v>
      </x:c>
      <x:c r="H36"/>
      <x:c r="I36" t="n">
        <x:v>0</x:v>
      </x:c>
      <x:c r="J36" t="n">
        <x:v>0</x:v>
      </x:c>
      <x:c r="K36" t="n">
        <x:v>150</x:v>
      </x:c>
      <x:c r="L36" s="20" t="n">
        <x:v>1</x:v>
      </x:c>
      <x:c r="M36" t="str">
        <x:v>Variable</x:v>
      </x:c>
      <x:c r="N36" t="str">
        <x:v>Approx. Non-MCC Pool</x:v>
      </x:c>
      <x:c r="O36" t="str">
        <x:v>Large non-MCC pool; quota split varies by state</x:v>
      </x:c>
      <x:c r="P36"/>
      <x:c r="Q36"/>
      <x:c r="R36"/>
      <x:c r="S36"/>
      <x:c r="T36"/>
      <x:c r="U36" t="str">
        <x:v>Pending state Round-1 allotment/cutoff data</x:v>
      </x:c>
    </x:row>
    <x:row r="37">
      <x:c r="A37" t="str">
        <x:v>Andhra Pradesh</x:v>
      </x:c>
      <x:c r="B37" t="str">
        <x:v>AP/021/P/3</x:v>
      </x:c>
      <x:c r="C37" t="str">
        <x:v>Katuri Medical College, Guntur</x:v>
      </x:c>
      <x:c r="D37" t="str">
        <x:v>Private</x:v>
      </x:c>
      <x:c r="E37" t="n">
        <x:v>150</x:v>
      </x:c>
      <x:c r="F37" t="n">
        <x:v>0</x:v>
      </x:c>
      <x:c r="G37" t="n">
        <x:v>150</x:v>
      </x:c>
      <x:c r="H37"/>
      <x:c r="I37" t="n">
        <x:v>0</x:v>
      </x:c>
      <x:c r="J37" t="n">
        <x:v>0</x:v>
      </x:c>
      <x:c r="K37" t="n">
        <x:v>150</x:v>
      </x:c>
      <x:c r="L37" s="20" t="n">
        <x:v>1</x:v>
      </x:c>
      <x:c r="M37" t="str">
        <x:v>Variable</x:v>
      </x:c>
      <x:c r="N37" t="str">
        <x:v>Approx. Non-MCC Pool</x:v>
      </x:c>
      <x:c r="O37" t="str">
        <x:v>Large non-MCC pool; quota split varies by state</x:v>
      </x:c>
      <x:c r="P37"/>
      <x:c r="Q37"/>
      <x:c r="R37"/>
      <x:c r="S37"/>
      <x:c r="T37"/>
      <x:c r="U37" t="str">
        <x:v>Pending state Round-1 allotment/cutoff data</x:v>
      </x:c>
    </x:row>
    <x:row r="38">
      <x:c r="A38" t="str">
        <x:v>Andhra Pradesh</x:v>
      </x:c>
      <x:c r="B38" t="str">
        <x:v>AP/029/P/1</x:v>
      </x:c>
      <x:c r="C38" t="str">
        <x:v>P E S Institute Of Medical Sciences and Research, Kuppam</x:v>
      </x:c>
      <x:c r="D38" t="str">
        <x:v>Private</x:v>
      </x:c>
      <x:c r="E38" t="n">
        <x:v>150</x:v>
      </x:c>
      <x:c r="F38" t="n">
        <x:v>0</x:v>
      </x:c>
      <x:c r="G38" t="n">
        <x:v>150</x:v>
      </x:c>
      <x:c r="H38"/>
      <x:c r="I38" t="n">
        <x:v>0</x:v>
      </x:c>
      <x:c r="J38" t="n">
        <x:v>0</x:v>
      </x:c>
      <x:c r="K38" t="n">
        <x:v>150</x:v>
      </x:c>
      <x:c r="L38" s="20" t="n">
        <x:v>1</x:v>
      </x:c>
      <x:c r="M38" t="str">
        <x:v>Variable</x:v>
      </x:c>
      <x:c r="N38" t="str">
        <x:v>Approx. Non-MCC Pool</x:v>
      </x:c>
      <x:c r="O38" t="str">
        <x:v>Large non-MCC pool; quota split varies by state</x:v>
      </x:c>
      <x:c r="P38"/>
      <x:c r="Q38"/>
      <x:c r="R38"/>
      <x:c r="S38"/>
      <x:c r="T38"/>
      <x:c r="U38" t="str">
        <x:v>Pending state Round-1 allotment/cutoff data</x:v>
      </x:c>
    </x:row>
    <x:row r="39">
      <x:c r="A39" t="str">
        <x:v>Andhra Pradesh</x:v>
      </x:c>
      <x:c r="B39" t="str">
        <x:v>AP/036/P/3</x:v>
      </x:c>
      <x:c r="C39" t="str">
        <x:v>Sri Balaji Medical College, Hospital and Research Instiutute, Chittoor</x:v>
      </x:c>
      <x:c r="D39" t="str">
        <x:v>Private</x:v>
      </x:c>
      <x:c r="E39" t="n">
        <x:v>150</x:v>
      </x:c>
      <x:c r="F39" t="n">
        <x:v>0</x:v>
      </x:c>
      <x:c r="G39" t="n">
        <x:v>150</x:v>
      </x:c>
      <x:c r="H39"/>
      <x:c r="I39" t="n">
        <x:v>0</x:v>
      </x:c>
      <x:c r="J39" t="n">
        <x:v>0</x:v>
      </x:c>
      <x:c r="K39" t="n">
        <x:v>150</x:v>
      </x:c>
      <x:c r="L39" s="20" t="n">
        <x:v>1</x:v>
      </x:c>
      <x:c r="M39" t="str">
        <x:v>Variable</x:v>
      </x:c>
      <x:c r="N39" t="str">
        <x:v>Approx. Non-MCC Pool</x:v>
      </x:c>
      <x:c r="O39" t="str">
        <x:v>Large non-MCC pool; quota split varies by state</x:v>
      </x:c>
      <x:c r="P39"/>
      <x:c r="Q39"/>
      <x:c r="R39"/>
      <x:c r="S39"/>
      <x:c r="T39"/>
      <x:c r="U39" t="str">
        <x:v>Pending state Round-1 allotment/cutoff data</x:v>
      </x:c>
    </x:row>
    <x:row r="40">
      <x:c r="A40" t="str">
        <x:v>Andhra Pradesh</x:v>
      </x:c>
      <x:c r="B40" t="str">
        <x:v>AP/007/P/4</x:v>
      </x:c>
      <x:c r="C40" t="str">
        <x:v>Fathima Instt. of Medical Sciences, Kadapa</x:v>
      </x:c>
      <x:c r="D40" t="str">
        <x:v>Private</x:v>
      </x:c>
      <x:c r="E40" t="n">
        <x:v>100</x:v>
      </x:c>
      <x:c r="F40" t="n">
        <x:v>0</x:v>
      </x:c>
      <x:c r="G40" t="n">
        <x:v>100</x:v>
      </x:c>
      <x:c r="H40"/>
      <x:c r="I40" t="n">
        <x:v>0</x:v>
      </x:c>
      <x:c r="J40" t="n">
        <x:v>0</x:v>
      </x:c>
      <x:c r="K40" t="n">
        <x:v>100</x:v>
      </x:c>
      <x:c r="L40" s="20" t="n">
        <x:v>1</x:v>
      </x:c>
      <x:c r="M40" t="str">
        <x:v>Variable</x:v>
      </x:c>
      <x:c r="N40" t="str">
        <x:v>Approx. Non-MCC Pool</x:v>
      </x:c>
      <x:c r="O40" t="str">
        <x:v>State/management/NRI split must be verified</x:v>
      </x:c>
      <x:c r="P40"/>
      <x:c r="Q40"/>
      <x:c r="R40"/>
      <x:c r="S40"/>
      <x:c r="T40"/>
      <x:c r="U40" t="str">
        <x:v>Pending state Round-1 allotment/cutoff data</x:v>
      </x:c>
    </x:row>
    <x:row r="41">
      <x:c r="A41" t="str">
        <x:v>Andhra Pradesh</x:v>
      </x:c>
      <x:c r="B41" t="str">
        <x:v>New Establishment</x:v>
      </x:c>
      <x:c r="C41" t="str">
        <x:v>RVS INSTITUTE OF MEDICAL SCIENCES</x:v>
      </x:c>
      <x:c r="D41" t="str">
        <x:v>Private</x:v>
      </x:c>
      <x:c r="E41" t="n">
        <x:v>0</x:v>
      </x:c>
      <x:c r="F41" t="n">
        <x:v>50</x:v>
      </x:c>
      <x:c r="G41" t="n">
        <x:v>50</x:v>
      </x:c>
      <x:c r="H41" t="str">
        <x:v>904744</x:v>
      </x:c>
      <x:c r="I41" t="n">
        <x:v>15</x:v>
      </x:c>
      <x:c r="J41" t="n">
        <x:v>15</x:v>
      </x:c>
      <x:c r="K41" t="n">
        <x:v>35</x:v>
      </x:c>
      <x:c r="L41" s="20" t="n">
        <x:v>0.7</x:v>
      </x:c>
      <x:c r="M41" t="str">
        <x:v>Variable</x:v>
      </x:c>
      <x:c r="N41" t="str">
        <x:v>Approx. Non-MCC Pool</x:v>
      </x:c>
      <x:c r="O41" t="str">
        <x:v>Expanded 2026 capacity; state/management split to verify</x:v>
      </x:c>
      <x:c r="P41" t="n">
        <x:v>19127</x:v>
      </x:c>
      <x:c r="Q41" t="n">
        <x:v>22142</x:v>
      </x:c>
      <x:c r="R41" t="n">
        <x:v>21393</x:v>
      </x:c>
      <x:c r="S41" t="n">
        <x:v>82876</x:v>
      </x:c>
      <x:c r="T41" t="n">
        <x:v>72645</x:v>
      </x:c>
      <x:c r="U41" t="str">
        <x:v>Pending state Round-1 allotment/cutoff data</x:v>
      </x:c>
    </x:row>
    <x:row r="42">
      <x:c r="A42" t="str">
        <x:v>Andhra Pradesh</x:v>
      </x:c>
      <x:c r="B42" t="str">
        <x:v>AP/009/P/4</x:v>
      </x:c>
      <x:c r="C42" t="str">
        <x:v>GITAM Institute of Medical Sciences and Research, Visakhapatnam</x:v>
      </x:c>
      <x:c r="D42" t="str">
        <x:v>Private</x:v>
      </x:c>
      <x:c r="E42" t="n">
        <x:v>150</x:v>
      </x:c>
      <x:c r="F42" t="n">
        <x:v>0</x:v>
      </x:c>
      <x:c r="G42" t="n">
        <x:v>150</x:v>
      </x:c>
      <x:c r="H42" t="str">
        <x:v>200324</x:v>
      </x:c>
      <x:c r="I42" t="n">
        <x:v>150</x:v>
      </x:c>
      <x:c r="J42" t="n">
        <x:v>127</x:v>
      </x:c>
      <x:c r="K42" t="n">
        <x:v>0</x:v>
      </x:c>
      <x:c r="L42" s="20" t="n">
        <x:v>0</x:v>
      </x:c>
      <x:c r="M42" t="str">
        <x:v>Variable</x:v>
      </x:c>
      <x:c r="N42" t="str">
        <x:v>Approx. Non-MCC Pool</x:v>
      </x:c>
      <x:c r="O42" t="str">
        <x:v>State/management/NRI split must be verified</x:v>
      </x:c>
      <x:c r="P42" t="n">
        <x:v>501240</x:v>
      </x:c>
      <x:c r="Q42"/>
      <x:c r="R42"/>
      <x:c r="S42"/>
      <x:c r="T42"/>
      <x:c r="U42" t="str">
        <x:v>Pending state Round-1 allotment/cutoff data</x:v>
      </x:c>
    </x:row>
    <x:row r="43">
      <x:c r="A43" t="str">
        <x:v>Arunachal Pradesh</x:v>
      </x:c>
      <x:c r="B43" t="str">
        <x:v>AR/001/G/1</x:v>
      </x:c>
      <x:c r="C43" t="str">
        <x:v>Tomo Riba Institute of Health &amp; Medical Sciences, Naharlagun</x:v>
      </x:c>
      <x:c r="D43" t="str">
        <x:v>Government</x:v>
      </x:c>
      <x:c r="E43" t="n">
        <x:v>100</x:v>
      </x:c>
      <x:c r="F43" t="n">
        <x:v>0</x:v>
      </x:c>
      <x:c r="G43" t="n">
        <x:v>100</x:v>
      </x:c>
      <x:c r="H43"/>
      <x:c r="I43" t="n">
        <x:v>0</x:v>
      </x:c>
      <x:c r="J43" t="n">
        <x:v>0</x:v>
      </x:c>
      <x:c r="K43" t="n">
        <x:v>100</x:v>
      </x:c>
      <x:c r="L43" s="20" t="n">
        <x:v>1</x:v>
      </x:c>
      <x:c r="M43" t="str">
        <x:v>High</x:v>
      </x:c>
      <x:c r="N43" t="str">
        <x:v>Approx. State/Non-MCC Pool</x:v>
      </x:c>
      <x:c r="O43" t="str">
        <x:v>Moderate state-counselling pool</x:v>
      </x:c>
      <x:c r="P43"/>
      <x:c r="Q43"/>
      <x:c r="R43"/>
      <x:c r="S43"/>
      <x:c r="T43"/>
      <x:c r="U43" t="str">
        <x:v>Pending state Round-1 allotment/cutoff data</x:v>
      </x:c>
    </x:row>
    <x:row r="44">
      <x:c r="A44" t="str">
        <x:v>Assam</x:v>
      </x:c>
      <x:c r="B44" t="str">
        <x:v>AS/006/G/1</x:v>
      </x:c>
      <x:c r="C44" t="str">
        <x:v>Gauhati Medical College, Guwahati</x:v>
      </x:c>
      <x:c r="D44" t="str">
        <x:v>Government</x:v>
      </x:c>
      <x:c r="E44" t="n">
        <x:v>250</x:v>
      </x:c>
      <x:c r="F44" t="n">
        <x:v>0</x:v>
      </x:c>
      <x:c r="G44" t="n">
        <x:v>250</x:v>
      </x:c>
      <x:c r="H44" t="str">
        <x:v>200104</x:v>
      </x:c>
      <x:c r="I44" t="n">
        <x:v>37</x:v>
      </x:c>
      <x:c r="J44" t="n">
        <x:v>37</x:v>
      </x:c>
      <x:c r="K44" t="n">
        <x:v>213</x:v>
      </x:c>
      <x:c r="L44" s="20" t="n">
        <x:v>0.852</x:v>
      </x:c>
      <x:c r="M44" t="str">
        <x:v>High</x:v>
      </x:c>
      <x:c r="N44" t="str">
        <x:v>Approx. State/Non-MCC Pool</x:v>
      </x:c>
      <x:c r="O44" t="str">
        <x:v>Large state-counselling pool</x:v>
      </x:c>
      <x:c r="P44" t="n">
        <x:v>4891</x:v>
      </x:c>
      <x:c r="Q44" t="n">
        <x:v>8754</x:v>
      </x:c>
      <x:c r="R44" t="n">
        <x:v>9542</x:v>
      </x:c>
      <x:c r="S44" t="n">
        <x:v>33552</x:v>
      </x:c>
      <x:c r="T44" t="n">
        <x:v>46540</x:v>
      </x:c>
      <x:c r="U44" t="str">
        <x:v>Pending state Round-1 allotment/cutoff data</x:v>
      </x:c>
    </x:row>
    <x:row r="45">
      <x:c r="A45" t="str">
        <x:v>Assam</x:v>
      </x:c>
      <x:c r="B45" t="str">
        <x:v>AS/001/G/1</x:v>
      </x:c>
      <x:c r="C45" t="str">
        <x:v>Assam Medial College, Dibrugarh</x:v>
      </x:c>
      <x:c r="D45" t="str">
        <x:v>Government</x:v>
      </x:c>
      <x:c r="E45" t="n">
        <x:v>250</x:v>
      </x:c>
      <x:c r="F45" t="n">
        <x:v>0</x:v>
      </x:c>
      <x:c r="G45" t="n">
        <x:v>250</x:v>
      </x:c>
      <x:c r="H45" t="str">
        <x:v>200102</x:v>
      </x:c>
      <x:c r="I45" t="n">
        <x:v>38</x:v>
      </x:c>
      <x:c r="J45" t="n">
        <x:v>38</x:v>
      </x:c>
      <x:c r="K45" t="n">
        <x:v>212</x:v>
      </x:c>
      <x:c r="L45" s="20" t="n">
        <x:v>0.848</x:v>
      </x:c>
      <x:c r="M45" t="str">
        <x:v>High</x:v>
      </x:c>
      <x:c r="N45" t="str">
        <x:v>Approx. State/Non-MCC Pool</x:v>
      </x:c>
      <x:c r="O45" t="str">
        <x:v>Large state-counselling pool</x:v>
      </x:c>
      <x:c r="P45" t="n">
        <x:v>11412</x:v>
      </x:c>
      <x:c r="Q45" t="n">
        <x:v>16314</x:v>
      </x:c>
      <x:c r="R45" t="n">
        <x:v>16791</x:v>
      </x:c>
      <x:c r="S45" t="n">
        <x:v>69727</x:v>
      </x:c>
      <x:c r="T45" t="n">
        <x:v>53839</x:v>
      </x:c>
      <x:c r="U45" t="str">
        <x:v>Pending state Round-1 allotment/cutoff data</x:v>
      </x:c>
    </x:row>
    <x:row r="46">
      <x:c r="A46" t="str">
        <x:v>Assam</x:v>
      </x:c>
      <x:c r="B46" t="str">
        <x:v>AS/013/G/1</x:v>
      </x:c>
      <x:c r="C46" t="str">
        <x:v>Silchar Medical College, Silchar</x:v>
      </x:c>
      <x:c r="D46" t="str">
        <x:v>Government</x:v>
      </x:c>
      <x:c r="E46" t="n">
        <x:v>150</x:v>
      </x:c>
      <x:c r="F46" t="n">
        <x:v>0</x:v>
      </x:c>
      <x:c r="G46" t="n">
        <x:v>150</x:v>
      </x:c>
      <x:c r="H46" t="str">
        <x:v>200107</x:v>
      </x:c>
      <x:c r="I46" t="n">
        <x:v>23</x:v>
      </x:c>
      <x:c r="J46" t="n">
        <x:v>23</x:v>
      </x:c>
      <x:c r="K46" t="n">
        <x:v>127</x:v>
      </x:c>
      <x:c r="L46" s="20" t="n">
        <x:v>0.8466666666666667</x:v>
      </x:c>
      <x:c r="M46" t="str">
        <x:v>High</x:v>
      </x:c>
      <x:c r="N46" t="str">
        <x:v>Approx. State/Non-MCC Pool</x:v>
      </x:c>
      <x:c r="O46" t="str">
        <x:v>Moderate state-counselling pool</x:v>
      </x:c>
      <x:c r="P46" t="n">
        <x:v>15646</x:v>
      </x:c>
      <x:c r="Q46" t="n">
        <x:v>17474</x:v>
      </x:c>
      <x:c r="R46" t="n">
        <x:v>20939</x:v>
      </x:c>
      <x:c r="S46" t="n">
        <x:v>58720</x:v>
      </x:c>
      <x:c r="T46" t="n">
        <x:v>77862</x:v>
      </x:c>
      <x:c r="U46" t="str">
        <x:v>Pending state Round-1 allotment/cutoff data</x:v>
      </x:c>
    </x:row>
    <x:row r="47">
      <x:c r="A47" t="str">
        <x:v>Assam</x:v>
      </x:c>
      <x:c r="B47" t="str">
        <x:v>AS/005/G/1</x:v>
      </x:c>
      <x:c r="C47" t="str">
        <x:v>Fakhruddin Ali Ahmed Medical College, Barpeta, Assam</x:v>
      </x:c>
      <x:c r="D47" t="str">
        <x:v>Government</x:v>
      </x:c>
      <x:c r="E47" t="n">
        <x:v>125</x:v>
      </x:c>
      <x:c r="F47" t="n">
        <x:v>0</x:v>
      </x:c>
      <x:c r="G47" t="n">
        <x:v>125</x:v>
      </x:c>
      <x:c r="H47" t="str">
        <x:v>200103</x:v>
      </x:c>
      <x:c r="I47" t="n">
        <x:v>19</x:v>
      </x:c>
      <x:c r="J47" t="n">
        <x:v>19</x:v>
      </x:c>
      <x:c r="K47" t="n">
        <x:v>106</x:v>
      </x:c>
      <x:c r="L47" s="20" t="n">
        <x:v>0.848</x:v>
      </x:c>
      <x:c r="M47" t="str">
        <x:v>High</x:v>
      </x:c>
      <x:c r="N47" t="str">
        <x:v>Approx. State/Non-MCC Pool</x:v>
      </x:c>
      <x:c r="O47" t="str">
        <x:v>Moderate state-counselling pool</x:v>
      </x:c>
      <x:c r="P47" t="n">
        <x:v>19202</x:v>
      </x:c>
      <x:c r="Q47" t="n">
        <x:v>20680</x:v>
      </x:c>
      <x:c r="R47" t="n">
        <x:v>20734</x:v>
      </x:c>
      <x:c r="S47" t="n">
        <x:v>99077</x:v>
      </x:c>
      <x:c r="T47" t="n">
        <x:v>102050</x:v>
      </x:c>
      <x:c r="U47" t="str">
        <x:v>Pending state Round-1 allotment/cutoff data</x:v>
      </x:c>
    </x:row>
    <x:row r="48">
      <x:c r="A48" t="str">
        <x:v>Assam</x:v>
      </x:c>
      <x:c r="B48" t="str">
        <x:v>AS/007/G/1</x:v>
      </x:c>
      <x:c r="C48" t="str">
        <x:v>Jorhat Medical College &amp; Hospital , Jorhat</x:v>
      </x:c>
      <x:c r="D48" t="str">
        <x:v>Government</x:v>
      </x:c>
      <x:c r="E48" t="n">
        <x:v>125</x:v>
      </x:c>
      <x:c r="F48" t="n">
        <x:v>0</x:v>
      </x:c>
      <x:c r="G48" t="n">
        <x:v>125</x:v>
      </x:c>
      <x:c r="H48" t="str">
        <x:v>200105</x:v>
      </x:c>
      <x:c r="I48" t="n">
        <x:v>19</x:v>
      </x:c>
      <x:c r="J48" t="n">
        <x:v>19</x:v>
      </x:c>
      <x:c r="K48" t="n">
        <x:v>106</x:v>
      </x:c>
      <x:c r="L48" s="20" t="n">
        <x:v>0.848</x:v>
      </x:c>
      <x:c r="M48" t="str">
        <x:v>High</x:v>
      </x:c>
      <x:c r="N48" t="str">
        <x:v>Approx. State/Non-MCC Pool</x:v>
      </x:c>
      <x:c r="O48" t="str">
        <x:v>Moderate state-counselling pool</x:v>
      </x:c>
      <x:c r="P48" t="n">
        <x:v>16813</x:v>
      </x:c>
      <x:c r="Q48" t="n">
        <x:v>18958</x:v>
      </x:c>
      <x:c r="R48" t="n">
        <x:v>22724</x:v>
      </x:c>
      <x:c r="S48" t="n">
        <x:v>84177</x:v>
      </x:c>
      <x:c r="T48" t="n">
        <x:v>77281</x:v>
      </x:c>
      <x:c r="U48" t="str">
        <x:v>Pending state Round-1 allotment/cutoff data</x:v>
      </x:c>
    </x:row>
    <x:row r="49">
      <x:c r="A49" t="str">
        <x:v>Assam</x:v>
      </x:c>
      <x:c r="B49" t="str">
        <x:v>AS/014/G/1</x:v>
      </x:c>
      <x:c r="C49" t="str">
        <x:v>Tezpur Medical College &amp; Hospital, Tezpur</x:v>
      </x:c>
      <x:c r="D49" t="str">
        <x:v>Government</x:v>
      </x:c>
      <x:c r="E49" t="n">
        <x:v>125</x:v>
      </x:c>
      <x:c r="F49" t="n">
        <x:v>0</x:v>
      </x:c>
      <x:c r="G49" t="n">
        <x:v>125</x:v>
      </x:c>
      <x:c r="H49" t="str">
        <x:v>200108</x:v>
      </x:c>
      <x:c r="I49" t="n">
        <x:v>19</x:v>
      </x:c>
      <x:c r="J49" t="n">
        <x:v>19</x:v>
      </x:c>
      <x:c r="K49" t="n">
        <x:v>106</x:v>
      </x:c>
      <x:c r="L49" s="20" t="n">
        <x:v>0.848</x:v>
      </x:c>
      <x:c r="M49" t="str">
        <x:v>High</x:v>
      </x:c>
      <x:c r="N49" t="str">
        <x:v>Approx. State/Non-MCC Pool</x:v>
      </x:c>
      <x:c r="O49" t="str">
        <x:v>Moderate state-counselling pool</x:v>
      </x:c>
      <x:c r="P49" t="n">
        <x:v>18656</x:v>
      </x:c>
      <x:c r="Q49" t="n">
        <x:v>21244</x:v>
      </x:c>
      <x:c r="R49" t="n">
        <x:v>21779</x:v>
      </x:c>
      <x:c r="S49" t="n">
        <x:v>91212</x:v>
      </x:c>
      <x:c r="T49" t="n">
        <x:v>63232</x:v>
      </x:c>
      <x:c r="U49" t="str">
        <x:v>Pending state Round-1 allotment/cutoff data</x:v>
      </x:c>
    </x:row>
    <x:row r="50">
      <x:c r="A50" t="str">
        <x:v>Assam</x:v>
      </x:c>
      <x:c r="B50" t="str">
        <x:v>AS/002/G/1</x:v>
      </x:c>
      <x:c r="C50" t="str">
        <x:v>Dhubri Medical College, Dhubri</x:v>
      </x:c>
      <x:c r="D50" t="str">
        <x:v>Government</x:v>
      </x:c>
      <x:c r="E50" t="n">
        <x:v>100</x:v>
      </x:c>
      <x:c r="F50" t="n">
        <x:v>0</x:v>
      </x:c>
      <x:c r="G50" t="n">
        <x:v>100</x:v>
      </x:c>
      <x:c r="H50" t="str">
        <x:v>200642</x:v>
      </x:c>
      <x:c r="I50" t="n">
        <x:v>15</x:v>
      </x:c>
      <x:c r="J50" t="n">
        <x:v>15</x:v>
      </x:c>
      <x:c r="K50" t="n">
        <x:v>85</x:v>
      </x:c>
      <x:c r="L50" s="20" t="n">
        <x:v>0.85</x:v>
      </x:c>
      <x:c r="M50" t="str">
        <x:v>High</x:v>
      </x:c>
      <x:c r="N50" t="str">
        <x:v>Approx. State/Non-MCC Pool</x:v>
      </x:c>
      <x:c r="O50" t="str">
        <x:v>Moderate state-counselling pool</x:v>
      </x:c>
      <x:c r="P50" t="n">
        <x:v>19930</x:v>
      </x:c>
      <x:c r="Q50" t="n">
        <x:v>21832</x:v>
      </x:c>
      <x:c r="R50" t="n">
        <x:v>24431</x:v>
      </x:c>
      <x:c r="S50" t="n">
        <x:v>94532</x:v>
      </x:c>
      <x:c r="T50" t="n">
        <x:v>108848</x:v>
      </x:c>
      <x:c r="U50" t="str">
        <x:v>Pending state Round-1 allotment/cutoff data</x:v>
      </x:c>
    </x:row>
    <x:row r="51">
      <x:c r="A51" t="str">
        <x:v>Assam</x:v>
      </x:c>
      <x:c r="B51" t="str">
        <x:v>AS/003/G/1</x:v>
      </x:c>
      <x:c r="C51" t="str">
        <x:v>Diphu Medical College &amp; Hospital, Diphu, Assam</x:v>
      </x:c>
      <x:c r="D51" t="str">
        <x:v>Government</x:v>
      </x:c>
      <x:c r="E51" t="n">
        <x:v>100</x:v>
      </x:c>
      <x:c r="F51" t="n">
        <x:v>0</x:v>
      </x:c>
      <x:c r="G51" t="n">
        <x:v>100</x:v>
      </x:c>
      <x:c r="H51" t="str">
        <x:v>200578</x:v>
      </x:c>
      <x:c r="I51" t="n">
        <x:v>15</x:v>
      </x:c>
      <x:c r="J51" t="n">
        <x:v>15</x:v>
      </x:c>
      <x:c r="K51" t="n">
        <x:v>85</x:v>
      </x:c>
      <x:c r="L51" s="20" t="n">
        <x:v>0.85</x:v>
      </x:c>
      <x:c r="M51" t="str">
        <x:v>High</x:v>
      </x:c>
      <x:c r="N51" t="str">
        <x:v>Approx. State/Non-MCC Pool</x:v>
      </x:c>
      <x:c r="O51" t="str">
        <x:v>Moderate state-counselling pool</x:v>
      </x:c>
      <x:c r="P51" t="n">
        <x:v>19996</x:v>
      </x:c>
      <x:c r="Q51" t="n">
        <x:v>22234</x:v>
      </x:c>
      <x:c r="R51" t="n">
        <x:v>23585</x:v>
      </x:c>
      <x:c r="S51" t="n">
        <x:v>100120</x:v>
      </x:c>
      <x:c r="T51" t="n">
        <x:v>114961</x:v>
      </x:c>
      <x:c r="U51" t="str">
        <x:v>Pending state Round-1 allotment/cutoff data</x:v>
      </x:c>
    </x:row>
    <x:row r="52">
      <x:c r="A52" t="str">
        <x:v>Assam</x:v>
      </x:c>
      <x:c r="B52" t="str">
        <x:v>AS/008/G/1</x:v>
      </x:c>
      <x:c r="C52" t="str">
        <x:v>Kokrajhar Medical College</x:v>
      </x:c>
      <x:c r="D52" t="str">
        <x:v>Government</x:v>
      </x:c>
      <x:c r="E52" t="n">
        <x:v>100</x:v>
      </x:c>
      <x:c r="F52" t="n">
        <x:v>0</x:v>
      </x:c>
      <x:c r="G52" t="n">
        <x:v>100</x:v>
      </x:c>
      <x:c r="H52" t="str">
        <x:v>200652</x:v>
      </x:c>
      <x:c r="I52" t="n">
        <x:v>15</x:v>
      </x:c>
      <x:c r="J52" t="n">
        <x:v>15</x:v>
      </x:c>
      <x:c r="K52" t="n">
        <x:v>85</x:v>
      </x:c>
      <x:c r="L52" s="20" t="n">
        <x:v>0.85</x:v>
      </x:c>
      <x:c r="M52" t="str">
        <x:v>High</x:v>
      </x:c>
      <x:c r="N52" t="str">
        <x:v>Approx. State/Non-MCC Pool</x:v>
      </x:c>
      <x:c r="O52" t="str">
        <x:v>Moderate state-counselling pool</x:v>
      </x:c>
      <x:c r="P52" t="n">
        <x:v>21540</x:v>
      </x:c>
      <x:c r="Q52" t="n">
        <x:v>22779</x:v>
      </x:c>
      <x:c r="R52" t="n">
        <x:v>25203</x:v>
      </x:c>
      <x:c r="S52" t="n">
        <x:v>104687</x:v>
      </x:c>
      <x:c r="T52" t="n">
        <x:v>117339</x:v>
      </x:c>
      <x:c r="U52" t="str">
        <x:v>Pending state Round-1 allotment/cutoff data</x:v>
      </x:c>
    </x:row>
    <x:row r="53">
      <x:c r="A53" t="str">
        <x:v>Assam</x:v>
      </x:c>
      <x:c r="B53" t="str">
        <x:v>AS/009/G/1</x:v>
      </x:c>
      <x:c r="C53" t="str">
        <x:v>Lakhimpur Medical College</x:v>
      </x:c>
      <x:c r="D53" t="str">
        <x:v>Government</x:v>
      </x:c>
      <x:c r="E53" t="n">
        <x:v>100</x:v>
      </x:c>
      <x:c r="F53" t="n">
        <x:v>0</x:v>
      </x:c>
      <x:c r="G53" t="n">
        <x:v>100</x:v>
      </x:c>
      <x:c r="H53" t="str">
        <x:v>200588</x:v>
      </x:c>
      <x:c r="I53" t="n">
        <x:v>15</x:v>
      </x:c>
      <x:c r="J53" t="n">
        <x:v>15</x:v>
      </x:c>
      <x:c r="K53" t="n">
        <x:v>85</x:v>
      </x:c>
      <x:c r="L53" s="20" t="n">
        <x:v>0.85</x:v>
      </x:c>
      <x:c r="M53" t="str">
        <x:v>High</x:v>
      </x:c>
      <x:c r="N53" t="str">
        <x:v>Approx. State/Non-MCC Pool</x:v>
      </x:c>
      <x:c r="O53" t="str">
        <x:v>Moderate state-counselling pool</x:v>
      </x:c>
      <x:c r="P53" t="n">
        <x:v>17370</x:v>
      </x:c>
      <x:c r="Q53" t="n">
        <x:v>17817</x:v>
      </x:c>
      <x:c r="R53" t="n">
        <x:v>18771</x:v>
      </x:c>
      <x:c r="S53" t="n">
        <x:v>86110</x:v>
      </x:c>
      <x:c r="T53" t="n">
        <x:v>94055</x:v>
      </x:c>
      <x:c r="U53" t="str">
        <x:v>Pending state Round-1 allotment/cutoff data</x:v>
      </x:c>
    </x:row>
    <x:row r="54">
      <x:c r="A54" t="str">
        <x:v>Assam</x:v>
      </x:c>
      <x:c r="B54" t="str">
        <x:v>AS/010/G/1</x:v>
      </x:c>
      <x:c r="C54" t="str">
        <x:v>Nagaon Medical College</x:v>
      </x:c>
      <x:c r="D54" t="str">
        <x:v>Government</x:v>
      </x:c>
      <x:c r="E54" t="n">
        <x:v>100</x:v>
      </x:c>
      <x:c r="F54" t="n">
        <x:v>0</x:v>
      </x:c>
      <x:c r="G54" t="n">
        <x:v>100</x:v>
      </x:c>
      <x:c r="H54" t="str">
        <x:v>200649</x:v>
      </x:c>
      <x:c r="I54" t="n">
        <x:v>15</x:v>
      </x:c>
      <x:c r="J54" t="n">
        <x:v>15</x:v>
      </x:c>
      <x:c r="K54" t="n">
        <x:v>85</x:v>
      </x:c>
      <x:c r="L54" s="20" t="n">
        <x:v>0.85</x:v>
      </x:c>
      <x:c r="M54" t="str">
        <x:v>High</x:v>
      </x:c>
      <x:c r="N54" t="str">
        <x:v>Approx. State/Non-MCC Pool</x:v>
      </x:c>
      <x:c r="O54" t="str">
        <x:v>Moderate state-counselling pool</x:v>
      </x:c>
      <x:c r="P54" t="n">
        <x:v>20272</x:v>
      </x:c>
      <x:c r="Q54" t="n">
        <x:v>22620</x:v>
      </x:c>
      <x:c r="R54" t="n">
        <x:v>25134</x:v>
      </x:c>
      <x:c r="S54" t="n">
        <x:v>104038</x:v>
      </x:c>
      <x:c r="T54" t="n">
        <x:v>128312</x:v>
      </x:c>
      <x:c r="U54" t="str">
        <x:v>Pending state Round-1 allotment/cutoff data</x:v>
      </x:c>
    </x:row>
    <x:row r="55">
      <x:c r="A55" t="str">
        <x:v>Assam</x:v>
      </x:c>
      <x:c r="B55" t="str">
        <x:v>AS/011/G/1</x:v>
      </x:c>
      <x:c r="C55" t="str">
        <x:v>Nalbari Medical College, Nalbari</x:v>
      </x:c>
      <x:c r="D55" t="str">
        <x:v>Government</x:v>
      </x:c>
      <x:c r="E55" t="n">
        <x:v>100</x:v>
      </x:c>
      <x:c r="F55" t="n">
        <x:v>0</x:v>
      </x:c>
      <x:c r="G55" t="n">
        <x:v>100</x:v>
      </x:c>
      <x:c r="H55" t="str">
        <x:v>200658</x:v>
      </x:c>
      <x:c r="I55" t="n">
        <x:v>15</x:v>
      </x:c>
      <x:c r="J55" t="n">
        <x:v>15</x:v>
      </x:c>
      <x:c r="K55" t="n">
        <x:v>85</x:v>
      </x:c>
      <x:c r="L55" s="20" t="n">
        <x:v>0.85</x:v>
      </x:c>
      <x:c r="M55" t="str">
        <x:v>High</x:v>
      </x:c>
      <x:c r="N55" t="str">
        <x:v>Approx. State/Non-MCC Pool</x:v>
      </x:c>
      <x:c r="O55" t="str">
        <x:v>Moderate state-counselling pool</x:v>
      </x:c>
      <x:c r="P55" t="n">
        <x:v>20696</x:v>
      </x:c>
      <x:c r="Q55" t="n">
        <x:v>22952</x:v>
      </x:c>
      <x:c r="R55" t="n">
        <x:v>25886</x:v>
      </x:c>
      <x:c r="S55" t="n">
        <x:v>100516</x:v>
      </x:c>
      <x:c r="T55" t="n">
        <x:v>126398</x:v>
      </x:c>
      <x:c r="U55" t="str">
        <x:v>Pending state Round-1 allotment/cutoff data</x:v>
      </x:c>
    </x:row>
    <x:row r="56">
      <x:c r="A56" t="str">
        <x:v>Assam</x:v>
      </x:c>
      <x:c r="B56" t="str">
        <x:v>AS/012/G/1</x:v>
      </x:c>
      <x:c r="C56" t="str">
        <x:v>Pragjyotishpur Medical College</x:v>
      </x:c>
      <x:c r="D56" t="str">
        <x:v>Government</x:v>
      </x:c>
      <x:c r="E56" t="n">
        <x:v>100</x:v>
      </x:c>
      <x:c r="F56" t="n">
        <x:v>0</x:v>
      </x:c>
      <x:c r="G56" t="n">
        <x:v>100</x:v>
      </x:c>
      <x:c r="H56" t="str">
        <x:v>904359</x:v>
      </x:c>
      <x:c r="I56" t="n">
        <x:v>15</x:v>
      </x:c>
      <x:c r="J56" t="n">
        <x:v>15</x:v>
      </x:c>
      <x:c r="K56" t="n">
        <x:v>85</x:v>
      </x:c>
      <x:c r="L56" s="20" t="n">
        <x:v>0.85</x:v>
      </x:c>
      <x:c r="M56" t="str">
        <x:v>High</x:v>
      </x:c>
      <x:c r="N56" t="str">
        <x:v>Approx. State/Non-MCC Pool</x:v>
      </x:c>
      <x:c r="O56" t="str">
        <x:v>Moderate state-counselling pool</x:v>
      </x:c>
      <x:c r="P56" t="n">
        <x:v>17534</x:v>
      </x:c>
      <x:c r="Q56" t="n">
        <x:v>20085</x:v>
      </x:c>
      <x:c r="R56" t="n">
        <x:v>24563</x:v>
      </x:c>
      <x:c r="S56" t="n">
        <x:v>95903</x:v>
      </x:c>
      <x:c r="T56" t="n">
        <x:v>68821</x:v>
      </x:c>
      <x:c r="U56" t="str">
        <x:v>Pending state Round-1 allotment/cutoff data</x:v>
      </x:c>
    </x:row>
    <x:row r="57">
      <x:c r="A57" t="str">
        <x:v>Assam</x:v>
      </x:c>
      <x:c r="B57" t="str">
        <x:v>AS/015/G/1</x:v>
      </x:c>
      <x:c r="C57" t="str">
        <x:v>Tinsukia Medical College - Assam Pin - 786146</x:v>
      </x:c>
      <x:c r="D57" t="str">
        <x:v>Government</x:v>
      </x:c>
      <x:c r="E57" t="n">
        <x:v>100</x:v>
      </x:c>
      <x:c r="F57" t="n">
        <x:v>0</x:v>
      </x:c>
      <x:c r="G57" t="n">
        <x:v>100</x:v>
      </x:c>
      <x:c r="H57" t="str">
        <x:v>902808</x:v>
      </x:c>
      <x:c r="I57" t="n">
        <x:v>15</x:v>
      </x:c>
      <x:c r="J57" t="n">
        <x:v>15</x:v>
      </x:c>
      <x:c r="K57" t="n">
        <x:v>85</x:v>
      </x:c>
      <x:c r="L57" s="20" t="n">
        <x:v>0.85</x:v>
      </x:c>
      <x:c r="M57" t="str">
        <x:v>High</x:v>
      </x:c>
      <x:c r="N57" t="str">
        <x:v>Approx. State/Non-MCC Pool</x:v>
      </x:c>
      <x:c r="O57" t="str">
        <x:v>Moderate state-counselling pool</x:v>
      </x:c>
      <x:c r="P57" t="n">
        <x:v>21632</x:v>
      </x:c>
      <x:c r="Q57" t="n">
        <x:v>22974</x:v>
      </x:c>
      <x:c r="R57" t="n">
        <x:v>25463</x:v>
      </x:c>
      <x:c r="S57" t="n">
        <x:v>96746</x:v>
      </x:c>
      <x:c r="T57" t="n">
        <x:v>119678</x:v>
      </x:c>
      <x:c r="U57" t="str">
        <x:v>Pending state Round-1 allotment/cutoff data</x:v>
      </x:c>
    </x:row>
    <x:row r="58">
      <x:c r="A58" t="str">
        <x:v>Assam</x:v>
      </x:c>
      <x:c r="B58" t="str">
        <x:v>AS/004/G/1</x:v>
      </x:c>
      <x:c r="C58" t="str">
        <x:v>ESIC Medical College and Hospital, Beltola</x:v>
      </x:c>
      <x:c r="D58" t="str">
        <x:v>Government</x:v>
      </x:c>
      <x:c r="E58" t="n">
        <x:v>50</x:v>
      </x:c>
      <x:c r="F58" t="n">
        <x:v>0</x:v>
      </x:c>
      <x:c r="G58" t="n">
        <x:v>50</x:v>
      </x:c>
      <x:c r="H58" t="str">
        <x:v>904552</x:v>
      </x:c>
      <x:c r="I58" t="n">
        <x:v>32</x:v>
      </x:c>
      <x:c r="J58" t="n">
        <x:v>32</x:v>
      </x:c>
      <x:c r="K58" t="n">
        <x:v>18</x:v>
      </x:c>
      <x:c r="L58" s="20" t="n">
        <x:v>0.36</x:v>
      </x:c>
      <x:c r="M58" t="str">
        <x:v>High</x:v>
      </x:c>
      <x:c r="N58" t="str">
        <x:v>Approx. State/Non-MCC Pool</x:v>
      </x:c>
      <x:c r="O58" t="str">
        <x:v>Smaller state-counselling pool</x:v>
      </x:c>
      <x:c r="P58" t="n">
        <x:v>37860</x:v>
      </x:c>
      <x:c r="Q58" t="n">
        <x:v>45956</x:v>
      </x:c>
      <x:c r="R58" t="n">
        <x:v>50012</x:v>
      </x:c>
      <x:c r="S58" t="n">
        <x:v>173986</x:v>
      </x:c>
      <x:c r="T58" t="n">
        <x:v>269777</x:v>
      </x:c>
      <x:c r="U58" t="str">
        <x:v>Pending state Round-1 allotment/cutoff data</x:v>
      </x:c>
    </x:row>
    <x:row r="59">
      <x:c r="A59" t="str">
        <x:v>Bihar</x:v>
      </x:c>
      <x:c r="B59" t="str">
        <x:v>BR/018/G/1</x:v>
      </x:c>
      <x:c r="C59" t="str">
        <x:v>Patna Medical College, Patna</x:v>
      </x:c>
      <x:c r="D59" t="str">
        <x:v>Government</x:v>
      </x:c>
      <x:c r="E59" t="n">
        <x:v>200</x:v>
      </x:c>
      <x:c r="F59" t="n">
        <x:v>50</x:v>
      </x:c>
      <x:c r="G59" t="n">
        <x:v>250</x:v>
      </x:c>
      <x:c r="H59" t="str">
        <x:v>200116</x:v>
      </x:c>
      <x:c r="I59" t="n">
        <x:v>38</x:v>
      </x:c>
      <x:c r="J59" t="n">
        <x:v>38</x:v>
      </x:c>
      <x:c r="K59" t="n">
        <x:v>212</x:v>
      </x:c>
      <x:c r="L59" s="20" t="n">
        <x:v>0.848</x:v>
      </x:c>
      <x:c r="M59" t="str">
        <x:v>High</x:v>
      </x:c>
      <x:c r="N59" t="str">
        <x:v>Approx. State/Non-MCC Pool</x:v>
      </x:c>
      <x:c r="O59" t="str">
        <x:v>Expanded 2026 capacity + substantial state pool</x:v>
      </x:c>
      <x:c r="P59" t="n">
        <x:v>3263</x:v>
      </x:c>
      <x:c r="Q59" t="n">
        <x:v>3952</x:v>
      </x:c>
      <x:c r="R59" t="n">
        <x:v>4183</x:v>
      </x:c>
      <x:c r="S59" t="n">
        <x:v>32436</x:v>
      </x:c>
      <x:c r="T59" t="n">
        <x:v>41426</x:v>
      </x:c>
      <x:c r="U59" t="str">
        <x:v>Pending state Round-1 allotment/cutoff data</x:v>
      </x:c>
    </x:row>
    <x:row r="60">
      <x:c r="A60" t="str">
        <x:v>Bihar</x:v>
      </x:c>
      <x:c r="B60" t="str">
        <x:v>BR/015/G/1</x:v>
      </x:c>
      <x:c r="C60" t="str">
        <x:v>Nalanda Medical College, Patna</x:v>
      </x:c>
      <x:c r="D60" t="str">
        <x:v>Government</x:v>
      </x:c>
      <x:c r="E60" t="n">
        <x:v>150</x:v>
      </x:c>
      <x:c r="F60" t="n">
        <x:v>50</x:v>
      </x:c>
      <x:c r="G60" t="n">
        <x:v>200</x:v>
      </x:c>
      <x:c r="H60" t="str">
        <x:v>200114</x:v>
      </x:c>
      <x:c r="I60" t="n">
        <x:v>30</x:v>
      </x:c>
      <x:c r="J60" t="n">
        <x:v>30</x:v>
      </x:c>
      <x:c r="K60" t="n">
        <x:v>170</x:v>
      </x:c>
      <x:c r="L60" s="20" t="n">
        <x:v>0.85</x:v>
      </x:c>
      <x:c r="M60" t="str">
        <x:v>High</x:v>
      </x:c>
      <x:c r="N60" t="str">
        <x:v>Approx. State/Non-MCC Pool</x:v>
      </x:c>
      <x:c r="O60" t="str">
        <x:v>Expanded 2026 capacity + substantial state pool</x:v>
      </x:c>
      <x:c r="P60" t="n">
        <x:v>5356</x:v>
      </x:c>
      <x:c r="Q60" t="n">
        <x:v>6849</x:v>
      </x:c>
      <x:c r="R60" t="n">
        <x:v>6569</x:v>
      </x:c>
      <x:c r="S60" t="n">
        <x:v>46913</x:v>
      </x:c>
      <x:c r="T60" t="n">
        <x:v>73092</x:v>
      </x:c>
      <x:c r="U60" t="str">
        <x:v>Pending state Round-1 allotment/cutoff data</x:v>
      </x:c>
    </x:row>
    <x:row r="61">
      <x:c r="A61" t="str">
        <x:v>Bihar</x:v>
      </x:c>
      <x:c r="B61" t="str">
        <x:v>BR/007/G/1</x:v>
      </x:c>
      <x:c r="C61" t="str">
        <x:v>Indira Gandhi Institute of Medical Sciences, Sheikhpura, Patna</x:v>
      </x:c>
      <x:c r="D61" t="str">
        <x:v>Government</x:v>
      </x:c>
      <x:c r="E61" t="n">
        <x:v>150</x:v>
      </x:c>
      <x:c r="F61" t="n">
        <x:v>0</x:v>
      </x:c>
      <x:c r="G61" t="n">
        <x:v>150</x:v>
      </x:c>
      <x:c r="H61" t="str">
        <x:v>200112</x:v>
      </x:c>
      <x:c r="I61" t="n">
        <x:v>22</x:v>
      </x:c>
      <x:c r="J61" t="n">
        <x:v>21</x:v>
      </x:c>
      <x:c r="K61" t="n">
        <x:v>128</x:v>
      </x:c>
      <x:c r="L61" s="20" t="n">
        <x:v>0.8533333333333334</x:v>
      </x:c>
      <x:c r="M61" t="str">
        <x:v>High</x:v>
      </x:c>
      <x:c r="N61" t="str">
        <x:v>Approx. State/Non-MCC Pool</x:v>
      </x:c>
      <x:c r="O61" t="str">
        <x:v>Moderate state-counselling pool</x:v>
      </x:c>
      <x:c r="P61" t="n">
        <x:v>4271</x:v>
      </x:c>
      <x:c r="Q61" t="n">
        <x:v>4842</x:v>
      </x:c>
      <x:c r="R61" t="n">
        <x:v>5562</x:v>
      </x:c>
      <x:c r="S61" t="n">
        <x:v>37860</x:v>
      </x:c>
      <x:c r="T61" t="n">
        <x:v>58641</x:v>
      </x:c>
      <x:c r="U61" t="str">
        <x:v>Pending state Round-1 allotment/cutoff data</x:v>
      </x:c>
    </x:row>
    <x:row r="62">
      <x:c r="A62" t="str">
        <x:v>Bihar</x:v>
      </x:c>
      <x:c r="B62" t="str">
        <x:v>BR/009/G/1</x:v>
      </x:c>
      <x:c r="C62" t="str">
        <x:v>Jawaharlal Nehru Medical College, Bhagalpur</x:v>
      </x:c>
      <x:c r="D62" t="str">
        <x:v>Government</x:v>
      </x:c>
      <x:c r="E62" t="n">
        <x:v>120</x:v>
      </x:c>
      <x:c r="F62" t="n">
        <x:v>30</x:v>
      </x:c>
      <x:c r="G62" t="n">
        <x:v>150</x:v>
      </x:c>
      <x:c r="H62" t="str">
        <x:v>200113</x:v>
      </x:c>
      <x:c r="I62" t="n">
        <x:v>22</x:v>
      </x:c>
      <x:c r="J62" t="n">
        <x:v>22</x:v>
      </x:c>
      <x:c r="K62" t="n">
        <x:v>128</x:v>
      </x:c>
      <x:c r="L62" s="20" t="n">
        <x:v>0.8533333333333334</x:v>
      </x:c>
      <x:c r="M62" t="str">
        <x:v>High</x:v>
      </x:c>
      <x:c r="N62" t="str">
        <x:v>Approx. State/Non-MCC Pool</x:v>
      </x:c>
      <x:c r="O62" t="str">
        <x:v>Expanded 2026 capacity + substantial state pool</x:v>
      </x:c>
      <x:c r="P62" t="n">
        <x:v>9732</x:v>
      </x:c>
      <x:c r="Q62" t="n">
        <x:v>11232</x:v>
      </x:c>
      <x:c r="R62" t="n">
        <x:v>11365</x:v>
      </x:c>
      <x:c r="S62" t="n">
        <x:v>69620</x:v>
      </x:c>
      <x:c r="T62" t="n">
        <x:v>87140</x:v>
      </x:c>
      <x:c r="U62" t="str">
        <x:v>Pending state Round-1 allotment/cutoff data</x:v>
      </x:c>
    </x:row>
    <x:row r="63">
      <x:c r="A63" t="str">
        <x:v>Bihar</x:v>
      </x:c>
      <x:c r="B63" t="str">
        <x:v>BR/002/G/1</x:v>
      </x:c>
      <x:c r="C63" t="str">
        <x:v>Darbhanga Medical College, Lehriasarai</x:v>
      </x:c>
      <x:c r="D63" t="str">
        <x:v>Government</x:v>
      </x:c>
      <x:c r="E63" t="n">
        <x:v>120</x:v>
      </x:c>
      <x:c r="F63" t="n">
        <x:v>30</x:v>
      </x:c>
      <x:c r="G63" t="n">
        <x:v>150</x:v>
      </x:c>
      <x:c r="H63" t="str">
        <x:v>200110</x:v>
      </x:c>
      <x:c r="I63" t="n">
        <x:v>23</x:v>
      </x:c>
      <x:c r="J63" t="n">
        <x:v>23</x:v>
      </x:c>
      <x:c r="K63" t="n">
        <x:v>127</x:v>
      </x:c>
      <x:c r="L63" s="20" t="n">
        <x:v>0.8466666666666667</x:v>
      </x:c>
      <x:c r="M63" t="str">
        <x:v>High</x:v>
      </x:c>
      <x:c r="N63" t="str">
        <x:v>Approx. State/Non-MCC Pool</x:v>
      </x:c>
      <x:c r="O63" t="str">
        <x:v>Expanded 2026 capacity + substantial state pool</x:v>
      </x:c>
      <x:c r="P63" t="n">
        <x:v>7626</x:v>
      </x:c>
      <x:c r="Q63" t="n">
        <x:v>8682</x:v>
      </x:c>
      <x:c r="R63" t="n">
        <x:v>8853</x:v>
      </x:c>
      <x:c r="S63" t="n">
        <x:v>58247</x:v>
      </x:c>
      <x:c r="T63" t="n">
        <x:v>77956</x:v>
      </x:c>
      <x:c r="U63" t="str">
        <x:v>Pending state Round-1 allotment/cutoff data</x:v>
      </x:c>
    </x:row>
    <x:row r="64">
      <x:c r="A64" t="str">
        <x:v>Bihar</x:v>
      </x:c>
      <x:c r="B64" t="str">
        <x:v>BR/021/G/1</x:v>
      </x:c>
      <x:c r="C64" t="str">
        <x:v>Shri Krishna Medical College, Muzzafarpur</x:v>
      </x:c>
      <x:c r="D64" t="str">
        <x:v>Government</x:v>
      </x:c>
      <x:c r="E64" t="n">
        <x:v>120</x:v>
      </x:c>
      <x:c r="F64" t="n">
        <x:v>30</x:v>
      </x:c>
      <x:c r="G64" t="n">
        <x:v>150</x:v>
      </x:c>
      <x:c r="H64" t="str">
        <x:v>200117</x:v>
      </x:c>
      <x:c r="I64" t="n">
        <x:v>23</x:v>
      </x:c>
      <x:c r="J64" t="n">
        <x:v>23</x:v>
      </x:c>
      <x:c r="K64" t="n">
        <x:v>127</x:v>
      </x:c>
      <x:c r="L64" s="20" t="n">
        <x:v>0.8466666666666667</x:v>
      </x:c>
      <x:c r="M64" t="str">
        <x:v>High</x:v>
      </x:c>
      <x:c r="N64" t="str">
        <x:v>Approx. State/Non-MCC Pool</x:v>
      </x:c>
      <x:c r="O64" t="str">
        <x:v>Expanded 2026 capacity + substantial state pool</x:v>
      </x:c>
      <x:c r="P64" t="n">
        <x:v>9792</x:v>
      </x:c>
      <x:c r="Q64" t="n">
        <x:v>10532</x:v>
      </x:c>
      <x:c r="R64" t="n">
        <x:v>13030</x:v>
      </x:c>
      <x:c r="S64" t="n">
        <x:v>60004</x:v>
      </x:c>
      <x:c r="T64" t="n">
        <x:v>88460</x:v>
      </x:c>
      <x:c r="U64" t="str">
        <x:v>Pending state Round-1 allotment/cutoff data</x:v>
      </x:c>
    </x:row>
    <x:row r="65">
      <x:c r="A65" t="str">
        <x:v>Bihar</x:v>
      </x:c>
      <x:c r="B65" t="str">
        <x:v>BR/001/G/1</x:v>
      </x:c>
      <x:c r="C65" t="str">
        <x:v>Anugrah Narayan Magadh Medical College, Gaya</x:v>
      </x:c>
      <x:c r="D65" t="str">
        <x:v>Government</x:v>
      </x:c>
      <x:c r="E65" t="n">
        <x:v>120</x:v>
      </x:c>
      <x:c r="F65" t="n">
        <x:v>0</x:v>
      </x:c>
      <x:c r="G65" t="n">
        <x:v>120</x:v>
      </x:c>
      <x:c r="H65" t="str">
        <x:v>200109</x:v>
      </x:c>
      <x:c r="I65" t="n">
        <x:v>18</x:v>
      </x:c>
      <x:c r="J65" t="n">
        <x:v>18</x:v>
      </x:c>
      <x:c r="K65" t="n">
        <x:v>102</x:v>
      </x:c>
      <x:c r="L65" s="20" t="n">
        <x:v>0.85</x:v>
      </x:c>
      <x:c r="M65" t="str">
        <x:v>High</x:v>
      </x:c>
      <x:c r="N65" t="str">
        <x:v>Approx. State/Non-MCC Pool</x:v>
      </x:c>
      <x:c r="O65" t="str">
        <x:v>Moderate state-counselling pool</x:v>
      </x:c>
      <x:c r="P65" t="n">
        <x:v>9278</x:v>
      </x:c>
      <x:c r="Q65" t="n">
        <x:v>11701</x:v>
      </x:c>
      <x:c r="R65" t="n">
        <x:v>13040</x:v>
      </x:c>
      <x:c r="S65" t="n">
        <x:v>73855</x:v>
      </x:c>
      <x:c r="T65" t="n">
        <x:v>92832</x:v>
      </x:c>
      <x:c r="U65" t="str">
        <x:v>Pending state Round-1 allotment/cutoff data</x:v>
      </x:c>
    </x:row>
    <x:row r="66">
      <x:c r="A66" t="str">
        <x:v>Bihar</x:v>
      </x:c>
      <x:c r="B66" t="str">
        <x:v>BR/023/G/1</x:v>
      </x:c>
      <x:c r="C66" t="str">
        <x:v>Bhagwan Mahavir Institute of Medical Sciences, Pawapuri (formerly Vardhman Institute of Medical Sciences, Pawapuri, Nalanda)</x:v>
      </x:c>
      <x:c r="D66" t="str">
        <x:v>Government</x:v>
      </x:c>
      <x:c r="E66" t="n">
        <x:v>120</x:v>
      </x:c>
      <x:c r="F66" t="n">
        <x:v>0</x:v>
      </x:c>
      <x:c r="G66" t="n">
        <x:v>120</x:v>
      </x:c>
      <x:c r="H66" t="str">
        <x:v>200118</x:v>
      </x:c>
      <x:c r="I66" t="n">
        <x:v>18</x:v>
      </x:c>
      <x:c r="J66" t="n">
        <x:v>18</x:v>
      </x:c>
      <x:c r="K66" t="n">
        <x:v>102</x:v>
      </x:c>
      <x:c r="L66" s="20" t="n">
        <x:v>0.85</x:v>
      </x:c>
      <x:c r="M66" t="str">
        <x:v>High</x:v>
      </x:c>
      <x:c r="N66" t="str">
        <x:v>Approx. State/Non-MCC Pool</x:v>
      </x:c>
      <x:c r="O66" t="str">
        <x:v>Moderate state-counselling pool</x:v>
      </x:c>
      <x:c r="P66" t="n">
        <x:v>8032</x:v>
      </x:c>
      <x:c r="Q66" t="n">
        <x:v>9611</x:v>
      </x:c>
      <x:c r="R66" t="n">
        <x:v>12152</x:v>
      </x:c>
      <x:c r="S66" t="n">
        <x:v>64725</x:v>
      </x:c>
      <x:c r="T66" t="n">
        <x:v>34211</x:v>
      </x:c>
      <x:c r="U66" t="str">
        <x:v>Pending state Round-1 allotment/cutoff data</x:v>
      </x:c>
    </x:row>
    <x:row r="67">
      <x:c r="A67" t="str">
        <x:v>Bihar</x:v>
      </x:c>
      <x:c r="B67" t="str">
        <x:v>BR/004/G/1</x:v>
      </x:c>
      <x:c r="C67" t="str">
        <x:v>Government Medical College, Bettiah</x:v>
      </x:c>
      <x:c r="D67" t="str">
        <x:v>Government</x:v>
      </x:c>
      <x:c r="E67" t="n">
        <x:v>120</x:v>
      </x:c>
      <x:c r="F67" t="n">
        <x:v>0</x:v>
      </x:c>
      <x:c r="G67" t="n">
        <x:v>120</x:v>
      </x:c>
      <x:c r="H67" t="str">
        <x:v>200111</x:v>
      </x:c>
      <x:c r="I67" t="n">
        <x:v>18</x:v>
      </x:c>
      <x:c r="J67" t="n">
        <x:v>18</x:v>
      </x:c>
      <x:c r="K67" t="n">
        <x:v>102</x:v>
      </x:c>
      <x:c r="L67" s="20" t="n">
        <x:v>0.85</x:v>
      </x:c>
      <x:c r="M67" t="str">
        <x:v>High</x:v>
      </x:c>
      <x:c r="N67" t="str">
        <x:v>Approx. State/Non-MCC Pool</x:v>
      </x:c>
      <x:c r="O67" t="str">
        <x:v>Moderate state-counselling pool</x:v>
      </x:c>
      <x:c r="P67" t="n">
        <x:v>12030</x:v>
      </x:c>
      <x:c r="Q67" t="n">
        <x:v>13549</x:v>
      </x:c>
      <x:c r="R67" t="n">
        <x:v>13632</x:v>
      </x:c>
      <x:c r="S67" t="n">
        <x:v>71595</x:v>
      </x:c>
      <x:c r="T67" t="n">
        <x:v>100660</x:v>
      </x:c>
      <x:c r="U67" t="str">
        <x:v>Pending state Round-1 allotment/cutoff data</x:v>
      </x:c>
    </x:row>
    <x:row r="68">
      <x:c r="A68" t="str">
        <x:v>Bihar</x:v>
      </x:c>
      <x:c r="B68" t="str">
        <x:v>BR/005/G/1</x:v>
      </x:c>
      <x:c r="C68" t="str">
        <x:v>Government Medical College, Purnea</x:v>
      </x:c>
      <x:c r="D68" t="str">
        <x:v>Government</x:v>
      </x:c>
      <x:c r="E68" t="n">
        <x:v>100</x:v>
      </x:c>
      <x:c r="F68" t="n">
        <x:v>0</x:v>
      </x:c>
      <x:c r="G68" t="n">
        <x:v>100</x:v>
      </x:c>
      <x:c r="H68" t="str">
        <x:v>200677</x:v>
      </x:c>
      <x:c r="I68" t="n">
        <x:v>15</x:v>
      </x:c>
      <x:c r="J68" t="n">
        <x:v>15</x:v>
      </x:c>
      <x:c r="K68" t="n">
        <x:v>85</x:v>
      </x:c>
      <x:c r="L68" s="20" t="n">
        <x:v>0.85</x:v>
      </x:c>
      <x:c r="M68" t="str">
        <x:v>High</x:v>
      </x:c>
      <x:c r="N68" t="str">
        <x:v>Approx. State/Non-MCC Pool</x:v>
      </x:c>
      <x:c r="O68" t="str">
        <x:v>Moderate state-counselling pool</x:v>
      </x:c>
      <x:c r="P68" t="n">
        <x:v>13214</x:v>
      </x:c>
      <x:c r="Q68" t="n">
        <x:v>14272</x:v>
      </x:c>
      <x:c r="R68" t="n">
        <x:v>15403</x:v>
      </x:c>
      <x:c r="S68" t="n">
        <x:v>77982</x:v>
      </x:c>
      <x:c r="T68" t="n">
        <x:v>113289</x:v>
      </x:c>
      <x:c r="U68" t="str">
        <x:v>Pending state Round-1 allotment/cutoff data</x:v>
      </x:c>
    </x:row>
    <x:row r="69">
      <x:c r="A69" t="str">
        <x:v>Bihar</x:v>
      </x:c>
      <x:c r="B69" t="str">
        <x:v>BR/008/G/1</x:v>
      </x:c>
      <x:c r="C69" t="str">
        <x:v>Jannayak Karpoori Thakur Medical College &amp; Hospital, Madhepura, Bihar</x:v>
      </x:c>
      <x:c r="D69" t="str">
        <x:v>Government</x:v>
      </x:c>
      <x:c r="E69" t="n">
        <x:v>100</x:v>
      </x:c>
      <x:c r="F69" t="n">
        <x:v>0</x:v>
      </x:c>
      <x:c r="G69" t="n">
        <x:v>100</x:v>
      </x:c>
      <x:c r="H69" t="str">
        <x:v>200589</x:v>
      </x:c>
      <x:c r="I69" t="n">
        <x:v>15</x:v>
      </x:c>
      <x:c r="J69" t="n">
        <x:v>15</x:v>
      </x:c>
      <x:c r="K69" t="n">
        <x:v>85</x:v>
      </x:c>
      <x:c r="L69" s="20" t="n">
        <x:v>0.85</x:v>
      </x:c>
      <x:c r="M69" t="str">
        <x:v>High</x:v>
      </x:c>
      <x:c r="N69" t="str">
        <x:v>Approx. State/Non-MCC Pool</x:v>
      </x:c>
      <x:c r="O69" t="str">
        <x:v>Moderate state-counselling pool</x:v>
      </x:c>
      <x:c r="P69" t="n">
        <x:v>13410</x:v>
      </x:c>
      <x:c r="Q69" t="n">
        <x:v>15188</x:v>
      </x:c>
      <x:c r="R69" t="n">
        <x:v>14440</x:v>
      </x:c>
      <x:c r="S69" t="n">
        <x:v>76312</x:v>
      </x:c>
      <x:c r="T69" t="n">
        <x:v>113168</x:v>
      </x:c>
      <x:c r="U69" t="str">
        <x:v>Pending state Round-1 allotment/cutoff data</x:v>
      </x:c>
    </x:row>
    <x:row r="70">
      <x:c r="A70" t="str">
        <x:v>Bihar</x:v>
      </x:c>
      <x:c r="B70" t="str">
        <x:v>BR/003/G/1</x:v>
      </x:c>
      <x:c r="C70" t="str">
        <x:v>Employees State Insurance Corporation Medical College, Patna</x:v>
      </x:c>
      <x:c r="D70" t="str">
        <x:v>Government</x:v>
      </x:c>
      <x:c r="E70" t="n">
        <x:v>100</x:v>
      </x:c>
      <x:c r="F70" t="n">
        <x:v>0</x:v>
      </x:c>
      <x:c r="G70" t="n">
        <x:v>100</x:v>
      </x:c>
      <x:c r="H70" t="str">
        <x:v>200573</x:v>
      </x:c>
      <x:c r="I70" t="n">
        <x:v>50</x:v>
      </x:c>
      <x:c r="J70" t="n">
        <x:v>48</x:v>
      </x:c>
      <x:c r="K70" t="n">
        <x:v>50</x:v>
      </x:c>
      <x:c r="L70" s="20" t="n">
        <x:v>0.5</x:v>
      </x:c>
      <x:c r="M70" t="str">
        <x:v>High</x:v>
      </x:c>
      <x:c r="N70" t="str">
        <x:v>Approx. State/Non-MCC Pool</x:v>
      </x:c>
      <x:c r="O70" t="str">
        <x:v>Smaller state-counselling pool</x:v>
      </x:c>
      <x:c r="P70" t="n">
        <x:v>28144</x:v>
      </x:c>
      <x:c r="Q70" t="n">
        <x:v>31169</x:v>
      </x:c>
      <x:c r="R70" t="n">
        <x:v>35680</x:v>
      </x:c>
      <x:c r="S70" t="n">
        <x:v>145027</x:v>
      </x:c>
      <x:c r="T70" t="n">
        <x:v>231800</x:v>
      </x:c>
      <x:c r="U70" t="str">
        <x:v>Pending state Round-1 allotment/cutoff data</x:v>
      </x:c>
    </x:row>
    <x:row r="71">
      <x:c r="A71" t="str">
        <x:v>Bihar</x:v>
      </x:c>
      <x:c r="B71" t="str">
        <x:v>BR/012/P/3</x:v>
      </x:c>
      <x:c r="C71" t="str">
        <x:v>Madhubani Medical College, Madhubani</x:v>
      </x:c>
      <x:c r="D71" t="str">
        <x:v>Private</x:v>
      </x:c>
      <x:c r="E71" t="n">
        <x:v>250</x:v>
      </x:c>
      <x:c r="F71" t="n">
        <x:v>0</x:v>
      </x:c>
      <x:c r="G71" t="n">
        <x:v>250</x:v>
      </x:c>
      <x:c r="H71"/>
      <x:c r="I71" t="n">
        <x:v>0</x:v>
      </x:c>
      <x:c r="J71" t="n">
        <x:v>0</x:v>
      </x:c>
      <x:c r="K71" t="n">
        <x:v>250</x:v>
      </x:c>
      <x:c r="L71" s="20" t="n">
        <x:v>1</x:v>
      </x:c>
      <x:c r="M71" t="str">
        <x:v>Variable</x:v>
      </x:c>
      <x:c r="N71" t="str">
        <x:v>Approx. Non-MCC Pool</x:v>
      </x:c>
      <x:c r="O71" t="str">
        <x:v>Large non-MCC pool; quota split varies by state</x:v>
      </x:c>
      <x:c r="P71"/>
      <x:c r="Q71"/>
      <x:c r="R71"/>
      <x:c r="S71"/>
      <x:c r="T71"/>
      <x:c r="U71" t="str">
        <x:v>Pending state Round-1 allotment/cutoff data</x:v>
      </x:c>
    </x:row>
    <x:row r="72">
      <x:c r="A72" t="str">
        <x:v>Bihar</x:v>
      </x:c>
      <x:c r="B72" t="str">
        <x:v>BR/016/P/3</x:v>
      </x:c>
      <x:c r="C72" t="str">
        <x:v>Narayan Medical College &amp; Hospital, Sasaram</x:v>
      </x:c>
      <x:c r="D72" t="str">
        <x:v>Private</x:v>
      </x:c>
      <x:c r="E72" t="n">
        <x:v>250</x:v>
      </x:c>
      <x:c r="F72" t="n">
        <x:v>0</x:v>
      </x:c>
      <x:c r="G72" t="n">
        <x:v>250</x:v>
      </x:c>
      <x:c r="H72"/>
      <x:c r="I72" t="n">
        <x:v>0</x:v>
      </x:c>
      <x:c r="J72" t="n">
        <x:v>0</x:v>
      </x:c>
      <x:c r="K72" t="n">
        <x:v>250</x:v>
      </x:c>
      <x:c r="L72" s="20" t="n">
        <x:v>1</x:v>
      </x:c>
      <x:c r="M72" t="str">
        <x:v>Variable</x:v>
      </x:c>
      <x:c r="N72" t="str">
        <x:v>Approx. Non-MCC Pool</x:v>
      </x:c>
      <x:c r="O72" t="str">
        <x:v>Large non-MCC pool; quota split varies by state</x:v>
      </x:c>
      <x:c r="P72"/>
      <x:c r="Q72"/>
      <x:c r="R72"/>
      <x:c r="S72"/>
      <x:c r="T72"/>
      <x:c r="U72" t="str">
        <x:v>Pending state Round-1 allotment/cutoff data</x:v>
      </x:c>
    </x:row>
    <x:row r="73">
      <x:c r="A73" t="str">
        <x:v>Bihar</x:v>
      </x:c>
      <x:c r="B73" t="str">
        <x:v>BR/017/P/4</x:v>
      </x:c>
      <x:c r="C73" t="str">
        <x:v>Netaji Subhas Medical College &amp; Hospital, Amhara, Bihta, Patna</x:v>
      </x:c>
      <x:c r="D73" t="str">
        <x:v>Private</x:v>
      </x:c>
      <x:c r="E73" t="n">
        <x:v>150</x:v>
      </x:c>
      <x:c r="F73" t="n">
        <x:v>100</x:v>
      </x:c>
      <x:c r="G73" t="n">
        <x:v>250</x:v>
      </x:c>
      <x:c r="H73"/>
      <x:c r="I73" t="n">
        <x:v>0</x:v>
      </x:c>
      <x:c r="J73" t="n">
        <x:v>0</x:v>
      </x:c>
      <x:c r="K73" t="n">
        <x:v>250</x:v>
      </x:c>
      <x:c r="L73" s="20" t="n">
        <x:v>1</x:v>
      </x:c>
      <x:c r="M73" t="str">
        <x:v>Variable</x:v>
      </x:c>
      <x:c r="N73" t="str">
        <x:v>Approx. Non-MCC Pool</x:v>
      </x:c>
      <x:c r="O73" t="str">
        <x:v>Expanded 2026 capacity; state/management split to verify</x:v>
      </x:c>
      <x:c r="P73"/>
      <x:c r="Q73"/>
      <x:c r="R73"/>
      <x:c r="S73"/>
      <x:c r="T73"/>
      <x:c r="U73" t="str">
        <x:v>Pending state Round-1 allotment/cutoff data</x:v>
      </x:c>
    </x:row>
    <x:row r="74">
      <x:c r="A74" t="str">
        <x:v>Bihar</x:v>
      </x:c>
      <x:c r="B74" t="str">
        <x:v>BR/010/P/4</x:v>
      </x:c>
      <x:c r="C74" t="str">
        <x:v>Katihar Medical College, Katihar</x:v>
      </x:c>
      <x:c r="D74" t="str">
        <x:v>Private</x:v>
      </x:c>
      <x:c r="E74" t="n">
        <x:v>200</x:v>
      </x:c>
      <x:c r="F74" t="n">
        <x:v>0</x:v>
      </x:c>
      <x:c r="G74" t="n">
        <x:v>200</x:v>
      </x:c>
      <x:c r="H74"/>
      <x:c r="I74" t="n">
        <x:v>0</x:v>
      </x:c>
      <x:c r="J74" t="n">
        <x:v>0</x:v>
      </x:c>
      <x:c r="K74" t="n">
        <x:v>200</x:v>
      </x:c>
      <x:c r="L74" s="20" t="n">
        <x:v>1</x:v>
      </x:c>
      <x:c r="M74" t="str">
        <x:v>Variable</x:v>
      </x:c>
      <x:c r="N74" t="str">
        <x:v>Approx. Non-MCC Pool</x:v>
      </x:c>
      <x:c r="O74" t="str">
        <x:v>Large non-MCC pool; quota split varies by state</x:v>
      </x:c>
      <x:c r="P74"/>
      <x:c r="Q74"/>
      <x:c r="R74"/>
      <x:c r="S74"/>
      <x:c r="T74"/>
      <x:c r="U74" t="str">
        <x:v>Pending state Round-1 allotment/cutoff data</x:v>
      </x:c>
    </x:row>
    <x:row r="75">
      <x:c r="A75" t="str">
        <x:v>Bihar</x:v>
      </x:c>
      <x:c r="B75" t="str">
        <x:v>BR/011/P/4</x:v>
      </x:c>
      <x:c r="C75" t="str">
        <x:v>Lord Buddha Koshi Medical College and Hospital, Saharsa</x:v>
      </x:c>
      <x:c r="D75" t="str">
        <x:v>Private</x:v>
      </x:c>
      <x:c r="E75" t="n">
        <x:v>150</x:v>
      </x:c>
      <x:c r="F75" t="n">
        <x:v>50</x:v>
      </x:c>
      <x:c r="G75" t="n">
        <x:v>200</x:v>
      </x:c>
      <x:c r="H75"/>
      <x:c r="I75" t="n">
        <x:v>0</x:v>
      </x:c>
      <x:c r="J75" t="n">
        <x:v>0</x:v>
      </x:c>
      <x:c r="K75" t="n">
        <x:v>200</x:v>
      </x:c>
      <x:c r="L75" s="20" t="n">
        <x:v>1</x:v>
      </x:c>
      <x:c r="M75" t="str">
        <x:v>Variable</x:v>
      </x:c>
      <x:c r="N75" t="str">
        <x:v>Approx. Non-MCC Pool</x:v>
      </x:c>
      <x:c r="O75" t="str">
        <x:v>Expanded 2026 capacity; state/management split to verify</x:v>
      </x:c>
      <x:c r="P75"/>
      <x:c r="Q75"/>
      <x:c r="R75"/>
      <x:c r="S75"/>
      <x:c r="T75"/>
      <x:c r="U75" t="str">
        <x:v>Pending state Round-1 allotment/cutoff data</x:v>
      </x:c>
    </x:row>
    <x:row r="76">
      <x:c r="A76" t="str">
        <x:v>Bihar</x:v>
      </x:c>
      <x:c r="B76" t="str">
        <x:v>BR/014/P/3</x:v>
      </x:c>
      <x:c r="C76" t="str">
        <x:v>Mata Gujri Memorial Medical College, Kishanganj</x:v>
      </x:c>
      <x:c r="D76" t="str">
        <x:v>Private</x:v>
      </x:c>
      <x:c r="E76" t="n">
        <x:v>150</x:v>
      </x:c>
      <x:c r="F76" t="n">
        <x:v>50</x:v>
      </x:c>
      <x:c r="G76" t="n">
        <x:v>200</x:v>
      </x:c>
      <x:c r="H76"/>
      <x:c r="I76" t="n">
        <x:v>0</x:v>
      </x:c>
      <x:c r="J76" t="n">
        <x:v>0</x:v>
      </x:c>
      <x:c r="K76" t="n">
        <x:v>200</x:v>
      </x:c>
      <x:c r="L76" s="20" t="n">
        <x:v>1</x:v>
      </x:c>
      <x:c r="M76" t="str">
        <x:v>Variable</x:v>
      </x:c>
      <x:c r="N76" t="str">
        <x:v>Approx. Non-MCC Pool</x:v>
      </x:c>
      <x:c r="O76" t="str">
        <x:v>Expanded 2026 capacity; state/management split to verify</x:v>
      </x:c>
      <x:c r="P76"/>
      <x:c r="Q76"/>
      <x:c r="R76"/>
      <x:c r="S76"/>
      <x:c r="T76"/>
      <x:c r="U76" t="str">
        <x:v>Pending state Round-1 allotment/cutoff data</x:v>
      </x:c>
    </x:row>
    <x:row r="77">
      <x:c r="A77" t="str">
        <x:v>Bihar</x:v>
      </x:c>
      <x:c r="B77" t="str">
        <x:v>BR/019/P/4</x:v>
      </x:c>
      <x:c r="C77" t="str">
        <x:v>Radha Devi Jageshwari Memorial Medical College and Hospital</x:v>
      </x:c>
      <x:c r="D77" t="str">
        <x:v>Private</x:v>
      </x:c>
      <x:c r="E77" t="n">
        <x:v>200</x:v>
      </x:c>
      <x:c r="F77" t="n">
        <x:v>0</x:v>
      </x:c>
      <x:c r="G77" t="n">
        <x:v>200</x:v>
      </x:c>
      <x:c r="H77"/>
      <x:c r="I77" t="n">
        <x:v>0</x:v>
      </x:c>
      <x:c r="J77" t="n">
        <x:v>0</x:v>
      </x:c>
      <x:c r="K77" t="n">
        <x:v>200</x:v>
      </x:c>
      <x:c r="L77" s="20" t="n">
        <x:v>1</x:v>
      </x:c>
      <x:c r="M77" t="str">
        <x:v>Variable</x:v>
      </x:c>
      <x:c r="N77" t="str">
        <x:v>Approx. Non-MCC Pool</x:v>
      </x:c>
      <x:c r="O77" t="str">
        <x:v>Large non-MCC pool; quota split varies by state</x:v>
      </x:c>
      <x:c r="P77"/>
      <x:c r="Q77"/>
      <x:c r="R77"/>
      <x:c r="S77"/>
      <x:c r="T77"/>
      <x:c r="U77" t="str">
        <x:v>Pending state Round-1 allotment/cutoff data</x:v>
      </x:c>
    </x:row>
    <x:row r="78">
      <x:c r="A78" t="str">
        <x:v>Bihar</x:v>
      </x:c>
      <x:c r="B78" t="str">
        <x:v>BR/006/P/3</x:v>
      </x:c>
      <x:c r="C78" t="str">
        <x:v>Himalaya Medical College and Hospital , Patna, Bihar</x:v>
      </x:c>
      <x:c r="D78" t="str">
        <x:v>Private</x:v>
      </x:c>
      <x:c r="E78" t="n">
        <x:v>150</x:v>
      </x:c>
      <x:c r="F78" t="n">
        <x:v>0</x:v>
      </x:c>
      <x:c r="G78" t="n">
        <x:v>150</x:v>
      </x:c>
      <x:c r="H78"/>
      <x:c r="I78" t="n">
        <x:v>0</x:v>
      </x:c>
      <x:c r="J78" t="n">
        <x:v>0</x:v>
      </x:c>
      <x:c r="K78" t="n">
        <x:v>150</x:v>
      </x:c>
      <x:c r="L78" s="20" t="n">
        <x:v>1</x:v>
      </x:c>
      <x:c r="M78" t="str">
        <x:v>Variable</x:v>
      </x:c>
      <x:c r="N78" t="str">
        <x:v>Approx. Non-MCC Pool</x:v>
      </x:c>
      <x:c r="O78" t="str">
        <x:v>Large non-MCC pool; quota split varies by state</x:v>
      </x:c>
      <x:c r="P78"/>
      <x:c r="Q78"/>
      <x:c r="R78"/>
      <x:c r="S78"/>
      <x:c r="T78"/>
      <x:c r="U78" t="str">
        <x:v>Pending state Round-1 allotment/cutoff data</x:v>
      </x:c>
    </x:row>
    <x:row r="79">
      <x:c r="A79" t="str">
        <x:v>Bihar</x:v>
      </x:c>
      <x:c r="B79" t="str">
        <x:v>BR/013/P/3</x:v>
      </x:c>
      <x:c r="C79" t="str">
        <x:v>MAHABODHI MEDICAL COLLEGE &amp; HOSPITAL</x:v>
      </x:c>
      <x:c r="D79" t="str">
        <x:v>Private</x:v>
      </x:c>
      <x:c r="E79" t="n">
        <x:v>100</x:v>
      </x:c>
      <x:c r="F79" t="n">
        <x:v>50</x:v>
      </x:c>
      <x:c r="G79" t="n">
        <x:v>150</x:v>
      </x:c>
      <x:c r="H79"/>
      <x:c r="I79" t="n">
        <x:v>0</x:v>
      </x:c>
      <x:c r="J79" t="n">
        <x:v>0</x:v>
      </x:c>
      <x:c r="K79" t="n">
        <x:v>150</x:v>
      </x:c>
      <x:c r="L79" s="20" t="n">
        <x:v>1</x:v>
      </x:c>
      <x:c r="M79" t="str">
        <x:v>Variable</x:v>
      </x:c>
      <x:c r="N79" t="str">
        <x:v>Approx. Non-MCC Pool</x:v>
      </x:c>
      <x:c r="O79" t="str">
        <x:v>Expanded 2026 capacity; state/management split to verify</x:v>
      </x:c>
      <x:c r="P79"/>
      <x:c r="Q79"/>
      <x:c r="R79"/>
      <x:c r="S79"/>
      <x:c r="T79"/>
      <x:c r="U79" t="str">
        <x:v>Pending state Round-1 allotment/cutoff data</x:v>
      </x:c>
    </x:row>
    <x:row r="80">
      <x:c r="A80" t="str">
        <x:v>Bihar</x:v>
      </x:c>
      <x:c r="B80" t="str">
        <x:v>BR/020/P/3</x:v>
      </x:c>
      <x:c r="C80" t="str">
        <x:v>Shree Narayan Medical Institute and Hospital</x:v>
      </x:c>
      <x:c r="D80" t="str">
        <x:v>Private</x:v>
      </x:c>
      <x:c r="E80" t="n">
        <x:v>150</x:v>
      </x:c>
      <x:c r="F80" t="n">
        <x:v>0</x:v>
      </x:c>
      <x:c r="G80" t="n">
        <x:v>150</x:v>
      </x:c>
      <x:c r="H80"/>
      <x:c r="I80" t="n">
        <x:v>0</x:v>
      </x:c>
      <x:c r="J80" t="n">
        <x:v>0</x:v>
      </x:c>
      <x:c r="K80" t="n">
        <x:v>150</x:v>
      </x:c>
      <x:c r="L80" s="20" t="n">
        <x:v>1</x:v>
      </x:c>
      <x:c r="M80" t="str">
        <x:v>Variable</x:v>
      </x:c>
      <x:c r="N80" t="str">
        <x:v>Approx. Non-MCC Pool</x:v>
      </x:c>
      <x:c r="O80" t="str">
        <x:v>Large non-MCC pool; quota split varies by state</x:v>
      </x:c>
      <x:c r="P80"/>
      <x:c r="Q80"/>
      <x:c r="R80"/>
      <x:c r="S80"/>
      <x:c r="T80"/>
      <x:c r="U80" t="str">
        <x:v>Pending state Round-1 allotment/cutoff data</x:v>
      </x:c>
    </x:row>
    <x:row r="81">
      <x:c r="A81" t="str">
        <x:v>Bihar</x:v>
      </x:c>
      <x:c r="B81" t="str">
        <x:v>BR/024/P/5</x:v>
      </x:c>
      <x:c r="C81" t="str">
        <x:v>VIRAAT RAMAYAN INSTITUTE OF MEDICAL SCIENCES</x:v>
      </x:c>
      <x:c r="D81" t="str">
        <x:v>Private</x:v>
      </x:c>
      <x:c r="E81" t="n">
        <x:v>50</x:v>
      </x:c>
      <x:c r="F81" t="n">
        <x:v>100</x:v>
      </x:c>
      <x:c r="G81" t="n">
        <x:v>150</x:v>
      </x:c>
      <x:c r="H81"/>
      <x:c r="I81" t="n">
        <x:v>0</x:v>
      </x:c>
      <x:c r="J81" t="n">
        <x:v>0</x:v>
      </x:c>
      <x:c r="K81" t="n">
        <x:v>150</x:v>
      </x:c>
      <x:c r="L81" s="20" t="n">
        <x:v>1</x:v>
      </x:c>
      <x:c r="M81" t="str">
        <x:v>Variable</x:v>
      </x:c>
      <x:c r="N81" t="str">
        <x:v>Approx. Non-MCC Pool</x:v>
      </x:c>
      <x:c r="O81" t="str">
        <x:v>Expanded 2026 capacity; state/management split to verify</x:v>
      </x:c>
      <x:c r="P81"/>
      <x:c r="Q81"/>
      <x:c r="R81"/>
      <x:c r="S81"/>
      <x:c r="T81"/>
      <x:c r="U81" t="str">
        <x:v>Pending state Round-1 allotment/cutoff data</x:v>
      </x:c>
    </x:row>
    <x:row r="82">
      <x:c r="A82" t="str">
        <x:v>Bihar</x:v>
      </x:c>
      <x:c r="B82" t="str">
        <x:v>BR/022/P/3</x:v>
      </x:c>
      <x:c r="C82" t="str">
        <x:v>SHYAMLAL CHANDRASHEKHAR MEDICAL COLLEGE &amp; S P N M HOPSITAL</x:v>
      </x:c>
      <x:c r="D82" t="str">
        <x:v>Private</x:v>
      </x:c>
      <x:c r="E82" t="n">
        <x:v>100</x:v>
      </x:c>
      <x:c r="F82" t="n">
        <x:v>0</x:v>
      </x:c>
      <x:c r="G82" t="n">
        <x:v>100</x:v>
      </x:c>
      <x:c r="H82"/>
      <x:c r="I82" t="n">
        <x:v>0</x:v>
      </x:c>
      <x:c r="J82" t="n">
        <x:v>0</x:v>
      </x:c>
      <x:c r="K82" t="n">
        <x:v>100</x:v>
      </x:c>
      <x:c r="L82" s="20" t="n">
        <x:v>1</x:v>
      </x:c>
      <x:c r="M82" t="str">
        <x:v>Variable</x:v>
      </x:c>
      <x:c r="N82" t="str">
        <x:v>Approx. Non-MCC Pool</x:v>
      </x:c>
      <x:c r="O82" t="str">
        <x:v>State/management/NRI split must be verified</x:v>
      </x:c>
      <x:c r="P82"/>
      <x:c r="Q82"/>
      <x:c r="R82"/>
      <x:c r="S82"/>
      <x:c r="T82"/>
      <x:c r="U82" t="str">
        <x:v>Pending state Round-1 allotment/cutoff data</x:v>
      </x:c>
    </x:row>
    <x:row r="83">
      <x:c r="A83" t="str">
        <x:v>Bihar</x:v>
      </x:c>
      <x:c r="B83" t="str">
        <x:v>New Establishment</x:v>
      </x:c>
      <x:c r="C83" t="str">
        <x:v>Buddha Hospital and Research Institute</x:v>
      </x:c>
      <x:c r="D83" t="str">
        <x:v>Private</x:v>
      </x:c>
      <x:c r="E83" t="n">
        <x:v>0</x:v>
      </x:c>
      <x:c r="F83" t="n">
        <x:v>100</x:v>
      </x:c>
      <x:c r="G83" t="n">
        <x:v>100</x:v>
      </x:c>
      <x:c r="H83" t="str">
        <x:v>904744</x:v>
      </x:c>
      <x:c r="I83" t="n">
        <x:v>15</x:v>
      </x:c>
      <x:c r="J83" t="n">
        <x:v>15</x:v>
      </x:c>
      <x:c r="K83" t="n">
        <x:v>85</x:v>
      </x:c>
      <x:c r="L83" s="20" t="n">
        <x:v>0.85</x:v>
      </x:c>
      <x:c r="M83" t="str">
        <x:v>Variable</x:v>
      </x:c>
      <x:c r="N83" t="str">
        <x:v>Approx. Non-MCC Pool</x:v>
      </x:c>
      <x:c r="O83" t="str">
        <x:v>Expanded 2026 capacity; state/management split to verify</x:v>
      </x:c>
      <x:c r="P83" t="n">
        <x:v>19127</x:v>
      </x:c>
      <x:c r="Q83" t="n">
        <x:v>22142</x:v>
      </x:c>
      <x:c r="R83" t="n">
        <x:v>21393</x:v>
      </x:c>
      <x:c r="S83" t="n">
        <x:v>82876</x:v>
      </x:c>
      <x:c r="T83" t="n">
        <x:v>72645</x:v>
      </x:c>
      <x:c r="U83" t="str">
        <x:v>Pending state Round-1 allotment/cutoff data</x:v>
      </x:c>
    </x:row>
    <x:row r="84">
      <x:c r="A84" t="str">
        <x:v>Bihar</x:v>
      </x:c>
      <x:c r="B84" t="str">
        <x:v>New Establishment</x:v>
      </x:c>
      <x:c r="C84" t="str">
        <x:v>SHRINIVAS G EDUCATIONAL &amp; RESEARCH INSTITUTE OF MEDICAL SCIENCES</x:v>
      </x:c>
      <x:c r="D84" t="str">
        <x:v>Private</x:v>
      </x:c>
      <x:c r="E84" t="n">
        <x:v>0</x:v>
      </x:c>
      <x:c r="F84" t="n">
        <x:v>100</x:v>
      </x:c>
      <x:c r="G84" t="n">
        <x:v>100</x:v>
      </x:c>
      <x:c r="H84" t="str">
        <x:v>904744</x:v>
      </x:c>
      <x:c r="I84" t="n">
        <x:v>15</x:v>
      </x:c>
      <x:c r="J84" t="n">
        <x:v>15</x:v>
      </x:c>
      <x:c r="K84" t="n">
        <x:v>85</x:v>
      </x:c>
      <x:c r="L84" s="20" t="n">
        <x:v>0.85</x:v>
      </x:c>
      <x:c r="M84" t="str">
        <x:v>Variable</x:v>
      </x:c>
      <x:c r="N84" t="str">
        <x:v>Approx. Non-MCC Pool</x:v>
      </x:c>
      <x:c r="O84" t="str">
        <x:v>Expanded 2026 capacity; state/management split to verify</x:v>
      </x:c>
      <x:c r="P84" t="n">
        <x:v>19127</x:v>
      </x:c>
      <x:c r="Q84" t="n">
        <x:v>22142</x:v>
      </x:c>
      <x:c r="R84" t="n">
        <x:v>21393</x:v>
      </x:c>
      <x:c r="S84" t="n">
        <x:v>82876</x:v>
      </x:c>
      <x:c r="T84" t="n">
        <x:v>72645</x:v>
      </x:c>
      <x:c r="U84" t="str">
        <x:v>Pending state Round-1 allotment/cutoff data</x:v>
      </x:c>
    </x:row>
    <x:row r="85">
      <x:c r="A85" t="str">
        <x:v>Chandigarh</x:v>
      </x:c>
      <x:c r="B85" t="str">
        <x:v>CH/001/G/1</x:v>
      </x:c>
      <x:c r="C85" t="str">
        <x:v>Government Medical College, Chandigarh</x:v>
      </x:c>
      <x:c r="D85" t="str">
        <x:v>Government</x:v>
      </x:c>
      <x:c r="E85" t="n">
        <x:v>150</x:v>
      </x:c>
      <x:c r="F85" t="n">
        <x:v>50</x:v>
      </x:c>
      <x:c r="G85" t="n">
        <x:v>200</x:v>
      </x:c>
      <x:c r="H85" t="str">
        <x:v>200119</x:v>
      </x:c>
      <x:c r="I85" t="n">
        <x:v>30</x:v>
      </x:c>
      <x:c r="J85" t="n">
        <x:v>30</x:v>
      </x:c>
      <x:c r="K85" t="n">
        <x:v>170</x:v>
      </x:c>
      <x:c r="L85" s="20" t="n">
        <x:v>0.85</x:v>
      </x:c>
      <x:c r="M85" t="str">
        <x:v>High</x:v>
      </x:c>
      <x:c r="N85" t="str">
        <x:v>Approx. State/Non-MCC Pool</x:v>
      </x:c>
      <x:c r="O85" t="str">
        <x:v>Expanded 2026 capacity + substantial state pool</x:v>
      </x:c>
      <x:c r="P85" t="n">
        <x:v>529</x:v>
      </x:c>
      <x:c r="Q85" t="n">
        <x:v>2270</x:v>
      </x:c>
      <x:c r="R85" t="n">
        <x:v>1506</x:v>
      </x:c>
      <x:c r="S85" t="n">
        <x:v>10984</x:v>
      </x:c>
      <x:c r="T85" t="n">
        <x:v>25235</x:v>
      </x:c>
      <x:c r="U85" t="str">
        <x:v>Pending state Round-1 allotment/cutoff data</x:v>
      </x:c>
    </x:row>
    <x:row r="86">
      <x:c r="A86" t="str">
        <x:v>Chhattisgarh</x:v>
      </x:c>
      <x:c r="B86" t="str">
        <x:v>CG/010/G/1</x:v>
      </x:c>
      <x:c r="C86" t="str">
        <x:v>Pt. J N M Medical College, Raipur</x:v>
      </x:c>
      <x:c r="D86" t="str">
        <x:v>Government</x:v>
      </x:c>
      <x:c r="E86" t="n">
        <x:v>230</x:v>
      </x:c>
      <x:c r="F86" t="n">
        <x:v>20</x:v>
      </x:c>
      <x:c r="G86" t="n">
        <x:v>250</x:v>
      </x:c>
      <x:c r="H86"/>
      <x:c r="I86" t="n">
        <x:v>0</x:v>
      </x:c>
      <x:c r="J86" t="n">
        <x:v>0</x:v>
      </x:c>
      <x:c r="K86" t="n">
        <x:v>250</x:v>
      </x:c>
      <x:c r="L86" s="20" t="n">
        <x:v>1</x:v>
      </x:c>
      <x:c r="M86" t="str">
        <x:v>High</x:v>
      </x:c>
      <x:c r="N86" t="str">
        <x:v>Approx. State/Non-MCC Pool</x:v>
      </x:c>
      <x:c r="O86" t="str">
        <x:v>Expanded 2026 capacity + substantial state pool</x:v>
      </x:c>
      <x:c r="P86"/>
      <x:c r="Q86"/>
      <x:c r="R86"/>
      <x:c r="S86"/>
      <x:c r="T86"/>
      <x:c r="U86" t="str">
        <x:v>Pending state Round-1 allotment/cutoff data</x:v>
      </x:c>
    </x:row>
    <x:row r="87">
      <x:c r="A87" t="str">
        <x:v>Chhattisgarh</x:v>
      </x:c>
      <x:c r="B87" t="str">
        <x:v>CG/002/G/1</x:v>
      </x:c>
      <x:c r="C87" t="str">
        <x:v>Chandulal Chandrakar Memorial Medical College, Durg</x:v>
      </x:c>
      <x:c r="D87" t="str">
        <x:v>Government</x:v>
      </x:c>
      <x:c r="E87" t="n">
        <x:v>200</x:v>
      </x:c>
      <x:c r="F87" t="n">
        <x:v>0</x:v>
      </x:c>
      <x:c r="G87" t="n">
        <x:v>200</x:v>
      </x:c>
      <x:c r="H87"/>
      <x:c r="I87" t="n">
        <x:v>0</x:v>
      </x:c>
      <x:c r="J87" t="n">
        <x:v>0</x:v>
      </x:c>
      <x:c r="K87" t="n">
        <x:v>200</x:v>
      </x:c>
      <x:c r="L87" s="20" t="n">
        <x:v>1</x:v>
      </x:c>
      <x:c r="M87" t="str">
        <x:v>High</x:v>
      </x:c>
      <x:c r="N87" t="str">
        <x:v>Approx. State/Non-MCC Pool</x:v>
      </x:c>
      <x:c r="O87" t="str">
        <x:v>Large state-counselling pool</x:v>
      </x:c>
      <x:c r="P87"/>
      <x:c r="Q87"/>
      <x:c r="R87"/>
      <x:c r="S87"/>
      <x:c r="T87"/>
      <x:c r="U87" t="str">
        <x:v>Pending state Round-1 allotment/cutoff data</x:v>
      </x:c>
    </x:row>
    <x:row r="88">
      <x:c r="A88" t="str">
        <x:v>Chhattisgarh</x:v>
      </x:c>
      <x:c r="B88" t="str">
        <x:v>CG/003/G/1</x:v>
      </x:c>
      <x:c r="C88" t="str">
        <x:v>Chhattisgarh Institute of Medical Sciences, Bilaspur</x:v>
      </x:c>
      <x:c r="D88" t="str">
        <x:v>Government</x:v>
      </x:c>
      <x:c r="E88" t="n">
        <x:v>150</x:v>
      </x:c>
      <x:c r="F88" t="n">
        <x:v>0</x:v>
      </x:c>
      <x:c r="G88" t="n">
        <x:v>150</x:v>
      </x:c>
      <x:c r="H88"/>
      <x:c r="I88" t="n">
        <x:v>0</x:v>
      </x:c>
      <x:c r="J88" t="n">
        <x:v>0</x:v>
      </x:c>
      <x:c r="K88" t="n">
        <x:v>150</x:v>
      </x:c>
      <x:c r="L88" s="20" t="n">
        <x:v>1</x:v>
      </x:c>
      <x:c r="M88" t="str">
        <x:v>High</x:v>
      </x:c>
      <x:c r="N88" t="str">
        <x:v>Approx. State/Non-MCC Pool</x:v>
      </x:c>
      <x:c r="O88" t="str">
        <x:v>Moderate state-counselling pool</x:v>
      </x:c>
      <x:c r="P88"/>
      <x:c r="Q88"/>
      <x:c r="R88"/>
      <x:c r="S88"/>
      <x:c r="T88"/>
      <x:c r="U88" t="str">
        <x:v>Pending state Round-1 allotment/cutoff data</x:v>
      </x:c>
    </x:row>
    <x:row r="89">
      <x:c r="A89" t="str">
        <x:v>Chhattisgarh</x:v>
      </x:c>
      <x:c r="B89" t="str">
        <x:v>CG/008/G/1</x:v>
      </x:c>
      <x:c r="C89" t="str">
        <x:v>Late Shri Baliram Kashyap Memorial NDMC Govt. Medical College, Jagdalpur</x:v>
      </x:c>
      <x:c r="D89" t="str">
        <x:v>Government</x:v>
      </x:c>
      <x:c r="E89" t="n">
        <x:v>125</x:v>
      </x:c>
      <x:c r="F89" t="n">
        <x:v>25</x:v>
      </x:c>
      <x:c r="G89" t="n">
        <x:v>150</x:v>
      </x:c>
      <x:c r="H89"/>
      <x:c r="I89" t="n">
        <x:v>0</x:v>
      </x:c>
      <x:c r="J89" t="n">
        <x:v>0</x:v>
      </x:c>
      <x:c r="K89" t="n">
        <x:v>150</x:v>
      </x:c>
      <x:c r="L89" s="20" t="n">
        <x:v>1</x:v>
      </x:c>
      <x:c r="M89" t="str">
        <x:v>High</x:v>
      </x:c>
      <x:c r="N89" t="str">
        <x:v>Approx. State/Non-MCC Pool</x:v>
      </x:c>
      <x:c r="O89" t="str">
        <x:v>Expanded 2026 capacity + substantial state pool</x:v>
      </x:c>
      <x:c r="P89"/>
      <x:c r="Q89"/>
      <x:c r="R89"/>
      <x:c r="S89"/>
      <x:c r="T89"/>
      <x:c r="U89" t="str">
        <x:v>Pending state Round-1 allotment/cutoff data</x:v>
      </x:c>
    </x:row>
    <x:row r="90">
      <x:c r="A90" t="str">
        <x:v>Chhattisgarh</x:v>
      </x:c>
      <x:c r="B90" t="str">
        <x:v>CG/004/G/1</x:v>
      </x:c>
      <x:c r="C90" t="str">
        <x:v>Government Medical College (Bharat Ratna Shri Atal Bihari Vajpyee Memorial Med. Col.), Rajnandgaon</x:v>
      </x:c>
      <x:c r="D90" t="str">
        <x:v>Government</x:v>
      </x:c>
      <x:c r="E90" t="n">
        <x:v>125</x:v>
      </x:c>
      <x:c r="F90" t="n">
        <x:v>0</x:v>
      </x:c>
      <x:c r="G90" t="n">
        <x:v>125</x:v>
      </x:c>
      <x:c r="H90"/>
      <x:c r="I90" t="n">
        <x:v>0</x:v>
      </x:c>
      <x:c r="J90" t="n">
        <x:v>0</x:v>
      </x:c>
      <x:c r="K90" t="n">
        <x:v>125</x:v>
      </x:c>
      <x:c r="L90" s="20" t="n">
        <x:v>1</x:v>
      </x:c>
      <x:c r="M90" t="str">
        <x:v>High</x:v>
      </x:c>
      <x:c r="N90" t="str">
        <x:v>Approx. State/Non-MCC Pool</x:v>
      </x:c>
      <x:c r="O90" t="str">
        <x:v>Moderate state-counselling pool</x:v>
      </x:c>
      <x:c r="P90"/>
      <x:c r="Q90"/>
      <x:c r="R90"/>
      <x:c r="S90"/>
      <x:c r="T90"/>
      <x:c r="U90" t="str">
        <x:v>Pending state Round-1 allotment/cutoff data</x:v>
      </x:c>
    </x:row>
    <x:row r="91">
      <x:c r="A91" t="str">
        <x:v>Chhattisgarh</x:v>
      </x:c>
      <x:c r="B91" t="str">
        <x:v>CG/006/G/1</x:v>
      </x:c>
      <x:c r="C91" t="str">
        <x:v>Government Medical College, Korba</x:v>
      </x:c>
      <x:c r="D91" t="str">
        <x:v>Government</x:v>
      </x:c>
      <x:c r="E91" t="n">
        <x:v>125</x:v>
      </x:c>
      <x:c r="F91" t="n">
        <x:v>0</x:v>
      </x:c>
      <x:c r="G91" t="n">
        <x:v>125</x:v>
      </x:c>
      <x:c r="H91"/>
      <x:c r="I91" t="n">
        <x:v>0</x:v>
      </x:c>
      <x:c r="J91" t="n">
        <x:v>0</x:v>
      </x:c>
      <x:c r="K91" t="n">
        <x:v>125</x:v>
      </x:c>
      <x:c r="L91" s="20" t="n">
        <x:v>1</x:v>
      </x:c>
      <x:c r="M91" t="str">
        <x:v>High</x:v>
      </x:c>
      <x:c r="N91" t="str">
        <x:v>Approx. State/Non-MCC Pool</x:v>
      </x:c>
      <x:c r="O91" t="str">
        <x:v>Moderate state-counselling pool</x:v>
      </x:c>
      <x:c r="P91"/>
      <x:c r="Q91"/>
      <x:c r="R91"/>
      <x:c r="S91"/>
      <x:c r="T91"/>
      <x:c r="U91" t="str">
        <x:v>Pending state Round-1 allotment/cutoff data</x:v>
      </x:c>
    </x:row>
    <x:row r="92">
      <x:c r="A92" t="str">
        <x:v>Chhattisgarh</x:v>
      </x:c>
      <x:c r="B92" t="str">
        <x:v>CG/007/G/1</x:v>
      </x:c>
      <x:c r="C92" t="str">
        <x:v>Government Medical College, Mahasamund</x:v>
      </x:c>
      <x:c r="D92" t="str">
        <x:v>Government</x:v>
      </x:c>
      <x:c r="E92" t="n">
        <x:v>125</x:v>
      </x:c>
      <x:c r="F92" t="n">
        <x:v>0</x:v>
      </x:c>
      <x:c r="G92" t="n">
        <x:v>125</x:v>
      </x:c>
      <x:c r="H92"/>
      <x:c r="I92" t="n">
        <x:v>0</x:v>
      </x:c>
      <x:c r="J92" t="n">
        <x:v>0</x:v>
      </x:c>
      <x:c r="K92" t="n">
        <x:v>125</x:v>
      </x:c>
      <x:c r="L92" s="20" t="n">
        <x:v>1</x:v>
      </x:c>
      <x:c r="M92" t="str">
        <x:v>High</x:v>
      </x:c>
      <x:c r="N92" t="str">
        <x:v>Approx. State/Non-MCC Pool</x:v>
      </x:c>
      <x:c r="O92" t="str">
        <x:v>Moderate state-counselling pool</x:v>
      </x:c>
      <x:c r="P92"/>
      <x:c r="Q92"/>
      <x:c r="R92"/>
      <x:c r="S92"/>
      <x:c r="T92"/>
      <x:c r="U92" t="str">
        <x:v>Pending state Round-1 allotment/cutoff data</x:v>
      </x:c>
    </x:row>
    <x:row r="93">
      <x:c r="A93" t="str">
        <x:v>Chhattisgarh</x:v>
      </x:c>
      <x:c r="B93" t="str">
        <x:v>CG/005/G/1</x:v>
      </x:c>
      <x:c r="C93" t="str">
        <x:v>Rajmata Shrimata Devendra Kumari Singhdeo Government Medical College, Ambikapur (Surguja), Chhattisgarh</x:v>
      </x:c>
      <x:c r="D93" t="str">
        <x:v>Government</x:v>
      </x:c>
      <x:c r="E93" t="n">
        <x:v>125</x:v>
      </x:c>
      <x:c r="F93" t="n">
        <x:v>0</x:v>
      </x:c>
      <x:c r="G93" t="n">
        <x:v>125</x:v>
      </x:c>
      <x:c r="H93"/>
      <x:c r="I93" t="n">
        <x:v>0</x:v>
      </x:c>
      <x:c r="J93" t="n">
        <x:v>0</x:v>
      </x:c>
      <x:c r="K93" t="n">
        <x:v>125</x:v>
      </x:c>
      <x:c r="L93" s="20" t="n">
        <x:v>1</x:v>
      </x:c>
      <x:c r="M93" t="str">
        <x:v>High</x:v>
      </x:c>
      <x:c r="N93" t="str">
        <x:v>Approx. State/Non-MCC Pool</x:v>
      </x:c>
      <x:c r="O93" t="str">
        <x:v>Moderate state-counselling pool</x:v>
      </x:c>
      <x:c r="P93"/>
      <x:c r="Q93"/>
      <x:c r="R93"/>
      <x:c r="S93"/>
      <x:c r="T93"/>
      <x:c r="U93" t="str">
        <x:v>Pending state Round-1 allotment/cutoff data</x:v>
      </x:c>
    </x:row>
    <x:row r="94">
      <x:c r="A94" t="str">
        <x:v>Chhattisgarh</x:v>
      </x:c>
      <x:c r="B94" t="str">
        <x:v>CG/015/G/1</x:v>
      </x:c>
      <x:c r="C94" t="str">
        <x:v>Shrimati Indira Gandhi Memorial Govt. Medical College, Kanker, Chattisgarh (previously Government Medical College, Kanker)</x:v>
      </x:c>
      <x:c r="D94" t="str">
        <x:v>Government</x:v>
      </x:c>
      <x:c r="E94" t="n">
        <x:v>125</x:v>
      </x:c>
      <x:c r="F94" t="n">
        <x:v>0</x:v>
      </x:c>
      <x:c r="G94" t="n">
        <x:v>125</x:v>
      </x:c>
      <x:c r="H94"/>
      <x:c r="I94" t="n">
        <x:v>0</x:v>
      </x:c>
      <x:c r="J94" t="n">
        <x:v>0</x:v>
      </x:c>
      <x:c r="K94" t="n">
        <x:v>125</x:v>
      </x:c>
      <x:c r="L94" s="20" t="n">
        <x:v>1</x:v>
      </x:c>
      <x:c r="M94" t="str">
        <x:v>High</x:v>
      </x:c>
      <x:c r="N94" t="str">
        <x:v>Approx. State/Non-MCC Pool</x:v>
      </x:c>
      <x:c r="O94" t="str">
        <x:v>Moderate state-counselling pool</x:v>
      </x:c>
      <x:c r="P94"/>
      <x:c r="Q94"/>
      <x:c r="R94"/>
      <x:c r="S94"/>
      <x:c r="T94"/>
      <x:c r="U94" t="str">
        <x:v>Pending state Round-1 allotment/cutoff data</x:v>
      </x:c>
    </x:row>
    <x:row r="95">
      <x:c r="A95" t="str">
        <x:v>Chhattisgarh</x:v>
      </x:c>
      <x:c r="B95" t="str">
        <x:v>CG/009/G/1</x:v>
      </x:c>
      <x:c r="C95" t="str">
        <x:v>Late Shri Lakhi Ram Agrawal Memorial Govt. Medical College, Raigarh</x:v>
      </x:c>
      <x:c r="D95" t="str">
        <x:v>Government</x:v>
      </x:c>
      <x:c r="E95" t="n">
        <x:v>100</x:v>
      </x:c>
      <x:c r="F95" t="n">
        <x:v>0</x:v>
      </x:c>
      <x:c r="G95" t="n">
        <x:v>100</x:v>
      </x:c>
      <x:c r="H95"/>
      <x:c r="I95" t="n">
        <x:v>0</x:v>
      </x:c>
      <x:c r="J95" t="n">
        <x:v>0</x:v>
      </x:c>
      <x:c r="K95" t="n">
        <x:v>100</x:v>
      </x:c>
      <x:c r="L95" s="20" t="n">
        <x:v>1</x:v>
      </x:c>
      <x:c r="M95" t="str">
        <x:v>High</x:v>
      </x:c>
      <x:c r="N95" t="str">
        <x:v>Approx. State/Non-MCC Pool</x:v>
      </x:c>
      <x:c r="O95" t="str">
        <x:v>Moderate state-counselling pool</x:v>
      </x:c>
      <x:c r="P95"/>
      <x:c r="Q95"/>
      <x:c r="R95"/>
      <x:c r="S95"/>
      <x:c r="T95"/>
      <x:c r="U95" t="str">
        <x:v>Pending state Round-1 allotment/cutoff data</x:v>
      </x:c>
    </x:row>
    <x:row r="96">
      <x:c r="A96" t="str">
        <x:v>Chhattisgarh</x:v>
      </x:c>
      <x:c r="B96" t="str">
        <x:v>New Establishment</x:v>
      </x:c>
      <x:c r="C96" t="str">
        <x:v>Government Medical College Dantewada</x:v>
      </x:c>
      <x:c r="D96" t="str">
        <x:v>Government</x:v>
      </x:c>
      <x:c r="E96" t="n">
        <x:v>0</x:v>
      </x:c>
      <x:c r="F96" t="n">
        <x:v>50</x:v>
      </x:c>
      <x:c r="G96" t="n">
        <x:v>50</x:v>
      </x:c>
      <x:c r="H96" t="str">
        <x:v>904744</x:v>
      </x:c>
      <x:c r="I96" t="n">
        <x:v>15</x:v>
      </x:c>
      <x:c r="J96" t="n">
        <x:v>15</x:v>
      </x:c>
      <x:c r="K96" t="n">
        <x:v>35</x:v>
      </x:c>
      <x:c r="L96" s="20" t="n">
        <x:v>0.7</x:v>
      </x:c>
      <x:c r="M96" t="str">
        <x:v>High</x:v>
      </x:c>
      <x:c r="N96" t="str">
        <x:v>Approx. State/Non-MCC Pool</x:v>
      </x:c>
      <x:c r="O96" t="str">
        <x:v>Expanded 2026 capacity + substantial state pool</x:v>
      </x:c>
      <x:c r="P96" t="n">
        <x:v>19127</x:v>
      </x:c>
      <x:c r="Q96" t="n">
        <x:v>22142</x:v>
      </x:c>
      <x:c r="R96" t="n">
        <x:v>21393</x:v>
      </x:c>
      <x:c r="S96" t="n">
        <x:v>82876</x:v>
      </x:c>
      <x:c r="T96" t="n">
        <x:v>72645</x:v>
      </x:c>
      <x:c r="U96" t="str">
        <x:v>Pending state Round-1 allotment/cutoff data</x:v>
      </x:c>
    </x:row>
    <x:row r="97">
      <x:c r="A97" t="str">
        <x:v>Chhattisgarh</x:v>
      </x:c>
      <x:c r="B97" t="str">
        <x:v>New Establishment</x:v>
      </x:c>
      <x:c r="C97" t="str">
        <x:v>Government Medical College Janjgir - Champa</x:v>
      </x:c>
      <x:c r="D97" t="str">
        <x:v>Government</x:v>
      </x:c>
      <x:c r="E97" t="n">
        <x:v>0</x:v>
      </x:c>
      <x:c r="F97" t="n">
        <x:v>50</x:v>
      </x:c>
      <x:c r="G97" t="n">
        <x:v>50</x:v>
      </x:c>
      <x:c r="H97" t="str">
        <x:v>904744</x:v>
      </x:c>
      <x:c r="I97" t="n">
        <x:v>15</x:v>
      </x:c>
      <x:c r="J97" t="n">
        <x:v>15</x:v>
      </x:c>
      <x:c r="K97" t="n">
        <x:v>35</x:v>
      </x:c>
      <x:c r="L97" s="20" t="n">
        <x:v>0.7</x:v>
      </x:c>
      <x:c r="M97" t="str">
        <x:v>High</x:v>
      </x:c>
      <x:c r="N97" t="str">
        <x:v>Approx. State/Non-MCC Pool</x:v>
      </x:c>
      <x:c r="O97" t="str">
        <x:v>Expanded 2026 capacity + substantial state pool</x:v>
      </x:c>
      <x:c r="P97" t="n">
        <x:v>19127</x:v>
      </x:c>
      <x:c r="Q97" t="n">
        <x:v>22142</x:v>
      </x:c>
      <x:c r="R97" t="n">
        <x:v>21393</x:v>
      </x:c>
      <x:c r="S97" t="n">
        <x:v>82876</x:v>
      </x:c>
      <x:c r="T97" t="n">
        <x:v>72645</x:v>
      </x:c>
      <x:c r="U97" t="str">
        <x:v>Pending state Round-1 allotment/cutoff data</x:v>
      </x:c>
    </x:row>
    <x:row r="98">
      <x:c r="A98" t="str">
        <x:v>Chhattisgarh</x:v>
      </x:c>
      <x:c r="B98" t="str">
        <x:v>New Establishment</x:v>
      </x:c>
      <x:c r="C98" t="str">
        <x:v>Govt. Medical College Kabeerdham</x:v>
      </x:c>
      <x:c r="D98" t="str">
        <x:v>Government</x:v>
      </x:c>
      <x:c r="E98" t="n">
        <x:v>0</x:v>
      </x:c>
      <x:c r="F98" t="n">
        <x:v>50</x:v>
      </x:c>
      <x:c r="G98" t="n">
        <x:v>50</x:v>
      </x:c>
      <x:c r="H98" t="str">
        <x:v>904744</x:v>
      </x:c>
      <x:c r="I98" t="n">
        <x:v>15</x:v>
      </x:c>
      <x:c r="J98" t="n">
        <x:v>15</x:v>
      </x:c>
      <x:c r="K98" t="n">
        <x:v>35</x:v>
      </x:c>
      <x:c r="L98" s="20" t="n">
        <x:v>0.7</x:v>
      </x:c>
      <x:c r="M98" t="str">
        <x:v>High</x:v>
      </x:c>
      <x:c r="N98" t="str">
        <x:v>Approx. State/Non-MCC Pool</x:v>
      </x:c>
      <x:c r="O98" t="str">
        <x:v>Expanded 2026 capacity + substantial state pool</x:v>
      </x:c>
      <x:c r="P98" t="n">
        <x:v>19127</x:v>
      </x:c>
      <x:c r="Q98" t="n">
        <x:v>22142</x:v>
      </x:c>
      <x:c r="R98" t="n">
        <x:v>21393</x:v>
      </x:c>
      <x:c r="S98" t="n">
        <x:v>82876</x:v>
      </x:c>
      <x:c r="T98" t="n">
        <x:v>72645</x:v>
      </x:c>
      <x:c r="U98" t="str">
        <x:v>Pending state Round-1 allotment/cutoff data</x:v>
      </x:c>
    </x:row>
    <x:row r="99">
      <x:c r="A99" t="str">
        <x:v>Chhattisgarh</x:v>
      </x:c>
      <x:c r="B99" t="str">
        <x:v>New Establishment</x:v>
      </x:c>
      <x:c r="C99" t="str">
        <x:v>Govt.Medical Collage Manendragarh</x:v>
      </x:c>
      <x:c r="D99" t="str">
        <x:v>Government</x:v>
      </x:c>
      <x:c r="E99" t="n">
        <x:v>0</x:v>
      </x:c>
      <x:c r="F99" t="n">
        <x:v>50</x:v>
      </x:c>
      <x:c r="G99" t="n">
        <x:v>50</x:v>
      </x:c>
      <x:c r="H99" t="str">
        <x:v>904744</x:v>
      </x:c>
      <x:c r="I99" t="n">
        <x:v>15</x:v>
      </x:c>
      <x:c r="J99" t="n">
        <x:v>15</x:v>
      </x:c>
      <x:c r="K99" t="n">
        <x:v>35</x:v>
      </x:c>
      <x:c r="L99" s="20" t="n">
        <x:v>0.7</x:v>
      </x:c>
      <x:c r="M99" t="str">
        <x:v>High</x:v>
      </x:c>
      <x:c r="N99" t="str">
        <x:v>Approx. State/Non-MCC Pool</x:v>
      </x:c>
      <x:c r="O99" t="str">
        <x:v>Expanded 2026 capacity + substantial state pool</x:v>
      </x:c>
      <x:c r="P99" t="n">
        <x:v>19127</x:v>
      </x:c>
      <x:c r="Q99" t="n">
        <x:v>22142</x:v>
      </x:c>
      <x:c r="R99" t="n">
        <x:v>21393</x:v>
      </x:c>
      <x:c r="S99" t="n">
        <x:v>82876</x:v>
      </x:c>
      <x:c r="T99" t="n">
        <x:v>72645</x:v>
      </x:c>
      <x:c r="U99" t="str">
        <x:v>Pending state Round-1 allotment/cutoff data</x:v>
      </x:c>
    </x:row>
    <x:row r="100">
      <x:c r="A100" t="str">
        <x:v>Chhattisgarh</x:v>
      </x:c>
      <x:c r="B100" t="str">
        <x:v>New Establishment</x:v>
      </x:c>
      <x:c r="C100" t="str">
        <x:v>government medical college, jashpur-kunkuri</x:v>
      </x:c>
      <x:c r="D100" t="str">
        <x:v>Government</x:v>
      </x:c>
      <x:c r="E100" t="n">
        <x:v>0</x:v>
      </x:c>
      <x:c r="F100" t="n">
        <x:v>50</x:v>
      </x:c>
      <x:c r="G100" t="n">
        <x:v>50</x:v>
      </x:c>
      <x:c r="H100" t="str">
        <x:v>904744</x:v>
      </x:c>
      <x:c r="I100" t="n">
        <x:v>15</x:v>
      </x:c>
      <x:c r="J100" t="n">
        <x:v>15</x:v>
      </x:c>
      <x:c r="K100" t="n">
        <x:v>35</x:v>
      </x:c>
      <x:c r="L100" s="20" t="n">
        <x:v>0.7</x:v>
      </x:c>
      <x:c r="M100" t="str">
        <x:v>High</x:v>
      </x:c>
      <x:c r="N100" t="str">
        <x:v>Approx. State/Non-MCC Pool</x:v>
      </x:c>
      <x:c r="O100" t="str">
        <x:v>Expanded 2026 capacity + substantial state pool</x:v>
      </x:c>
      <x:c r="P100" t="n">
        <x:v>19127</x:v>
      </x:c>
      <x:c r="Q100" t="n">
        <x:v>22142</x:v>
      </x:c>
      <x:c r="R100" t="n">
        <x:v>21393</x:v>
      </x:c>
      <x:c r="S100" t="n">
        <x:v>82876</x:v>
      </x:c>
      <x:c r="T100" t="n">
        <x:v>72645</x:v>
      </x:c>
      <x:c r="U100" t="str">
        <x:v>Pending state Round-1 allotment/cutoff data</x:v>
      </x:c>
    </x:row>
    <x:row r="101">
      <x:c r="A101" t="str">
        <x:v>Chhattisgarh</x:v>
      </x:c>
      <x:c r="B101" t="str">
        <x:v>CG/011/P/4</x:v>
      </x:c>
      <x:c r="C101" t="str">
        <x:v>Raipur Institute of Medical Sciences (RIMS), Raipur</x:v>
      </x:c>
      <x:c r="D101" t="str">
        <x:v>Private</x:v>
      </x:c>
      <x:c r="E101" t="n">
        <x:v>150</x:v>
      </x:c>
      <x:c r="F101" t="n">
        <x:v>100</x:v>
      </x:c>
      <x:c r="G101" t="n">
        <x:v>250</x:v>
      </x:c>
      <x:c r="H101"/>
      <x:c r="I101" t="n">
        <x:v>0</x:v>
      </x:c>
      <x:c r="J101" t="n">
        <x:v>0</x:v>
      </x:c>
      <x:c r="K101" t="n">
        <x:v>250</x:v>
      </x:c>
      <x:c r="L101" s="20" t="n">
        <x:v>1</x:v>
      </x:c>
      <x:c r="M101" t="str">
        <x:v>Variable</x:v>
      </x:c>
      <x:c r="N101" t="str">
        <x:v>Approx. Non-MCC Pool</x:v>
      </x:c>
      <x:c r="O101" t="str">
        <x:v>Expanded 2026 capacity; state/management split to verify</x:v>
      </x:c>
      <x:c r="P101"/>
      <x:c r="Q101"/>
      <x:c r="R101"/>
      <x:c r="S101"/>
      <x:c r="T101"/>
      <x:c r="U101" t="str">
        <x:v>Pending state Round-1 allotment/cutoff data</x:v>
      </x:c>
    </x:row>
    <x:row r="102">
      <x:c r="A102" t="str">
        <x:v>Chhattisgarh</x:v>
      </x:c>
      <x:c r="B102" t="str">
        <x:v>CG/012/P/4</x:v>
      </x:c>
      <x:c r="C102" t="str">
        <x:v>Shri Balaji Institute of Medical Science</x:v>
      </x:c>
      <x:c r="D102" t="str">
        <x:v>Private</x:v>
      </x:c>
      <x:c r="E102" t="n">
        <x:v>250</x:v>
      </x:c>
      <x:c r="F102" t="n">
        <x:v>0</x:v>
      </x:c>
      <x:c r="G102" t="n">
        <x:v>250</x:v>
      </x:c>
      <x:c r="H102"/>
      <x:c r="I102" t="n">
        <x:v>0</x:v>
      </x:c>
      <x:c r="J102" t="n">
        <x:v>0</x:v>
      </x:c>
      <x:c r="K102" t="n">
        <x:v>250</x:v>
      </x:c>
      <x:c r="L102" s="20" t="n">
        <x:v>1</x:v>
      </x:c>
      <x:c r="M102" t="str">
        <x:v>Variable</x:v>
      </x:c>
      <x:c r="N102" t="str">
        <x:v>Approx. Non-MCC Pool</x:v>
      </x:c>
      <x:c r="O102" t="str">
        <x:v>Large non-MCC pool; quota split varies by state</x:v>
      </x:c>
      <x:c r="P102"/>
      <x:c r="Q102"/>
      <x:c r="R102"/>
      <x:c r="S102"/>
      <x:c r="T102"/>
      <x:c r="U102" t="str">
        <x:v>Pending state Round-1 allotment/cutoff data</x:v>
      </x:c>
    </x:row>
    <x:row r="103">
      <x:c r="A103" t="str">
        <x:v>Chhattisgarh</x:v>
      </x:c>
      <x:c r="B103" t="str">
        <x:v>CG/014/P/4</x:v>
      </x:c>
      <x:c r="C103" t="str">
        <x:v>Shri Shankaracharya Institute of Medical Sciences, Bhilai</x:v>
      </x:c>
      <x:c r="D103" t="str">
        <x:v>Private</x:v>
      </x:c>
      <x:c r="E103" t="n">
        <x:v>250</x:v>
      </x:c>
      <x:c r="F103" t="n">
        <x:v>0</x:v>
      </x:c>
      <x:c r="G103" t="n">
        <x:v>250</x:v>
      </x:c>
      <x:c r="H103"/>
      <x:c r="I103" t="n">
        <x:v>0</x:v>
      </x:c>
      <x:c r="J103" t="n">
        <x:v>0</x:v>
      </x:c>
      <x:c r="K103" t="n">
        <x:v>250</x:v>
      </x:c>
      <x:c r="L103" s="20" t="n">
        <x:v>1</x:v>
      </x:c>
      <x:c r="M103" t="str">
        <x:v>Variable</x:v>
      </x:c>
      <x:c r="N103" t="str">
        <x:v>Approx. Non-MCC Pool</x:v>
      </x:c>
      <x:c r="O103" t="str">
        <x:v>Large non-MCC pool; quota split varies by state</x:v>
      </x:c>
      <x:c r="P103"/>
      <x:c r="Q103"/>
      <x:c r="R103"/>
      <x:c r="S103"/>
      <x:c r="T103"/>
      <x:c r="U103" t="str">
        <x:v>Pending state Round-1 allotment/cutoff data</x:v>
      </x:c>
    </x:row>
    <x:row r="104">
      <x:c r="A104" t="str">
        <x:v>Chhattisgarh</x:v>
      </x:c>
      <x:c r="B104" t="str">
        <x:v>CG/001/P/4</x:v>
      </x:c>
      <x:c r="C104" t="str">
        <x:v>Abhishek Mishra Memorial Medical College &amp; RC Bhiali Distt. Durg CG</x:v>
      </x:c>
      <x:c r="D104" t="str">
        <x:v>Private</x:v>
      </x:c>
      <x:c r="E104" t="n">
        <x:v>150</x:v>
      </x:c>
      <x:c r="F104" t="n">
        <x:v>50</x:v>
      </x:c>
      <x:c r="G104" t="n">
        <x:v>200</x:v>
      </x:c>
      <x:c r="H104"/>
      <x:c r="I104" t="n">
        <x:v>0</x:v>
      </x:c>
      <x:c r="J104" t="n">
        <x:v>0</x:v>
      </x:c>
      <x:c r="K104" t="n">
        <x:v>200</x:v>
      </x:c>
      <x:c r="L104" s="20" t="n">
        <x:v>1</x:v>
      </x:c>
      <x:c r="M104" t="str">
        <x:v>Variable</x:v>
      </x:c>
      <x:c r="N104" t="str">
        <x:v>Approx. Non-MCC Pool</x:v>
      </x:c>
      <x:c r="O104" t="str">
        <x:v>Expanded 2026 capacity; state/management split to verify</x:v>
      </x:c>
      <x:c r="P104"/>
      <x:c r="Q104"/>
      <x:c r="R104"/>
      <x:c r="S104"/>
      <x:c r="T104"/>
      <x:c r="U104" t="str">
        <x:v>Pending state Round-1 allotment/cutoff data</x:v>
      </x:c>
    </x:row>
    <x:row r="105">
      <x:c r="A105" t="str">
        <x:v>Chhattisgarh</x:v>
      </x:c>
      <x:c r="B105" t="str">
        <x:v>CG/013/P/3</x:v>
      </x:c>
      <x:c r="C105" t="str">
        <x:v>Shri Rawatpura Sarkar Institute of Medical Sciences and Research Atal Nagar, Dist- Raipur (C.G.)</x:v>
      </x:c>
      <x:c r="D105" t="str">
        <x:v>Private</x:v>
      </x:c>
      <x:c r="E105" t="n">
        <x:v>150</x:v>
      </x:c>
      <x:c r="F105" t="n">
        <x:v>0</x:v>
      </x:c>
      <x:c r="G105" t="n">
        <x:v>150</x:v>
      </x:c>
      <x:c r="H105"/>
      <x:c r="I105" t="n">
        <x:v>0</x:v>
      </x:c>
      <x:c r="J105" t="n">
        <x:v>0</x:v>
      </x:c>
      <x:c r="K105" t="n">
        <x:v>150</x:v>
      </x:c>
      <x:c r="L105" s="20" t="n">
        <x:v>1</x:v>
      </x:c>
      <x:c r="M105" t="str">
        <x:v>Variable</x:v>
      </x:c>
      <x:c r="N105" t="str">
        <x:v>Approx. Non-MCC Pool</x:v>
      </x:c>
      <x:c r="O105" t="str">
        <x:v>Large non-MCC pool; quota split varies by state</x:v>
      </x:c>
      <x:c r="P105"/>
      <x:c r="Q105"/>
      <x:c r="R105"/>
      <x:c r="S105"/>
      <x:c r="T105"/>
      <x:c r="U105" t="str">
        <x:v>Pending state Round-1 allotment/cutoff data</x:v>
      </x:c>
    </x:row>
    <x:row r="106">
      <x:c r="A106" t="str">
        <x:v>Chhattisgarh</x:v>
      </x:c>
      <x:c r="B106" t="str">
        <x:v>New Establishment</x:v>
      </x:c>
      <x:c r="C106" t="str">
        <x:v>MAA PADMAVATI INSTITUTE OF MEDICAL SCIENCES</x:v>
      </x:c>
      <x:c r="D106" t="str">
        <x:v>Private</x:v>
      </x:c>
      <x:c r="E106" t="n">
        <x:v>0</x:v>
      </x:c>
      <x:c r="F106" t="n">
        <x:v>100</x:v>
      </x:c>
      <x:c r="G106" t="n">
        <x:v>100</x:v>
      </x:c>
      <x:c r="H106" t="str">
        <x:v>904744</x:v>
      </x:c>
      <x:c r="I106" t="n">
        <x:v>15</x:v>
      </x:c>
      <x:c r="J106" t="n">
        <x:v>15</x:v>
      </x:c>
      <x:c r="K106" t="n">
        <x:v>85</x:v>
      </x:c>
      <x:c r="L106" s="20" t="n">
        <x:v>0.85</x:v>
      </x:c>
      <x:c r="M106" t="str">
        <x:v>Variable</x:v>
      </x:c>
      <x:c r="N106" t="str">
        <x:v>Approx. Non-MCC Pool</x:v>
      </x:c>
      <x:c r="O106" t="str">
        <x:v>Expanded 2026 capacity; state/management split to verify</x:v>
      </x:c>
      <x:c r="P106" t="n">
        <x:v>19127</x:v>
      </x:c>
      <x:c r="Q106" t="n">
        <x:v>22142</x:v>
      </x:c>
      <x:c r="R106" t="n">
        <x:v>21393</x:v>
      </x:c>
      <x:c r="S106" t="n">
        <x:v>82876</x:v>
      </x:c>
      <x:c r="T106" t="n">
        <x:v>72645</x:v>
      </x:c>
      <x:c r="U106" t="str">
        <x:v>Pending state Round-1 allotment/cutoff data</x:v>
      </x:c>
    </x:row>
    <x:row r="107">
      <x:c r="A107" t="str">
        <x:v>Dadar &amp; Nagar Haveli</x:v>
      </x:c>
      <x:c r="B107" t="str">
        <x:v>ND/001/G/1</x:v>
      </x:c>
      <x:c r="C107" t="str">
        <x:v>NAMO Medical Education and Research Institute, Silvassa (Formerly known as Shri Vinoba Bhave Institute of Medical Sciences, (Govt. Medical College) Silvassa, U.T)</x:v>
      </x:c>
      <x:c r="D107" t="str">
        <x:v>Government</x:v>
      </x:c>
      <x:c r="E107" t="n">
        <x:v>177</x:v>
      </x:c>
      <x:c r="F107" t="n">
        <x:v>0</x:v>
      </x:c>
      <x:c r="G107" t="n">
        <x:v>177</x:v>
      </x:c>
      <x:c r="H107" t="str">
        <x:v>200470</x:v>
      </x:c>
      <x:c r="I107" t="n">
        <x:v>27</x:v>
      </x:c>
      <x:c r="J107" t="n">
        <x:v>27</x:v>
      </x:c>
      <x:c r="K107" t="n">
        <x:v>150</x:v>
      </x:c>
      <x:c r="L107" s="20" t="n">
        <x:v>0.847457627118644</x:v>
      </x:c>
      <x:c r="M107" t="str">
        <x:v>High</x:v>
      </x:c>
      <x:c r="N107" t="str">
        <x:v>Approx. State/Non-MCC Pool</x:v>
      </x:c>
      <x:c r="O107" t="str">
        <x:v>Moderate state-counselling pool</x:v>
      </x:c>
      <x:c r="P107" t="n">
        <x:v>8073</x:v>
      </x:c>
      <x:c r="Q107" t="n">
        <x:v>10430</x:v>
      </x:c>
      <x:c r="R107" t="n">
        <x:v>10152</x:v>
      </x:c>
      <x:c r="S107" t="n">
        <x:v>69246</x:v>
      </x:c>
      <x:c r="T107" t="n">
        <x:v>95243</x:v>
      </x:c>
      <x:c r="U107" t="str">
        <x:v>Pending state Round-1 allotment/cutoff data</x:v>
      </x:c>
    </x:row>
    <x:row r="108">
      <x:c r="A108" t="str">
        <x:v>Delhi</x:v>
      </x:c>
      <x:c r="B108" t="str">
        <x:v>DL/002/G/1</x:v>
      </x:c>
      <x:c r="C108" t="str">
        <x:v>Dr. Baba Saheb Ambedkar Medical College, Rohini, Delhi</x:v>
      </x:c>
      <x:c r="D108" t="str">
        <x:v>Government</x:v>
      </x:c>
      <x:c r="E108" t="n">
        <x:v>125</x:v>
      </x:c>
      <x:c r="F108" t="n">
        <x:v>0</x:v>
      </x:c>
      <x:c r="G108" t="n">
        <x:v>125</x:v>
      </x:c>
      <x:c r="H108" t="str">
        <x:v>200127</x:v>
      </x:c>
      <x:c r="I108" t="n">
        <x:v>19</x:v>
      </x:c>
      <x:c r="J108" t="n">
        <x:v>19</x:v>
      </x:c>
      <x:c r="K108" t="n">
        <x:v>106</x:v>
      </x:c>
      <x:c r="L108" s="20" t="n">
        <x:v>0.848</x:v>
      </x:c>
      <x:c r="M108" t="str">
        <x:v>High</x:v>
      </x:c>
      <x:c r="N108" t="str">
        <x:v>Approx. State/Non-MCC Pool</x:v>
      </x:c>
      <x:c r="O108" t="str">
        <x:v>Moderate state-counselling pool</x:v>
      </x:c>
      <x:c r="P108" t="n">
        <x:v>1093</x:v>
      </x:c>
      <x:c r="Q108" t="n">
        <x:v>2169</x:v>
      </x:c>
      <x:c r="R108" t="n">
        <x:v>2540</x:v>
      </x:c>
      <x:c r="S108" t="n">
        <x:v>13249</x:v>
      </x:c>
      <x:c r="T108" t="n">
        <x:v>25121</x:v>
      </x:c>
      <x:c r="U108" t="str">
        <x:v>Pending state Round-1 allotment/cutoff data</x:v>
      </x:c>
    </x:row>
    <x:row r="109">
      <x:c r="A109" t="str">
        <x:v>Delhi</x:v>
      </x:c>
      <x:c r="B109" t="str">
        <x:v>DL/006/G/1</x:v>
      </x:c>
      <x:c r="C109" t="str">
        <x:v>North Delhi Muncipal Corporation Medical College, Delhi</x:v>
      </x:c>
      <x:c r="D109" t="str">
        <x:v>Government</x:v>
      </x:c>
      <x:c r="E109" t="n">
        <x:v>60</x:v>
      </x:c>
      <x:c r="F109" t="n">
        <x:v>0</x:v>
      </x:c>
      <x:c r="G109" t="n">
        <x:v>60</x:v>
      </x:c>
      <x:c r="H109" t="str">
        <x:v>200132</x:v>
      </x:c>
      <x:c r="I109" t="n">
        <x:v>9</x:v>
      </x:c>
      <x:c r="J109" t="n">
        <x:v>9</x:v>
      </x:c>
      <x:c r="K109" t="n">
        <x:v>51</x:v>
      </x:c>
      <x:c r="L109" s="20" t="n">
        <x:v>0.85</x:v>
      </x:c>
      <x:c r="M109" t="str">
        <x:v>High</x:v>
      </x:c>
      <x:c r="N109" t="str">
        <x:v>Approx. State/Non-MCC Pool</x:v>
      </x:c>
      <x:c r="O109" t="str">
        <x:v>Smaller state-counselling pool</x:v>
      </x:c>
      <x:c r="P109" t="n">
        <x:v>2139</x:v>
      </x:c>
      <x:c r="Q109" t="n">
        <x:v>2634</x:v>
      </x:c>
      <x:c r="R109" t="n">
        <x:v>2945</x:v>
      </x:c>
      <x:c r="S109" t="n">
        <x:v>17405</x:v>
      </x:c>
      <x:c r="T109"/>
      <x:c r="U109" t="str">
        <x:v>Pending state Round-1 allotment/cutoff data</x:v>
      </x:c>
    </x:row>
    <x:row r="110">
      <x:c r="A110" t="str">
        <x:v>Delhi</x:v>
      </x:c>
      <x:c r="B110" t="str">
        <x:v>DL/008/G/1</x:v>
      </x:c>
      <x:c r="C110" t="str">
        <x:v>Lady Hardinge Medical College, New Delhi</x:v>
      </x:c>
      <x:c r="D110" t="str">
        <x:v>Government</x:v>
      </x:c>
      <x:c r="E110" t="n">
        <x:v>240</x:v>
      </x:c>
      <x:c r="F110" t="n">
        <x:v>0</x:v>
      </x:c>
      <x:c r="G110" t="n">
        <x:v>240</x:v>
      </x:c>
      <x:c r="H110" t="str">
        <x:v>200448</x:v>
      </x:c>
      <x:c r="I110" t="n">
        <x:v>225</x:v>
      </x:c>
      <x:c r="J110" t="n">
        <x:v>223</x:v>
      </x:c>
      <x:c r="K110" t="n">
        <x:v>15</x:v>
      </x:c>
      <x:c r="L110" s="20" t="n">
        <x:v>0.0625</x:v>
      </x:c>
      <x:c r="M110" t="str">
        <x:v>High</x:v>
      </x:c>
      <x:c r="N110" t="str">
        <x:v>Approx. State/Non-MCC Pool</x:v>
      </x:c>
      <x:c r="O110" t="str">
        <x:v>Smaller state-counselling pool</x:v>
      </x:c>
      <x:c r="P110" t="n">
        <x:v>16166</x:v>
      </x:c>
      <x:c r="Q110" t="n">
        <x:v>32779</x:v>
      </x:c>
      <x:c r="R110" t="n">
        <x:v>42090</x:v>
      </x:c>
      <x:c r="S110" t="n">
        <x:v>58664</x:v>
      </x:c>
      <x:c r="T110" t="n">
        <x:v>144131</x:v>
      </x:c>
      <x:c r="U110" t="str">
        <x:v>Pending state Round-1 allotment/cutoff data</x:v>
      </x:c>
    </x:row>
    <x:row r="111">
      <x:c r="A111" t="str">
        <x:v>Delhi</x:v>
      </x:c>
      <x:c r="B111" t="str">
        <x:v>DL/005/G/1</x:v>
      </x:c>
      <x:c r="C111" t="str">
        <x:v>Maulana Azad Medical College, New Delhi</x:v>
      </x:c>
      <x:c r="D111" t="str">
        <x:v>Government</x:v>
      </x:c>
      <x:c r="E111" t="n">
        <x:v>250</x:v>
      </x:c>
      <x:c r="F111" t="n">
        <x:v>0</x:v>
      </x:c>
      <x:c r="G111" t="n">
        <x:v>250</x:v>
      </x:c>
      <x:c r="H111" t="str">
        <x:v>200449</x:v>
      </x:c>
      <x:c r="I111" t="n">
        <x:v>244</x:v>
      </x:c>
      <x:c r="J111" t="n">
        <x:v>243</x:v>
      </x:c>
      <x:c r="K111" t="n">
        <x:v>6</x:v>
      </x:c>
      <x:c r="L111" s="20" t="n">
        <x:v>0.024</x:v>
      </x:c>
      <x:c r="M111" t="str">
        <x:v>High</x:v>
      </x:c>
      <x:c r="N111" t="str">
        <x:v>Approx. State/Non-MCC Pool</x:v>
      </x:c>
      <x:c r="O111" t="str">
        <x:v>Smaller state-counselling pool</x:v>
      </x:c>
      <x:c r="P111" t="n">
        <x:v>9171</x:v>
      </x:c>
      <x:c r="Q111" t="n">
        <x:v>39286</x:v>
      </x:c>
      <x:c r="R111" t="n">
        <x:v>476</x:v>
      </x:c>
      <x:c r="S111" t="n">
        <x:v>44938</x:v>
      </x:c>
      <x:c r="T111" t="n">
        <x:v>83321</x:v>
      </x:c>
      <x:c r="U111" t="str">
        <x:v>Pending state Round-1 allotment/cutoff data</x:v>
      </x:c>
    </x:row>
    <x:row r="112">
      <x:c r="A112" t="str">
        <x:v>Delhi</x:v>
      </x:c>
      <x:c r="B112" t="str">
        <x:v>DL/009/G/1</x:v>
      </x:c>
      <x:c r="C112" t="str">
        <x:v>Vardhman Mahavir Medical College &amp; Safdarjung Hospital, Delhi</x:v>
      </x:c>
      <x:c r="D112" t="str">
        <x:v>Government</x:v>
      </x:c>
      <x:c r="E112" t="n">
        <x:v>170</x:v>
      </x:c>
      <x:c r="F112" t="n">
        <x:v>0</x:v>
      </x:c>
      <x:c r="G112" t="n">
        <x:v>170</x:v>
      </x:c>
      <x:c r="H112" t="str">
        <x:v>200495</x:v>
      </x:c>
      <x:c r="I112" t="n">
        <x:v>164</x:v>
      </x:c>
      <x:c r="J112" t="n">
        <x:v>162</x:v>
      </x:c>
      <x:c r="K112" t="n">
        <x:v>6</x:v>
      </x:c>
      <x:c r="L112" s="20" t="n">
        <x:v>0.03529411764705882</x:v>
      </x:c>
      <x:c r="M112" t="str">
        <x:v>High</x:v>
      </x:c>
      <x:c r="N112" t="str">
        <x:v>Approx. State/Non-MCC Pool</x:v>
      </x:c>
      <x:c r="O112" t="str">
        <x:v>Smaller state-counselling pool</x:v>
      </x:c>
      <x:c r="P112" t="n">
        <x:v>25238</x:v>
      </x:c>
      <x:c r="Q112" t="n">
        <x:v>11160</x:v>
      </x:c>
      <x:c r="R112" t="n">
        <x:v>2754</x:v>
      </x:c>
      <x:c r="S112" t="n">
        <x:v>12515</x:v>
      </x:c>
      <x:c r="T112" t="n">
        <x:v>41031</x:v>
      </x:c>
      <x:c r="U112" t="str">
        <x:v>Pending state Round-1 allotment/cutoff data</x:v>
      </x:c>
    </x:row>
    <x:row r="113">
      <x:c r="A113" t="str">
        <x:v>Delhi</x:v>
      </x:c>
      <x:c r="B113" t="str">
        <x:v>DL/007/G/1</x:v>
      </x:c>
      <x:c r="C113" t="str">
        <x:v>Atal Bihari Vajpayee Institute of Medical Sciences and Dr. RML Hospital, New Delhi</x:v>
      </x:c>
      <x:c r="D113" t="str">
        <x:v>Government</x:v>
      </x:c>
      <x:c r="E113" t="n">
        <x:v>100</x:v>
      </x:c>
      <x:c r="F113" t="n">
        <x:v>0</x:v>
      </x:c>
      <x:c r="G113" t="n">
        <x:v>100</x:v>
      </x:c>
      <x:c r="H113" t="str">
        <x:v>200498</x:v>
      </x:c>
      <x:c r="I113" t="n">
        <x:v>100</x:v>
      </x:c>
      <x:c r="J113" t="n">
        <x:v>99</x:v>
      </x:c>
      <x:c r="K113" t="n">
        <x:v>0</x:v>
      </x:c>
      <x:c r="L113" s="20" t="n">
        <x:v>0</x:v>
      </x:c>
      <x:c r="M113" t="str">
        <x:v>High</x:v>
      </x:c>
      <x:c r="N113" t="str">
        <x:v>Approx. State/Non-MCC Pool</x:v>
      </x:c>
      <x:c r="O113" t="str">
        <x:v>Smaller state-counselling pool</x:v>
      </x:c>
      <x:c r="P113" t="n">
        <x:v>11424</x:v>
      </x:c>
      <x:c r="Q113" t="n">
        <x:v>25275</x:v>
      </x:c>
      <x:c r="R113" t="n">
        <x:v>31514</x:v>
      </x:c>
      <x:c r="S113" t="n">
        <x:v>38182</x:v>
      </x:c>
      <x:c r="T113" t="n">
        <x:v>67083</x:v>
      </x:c>
      <x:c r="U113" t="str">
        <x:v>Pending state Round-1 allotment/cutoff data</x:v>
      </x:c>
    </x:row>
    <x:row r="114">
      <x:c r="A114" t="str">
        <x:v>Delhi</x:v>
      </x:c>
      <x:c r="B114" t="str">
        <x:v>DL/003/G/1</x:v>
      </x:c>
      <x:c r="C114" t="str">
        <x:v>ESIC Medical College &amp; Hospital, Basaidarapur, New Delhi</x:v>
      </x:c>
      <x:c r="D114" t="str">
        <x:v>Government</x:v>
      </x:c>
      <x:c r="E114" t="n">
        <x:v>50</x:v>
      </x:c>
      <x:c r="F114" t="n">
        <x:v>0</x:v>
      </x:c>
      <x:c r="G114" t="n">
        <x:v>50</x:v>
      </x:c>
      <x:c r="H114" t="str">
        <x:v>904361</x:v>
      </x:c>
      <x:c r="I114" t="n">
        <x:v>50</x:v>
      </x:c>
      <x:c r="J114" t="n">
        <x:v>48</x:v>
      </x:c>
      <x:c r="K114" t="n">
        <x:v>0</x:v>
      </x:c>
      <x:c r="L114" s="20" t="n">
        <x:v>0</x:v>
      </x:c>
      <x:c r="M114" t="str">
        <x:v>High</x:v>
      </x:c>
      <x:c r="N114" t="str">
        <x:v>Approx. State/Non-MCC Pool</x:v>
      </x:c>
      <x:c r="O114" t="str">
        <x:v>Smaller state-counselling pool</x:v>
      </x:c>
      <x:c r="P114" t="n">
        <x:v>24756</x:v>
      </x:c>
      <x:c r="Q114" t="n">
        <x:v>10871</x:v>
      </x:c>
      <x:c r="R114" t="n">
        <x:v>8000</x:v>
      </x:c>
      <x:c r="S114" t="n">
        <x:v>83102</x:v>
      </x:c>
      <x:c r="T114" t="n">
        <x:v>122839</x:v>
      </x:c>
      <x:c r="U114" t="str">
        <x:v>Pending state Round-1 allotment/cutoff data</x:v>
      </x:c>
    </x:row>
    <x:row r="115">
      <x:c r="A115" t="str">
        <x:v>Delhi</x:v>
      </x:c>
      <x:c r="B115" t="str">
        <x:v>DL/010/G/1</x:v>
      </x:c>
      <x:c r="C115" t="str">
        <x:v>University College of Medical Sciences &amp; GTB Hospital, New Delhi</x:v>
      </x:c>
      <x:c r="D115" t="str">
        <x:v>Government</x:v>
      </x:c>
      <x:c r="E115" t="n">
        <x:v>170</x:v>
      </x:c>
      <x:c r="F115" t="n">
        <x:v>0</x:v>
      </x:c>
      <x:c r="G115" t="n">
        <x:v>170</x:v>
      </x:c>
      <x:c r="H115" t="str">
        <x:v>200450</x:v>
      </x:c>
      <x:c r="I115" t="n">
        <x:v>170</x:v>
      </x:c>
      <x:c r="J115" t="n">
        <x:v>167</x:v>
      </x:c>
      <x:c r="K115" t="n">
        <x:v>0</x:v>
      </x:c>
      <x:c r="L115" s="20" t="n">
        <x:v>0</x:v>
      </x:c>
      <x:c r="M115" t="str">
        <x:v>High</x:v>
      </x:c>
      <x:c r="N115" t="str">
        <x:v>Approx. State/Non-MCC Pool</x:v>
      </x:c>
      <x:c r="O115" t="str">
        <x:v>Smaller state-counselling pool</x:v>
      </x:c>
      <x:c r="P115" t="n">
        <x:v>17284</x:v>
      </x:c>
      <x:c r="Q115" t="n">
        <x:v>21255</x:v>
      </x:c>
      <x:c r="R115" t="n">
        <x:v>4449</x:v>
      </x:c>
      <x:c r="S115" t="n">
        <x:v>49487</x:v>
      </x:c>
      <x:c r="T115" t="n">
        <x:v>75394</x:v>
      </x:c>
      <x:c r="U115" t="str">
        <x:v>Pending state Round-1 allotment/cutoff data</x:v>
      </x:c>
    </x:row>
    <x:row r="116">
      <x:c r="A116" t="str">
        <x:v>Delhi</x:v>
      </x:c>
      <x:c r="B116" t="str">
        <x:v>DL/001/P/4</x:v>
      </x:c>
      <x:c r="C116" t="str">
        <x:v>Army College of Medical Sciences, New Delhi</x:v>
      </x:c>
      <x:c r="D116" t="str">
        <x:v>Private</x:v>
      </x:c>
      <x:c r="E116" t="n">
        <x:v>100</x:v>
      </x:c>
      <x:c r="F116" t="n">
        <x:v>0</x:v>
      </x:c>
      <x:c r="G116" t="n">
        <x:v>100</x:v>
      </x:c>
      <x:c r="H116"/>
      <x:c r="I116" t="n">
        <x:v>0</x:v>
      </x:c>
      <x:c r="J116" t="n">
        <x:v>0</x:v>
      </x:c>
      <x:c r="K116" t="n">
        <x:v>100</x:v>
      </x:c>
      <x:c r="L116" s="20" t="n">
        <x:v>1</x:v>
      </x:c>
      <x:c r="M116" t="str">
        <x:v>Variable</x:v>
      </x:c>
      <x:c r="N116" t="str">
        <x:v>Approx. Non-MCC Pool</x:v>
      </x:c>
      <x:c r="O116" t="str">
        <x:v>State/management/NRI split must be verified</x:v>
      </x:c>
      <x:c r="P116"/>
      <x:c r="Q116"/>
      <x:c r="R116"/>
      <x:c r="S116"/>
      <x:c r="T116"/>
      <x:c r="U116" t="str">
        <x:v>Pending state Round-1 allotment/cutoff data</x:v>
      </x:c>
    </x:row>
    <x:row r="117">
      <x:c r="A117" t="str">
        <x:v>Delhi</x:v>
      </x:c>
      <x:c r="B117" t="str">
        <x:v>DL/004/P/3</x:v>
      </x:c>
      <x:c r="C117" t="str">
        <x:v>Hamdard Institute of Medical Sciences &amp; Research, New Delhi</x:v>
      </x:c>
      <x:c r="D117" t="str">
        <x:v>Private</x:v>
      </x:c>
      <x:c r="E117" t="n">
        <x:v>150</x:v>
      </x:c>
      <x:c r="F117" t="n">
        <x:v>0</x:v>
      </x:c>
      <x:c r="G117" t="n">
        <x:v>150</x:v>
      </x:c>
      <x:c r="H117" t="str">
        <x:v>200326</x:v>
      </x:c>
      <x:c r="I117" t="n">
        <x:v>150</x:v>
      </x:c>
      <x:c r="J117" t="n">
        <x:v>132</x:v>
      </x:c>
      <x:c r="K117" t="n">
        <x:v>0</x:v>
      </x:c>
      <x:c r="L117" s="20" t="n">
        <x:v>0</x:v>
      </x:c>
      <x:c r="M117" t="str">
        <x:v>Variable</x:v>
      </x:c>
      <x:c r="N117" t="str">
        <x:v>Approx. Non-MCC Pool</x:v>
      </x:c>
      <x:c r="O117" t="str">
        <x:v>State/management/NRI split must be verified</x:v>
      </x:c>
      <x:c r="P117" t="n">
        <x:v>101895</x:v>
      </x:c>
      <x:c r="Q117"/>
      <x:c r="R117"/>
      <x:c r="S117"/>
      <x:c r="T117"/>
      <x:c r="U117" t="str">
        <x:v>Pending state Round-1 allotment/cutoff data</x:v>
      </x:c>
    </x:row>
    <x:row r="118">
      <x:c r="A118" t="str">
        <x:v>Goa</x:v>
      </x:c>
      <x:c r="B118" t="str">
        <x:v>GA/001/G/1</x:v>
      </x:c>
      <x:c r="C118" t="str">
        <x:v>Goa Medical College, Panaji</x:v>
      </x:c>
      <x:c r="D118" t="str">
        <x:v>Government</x:v>
      </x:c>
      <x:c r="E118" t="n">
        <x:v>200</x:v>
      </x:c>
      <x:c r="F118" t="n">
        <x:v>50</x:v>
      </x:c>
      <x:c r="G118" t="n">
        <x:v>250</x:v>
      </x:c>
      <x:c r="H118" t="str">
        <x:v>200136</x:v>
      </x:c>
      <x:c r="I118" t="n">
        <x:v>37</x:v>
      </x:c>
      <x:c r="J118" t="n">
        <x:v>37</x:v>
      </x:c>
      <x:c r="K118" t="n">
        <x:v>213</x:v>
      </x:c>
      <x:c r="L118" s="20" t="n">
        <x:v>0.852</x:v>
      </x:c>
      <x:c r="M118" t="str">
        <x:v>High</x:v>
      </x:c>
      <x:c r="N118" t="str">
        <x:v>Approx. State/Non-MCC Pool</x:v>
      </x:c>
      <x:c r="O118" t="str">
        <x:v>Expanded 2026 capacity + substantial state pool</x:v>
      </x:c>
      <x:c r="P118" t="n">
        <x:v>6737</x:v>
      </x:c>
      <x:c r="Q118" t="n">
        <x:v>9600</x:v>
      </x:c>
      <x:c r="R118" t="n">
        <x:v>11606</x:v>
      </x:c>
      <x:c r="S118" t="n">
        <x:v>49067</x:v>
      </x:c>
      <x:c r="T118" t="n">
        <x:v>89752</x:v>
      </x:c>
      <x:c r="U118" t="str">
        <x:v>Pending state Round-1 allotment/cutoff data</x:v>
      </x:c>
    </x:row>
    <x:row r="119">
      <x:c r="A119" t="str">
        <x:v>Gujarat</x:v>
      </x:c>
      <x:c r="B119" t="str">
        <x:v>GJ/039/G/1</x:v>
      </x:c>
      <x:c r="C119" t="str">
        <x:v>Smt. N.H.L.Municipal Medical College, Ahmedabad</x:v>
      </x:c>
      <x:c r="D119" t="str">
        <x:v>Government</x:v>
      </x:c>
      <x:c r="E119" t="n">
        <x:v>250</x:v>
      </x:c>
      <x:c r="F119" t="n">
        <x:v>0</x:v>
      </x:c>
      <x:c r="G119" t="n">
        <x:v>250</x:v>
      </x:c>
      <x:c r="H119"/>
      <x:c r="I119" t="n">
        <x:v>0</x:v>
      </x:c>
      <x:c r="J119" t="n">
        <x:v>0</x:v>
      </x:c>
      <x:c r="K119" t="n">
        <x:v>250</x:v>
      </x:c>
      <x:c r="L119" s="20" t="n">
        <x:v>1</x:v>
      </x:c>
      <x:c r="M119" t="str">
        <x:v>High</x:v>
      </x:c>
      <x:c r="N119" t="str">
        <x:v>Approx. State/Non-MCC Pool</x:v>
      </x:c>
      <x:c r="O119" t="str">
        <x:v>Large state-counselling pool</x:v>
      </x:c>
      <x:c r="P119"/>
      <x:c r="Q119"/>
      <x:c r="R119"/>
      <x:c r="S119"/>
      <x:c r="T119"/>
      <x:c r="U119" t="str">
        <x:v>Pending state Round-1 allotment/cutoff data</x:v>
      </x:c>
    </x:row>
    <x:row r="120">
      <x:c r="A120" t="str">
        <x:v>Gujarat</x:v>
      </x:c>
      <x:c r="B120" t="str">
        <x:v>GJ/040/G/1</x:v>
      </x:c>
      <x:c r="C120" t="str">
        <x:v>Surat Municipal Institute of Medical Education &amp; Research, Surat</x:v>
      </x:c>
      <x:c r="D120" t="str">
        <x:v>Government</x:v>
      </x:c>
      <x:c r="E120" t="n">
        <x:v>250</x:v>
      </x:c>
      <x:c r="F120" t="n">
        <x:v>0</x:v>
      </x:c>
      <x:c r="G120" t="n">
        <x:v>250</x:v>
      </x:c>
      <x:c r="H120"/>
      <x:c r="I120" t="n">
        <x:v>0</x:v>
      </x:c>
      <x:c r="J120" t="n">
        <x:v>0</x:v>
      </x:c>
      <x:c r="K120" t="n">
        <x:v>250</x:v>
      </x:c>
      <x:c r="L120" s="20" t="n">
        <x:v>1</x:v>
      </x:c>
      <x:c r="M120" t="str">
        <x:v>High</x:v>
      </x:c>
      <x:c r="N120" t="str">
        <x:v>Approx. State/Non-MCC Pool</x:v>
      </x:c>
      <x:c r="O120" t="str">
        <x:v>Large state-counselling pool</x:v>
      </x:c>
      <x:c r="P120"/>
      <x:c r="Q120"/>
      <x:c r="R120"/>
      <x:c r="S120"/>
      <x:c r="T120"/>
      <x:c r="U120" t="str">
        <x:v>Pending state Round-1 allotment/cutoff data</x:v>
      </x:c>
    </x:row>
    <x:row r="121">
      <x:c r="A121" t="str">
        <x:v>Gujarat</x:v>
      </x:c>
      <x:c r="B121" t="str">
        <x:v>GJ/003/G/1</x:v>
      </x:c>
      <x:c r="C121" t="str">
        <x:v>B J Medical College, Ahmedabad</x:v>
      </x:c>
      <x:c r="D121" t="str">
        <x:v>Government</x:v>
      </x:c>
      <x:c r="E121" t="n">
        <x:v>250</x:v>
      </x:c>
      <x:c r="F121" t="n">
        <x:v>0</x:v>
      </x:c>
      <x:c r="G121" t="n">
        <x:v>250</x:v>
      </x:c>
      <x:c r="H121" t="str">
        <x:v>200137</x:v>
      </x:c>
      <x:c r="I121" t="n">
        <x:v>37</x:v>
      </x:c>
      <x:c r="J121" t="n">
        <x:v>37</x:v>
      </x:c>
      <x:c r="K121" t="n">
        <x:v>213</x:v>
      </x:c>
      <x:c r="L121" s="20" t="n">
        <x:v>0.852</x:v>
      </x:c>
      <x:c r="M121" t="str">
        <x:v>High</x:v>
      </x:c>
      <x:c r="N121" t="str">
        <x:v>Approx. State/Non-MCC Pool</x:v>
      </x:c>
      <x:c r="O121" t="str">
        <x:v>Large state-counselling pool</x:v>
      </x:c>
      <x:c r="P121" t="n">
        <x:v>644</x:v>
      </x:c>
      <x:c r="Q121" t="n">
        <x:v>2708</x:v>
      </x:c>
      <x:c r="R121" t="n">
        <x:v>2078</x:v>
      </x:c>
      <x:c r="S121" t="n">
        <x:v>20011</x:v>
      </x:c>
      <x:c r="T121" t="n">
        <x:v>33508</x:v>
      </x:c>
      <x:c r="U121" t="str">
        <x:v>Pending state Round-1 allotment/cutoff data</x:v>
      </x:c>
    </x:row>
    <x:row r="122">
      <x:c r="A122" t="str">
        <x:v>Gujarat</x:v>
      </x:c>
      <x:c r="B122" t="str">
        <x:v>GJ/030/G/1</x:v>
      </x:c>
      <x:c r="C122" t="str">
        <x:v>Medical College, Baroda</x:v>
      </x:c>
      <x:c r="D122" t="str">
        <x:v>Government</x:v>
      </x:c>
      <x:c r="E122" t="n">
        <x:v>250</x:v>
      </x:c>
      <x:c r="F122" t="n">
        <x:v>0</x:v>
      </x:c>
      <x:c r="G122" t="n">
        <x:v>250</x:v>
      </x:c>
      <x:c r="H122" t="str">
        <x:v>200142</x:v>
      </x:c>
      <x:c r="I122" t="n">
        <x:v>37</x:v>
      </x:c>
      <x:c r="J122" t="n">
        <x:v>37</x:v>
      </x:c>
      <x:c r="K122" t="n">
        <x:v>213</x:v>
      </x:c>
      <x:c r="L122" s="20" t="n">
        <x:v>0.852</x:v>
      </x:c>
      <x:c r="M122" t="str">
        <x:v>High</x:v>
      </x:c>
      <x:c r="N122" t="str">
        <x:v>Approx. State/Non-MCC Pool</x:v>
      </x:c>
      <x:c r="O122" t="str">
        <x:v>Large state-counselling pool</x:v>
      </x:c>
      <x:c r="P122" t="n">
        <x:v>2601</x:v>
      </x:c>
      <x:c r="Q122" t="n">
        <x:v>4657</x:v>
      </x:c>
      <x:c r="R122" t="n">
        <x:v>5618</x:v>
      </x:c>
      <x:c r="S122" t="n">
        <x:v>28698</x:v>
      </x:c>
      <x:c r="T122" t="n">
        <x:v>48538</x:v>
      </x:c>
      <x:c r="U122" t="str">
        <x:v>Pending state Round-1 allotment/cutoff data</x:v>
      </x:c>
    </x:row>
    <x:row r="123">
      <x:c r="A123" t="str">
        <x:v>Gujarat</x:v>
      </x:c>
      <x:c r="B123" t="str">
        <x:v>GJ/026/G/1</x:v>
      </x:c>
      <x:c r="C123" t="str">
        <x:v>Government Medical College, Surat</x:v>
      </x:c>
      <x:c r="D123" t="str">
        <x:v>Government</x:v>
      </x:c>
      <x:c r="E123" t="n">
        <x:v>250</x:v>
      </x:c>
      <x:c r="F123" t="n">
        <x:v>0</x:v>
      </x:c>
      <x:c r="G123" t="n">
        <x:v>250</x:v>
      </x:c>
      <x:c r="H123" t="str">
        <x:v>200138</x:v>
      </x:c>
      <x:c r="I123" t="n">
        <x:v>38</x:v>
      </x:c>
      <x:c r="J123" t="n">
        <x:v>38</x:v>
      </x:c>
      <x:c r="K123" t="n">
        <x:v>212</x:v>
      </x:c>
      <x:c r="L123" s="20" t="n">
        <x:v>0.848</x:v>
      </x:c>
      <x:c r="M123" t="str">
        <x:v>High</x:v>
      </x:c>
      <x:c r="N123" t="str">
        <x:v>Approx. State/Non-MCC Pool</x:v>
      </x:c>
      <x:c r="O123" t="str">
        <x:v>Large state-counselling pool</x:v>
      </x:c>
      <x:c r="P123" t="n">
        <x:v>1822</x:v>
      </x:c>
      <x:c r="Q123" t="n">
        <x:v>5234</x:v>
      </x:c>
      <x:c r="R123" t="n">
        <x:v>5945</x:v>
      </x:c>
      <x:c r="S123" t="n">
        <x:v>32767</x:v>
      </x:c>
      <x:c r="T123" t="n">
        <x:v>60268</x:v>
      </x:c>
      <x:c r="U123" t="str">
        <x:v>Pending state Round-1 allotment/cutoff data</x:v>
      </x:c>
    </x:row>
    <x:row r="124">
      <x:c r="A124" t="str">
        <x:v>Gujarat</x:v>
      </x:c>
      <x:c r="B124" t="str">
        <x:v>GJ/031/G/1</x:v>
      </x:c>
      <x:c r="C124" t="str">
        <x:v>MP Shah Medical College, Jamnagar</x:v>
      </x:c>
      <x:c r="D124" t="str">
        <x:v>Government</x:v>
      </x:c>
      <x:c r="E124" t="n">
        <x:v>250</x:v>
      </x:c>
      <x:c r="F124" t="n">
        <x:v>0</x:v>
      </x:c>
      <x:c r="G124" t="n">
        <x:v>250</x:v>
      </x:c>
      <x:c r="H124" t="str">
        <x:v>200141</x:v>
      </x:c>
      <x:c r="I124" t="n">
        <x:v>38</x:v>
      </x:c>
      <x:c r="J124" t="n">
        <x:v>38</x:v>
      </x:c>
      <x:c r="K124" t="n">
        <x:v>212</x:v>
      </x:c>
      <x:c r="L124" s="20" t="n">
        <x:v>0.848</x:v>
      </x:c>
      <x:c r="M124" t="str">
        <x:v>High</x:v>
      </x:c>
      <x:c r="N124" t="str">
        <x:v>Approx. State/Non-MCC Pool</x:v>
      </x:c>
      <x:c r="O124" t="str">
        <x:v>Large state-counselling pool</x:v>
      </x:c>
      <x:c r="P124" t="n">
        <x:v>5816</x:v>
      </x:c>
      <x:c r="Q124" t="n">
        <x:v>7084</x:v>
      </x:c>
      <x:c r="R124" t="n">
        <x:v>6487</x:v>
      </x:c>
      <x:c r="S124" t="n">
        <x:v>41480</x:v>
      </x:c>
      <x:c r="T124" t="n">
        <x:v>62829</x:v>
      </x:c>
      <x:c r="U124" t="str">
        <x:v>Pending state Round-1 allotment/cutoff data</x:v>
      </x:c>
    </x:row>
    <x:row r="125">
      <x:c r="A125" t="str">
        <x:v>Gujarat</x:v>
      </x:c>
      <x:c r="B125" t="str">
        <x:v>GJ/012/G/1</x:v>
      </x:c>
      <x:c r="C125" t="str">
        <x:v>GMERS Medical College, Dharpur Patan</x:v>
      </x:c>
      <x:c r="D125" t="str">
        <x:v>Government</x:v>
      </x:c>
      <x:c r="E125" t="n">
        <x:v>200</x:v>
      </x:c>
      <x:c r="F125" t="n">
        <x:v>0</x:v>
      </x:c>
      <x:c r="G125" t="n">
        <x:v>200</x:v>
      </x:c>
      <x:c r="H125"/>
      <x:c r="I125" t="n">
        <x:v>0</x:v>
      </x:c>
      <x:c r="J125" t="n">
        <x:v>0</x:v>
      </x:c>
      <x:c r="K125" t="n">
        <x:v>200</x:v>
      </x:c>
      <x:c r="L125" s="20" t="n">
        <x:v>1</x:v>
      </x:c>
      <x:c r="M125" t="str">
        <x:v>High</x:v>
      </x:c>
      <x:c r="N125" t="str">
        <x:v>Approx. State/Non-MCC Pool</x:v>
      </x:c>
      <x:c r="O125" t="str">
        <x:v>Large state-counselling pool</x:v>
      </x:c>
      <x:c r="P125"/>
      <x:c r="Q125"/>
      <x:c r="R125"/>
      <x:c r="S125"/>
      <x:c r="T125"/>
      <x:c r="U125" t="str">
        <x:v>Pending state Round-1 allotment/cutoff data</x:v>
      </x:c>
    </x:row>
    <x:row r="126">
      <x:c r="A126" t="str">
        <x:v>Gujarat</x:v>
      </x:c>
      <x:c r="B126" t="str">
        <x:v>GJ/013/G/1</x:v>
      </x:c>
      <x:c r="C126" t="str">
        <x:v>GMERS Medical College, Gandhinagar</x:v>
      </x:c>
      <x:c r="D126" t="str">
        <x:v>Government</x:v>
      </x:c>
      <x:c r="E126" t="n">
        <x:v>200</x:v>
      </x:c>
      <x:c r="F126" t="n">
        <x:v>0</x:v>
      </x:c>
      <x:c r="G126" t="n">
        <x:v>200</x:v>
      </x:c>
      <x:c r="H126"/>
      <x:c r="I126" t="n">
        <x:v>0</x:v>
      </x:c>
      <x:c r="J126" t="n">
        <x:v>0</x:v>
      </x:c>
      <x:c r="K126" t="n">
        <x:v>200</x:v>
      </x:c>
      <x:c r="L126" s="20" t="n">
        <x:v>1</x:v>
      </x:c>
      <x:c r="M126" t="str">
        <x:v>High</x:v>
      </x:c>
      <x:c r="N126" t="str">
        <x:v>Approx. State/Non-MCC Pool</x:v>
      </x:c>
      <x:c r="O126" t="str">
        <x:v>Large state-counselling pool</x:v>
      </x:c>
      <x:c r="P126"/>
      <x:c r="Q126"/>
      <x:c r="R126"/>
      <x:c r="S126"/>
      <x:c r="T126"/>
      <x:c r="U126" t="str">
        <x:v>Pending state Round-1 allotment/cutoff data</x:v>
      </x:c>
    </x:row>
    <x:row r="127">
      <x:c r="A127" t="str">
        <x:v>Gujarat</x:v>
      </x:c>
      <x:c r="B127" t="str">
        <x:v>GJ/014/G/1</x:v>
      </x:c>
      <x:c r="C127" t="str">
        <x:v>GMERS Medical College, Gotri, Vadodara</x:v>
      </x:c>
      <x:c r="D127" t="str">
        <x:v>Government</x:v>
      </x:c>
      <x:c r="E127" t="n">
        <x:v>200</x:v>
      </x:c>
      <x:c r="F127" t="n">
        <x:v>0</x:v>
      </x:c>
      <x:c r="G127" t="n">
        <x:v>200</x:v>
      </x:c>
      <x:c r="H127"/>
      <x:c r="I127" t="n">
        <x:v>0</x:v>
      </x:c>
      <x:c r="J127" t="n">
        <x:v>0</x:v>
      </x:c>
      <x:c r="K127" t="n">
        <x:v>200</x:v>
      </x:c>
      <x:c r="L127" s="20" t="n">
        <x:v>1</x:v>
      </x:c>
      <x:c r="M127" t="str">
        <x:v>High</x:v>
      </x:c>
      <x:c r="N127" t="str">
        <x:v>Approx. State/Non-MCC Pool</x:v>
      </x:c>
      <x:c r="O127" t="str">
        <x:v>Large state-counselling pool</x:v>
      </x:c>
      <x:c r="P127"/>
      <x:c r="Q127"/>
      <x:c r="R127"/>
      <x:c r="S127"/>
      <x:c r="T127"/>
      <x:c r="U127" t="str">
        <x:v>Pending state Round-1 allotment/cutoff data</x:v>
      </x:c>
    </x:row>
    <x:row r="128">
      <x:c r="A128" t="str">
        <x:v>Gujarat</x:v>
      </x:c>
      <x:c r="B128" t="str">
        <x:v>GJ/015/G/1</x:v>
      </x:c>
      <x:c r="C128" t="str">
        <x:v>GMERS Medical College, Hadiyol, Himmatnagar</x:v>
      </x:c>
      <x:c r="D128" t="str">
        <x:v>Government</x:v>
      </x:c>
      <x:c r="E128" t="n">
        <x:v>200</x:v>
      </x:c>
      <x:c r="F128" t="n">
        <x:v>0</x:v>
      </x:c>
      <x:c r="G128" t="n">
        <x:v>200</x:v>
      </x:c>
      <x:c r="H128"/>
      <x:c r="I128" t="n">
        <x:v>0</x:v>
      </x:c>
      <x:c r="J128" t="n">
        <x:v>0</x:v>
      </x:c>
      <x:c r="K128" t="n">
        <x:v>200</x:v>
      </x:c>
      <x:c r="L128" s="20" t="n">
        <x:v>1</x:v>
      </x:c>
      <x:c r="M128" t="str">
        <x:v>High</x:v>
      </x:c>
      <x:c r="N128" t="str">
        <x:v>Approx. State/Non-MCC Pool</x:v>
      </x:c>
      <x:c r="O128" t="str">
        <x:v>Large state-counselling pool</x:v>
      </x:c>
      <x:c r="P128"/>
      <x:c r="Q128"/>
      <x:c r="R128"/>
      <x:c r="S128"/>
      <x:c r="T128"/>
      <x:c r="U128" t="str">
        <x:v>Pending state Round-1 allotment/cutoff data</x:v>
      </x:c>
    </x:row>
    <x:row r="129">
      <x:c r="A129" t="str">
        <x:v>Gujarat</x:v>
      </x:c>
      <x:c r="B129" t="str">
        <x:v>GJ/016/G/1</x:v>
      </x:c>
      <x:c r="C129" t="str">
        <x:v>GMERS Medical College, Junagadh</x:v>
      </x:c>
      <x:c r="D129" t="str">
        <x:v>Government</x:v>
      </x:c>
      <x:c r="E129" t="n">
        <x:v>200</x:v>
      </x:c>
      <x:c r="F129" t="n">
        <x:v>0</x:v>
      </x:c>
      <x:c r="G129" t="n">
        <x:v>200</x:v>
      </x:c>
      <x:c r="H129"/>
      <x:c r="I129" t="n">
        <x:v>0</x:v>
      </x:c>
      <x:c r="J129" t="n">
        <x:v>0</x:v>
      </x:c>
      <x:c r="K129" t="n">
        <x:v>200</x:v>
      </x:c>
      <x:c r="L129" s="20" t="n">
        <x:v>1</x:v>
      </x:c>
      <x:c r="M129" t="str">
        <x:v>High</x:v>
      </x:c>
      <x:c r="N129" t="str">
        <x:v>Approx. State/Non-MCC Pool</x:v>
      </x:c>
      <x:c r="O129" t="str">
        <x:v>Large state-counselling pool</x:v>
      </x:c>
      <x:c r="P129"/>
      <x:c r="Q129"/>
      <x:c r="R129"/>
      <x:c r="S129"/>
      <x:c r="T129"/>
      <x:c r="U129" t="str">
        <x:v>Pending state Round-1 allotment/cutoff data</x:v>
      </x:c>
    </x:row>
    <x:row r="130">
      <x:c r="A130" t="str">
        <x:v>Gujarat</x:v>
      </x:c>
      <x:c r="B130" t="str">
        <x:v>GJ/018/G/1</x:v>
      </x:c>
      <x:c r="C130" t="str">
        <x:v>GMERS Medical College, Sola, Ahmedabad</x:v>
      </x:c>
      <x:c r="D130" t="str">
        <x:v>Government</x:v>
      </x:c>
      <x:c r="E130" t="n">
        <x:v>200</x:v>
      </x:c>
      <x:c r="F130" t="n">
        <x:v>0</x:v>
      </x:c>
      <x:c r="G130" t="n">
        <x:v>200</x:v>
      </x:c>
      <x:c r="H130"/>
      <x:c r="I130" t="n">
        <x:v>0</x:v>
      </x:c>
      <x:c r="J130" t="n">
        <x:v>0</x:v>
      </x:c>
      <x:c r="K130" t="n">
        <x:v>200</x:v>
      </x:c>
      <x:c r="L130" s="20" t="n">
        <x:v>1</x:v>
      </x:c>
      <x:c r="M130" t="str">
        <x:v>High</x:v>
      </x:c>
      <x:c r="N130" t="str">
        <x:v>Approx. State/Non-MCC Pool</x:v>
      </x:c>
      <x:c r="O130" t="str">
        <x:v>Large state-counselling pool</x:v>
      </x:c>
      <x:c r="P130"/>
      <x:c r="Q130"/>
      <x:c r="R130"/>
      <x:c r="S130"/>
      <x:c r="T130"/>
      <x:c r="U130" t="str">
        <x:v>Pending state Round-1 allotment/cutoff data</x:v>
      </x:c>
    </x:row>
    <x:row r="131">
      <x:c r="A131" t="str">
        <x:v>Gujarat</x:v>
      </x:c>
      <x:c r="B131" t="str">
        <x:v>GJ/019/G/1</x:v>
      </x:c>
      <x:c r="C131" t="str">
        <x:v>GMERS Medical College, Vadnagar, Mehsana</x:v>
      </x:c>
      <x:c r="D131" t="str">
        <x:v>Government</x:v>
      </x:c>
      <x:c r="E131" t="n">
        <x:v>200</x:v>
      </x:c>
      <x:c r="F131" t="n">
        <x:v>0</x:v>
      </x:c>
      <x:c r="G131" t="n">
        <x:v>200</x:v>
      </x:c>
      <x:c r="H131"/>
      <x:c r="I131" t="n">
        <x:v>0</x:v>
      </x:c>
      <x:c r="J131" t="n">
        <x:v>0</x:v>
      </x:c>
      <x:c r="K131" t="n">
        <x:v>200</x:v>
      </x:c>
      <x:c r="L131" s="20" t="n">
        <x:v>1</x:v>
      </x:c>
      <x:c r="M131" t="str">
        <x:v>High</x:v>
      </x:c>
      <x:c r="N131" t="str">
        <x:v>Approx. State/Non-MCC Pool</x:v>
      </x:c>
      <x:c r="O131" t="str">
        <x:v>Large state-counselling pool</x:v>
      </x:c>
      <x:c r="P131"/>
      <x:c r="Q131"/>
      <x:c r="R131"/>
      <x:c r="S131"/>
      <x:c r="T131"/>
      <x:c r="U131" t="str">
        <x:v>Pending state Round-1 allotment/cutoff data</x:v>
      </x:c>
    </x:row>
    <x:row r="132">
      <x:c r="A132" t="str">
        <x:v>Gujarat</x:v>
      </x:c>
      <x:c r="B132" t="str">
        <x:v>GJ/020/G/1</x:v>
      </x:c>
      <x:c r="C132" t="str">
        <x:v>GMERS Medical College, Valsad</x:v>
      </x:c>
      <x:c r="D132" t="str">
        <x:v>Government</x:v>
      </x:c>
      <x:c r="E132" t="n">
        <x:v>200</x:v>
      </x:c>
      <x:c r="F132" t="n">
        <x:v>0</x:v>
      </x:c>
      <x:c r="G132" t="n">
        <x:v>200</x:v>
      </x:c>
      <x:c r="H132"/>
      <x:c r="I132" t="n">
        <x:v>0</x:v>
      </x:c>
      <x:c r="J132" t="n">
        <x:v>0</x:v>
      </x:c>
      <x:c r="K132" t="n">
        <x:v>200</x:v>
      </x:c>
      <x:c r="L132" s="20" t="n">
        <x:v>1</x:v>
      </x:c>
      <x:c r="M132" t="str">
        <x:v>High</x:v>
      </x:c>
      <x:c r="N132" t="str">
        <x:v>Approx. State/Non-MCC Pool</x:v>
      </x:c>
      <x:c r="O132" t="str">
        <x:v>Large state-counselling pool</x:v>
      </x:c>
      <x:c r="P132"/>
      <x:c r="Q132"/>
      <x:c r="R132"/>
      <x:c r="S132"/>
      <x:c r="T132"/>
      <x:c r="U132" t="str">
        <x:v>Pending state Round-1 allotment/cutoff data</x:v>
      </x:c>
    </x:row>
    <x:row r="133">
      <x:c r="A133" t="str">
        <x:v>Gujarat</x:v>
      </x:c>
      <x:c r="B133" t="str">
        <x:v>GJ/001/G/1</x:v>
      </x:c>
      <x:c r="C133" t="str">
        <x:v>Narendra Modi Medical College, Ahmedabad ( previously Ahmedabad Municipal Coporation Medical Education Trust Medical College, Ahmedabad)</x:v>
      </x:c>
      <x:c r="D133" t="str">
        <x:v>Government</x:v>
      </x:c>
      <x:c r="E133" t="n">
        <x:v>200</x:v>
      </x:c>
      <x:c r="F133" t="n">
        <x:v>0</x:v>
      </x:c>
      <x:c r="G133" t="n">
        <x:v>200</x:v>
      </x:c>
      <x:c r="H133"/>
      <x:c r="I133" t="n">
        <x:v>0</x:v>
      </x:c>
      <x:c r="J133" t="n">
        <x:v>0</x:v>
      </x:c>
      <x:c r="K133" t="n">
        <x:v>200</x:v>
      </x:c>
      <x:c r="L133" s="20" t="n">
        <x:v>1</x:v>
      </x:c>
      <x:c r="M133" t="str">
        <x:v>High</x:v>
      </x:c>
      <x:c r="N133" t="str">
        <x:v>Approx. State/Non-MCC Pool</x:v>
      </x:c>
      <x:c r="O133" t="str">
        <x:v>Large state-counselling pool</x:v>
      </x:c>
      <x:c r="P133"/>
      <x:c r="Q133"/>
      <x:c r="R133"/>
      <x:c r="S133"/>
      <x:c r="T133"/>
      <x:c r="U133" t="str">
        <x:v>Pending state Round-1 allotment/cutoff data</x:v>
      </x:c>
    </x:row>
    <x:row r="134">
      <x:c r="A134" t="str">
        <x:v>Gujarat</x:v>
      </x:c>
      <x:c r="B134" t="str">
        <x:v>GJ/021/G/1</x:v>
      </x:c>
      <x:c r="C134" t="str">
        <x:v>Government Medical College, Bhavnagar</x:v>
      </x:c>
      <x:c r="D134" t="str">
        <x:v>Government</x:v>
      </x:c>
      <x:c r="E134" t="n">
        <x:v>200</x:v>
      </x:c>
      <x:c r="F134" t="n">
        <x:v>0</x:v>
      </x:c>
      <x:c r="G134" t="n">
        <x:v>200</x:v>
      </x:c>
      <x:c r="H134" t="str">
        <x:v>200143</x:v>
      </x:c>
      <x:c r="I134" t="n">
        <x:v>30</x:v>
      </x:c>
      <x:c r="J134" t="n">
        <x:v>30</x:v>
      </x:c>
      <x:c r="K134" t="n">
        <x:v>170</x:v>
      </x:c>
      <x:c r="L134" s="20" t="n">
        <x:v>0.85</x:v>
      </x:c>
      <x:c r="M134" t="str">
        <x:v>High</x:v>
      </x:c>
      <x:c r="N134" t="str">
        <x:v>Approx. State/Non-MCC Pool</x:v>
      </x:c>
      <x:c r="O134" t="str">
        <x:v>Large state-counselling pool</x:v>
      </x:c>
      <x:c r="P134" t="n">
        <x:v>7075</x:v>
      </x:c>
      <x:c r="Q134" t="n">
        <x:v>8019</x:v>
      </x:c>
      <x:c r="R134" t="n">
        <x:v>9775</x:v>
      </x:c>
      <x:c r="S134" t="n">
        <x:v>47056</x:v>
      </x:c>
      <x:c r="T134" t="n">
        <x:v>67499</x:v>
      </x:c>
      <x:c r="U134" t="str">
        <x:v>Pending state Round-1 allotment/cutoff data</x:v>
      </x:c>
    </x:row>
    <x:row r="135">
      <x:c r="A135" t="str">
        <x:v>Gujarat</x:v>
      </x:c>
      <x:c r="B135" t="str">
        <x:v>GJ/033/G/1</x:v>
      </x:c>
      <x:c r="C135" t="str">
        <x:v>Pandit Deendayal Upadhyay Medical College, Rajkot</x:v>
      </x:c>
      <x:c r="D135" t="str">
        <x:v>Government</x:v>
      </x:c>
      <x:c r="E135" t="n">
        <x:v>200</x:v>
      </x:c>
      <x:c r="F135" t="n">
        <x:v>0</x:v>
      </x:c>
      <x:c r="G135" t="n">
        <x:v>200</x:v>
      </x:c>
      <x:c r="H135" t="str">
        <x:v>200144</x:v>
      </x:c>
      <x:c r="I135" t="n">
        <x:v>30</x:v>
      </x:c>
      <x:c r="J135" t="n">
        <x:v>30</x:v>
      </x:c>
      <x:c r="K135" t="n">
        <x:v>170</x:v>
      </x:c>
      <x:c r="L135" s="20" t="n">
        <x:v>0.85</x:v>
      </x:c>
      <x:c r="M135" t="str">
        <x:v>High</x:v>
      </x:c>
      <x:c r="N135" t="str">
        <x:v>Approx. State/Non-MCC Pool</x:v>
      </x:c>
      <x:c r="O135" t="str">
        <x:v>Large state-counselling pool</x:v>
      </x:c>
      <x:c r="P135" t="n">
        <x:v>4410</x:v>
      </x:c>
      <x:c r="Q135" t="n">
        <x:v>6378</x:v>
      </x:c>
      <x:c r="R135" t="n">
        <x:v>7167</x:v>
      </x:c>
      <x:c r="S135" t="n">
        <x:v>42038</x:v>
      </x:c>
      <x:c r="T135" t="n">
        <x:v>44481</x:v>
      </x:c>
      <x:c r="U135" t="str">
        <x:v>Pending state Round-1 allotment/cutoff data</x:v>
      </x:c>
    </x:row>
    <x:row r="136">
      <x:c r="A136" t="str">
        <x:v>Gujarat</x:v>
      </x:c>
      <x:c r="B136" t="str">
        <x:v>GJ/023/G/1</x:v>
      </x:c>
      <x:c r="C136" t="str">
        <x:v>GMERS Medical College, Navsari</x:v>
      </x:c>
      <x:c r="D136" t="str">
        <x:v>Government</x:v>
      </x:c>
      <x:c r="E136" t="n">
        <x:v>100</x:v>
      </x:c>
      <x:c r="F136" t="n">
        <x:v>0</x:v>
      </x:c>
      <x:c r="G136" t="n">
        <x:v>100</x:v>
      </x:c>
      <x:c r="H136" t="str">
        <x:v>200633</x:v>
      </x:c>
      <x:c r="I136" t="n">
        <x:v>15</x:v>
      </x:c>
      <x:c r="J136" t="n">
        <x:v>13</x:v>
      </x:c>
      <x:c r="K136" t="n">
        <x:v>85</x:v>
      </x:c>
      <x:c r="L136" s="20" t="n">
        <x:v>0.85</x:v>
      </x:c>
      <x:c r="M136" t="str">
        <x:v>High</x:v>
      </x:c>
      <x:c r="N136" t="str">
        <x:v>Approx. State/Non-MCC Pool</x:v>
      </x:c>
      <x:c r="O136" t="str">
        <x:v>Moderate state-counselling pool</x:v>
      </x:c>
      <x:c r="P136" t="n">
        <x:v>13725</x:v>
      </x:c>
      <x:c r="Q136" t="n">
        <x:v>17608</x:v>
      </x:c>
      <x:c r="R136" t="n">
        <x:v>18540</x:v>
      </x:c>
      <x:c r="S136" t="n">
        <x:v>56555</x:v>
      </x:c>
      <x:c r="T136"/>
      <x:c r="U136" t="str">
        <x:v>Pending state Round-1 allotment/cutoff data</x:v>
      </x:c>
    </x:row>
    <x:row r="137">
      <x:c r="A137" t="str">
        <x:v>Gujarat</x:v>
      </x:c>
      <x:c r="B137" t="str">
        <x:v>GJ/017/G/1</x:v>
      </x:c>
      <x:c r="C137" t="str">
        <x:v>GMERS Medical College, Rajpipla</x:v>
      </x:c>
      <x:c r="D137" t="str">
        <x:v>Government</x:v>
      </x:c>
      <x:c r="E137" t="n">
        <x:v>100</x:v>
      </x:c>
      <x:c r="F137" t="n">
        <x:v>0</x:v>
      </x:c>
      <x:c r="G137" t="n">
        <x:v>100</x:v>
      </x:c>
      <x:c r="H137" t="str">
        <x:v>200632</x:v>
      </x:c>
      <x:c r="I137" t="n">
        <x:v>15</x:v>
      </x:c>
      <x:c r="J137" t="n">
        <x:v>15</x:v>
      </x:c>
      <x:c r="K137" t="n">
        <x:v>85</x:v>
      </x:c>
      <x:c r="L137" s="20" t="n">
        <x:v>0.85</x:v>
      </x:c>
      <x:c r="M137" t="str">
        <x:v>High</x:v>
      </x:c>
      <x:c r="N137" t="str">
        <x:v>Approx. State/Non-MCC Pool</x:v>
      </x:c>
      <x:c r="O137" t="str">
        <x:v>Moderate state-counselling pool</x:v>
      </x:c>
      <x:c r="P137" t="n">
        <x:v>17371</x:v>
      </x:c>
      <x:c r="Q137" t="n">
        <x:v>19052</x:v>
      </x:c>
      <x:c r="R137" t="n">
        <x:v>22147</x:v>
      </x:c>
      <x:c r="S137" t="n">
        <x:v>89094</x:v>
      </x:c>
      <x:c r="T137" t="n">
        <x:v>115953</x:v>
      </x:c>
      <x:c r="U137" t="str">
        <x:v>Pending state Round-1 allotment/cutoff data</x:v>
      </x:c>
    </x:row>
    <x:row r="138">
      <x:c r="A138" t="str">
        <x:v>Gujarat</x:v>
      </x:c>
      <x:c r="B138" t="str">
        <x:v>GJ/022/G/1</x:v>
      </x:c>
      <x:c r="C138" t="str">
        <x:v>Government Medical College, Morbi</x:v>
      </x:c>
      <x:c r="D138" t="str">
        <x:v>Government</x:v>
      </x:c>
      <x:c r="E138" t="n">
        <x:v>100</x:v>
      </x:c>
      <x:c r="F138" t="n">
        <x:v>0</x:v>
      </x:c>
      <x:c r="G138" t="n">
        <x:v>100</x:v>
      </x:c>
      <x:c r="H138" t="str">
        <x:v>200635</x:v>
      </x:c>
      <x:c r="I138" t="n">
        <x:v>15</x:v>
      </x:c>
      <x:c r="J138" t="n">
        <x:v>15</x:v>
      </x:c>
      <x:c r="K138" t="n">
        <x:v>85</x:v>
      </x:c>
      <x:c r="L138" s="20" t="n">
        <x:v>0.85</x:v>
      </x:c>
      <x:c r="M138" t="str">
        <x:v>High</x:v>
      </x:c>
      <x:c r="N138" t="str">
        <x:v>Approx. State/Non-MCC Pool</x:v>
      </x:c>
      <x:c r="O138" t="str">
        <x:v>Moderate state-counselling pool</x:v>
      </x:c>
      <x:c r="P138" t="n">
        <x:v>15372</x:v>
      </x:c>
      <x:c r="Q138" t="n">
        <x:v>17595</x:v>
      </x:c>
      <x:c r="R138" t="n">
        <x:v>20232</x:v>
      </x:c>
      <x:c r="S138" t="n">
        <x:v>63598</x:v>
      </x:c>
      <x:c r="T138" t="n">
        <x:v>85591</x:v>
      </x:c>
      <x:c r="U138" t="str">
        <x:v>Pending state Round-1 allotment/cutoff data</x:v>
      </x:c>
    </x:row>
    <x:row r="139">
      <x:c r="A139" t="str">
        <x:v>Gujarat</x:v>
      </x:c>
      <x:c r="B139" t="str">
        <x:v>GJ/024/G/1</x:v>
      </x:c>
      <x:c r="C139" t="str">
        <x:v>Government Medical College, Panchmahal Godhra</x:v>
      </x:c>
      <x:c r="D139" t="str">
        <x:v>Government</x:v>
      </x:c>
      <x:c r="E139" t="n">
        <x:v>100</x:v>
      </x:c>
      <x:c r="F139" t="n">
        <x:v>0</x:v>
      </x:c>
      <x:c r="G139" t="n">
        <x:v>100</x:v>
      </x:c>
      <x:c r="H139" t="str">
        <x:v>200637</x:v>
      </x:c>
      <x:c r="I139" t="n">
        <x:v>15</x:v>
      </x:c>
      <x:c r="J139" t="n">
        <x:v>15</x:v>
      </x:c>
      <x:c r="K139" t="n">
        <x:v>85</x:v>
      </x:c>
      <x:c r="L139" s="20" t="n">
        <x:v>0.85</x:v>
      </x:c>
      <x:c r="M139" t="str">
        <x:v>High</x:v>
      </x:c>
      <x:c r="N139" t="str">
        <x:v>Approx. State/Non-MCC Pool</x:v>
      </x:c>
      <x:c r="O139" t="str">
        <x:v>Moderate state-counselling pool</x:v>
      </x:c>
      <x:c r="P139" t="n">
        <x:v>14462</x:v>
      </x:c>
      <x:c r="Q139" t="n">
        <x:v>19486</x:v>
      </x:c>
      <x:c r="R139" t="n">
        <x:v>18327</x:v>
      </x:c>
      <x:c r="S139" t="n">
        <x:v>74341</x:v>
      </x:c>
      <x:c r="T139" t="n">
        <x:v>112876</x:v>
      </x:c>
      <x:c r="U139" t="str">
        <x:v>Pending state Round-1 allotment/cutoff data</x:v>
      </x:c>
    </x:row>
    <x:row r="140">
      <x:c r="A140" t="str">
        <x:v>Gujarat</x:v>
      </x:c>
      <x:c r="B140" t="str">
        <x:v>GJ/025/G/1</x:v>
      </x:c>
      <x:c r="C140" t="str">
        <x:v>Government Medical College, Porbandar</x:v>
      </x:c>
      <x:c r="D140" t="str">
        <x:v>Government</x:v>
      </x:c>
      <x:c r="E140" t="n">
        <x:v>100</x:v>
      </x:c>
      <x:c r="F140" t="n">
        <x:v>0</x:v>
      </x:c>
      <x:c r="G140" t="n">
        <x:v>100</x:v>
      </x:c>
      <x:c r="H140" t="str">
        <x:v>200636</x:v>
      </x:c>
      <x:c r="I140" t="n">
        <x:v>15</x:v>
      </x:c>
      <x:c r="J140" t="n">
        <x:v>15</x:v>
      </x:c>
      <x:c r="K140" t="n">
        <x:v>85</x:v>
      </x:c>
      <x:c r="L140" s="20" t="n">
        <x:v>0.85</x:v>
      </x:c>
      <x:c r="M140" t="str">
        <x:v>High</x:v>
      </x:c>
      <x:c r="N140" t="str">
        <x:v>Approx. State/Non-MCC Pool</x:v>
      </x:c>
      <x:c r="O140" t="str">
        <x:v>Moderate state-counselling pool</x:v>
      </x:c>
      <x:c r="P140" t="n">
        <x:v>14692</x:v>
      </x:c>
      <x:c r="Q140" t="n">
        <x:v>18174</x:v>
      </x:c>
      <x:c r="R140" t="n">
        <x:v>20672</x:v>
      </x:c>
      <x:c r="S140" t="n">
        <x:v>90922</x:v>
      </x:c>
      <x:c r="T140" t="n">
        <x:v>76825</x:v>
      </x:c>
      <x:c r="U140" t="str">
        <x:v>Pending state Round-1 allotment/cutoff data</x:v>
      </x:c>
    </x:row>
    <x:row r="141">
      <x:c r="A141" t="str">
        <x:v>Gujarat</x:v>
      </x:c>
      <x:c r="B141" t="str">
        <x:v>GJ/010/G/1</x:v>
      </x:c>
      <x:c r="C141" t="str">
        <x:v>ESIC MEDICAL COLLEGE NARODA BAPUNAGAR, AHMEDABAD</x:v>
      </x:c>
      <x:c r="D141" t="str">
        <x:v>Government</x:v>
      </x:c>
      <x:c r="E141" t="n">
        <x:v>50</x:v>
      </x:c>
      <x:c r="F141" t="n">
        <x:v>0</x:v>
      </x:c>
      <x:c r="G141" t="n">
        <x:v>50</x:v>
      </x:c>
      <x:c r="H141" t="str">
        <x:v>904366</x:v>
      </x:c>
      <x:c r="I141" t="n">
        <x:v>32</x:v>
      </x:c>
      <x:c r="J141" t="n">
        <x:v>31</x:v>
      </x:c>
      <x:c r="K141" t="n">
        <x:v>18</x:v>
      </x:c>
      <x:c r="L141" s="20" t="n">
        <x:v>0.36</x:v>
      </x:c>
      <x:c r="M141" t="str">
        <x:v>High</x:v>
      </x:c>
      <x:c r="N141" t="str">
        <x:v>Approx. State/Non-MCC Pool</x:v>
      </x:c>
      <x:c r="O141" t="str">
        <x:v>Smaller state-counselling pool</x:v>
      </x:c>
      <x:c r="P141" t="n">
        <x:v>23095</x:v>
      </x:c>
      <x:c r="Q141" t="n">
        <x:v>25628</x:v>
      </x:c>
      <x:c r="R141" t="n">
        <x:v>34700</x:v>
      </x:c>
      <x:c r="S141" t="n">
        <x:v>125739</x:v>
      </x:c>
      <x:c r="T141" t="n">
        <x:v>263932</x:v>
      </x:c>
      <x:c r="U141" t="str">
        <x:v>Pending state Round-1 allotment/cutoff data</x:v>
      </x:c>
    </x:row>
    <x:row r="142">
      <x:c r="A142" t="str">
        <x:v>Gujarat</x:v>
      </x:c>
      <x:c r="B142" t="str">
        <x:v>GJ/008/P/3</x:v>
      </x:c>
      <x:c r="C142" t="str">
        <x:v>Dr. M.K. Shah Medical College &amp; Research Centre, Ahmedabad</x:v>
      </x:c>
      <x:c r="D142" t="str">
        <x:v>Private</x:v>
      </x:c>
      <x:c r="E142" t="n">
        <x:v>250</x:v>
      </x:c>
      <x:c r="F142" t="n">
        <x:v>0</x:v>
      </x:c>
      <x:c r="G142" t="n">
        <x:v>250</x:v>
      </x:c>
      <x:c r="H142"/>
      <x:c r="I142" t="n">
        <x:v>0</x:v>
      </x:c>
      <x:c r="J142" t="n">
        <x:v>0</x:v>
      </x:c>
      <x:c r="K142" t="n">
        <x:v>250</x:v>
      </x:c>
      <x:c r="L142" s="20" t="n">
        <x:v>1</x:v>
      </x:c>
      <x:c r="M142" t="str">
        <x:v>Variable</x:v>
      </x:c>
      <x:c r="N142" t="str">
        <x:v>Approx. Non-MCC Pool</x:v>
      </x:c>
      <x:c r="O142" t="str">
        <x:v>Large non-MCC pool; quota split varies by state</x:v>
      </x:c>
      <x:c r="P142"/>
      <x:c r="Q142"/>
      <x:c r="R142"/>
      <x:c r="S142"/>
      <x:c r="T142"/>
      <x:c r="U142" t="str">
        <x:v>Pending state Round-1 allotment/cutoff data</x:v>
      </x:c>
    </x:row>
    <x:row r="143">
      <x:c r="A143" t="str">
        <x:v>Gujarat</x:v>
      </x:c>
      <x:c r="B143" t="str">
        <x:v>GJ/004/P/3</x:v>
      </x:c>
      <x:c r="C143" t="str">
        <x:v>Banas Medical College and Research Institute, Palanpur, Gujarat</x:v>
      </x:c>
      <x:c r="D143" t="str">
        <x:v>Private</x:v>
      </x:c>
      <x:c r="E143" t="n">
        <x:v>200</x:v>
      </x:c>
      <x:c r="F143" t="n">
        <x:v>0</x:v>
      </x:c>
      <x:c r="G143" t="n">
        <x:v>200</x:v>
      </x:c>
      <x:c r="H143"/>
      <x:c r="I143" t="n">
        <x:v>0</x:v>
      </x:c>
      <x:c r="J143" t="n">
        <x:v>0</x:v>
      </x:c>
      <x:c r="K143" t="n">
        <x:v>200</x:v>
      </x:c>
      <x:c r="L143" s="20" t="n">
        <x:v>1</x:v>
      </x:c>
      <x:c r="M143" t="str">
        <x:v>Variable</x:v>
      </x:c>
      <x:c r="N143" t="str">
        <x:v>Approx. Non-MCC Pool</x:v>
      </x:c>
      <x:c r="O143" t="str">
        <x:v>Large non-MCC pool; quota split varies by state</x:v>
      </x:c>
      <x:c r="P143"/>
      <x:c r="Q143"/>
      <x:c r="R143"/>
      <x:c r="S143"/>
      <x:c r="T143"/>
      <x:c r="U143" t="str">
        <x:v>Pending state Round-1 allotment/cutoff data</x:v>
      </x:c>
    </x:row>
    <x:row r="144">
      <x:c r="A144" t="str">
        <x:v>Gujarat</x:v>
      </x:c>
      <x:c r="B144" t="str">
        <x:v>GJ/007/P/3</x:v>
      </x:c>
      <x:c r="C144" t="str">
        <x:v>Dr. Kiran C.Patel Medical College and Research Institute</x:v>
      </x:c>
      <x:c r="D144" t="str">
        <x:v>Private</x:v>
      </x:c>
      <x:c r="E144" t="n">
        <x:v>200</x:v>
      </x:c>
      <x:c r="F144" t="n">
        <x:v>0</x:v>
      </x:c>
      <x:c r="G144" t="n">
        <x:v>200</x:v>
      </x:c>
      <x:c r="H144"/>
      <x:c r="I144" t="n">
        <x:v>0</x:v>
      </x:c>
      <x:c r="J144" t="n">
        <x:v>0</x:v>
      </x:c>
      <x:c r="K144" t="n">
        <x:v>200</x:v>
      </x:c>
      <x:c r="L144" s="20" t="n">
        <x:v>1</x:v>
      </x:c>
      <x:c r="M144" t="str">
        <x:v>Variable</x:v>
      </x:c>
      <x:c r="N144" t="str">
        <x:v>Approx. Non-MCC Pool</x:v>
      </x:c>
      <x:c r="O144" t="str">
        <x:v>Large non-MCC pool; quota split varies by state</x:v>
      </x:c>
      <x:c r="P144"/>
      <x:c r="Q144"/>
      <x:c r="R144"/>
      <x:c r="S144"/>
      <x:c r="T144"/>
      <x:c r="U144" t="str">
        <x:v>Pending state Round-1 allotment/cutoff data</x:v>
      </x:c>
    </x:row>
    <x:row r="145">
      <x:c r="A145" t="str">
        <x:v>Gujarat</x:v>
      </x:c>
      <x:c r="B145" t="str">
        <x:v>GJ/009/P/3</x:v>
      </x:c>
      <x:c r="C145" t="str">
        <x:v>Dr. N.D. Desai Faculty of Medical Science and Research, Nadiad</x:v>
      </x:c>
      <x:c r="D145" t="str">
        <x:v>Private</x:v>
      </x:c>
      <x:c r="E145" t="n">
        <x:v>150</x:v>
      </x:c>
      <x:c r="F145" t="n">
        <x:v>50</x:v>
      </x:c>
      <x:c r="G145" t="n">
        <x:v>200</x:v>
      </x:c>
      <x:c r="H145"/>
      <x:c r="I145" t="n">
        <x:v>0</x:v>
      </x:c>
      <x:c r="J145" t="n">
        <x:v>0</x:v>
      </x:c>
      <x:c r="K145" t="n">
        <x:v>200</x:v>
      </x:c>
      <x:c r="L145" s="20" t="n">
        <x:v>1</x:v>
      </x:c>
      <x:c r="M145" t="str">
        <x:v>Variable</x:v>
      </x:c>
      <x:c r="N145" t="str">
        <x:v>Approx. Non-MCC Pool</x:v>
      </x:c>
      <x:c r="O145" t="str">
        <x:v>Expanded 2026 capacity; state/management split to verify</x:v>
      </x:c>
      <x:c r="P145"/>
      <x:c r="Q145"/>
      <x:c r="R145"/>
      <x:c r="S145"/>
      <x:c r="T145"/>
      <x:c r="U145" t="str">
        <x:v>Pending state Round-1 allotment/cutoff data</x:v>
      </x:c>
    </x:row>
    <x:row r="146">
      <x:c r="A146" t="str">
        <x:v>Gujarat</x:v>
      </x:c>
      <x:c r="B146" t="str">
        <x:v>GJ/011/P/3</x:v>
      </x:c>
      <x:c r="C146" t="str">
        <x:v>GCS Medical College, Ahmedabad</x:v>
      </x:c>
      <x:c r="D146" t="str">
        <x:v>Private</x:v>
      </x:c>
      <x:c r="E146" t="n">
        <x:v>200</x:v>
      </x:c>
      <x:c r="F146" t="n">
        <x:v>0</x:v>
      </x:c>
      <x:c r="G146" t="n">
        <x:v>200</x:v>
      </x:c>
      <x:c r="H146"/>
      <x:c r="I146" t="n">
        <x:v>0</x:v>
      </x:c>
      <x:c r="J146" t="n">
        <x:v>0</x:v>
      </x:c>
      <x:c r="K146" t="n">
        <x:v>200</x:v>
      </x:c>
      <x:c r="L146" s="20" t="n">
        <x:v>1</x:v>
      </x:c>
      <x:c r="M146" t="str">
        <x:v>Variable</x:v>
      </x:c>
      <x:c r="N146" t="str">
        <x:v>Approx. Non-MCC Pool</x:v>
      </x:c>
      <x:c r="O146" t="str">
        <x:v>Large non-MCC pool; quota split varies by state</x:v>
      </x:c>
      <x:c r="P146"/>
      <x:c r="Q146"/>
      <x:c r="R146"/>
      <x:c r="S146"/>
      <x:c r="T146"/>
      <x:c r="U146" t="str">
        <x:v>Pending state Round-1 allotment/cutoff data</x:v>
      </x:c>
    </x:row>
    <x:row r="147">
      <x:c r="A147" t="str">
        <x:v>Gujarat</x:v>
      </x:c>
      <x:c r="B147" t="str">
        <x:v>GJ/028/P/3</x:v>
      </x:c>
      <x:c r="C147" t="str">
        <x:v>Kiran Medical College</x:v>
      </x:c>
      <x:c r="D147" t="str">
        <x:v>Private</x:v>
      </x:c>
      <x:c r="E147" t="n">
        <x:v>150</x:v>
      </x:c>
      <x:c r="F147" t="n">
        <x:v>50</x:v>
      </x:c>
      <x:c r="G147" t="n">
        <x:v>200</x:v>
      </x:c>
      <x:c r="H147"/>
      <x:c r="I147" t="n">
        <x:v>0</x:v>
      </x:c>
      <x:c r="J147" t="n">
        <x:v>0</x:v>
      </x:c>
      <x:c r="K147" t="n">
        <x:v>200</x:v>
      </x:c>
      <x:c r="L147" s="20" t="n">
        <x:v>1</x:v>
      </x:c>
      <x:c r="M147" t="str">
        <x:v>Variable</x:v>
      </x:c>
      <x:c r="N147" t="str">
        <x:v>Approx. Non-MCC Pool</x:v>
      </x:c>
      <x:c r="O147" t="str">
        <x:v>Expanded 2026 capacity; state/management split to verify</x:v>
      </x:c>
      <x:c r="P147"/>
      <x:c r="Q147"/>
      <x:c r="R147"/>
      <x:c r="S147"/>
      <x:c r="T147"/>
      <x:c r="U147" t="str">
        <x:v>Pending state Round-1 allotment/cutoff data</x:v>
      </x:c>
    </x:row>
    <x:row r="148">
      <x:c r="A148" t="str">
        <x:v>Gujarat</x:v>
      </x:c>
      <x:c r="B148" t="str">
        <x:v>GJ/032/P/3</x:v>
      </x:c>
      <x:c r="C148" t="str">
        <x:v>Nootan Medical College and Research Centre, Mehsana</x:v>
      </x:c>
      <x:c r="D148" t="str">
        <x:v>Private</x:v>
      </x:c>
      <x:c r="E148" t="n">
        <x:v>150</x:v>
      </x:c>
      <x:c r="F148" t="n">
        <x:v>50</x:v>
      </x:c>
      <x:c r="G148" t="n">
        <x:v>200</x:v>
      </x:c>
      <x:c r="H148"/>
      <x:c r="I148" t="n">
        <x:v>0</x:v>
      </x:c>
      <x:c r="J148" t="n">
        <x:v>0</x:v>
      </x:c>
      <x:c r="K148" t="n">
        <x:v>200</x:v>
      </x:c>
      <x:c r="L148" s="20" t="n">
        <x:v>1</x:v>
      </x:c>
      <x:c r="M148" t="str">
        <x:v>Variable</x:v>
      </x:c>
      <x:c r="N148" t="str">
        <x:v>Approx. Non-MCC Pool</x:v>
      </x:c>
      <x:c r="O148" t="str">
        <x:v>Expanded 2026 capacity; state/management split to verify</x:v>
      </x:c>
      <x:c r="P148"/>
      <x:c r="Q148"/>
      <x:c r="R148"/>
      <x:c r="S148"/>
      <x:c r="T148"/>
      <x:c r="U148" t="str">
        <x:v>Pending state Round-1 allotment/cutoff data</x:v>
      </x:c>
    </x:row>
    <x:row r="149">
      <x:c r="A149" t="str">
        <x:v>Gujarat</x:v>
      </x:c>
      <x:c r="B149" t="str">
        <x:v>GJ/034/P/3</x:v>
      </x:c>
      <x:c r="C149" t="str">
        <x:v>Parul Institute of Medical Sciences &amp; Research, Vadodara</x:v>
      </x:c>
      <x:c r="D149" t="str">
        <x:v>Private</x:v>
      </x:c>
      <x:c r="E149" t="n">
        <x:v>200</x:v>
      </x:c>
      <x:c r="F149" t="n">
        <x:v>0</x:v>
      </x:c>
      <x:c r="G149" t="n">
        <x:v>200</x:v>
      </x:c>
      <x:c r="H149"/>
      <x:c r="I149" t="n">
        <x:v>0</x:v>
      </x:c>
      <x:c r="J149" t="n">
        <x:v>0</x:v>
      </x:c>
      <x:c r="K149" t="n">
        <x:v>200</x:v>
      </x:c>
      <x:c r="L149" s="20" t="n">
        <x:v>1</x:v>
      </x:c>
      <x:c r="M149" t="str">
        <x:v>Variable</x:v>
      </x:c>
      <x:c r="N149" t="str">
        <x:v>Approx. Non-MCC Pool</x:v>
      </x:c>
      <x:c r="O149" t="str">
        <x:v>Large non-MCC pool; quota split varies by state</x:v>
      </x:c>
      <x:c r="P149"/>
      <x:c r="Q149"/>
      <x:c r="R149"/>
      <x:c r="S149"/>
      <x:c r="T149"/>
      <x:c r="U149" t="str">
        <x:v>Pending state Round-1 allotment/cutoff data</x:v>
      </x:c>
    </x:row>
    <x:row r="150">
      <x:c r="A150" t="str">
        <x:v>Gujarat</x:v>
      </x:c>
      <x:c r="B150" t="str">
        <x:v>GJ/041/P/3</x:v>
      </x:c>
      <x:c r="C150" t="str">
        <x:v>SWAMIINARAYAN INSTITUTE OF MEDICAL SCIENCES &amp; RESEARCH</x:v>
      </x:c>
      <x:c r="D150" t="str">
        <x:v>Private</x:v>
      </x:c>
      <x:c r="E150" t="n">
        <x:v>200</x:v>
      </x:c>
      <x:c r="F150" t="n">
        <x:v>0</x:v>
      </x:c>
      <x:c r="G150" t="n">
        <x:v>200</x:v>
      </x:c>
      <x:c r="H150"/>
      <x:c r="I150" t="n">
        <x:v>0</x:v>
      </x:c>
      <x:c r="J150" t="n">
        <x:v>0</x:v>
      </x:c>
      <x:c r="K150" t="n">
        <x:v>200</x:v>
      </x:c>
      <x:c r="L150" s="20" t="n">
        <x:v>1</x:v>
      </x:c>
      <x:c r="M150" t="str">
        <x:v>Variable</x:v>
      </x:c>
      <x:c r="N150" t="str">
        <x:v>Approx. Non-MCC Pool</x:v>
      </x:c>
      <x:c r="O150" t="str">
        <x:v>Large non-MCC pool; quota split varies by state</x:v>
      </x:c>
      <x:c r="P150"/>
      <x:c r="Q150"/>
      <x:c r="R150"/>
      <x:c r="S150"/>
      <x:c r="T150"/>
      <x:c r="U150" t="str">
        <x:v>Pending state Round-1 allotment/cutoff data</x:v>
      </x:c>
    </x:row>
    <x:row r="151">
      <x:c r="A151" t="str">
        <x:v>Gujarat</x:v>
      </x:c>
      <x:c r="B151" t="str">
        <x:v>GJ/038/P/3</x:v>
      </x:c>
      <x:c r="C151" t="str">
        <x:v>Shantabaa Medical College, Amreli</x:v>
      </x:c>
      <x:c r="D151" t="str">
        <x:v>Private</x:v>
      </x:c>
      <x:c r="E151" t="n">
        <x:v>200</x:v>
      </x:c>
      <x:c r="F151" t="n">
        <x:v>0</x:v>
      </x:c>
      <x:c r="G151" t="n">
        <x:v>200</x:v>
      </x:c>
      <x:c r="H151"/>
      <x:c r="I151" t="n">
        <x:v>0</x:v>
      </x:c>
      <x:c r="J151" t="n">
        <x:v>0</x:v>
      </x:c>
      <x:c r="K151" t="n">
        <x:v>200</x:v>
      </x:c>
      <x:c r="L151" s="20" t="n">
        <x:v>1</x:v>
      </x:c>
      <x:c r="M151" t="str">
        <x:v>Variable</x:v>
      </x:c>
      <x:c r="N151" t="str">
        <x:v>Approx. Non-MCC Pool</x:v>
      </x:c>
      <x:c r="O151" t="str">
        <x:v>Large non-MCC pool; quota split varies by state</x:v>
      </x:c>
      <x:c r="P151"/>
      <x:c r="Q151"/>
      <x:c r="R151"/>
      <x:c r="S151"/>
      <x:c r="T151"/>
      <x:c r="U151" t="str">
        <x:v>Pending state Round-1 allotment/cutoff data</x:v>
      </x:c>
    </x:row>
    <x:row r="152">
      <x:c r="A152" t="str">
        <x:v>Gujarat</x:v>
      </x:c>
      <x:c r="B152" t="str">
        <x:v>GJ/042/P/5</x:v>
      </x:c>
      <x:c r="C152" t="str">
        <x:v>Zydus Medical College &amp; Hospital, Dahod</x:v>
      </x:c>
      <x:c r="D152" t="str">
        <x:v>Private</x:v>
      </x:c>
      <x:c r="E152" t="n">
        <x:v>200</x:v>
      </x:c>
      <x:c r="F152" t="n">
        <x:v>0</x:v>
      </x:c>
      <x:c r="G152" t="n">
        <x:v>200</x:v>
      </x:c>
      <x:c r="H152"/>
      <x:c r="I152" t="n">
        <x:v>0</x:v>
      </x:c>
      <x:c r="J152" t="n">
        <x:v>0</x:v>
      </x:c>
      <x:c r="K152" t="n">
        <x:v>200</x:v>
      </x:c>
      <x:c r="L152" s="20" t="n">
        <x:v>1</x:v>
      </x:c>
      <x:c r="M152" t="str">
        <x:v>Variable</x:v>
      </x:c>
      <x:c r="N152" t="str">
        <x:v>Approx. Non-MCC Pool</x:v>
      </x:c>
      <x:c r="O152" t="str">
        <x:v>Large non-MCC pool; quota split varies by state</x:v>
      </x:c>
      <x:c r="P152"/>
      <x:c r="Q152"/>
      <x:c r="R152"/>
      <x:c r="S152"/>
      <x:c r="T152"/>
      <x:c r="U152" t="str">
        <x:v>Pending state Round-1 allotment/cutoff data</x:v>
      </x:c>
    </x:row>
    <x:row r="153">
      <x:c r="A153" t="str">
        <x:v>Gujarat</x:v>
      </x:c>
      <x:c r="B153" t="str">
        <x:v>GJ/002/P/3</x:v>
      </x:c>
      <x:c r="C153" t="str">
        <x:v>Ananya College of Medicine &amp; Research, Kalol</x:v>
      </x:c>
      <x:c r="D153" t="str">
        <x:v>Private</x:v>
      </x:c>
      <x:c r="E153" t="n">
        <x:v>150</x:v>
      </x:c>
      <x:c r="F153" t="n">
        <x:v>0</x:v>
      </x:c>
      <x:c r="G153" t="n">
        <x:v>150</x:v>
      </x:c>
      <x:c r="H153"/>
      <x:c r="I153" t="n">
        <x:v>0</x:v>
      </x:c>
      <x:c r="J153" t="n">
        <x:v>0</x:v>
      </x:c>
      <x:c r="K153" t="n">
        <x:v>150</x:v>
      </x:c>
      <x:c r="L153" s="20" t="n">
        <x:v>1</x:v>
      </x:c>
      <x:c r="M153" t="str">
        <x:v>Variable</x:v>
      </x:c>
      <x:c r="N153" t="str">
        <x:v>Approx. Non-MCC Pool</x:v>
      </x:c>
      <x:c r="O153" t="str">
        <x:v>Large non-MCC pool; quota split varies by state</x:v>
      </x:c>
      <x:c r="P153"/>
      <x:c r="Q153"/>
      <x:c r="R153"/>
      <x:c r="S153"/>
      <x:c r="T153"/>
      <x:c r="U153" t="str">
        <x:v>Pending state Round-1 allotment/cutoff data</x:v>
      </x:c>
    </x:row>
    <x:row r="154">
      <x:c r="A154" t="str">
        <x:v>Gujarat</x:v>
      </x:c>
      <x:c r="B154" t="str">
        <x:v>GJ/006/P/3</x:v>
      </x:c>
      <x:c r="C154" t="str">
        <x:v>CU Shah Medical College, Surendra Nagar</x:v>
      </x:c>
      <x:c r="D154" t="str">
        <x:v>Private</x:v>
      </x:c>
      <x:c r="E154" t="n">
        <x:v>100</x:v>
      </x:c>
      <x:c r="F154" t="n">
        <x:v>50</x:v>
      </x:c>
      <x:c r="G154" t="n">
        <x:v>150</x:v>
      </x:c>
      <x:c r="H154"/>
      <x:c r="I154" t="n">
        <x:v>0</x:v>
      </x:c>
      <x:c r="J154" t="n">
        <x:v>0</x:v>
      </x:c>
      <x:c r="K154" t="n">
        <x:v>150</x:v>
      </x:c>
      <x:c r="L154" s="20" t="n">
        <x:v>1</x:v>
      </x:c>
      <x:c r="M154" t="str">
        <x:v>Variable</x:v>
      </x:c>
      <x:c r="N154" t="str">
        <x:v>Approx. Non-MCC Pool</x:v>
      </x:c>
      <x:c r="O154" t="str">
        <x:v>Expanded 2026 capacity; state/management split to verify</x:v>
      </x:c>
      <x:c r="P154"/>
      <x:c r="Q154"/>
      <x:c r="R154"/>
      <x:c r="S154"/>
      <x:c r="T154"/>
      <x:c r="U154" t="str">
        <x:v>Pending state Round-1 allotment/cutoff data</x:v>
      </x:c>
    </x:row>
    <x:row r="155">
      <x:c r="A155" t="str">
        <x:v>Gujarat</x:v>
      </x:c>
      <x:c r="B155" t="str">
        <x:v>GJ/027/P/3</x:v>
      </x:c>
      <x:c r="C155" t="str">
        <x:v>Gujarat Adani Institute of Medical Sciences, Bhuj</x:v>
      </x:c>
      <x:c r="D155" t="str">
        <x:v>Private</x:v>
      </x:c>
      <x:c r="E155" t="n">
        <x:v>150</x:v>
      </x:c>
      <x:c r="F155" t="n">
        <x:v>0</x:v>
      </x:c>
      <x:c r="G155" t="n">
        <x:v>150</x:v>
      </x:c>
      <x:c r="H155"/>
      <x:c r="I155" t="n">
        <x:v>0</x:v>
      </x:c>
      <x:c r="J155" t="n">
        <x:v>0</x:v>
      </x:c>
      <x:c r="K155" t="n">
        <x:v>150</x:v>
      </x:c>
      <x:c r="L155" s="20" t="n">
        <x:v>1</x:v>
      </x:c>
      <x:c r="M155" t="str">
        <x:v>Variable</x:v>
      </x:c>
      <x:c r="N155" t="str">
        <x:v>Approx. Non-MCC Pool</x:v>
      </x:c>
      <x:c r="O155" t="str">
        <x:v>Large non-MCC pool; quota split varies by state</x:v>
      </x:c>
      <x:c r="P155"/>
      <x:c r="Q155"/>
      <x:c r="R155"/>
      <x:c r="S155"/>
      <x:c r="T155"/>
      <x:c r="U155" t="str">
        <x:v>Pending state Round-1 allotment/cutoff data</x:v>
      </x:c>
    </x:row>
    <x:row r="156">
      <x:c r="A156" t="str">
        <x:v>Gujarat</x:v>
      </x:c>
      <x:c r="B156" t="str">
        <x:v>GJ/029/P/3</x:v>
      </x:c>
      <x:c r="C156" t="str">
        <x:v>Matushri prabhaben khodabhai boghara medical college &amp; research centre</x:v>
      </x:c>
      <x:c r="D156" t="str">
        <x:v>Private</x:v>
      </x:c>
      <x:c r="E156" t="n">
        <x:v>150</x:v>
      </x:c>
      <x:c r="F156" t="n">
        <x:v>0</x:v>
      </x:c>
      <x:c r="G156" t="n">
        <x:v>150</x:v>
      </x:c>
      <x:c r="H156"/>
      <x:c r="I156" t="n">
        <x:v>0</x:v>
      </x:c>
      <x:c r="J156" t="n">
        <x:v>0</x:v>
      </x:c>
      <x:c r="K156" t="n">
        <x:v>150</x:v>
      </x:c>
      <x:c r="L156" s="20" t="n">
        <x:v>1</x:v>
      </x:c>
      <x:c r="M156" t="str">
        <x:v>Variable</x:v>
      </x:c>
      <x:c r="N156" t="str">
        <x:v>Approx. Non-MCC Pool</x:v>
      </x:c>
      <x:c r="O156" t="str">
        <x:v>Large non-MCC pool; quota split varies by state</x:v>
      </x:c>
      <x:c r="P156"/>
      <x:c r="Q156"/>
      <x:c r="R156"/>
      <x:c r="S156"/>
      <x:c r="T156"/>
      <x:c r="U156" t="str">
        <x:v>Pending state Round-1 allotment/cutoff data</x:v>
      </x:c>
    </x:row>
    <x:row r="157">
      <x:c r="A157" t="str">
        <x:v>Gujarat</x:v>
      </x:c>
      <x:c r="B157" t="str">
        <x:v>GJ/035/P/3</x:v>
      </x:c>
      <x:c r="C157" t="str">
        <x:v>Pramukhswami Medical College, Karmsad</x:v>
      </x:c>
      <x:c r="D157" t="str">
        <x:v>Private</x:v>
      </x:c>
      <x:c r="E157" t="n">
        <x:v>150</x:v>
      </x:c>
      <x:c r="F157" t="n">
        <x:v>0</x:v>
      </x:c>
      <x:c r="G157" t="n">
        <x:v>150</x:v>
      </x:c>
      <x:c r="H157"/>
      <x:c r="I157" t="n">
        <x:v>0</x:v>
      </x:c>
      <x:c r="J157" t="n">
        <x:v>0</x:v>
      </x:c>
      <x:c r="K157" t="n">
        <x:v>150</x:v>
      </x:c>
      <x:c r="L157" s="20" t="n">
        <x:v>1</x:v>
      </x:c>
      <x:c r="M157" t="str">
        <x:v>Variable</x:v>
      </x:c>
      <x:c r="N157" t="str">
        <x:v>Approx. Non-MCC Pool</x:v>
      </x:c>
      <x:c r="O157" t="str">
        <x:v>Large non-MCC pool; quota split varies by state</x:v>
      </x:c>
      <x:c r="P157"/>
      <x:c r="Q157"/>
      <x:c r="R157"/>
      <x:c r="S157"/>
      <x:c r="T157"/>
      <x:c r="U157" t="str">
        <x:v>Pending state Round-1 allotment/cutoff data</x:v>
      </x:c>
    </x:row>
    <x:row r="158">
      <x:c r="A158" t="str">
        <x:v>Gujarat</x:v>
      </x:c>
      <x:c r="B158" t="str">
        <x:v>GJ/036/P/3</x:v>
      </x:c>
      <x:c r="C158" t="str">
        <x:v>SAL Institute of Medical Sciences, Ahmedabad</x:v>
      </x:c>
      <x:c r="D158" t="str">
        <x:v>Private</x:v>
      </x:c>
      <x:c r="E158" t="n">
        <x:v>150</x:v>
      </x:c>
      <x:c r="F158" t="n">
        <x:v>0</x:v>
      </x:c>
      <x:c r="G158" t="n">
        <x:v>150</x:v>
      </x:c>
      <x:c r="H158"/>
      <x:c r="I158" t="n">
        <x:v>0</x:v>
      </x:c>
      <x:c r="J158" t="n">
        <x:v>0</x:v>
      </x:c>
      <x:c r="K158" t="n">
        <x:v>150</x:v>
      </x:c>
      <x:c r="L158" s="20" t="n">
        <x:v>1</x:v>
      </x:c>
      <x:c r="M158" t="str">
        <x:v>Variable</x:v>
      </x:c>
      <x:c r="N158" t="str">
        <x:v>Approx. Non-MCC Pool</x:v>
      </x:c>
      <x:c r="O158" t="str">
        <x:v>Large non-MCC pool; quota split varies by state</x:v>
      </x:c>
      <x:c r="P158"/>
      <x:c r="Q158"/>
      <x:c r="R158"/>
      <x:c r="S158"/>
      <x:c r="T158"/>
      <x:c r="U158" t="str">
        <x:v>Pending state Round-1 allotment/cutoff data</x:v>
      </x:c>
    </x:row>
    <x:row r="159">
      <x:c r="A159" t="str">
        <x:v>Gujarat</x:v>
      </x:c>
      <x:c r="B159" t="str">
        <x:v>GJ/005/P/3</x:v>
      </x:c>
      <x:c r="C159" t="str">
        <x:v>Bhagyoday Medical College</x:v>
      </x:c>
      <x:c r="D159" t="str">
        <x:v>Private</x:v>
      </x:c>
      <x:c r="E159" t="n">
        <x:v>100</x:v>
      </x:c>
      <x:c r="F159" t="n">
        <x:v>0</x:v>
      </x:c>
      <x:c r="G159" t="n">
        <x:v>100</x:v>
      </x:c>
      <x:c r="H159"/>
      <x:c r="I159" t="n">
        <x:v>0</x:v>
      </x:c>
      <x:c r="J159" t="n">
        <x:v>0</x:v>
      </x:c>
      <x:c r="K159" t="n">
        <x:v>100</x:v>
      </x:c>
      <x:c r="L159" s="20" t="n">
        <x:v>1</x:v>
      </x:c>
      <x:c r="M159" t="str">
        <x:v>Variable</x:v>
      </x:c>
      <x:c r="N159" t="str">
        <x:v>Approx. Non-MCC Pool</x:v>
      </x:c>
      <x:c r="O159" t="str">
        <x:v>State/management/NRI split must be verified</x:v>
      </x:c>
      <x:c r="P159"/>
      <x:c r="Q159"/>
      <x:c r="R159"/>
      <x:c r="S159"/>
      <x:c r="T159"/>
      <x:c r="U159" t="str">
        <x:v>Pending state Round-1 allotment/cutoff data</x:v>
      </x:c>
    </x:row>
    <x:row r="160">
      <x:c r="A160" t="str">
        <x:v>Gujarat</x:v>
      </x:c>
      <x:c r="B160" t="str">
        <x:v>GJ/037/P/3</x:v>
      </x:c>
      <x:c r="C160" t="str">
        <x:v>SBKS Medical Instt. &amp; Research Centre, Vadodra</x:v>
      </x:c>
      <x:c r="D160" t="str">
        <x:v>Private</x:v>
      </x:c>
      <x:c r="E160" t="n">
        <x:v>250</x:v>
      </x:c>
      <x:c r="F160" t="n">
        <x:v>0</x:v>
      </x:c>
      <x:c r="G160" t="n">
        <x:v>250</x:v>
      </x:c>
      <x:c r="H160" t="str">
        <x:v>200330</x:v>
      </x:c>
      <x:c r="I160" t="n">
        <x:v>250</x:v>
      </x:c>
      <x:c r="J160" t="n">
        <x:v>185</x:v>
      </x:c>
      <x:c r="K160" t="n">
        <x:v>0</x:v>
      </x:c>
      <x:c r="L160" s="20" t="n">
        <x:v>0</x:v>
      </x:c>
      <x:c r="M160" t="str">
        <x:v>Variable</x:v>
      </x:c>
      <x:c r="N160" t="str">
        <x:v>Approx. Non-MCC Pool</x:v>
      </x:c>
      <x:c r="O160" t="str">
        <x:v>State/management/NRI split must be verified</x:v>
      </x:c>
      <x:c r="P160" t="n">
        <x:v>529281</x:v>
      </x:c>
      <x:c r="Q160"/>
      <x:c r="R160"/>
      <x:c r="S160"/>
      <x:c r="T160"/>
      <x:c r="U160" t="str">
        <x:v>Pending state Round-1 allotment/cutoff data</x:v>
      </x:c>
    </x:row>
    <x:row r="161">
      <x:c r="A161" t="str">
        <x:v>HARYANA</x:v>
      </x:c>
      <x:c r="B161" t="str">
        <x:v>New Establishment</x:v>
      </x:c>
      <x:c r="C161" t="str">
        <x:v>Sanskaram School of Medical Sciences</x:v>
      </x:c>
      <x:c r="D161" t="str">
        <x:v>Private</x:v>
      </x:c>
      <x:c r="E161" t="n">
        <x:v>0</x:v>
      </x:c>
      <x:c r="F161" t="n">
        <x:v>100</x:v>
      </x:c>
      <x:c r="G161" t="n">
        <x:v>100</x:v>
      </x:c>
      <x:c r="H161" t="str">
        <x:v>904744</x:v>
      </x:c>
      <x:c r="I161" t="n">
        <x:v>15</x:v>
      </x:c>
      <x:c r="J161" t="n">
        <x:v>15</x:v>
      </x:c>
      <x:c r="K161" t="n">
        <x:v>85</x:v>
      </x:c>
      <x:c r="L161" s="20" t="n">
        <x:v>0.85</x:v>
      </x:c>
      <x:c r="M161" t="str">
        <x:v>Variable</x:v>
      </x:c>
      <x:c r="N161" t="str">
        <x:v>Approx. Non-MCC Pool</x:v>
      </x:c>
      <x:c r="O161" t="str">
        <x:v>Expanded 2026 capacity; state/management split to verify</x:v>
      </x:c>
      <x:c r="P161" t="n">
        <x:v>19127</x:v>
      </x:c>
      <x:c r="Q161" t="n">
        <x:v>22142</x:v>
      </x:c>
      <x:c r="R161" t="n">
        <x:v>21393</x:v>
      </x:c>
      <x:c r="S161" t="n">
        <x:v>82876</x:v>
      </x:c>
      <x:c r="T161" t="n">
        <x:v>72645</x:v>
      </x:c>
      <x:c r="U161" t="str">
        <x:v>Pending state Round-1 allotment/cutoff data</x:v>
      </x:c>
    </x:row>
    <x:row r="162">
      <x:c r="A162" t="str">
        <x:v>Haryana</x:v>
      </x:c>
      <x:c r="B162" t="str">
        <x:v>HR/014/G/1</x:v>
      </x:c>
      <x:c r="C162" t="str">
        <x:v>Pt. B D Sharma Postgraduate Institute of Medical Sciences, Rohtak (Haryana)</x:v>
      </x:c>
      <x:c r="D162" t="str">
        <x:v>Government</x:v>
      </x:c>
      <x:c r="E162" t="n">
        <x:v>250</x:v>
      </x:c>
      <x:c r="F162" t="n">
        <x:v>0</x:v>
      </x:c>
      <x:c r="G162" t="n">
        <x:v>250</x:v>
      </x:c>
      <x:c r="H162" t="str">
        <x:v>200149</x:v>
      </x:c>
      <x:c r="I162" t="n">
        <x:v>37</x:v>
      </x:c>
      <x:c r="J162" t="n">
        <x:v>37</x:v>
      </x:c>
      <x:c r="K162" t="n">
        <x:v>213</x:v>
      </x:c>
      <x:c r="L162" s="20" t="n">
        <x:v>0.852</x:v>
      </x:c>
      <x:c r="M162" t="str">
        <x:v>High</x:v>
      </x:c>
      <x:c r="N162" t="str">
        <x:v>Approx. State/Non-MCC Pool</x:v>
      </x:c>
      <x:c r="O162" t="str">
        <x:v>Large state-counselling pool</x:v>
      </x:c>
      <x:c r="P162" t="n">
        <x:v>2926</x:v>
      </x:c>
      <x:c r="Q162" t="n">
        <x:v>4165</x:v>
      </x:c>
      <x:c r="R162" t="n">
        <x:v>5816</x:v>
      </x:c>
      <x:c r="S162" t="n">
        <x:v>30560</x:v>
      </x:c>
      <x:c r="T162" t="n">
        <x:v>60479</x:v>
      </x:c>
      <x:c r="U162" t="str">
        <x:v>Pending state Round-1 allotment/cutoff data</x:v>
      </x:c>
    </x:row>
    <x:row r="163">
      <x:c r="A163" t="str">
        <x:v>Haryana</x:v>
      </x:c>
      <x:c r="B163" t="str">
        <x:v>HR/004/G/1</x:v>
      </x:c>
      <x:c r="C163" t="str">
        <x:v>BPS Government Medical College for Women, Sonepat</x:v>
      </x:c>
      <x:c r="D163" t="str">
        <x:v>Government</x:v>
      </x:c>
      <x:c r="E163" t="n">
        <x:v>120</x:v>
      </x:c>
      <x:c r="F163" t="n">
        <x:v>0</x:v>
      </x:c>
      <x:c r="G163" t="n">
        <x:v>120</x:v>
      </x:c>
      <x:c r="H163" t="str">
        <x:v>200145</x:v>
      </x:c>
      <x:c r="I163" t="n">
        <x:v>18</x:v>
      </x:c>
      <x:c r="J163" t="n">
        <x:v>18</x:v>
      </x:c>
      <x:c r="K163" t="n">
        <x:v>102</x:v>
      </x:c>
      <x:c r="L163" s="20" t="n">
        <x:v>0.85</x:v>
      </x:c>
      <x:c r="M163" t="str">
        <x:v>High</x:v>
      </x:c>
      <x:c r="N163" t="str">
        <x:v>Approx. State/Non-MCC Pool</x:v>
      </x:c>
      <x:c r="O163" t="str">
        <x:v>Moderate state-counselling pool</x:v>
      </x:c>
      <x:c r="P163" t="n">
        <x:v>7891</x:v>
      </x:c>
      <x:c r="Q163" t="n">
        <x:v>9784</x:v>
      </x:c>
      <x:c r="R163" t="n">
        <x:v>13510</x:v>
      </x:c>
      <x:c r="S163" t="n">
        <x:v>41773</x:v>
      </x:c>
      <x:c r="T163" t="n">
        <x:v>93055</x:v>
      </x:c>
      <x:c r="U163" t="str">
        <x:v>Pending state Round-1 allotment/cutoff data</x:v>
      </x:c>
    </x:row>
    <x:row r="164">
      <x:c r="A164" t="str">
        <x:v>Haryana</x:v>
      </x:c>
      <x:c r="B164" t="str">
        <x:v>HR/007/G/1</x:v>
      </x:c>
      <x:c r="C164" t="str">
        <x:v>Kalpana Chawala Govt. Medical College, Karnal, Haryana</x:v>
      </x:c>
      <x:c r="D164" t="str">
        <x:v>Government</x:v>
      </x:c>
      <x:c r="E164" t="n">
        <x:v>120</x:v>
      </x:c>
      <x:c r="F164" t="n">
        <x:v>0</x:v>
      </x:c>
      <x:c r="G164" t="n">
        <x:v>120</x:v>
      </x:c>
      <x:c r="H164" t="str">
        <x:v>200148</x:v>
      </x:c>
      <x:c r="I164" t="n">
        <x:v>18</x:v>
      </x:c>
      <x:c r="J164" t="n">
        <x:v>18</x:v>
      </x:c>
      <x:c r="K164" t="n">
        <x:v>102</x:v>
      </x:c>
      <x:c r="L164" s="20" t="n">
        <x:v>0.85</x:v>
      </x:c>
      <x:c r="M164" t="str">
        <x:v>High</x:v>
      </x:c>
      <x:c r="N164" t="str">
        <x:v>Approx. State/Non-MCC Pool</x:v>
      </x:c>
      <x:c r="O164" t="str">
        <x:v>Moderate state-counselling pool</x:v>
      </x:c>
      <x:c r="P164" t="n">
        <x:v>5100</x:v>
      </x:c>
      <x:c r="Q164" t="n">
        <x:v>6962</x:v>
      </x:c>
      <x:c r="R164" t="n">
        <x:v>7896</x:v>
      </x:c>
      <x:c r="S164" t="n">
        <x:v>36157</x:v>
      </x:c>
      <x:c r="T164" t="n">
        <x:v>70980</x:v>
      </x:c>
      <x:c r="U164" t="str">
        <x:v>Pending state Round-1 allotment/cutoff data</x:v>
      </x:c>
    </x:row>
    <x:row r="165">
      <x:c r="A165" t="str">
        <x:v>Haryana</x:v>
      </x:c>
      <x:c r="B165" t="str">
        <x:v>HR/015/G/1</x:v>
      </x:c>
      <x:c r="C165" t="str">
        <x:v>Shaheed Hasan Khan Mewati Government Medical College, Nalhar</x:v>
      </x:c>
      <x:c r="D165" t="str">
        <x:v>Government</x:v>
      </x:c>
      <x:c r="E165" t="n">
        <x:v>120</x:v>
      </x:c>
      <x:c r="F165" t="n">
        <x:v>0</x:v>
      </x:c>
      <x:c r="G165" t="n">
        <x:v>120</x:v>
      </x:c>
      <x:c r="H165" t="str">
        <x:v>200150</x:v>
      </x:c>
      <x:c r="I165" t="n">
        <x:v>18</x:v>
      </x:c>
      <x:c r="J165" t="n">
        <x:v>18</x:v>
      </x:c>
      <x:c r="K165" t="n">
        <x:v>102</x:v>
      </x:c>
      <x:c r="L165" s="20" t="n">
        <x:v>0.85</x:v>
      </x:c>
      <x:c r="M165" t="str">
        <x:v>High</x:v>
      </x:c>
      <x:c r="N165" t="str">
        <x:v>Approx. State/Non-MCC Pool</x:v>
      </x:c>
      <x:c r="O165" t="str">
        <x:v>Moderate state-counselling pool</x:v>
      </x:c>
      <x:c r="P165" t="n">
        <x:v>9743</x:v>
      </x:c>
      <x:c r="Q165" t="n">
        <x:v>12535</x:v>
      </x:c>
      <x:c r="R165" t="n">
        <x:v>11234</x:v>
      </x:c>
      <x:c r="S165" t="n">
        <x:v>64824</x:v>
      </x:c>
      <x:c r="T165" t="n">
        <x:v>90890</x:v>
      </x:c>
      <x:c r="U165" t="str">
        <x:v>Pending state Round-1 allotment/cutoff data</x:v>
      </x:c>
    </x:row>
    <x:row r="166">
      <x:c r="A166" t="str">
        <x:v>Haryana</x:v>
      </x:c>
      <x:c r="B166" t="str">
        <x:v>HR/009/G/1</x:v>
      </x:c>
      <x:c r="C166" t="str">
        <x:v>Maharishi Chyawan Medical College, Koriawas</x:v>
      </x:c>
      <x:c r="D166" t="str">
        <x:v>Government</x:v>
      </x:c>
      <x:c r="E166" t="n">
        <x:v>100</x:v>
      </x:c>
      <x:c r="F166" t="n">
        <x:v>0</x:v>
      </x:c>
      <x:c r="G166" t="n">
        <x:v>100</x:v>
      </x:c>
      <x:c r="H166" t="str">
        <x:v>904353</x:v>
      </x:c>
      <x:c r="I166" t="n">
        <x:v>15</x:v>
      </x:c>
      <x:c r="J166" t="n">
        <x:v>15</x:v>
      </x:c>
      <x:c r="K166" t="n">
        <x:v>85</x:v>
      </x:c>
      <x:c r="L166" s="20" t="n">
        <x:v>0.85</x:v>
      </x:c>
      <x:c r="M166" t="str">
        <x:v>High</x:v>
      </x:c>
      <x:c r="N166" t="str">
        <x:v>Approx. State/Non-MCC Pool</x:v>
      </x:c>
      <x:c r="O166" t="str">
        <x:v>Moderate state-counselling pool</x:v>
      </x:c>
      <x:c r="P166" t="n">
        <x:v>12737</x:v>
      </x:c>
      <x:c r="Q166" t="n">
        <x:v>14387</x:v>
      </x:c>
      <x:c r="R166" t="n">
        <x:v>15330</x:v>
      </x:c>
      <x:c r="S166" t="n">
        <x:v>73958</x:v>
      </x:c>
      <x:c r="T166" t="n">
        <x:v>99211</x:v>
      </x:c>
      <x:c r="U166" t="str">
        <x:v>Pending state Round-1 allotment/cutoff data</x:v>
      </x:c>
    </x:row>
    <x:row r="167">
      <x:c r="A167" t="str">
        <x:v>Haryana</x:v>
      </x:c>
      <x:c r="B167" t="str">
        <x:v>HR/013/G/1</x:v>
      </x:c>
      <x:c r="C167" t="str">
        <x:v>PT NEKI RAM SHARMA GOVERNMENT MEDICAL COLLEGE, BHIWANI</x:v>
      </x:c>
      <x:c r="D167" t="str">
        <x:v>Government</x:v>
      </x:c>
      <x:c r="E167" t="n">
        <x:v>100</x:v>
      </x:c>
      <x:c r="F167" t="n">
        <x:v>0</x:v>
      </x:c>
      <x:c r="G167" t="n">
        <x:v>100</x:v>
      </x:c>
      <x:c r="H167" t="str">
        <x:v>904365</x:v>
      </x:c>
      <x:c r="I167" t="n">
        <x:v>15</x:v>
      </x:c>
      <x:c r="J167" t="n">
        <x:v>15</x:v>
      </x:c>
      <x:c r="K167" t="n">
        <x:v>85</x:v>
      </x:c>
      <x:c r="L167" s="20" t="n">
        <x:v>0.85</x:v>
      </x:c>
      <x:c r="M167" t="str">
        <x:v>High</x:v>
      </x:c>
      <x:c r="N167" t="str">
        <x:v>Approx. State/Non-MCC Pool</x:v>
      </x:c>
      <x:c r="O167" t="str">
        <x:v>Moderate state-counselling pool</x:v>
      </x:c>
      <x:c r="P167" t="n">
        <x:v>9888</x:v>
      </x:c>
      <x:c r="Q167" t="n">
        <x:v>13826</x:v>
      </x:c>
      <x:c r="R167" t="n">
        <x:v>14444</x:v>
      </x:c>
      <x:c r="S167" t="n">
        <x:v>68664</x:v>
      </x:c>
      <x:c r="T167" t="n">
        <x:v>92972</x:v>
      </x:c>
      <x:c r="U167" t="str">
        <x:v>Pending state Round-1 allotment/cutoff data</x:v>
      </x:c>
    </x:row>
    <x:row r="168">
      <x:c r="A168" t="str">
        <x:v>Haryana</x:v>
      </x:c>
      <x:c r="B168" t="str">
        <x:v>HR/016/G/1</x:v>
      </x:c>
      <x:c r="C168" t="str">
        <x:v>Shri Atal Bihari Vajpayee Government Medical College, Faridabad</x:v>
      </x:c>
      <x:c r="D168" t="str">
        <x:v>Government</x:v>
      </x:c>
      <x:c r="E168" t="n">
        <x:v>100</x:v>
      </x:c>
      <x:c r="F168" t="n">
        <x:v>0</x:v>
      </x:c>
      <x:c r="G168" t="n">
        <x:v>100</x:v>
      </x:c>
      <x:c r="H168" t="str">
        <x:v>200615</x:v>
      </x:c>
      <x:c r="I168" t="n">
        <x:v>15</x:v>
      </x:c>
      <x:c r="J168" t="n">
        <x:v>15</x:v>
      </x:c>
      <x:c r="K168" t="n">
        <x:v>85</x:v>
      </x:c>
      <x:c r="L168" s="20" t="n">
        <x:v>0.85</x:v>
      </x:c>
      <x:c r="M168" t="str">
        <x:v>High</x:v>
      </x:c>
      <x:c r="N168" t="str">
        <x:v>Approx. State/Non-MCC Pool</x:v>
      </x:c>
      <x:c r="O168" t="str">
        <x:v>Moderate state-counselling pool</x:v>
      </x:c>
      <x:c r="P168" t="n">
        <x:v>8194</x:v>
      </x:c>
      <x:c r="Q168" t="n">
        <x:v>10063</x:v>
      </x:c>
      <x:c r="R168" t="n">
        <x:v>9807</x:v>
      </x:c>
      <x:c r="S168" t="n">
        <x:v>41419</x:v>
      </x:c>
      <x:c r="T168" t="n">
        <x:v>51121</x:v>
      </x:c>
      <x:c r="U168" t="str">
        <x:v>Pending state Round-1 allotment/cutoff data</x:v>
      </x:c>
    </x:row>
    <x:row r="169">
      <x:c r="A169" t="str">
        <x:v>Haryana</x:v>
      </x:c>
      <x:c r="B169" t="str">
        <x:v>HR/005/G/1</x:v>
      </x:c>
      <x:c r="C169" t="str">
        <x:v>Employees State Insurance Corporation Medical College, Faridabad</x:v>
      </x:c>
      <x:c r="D169" t="str">
        <x:v>Government</x:v>
      </x:c>
      <x:c r="E169" t="n">
        <x:v>150</x:v>
      </x:c>
      <x:c r="F169" t="n">
        <x:v>0</x:v>
      </x:c>
      <x:c r="G169" t="n">
        <x:v>150</x:v>
      </x:c>
      <x:c r="H169" t="str">
        <x:v>200409</x:v>
      </x:c>
      <x:c r="I169" t="n">
        <x:v>75</x:v>
      </x:c>
      <x:c r="J169" t="n">
        <x:v>73</x:v>
      </x:c>
      <x:c r="K169" t="n">
        <x:v>75</x:v>
      </x:c>
      <x:c r="L169" s="20" t="n">
        <x:v>0.5</x:v>
      </x:c>
      <x:c r="M169" t="str">
        <x:v>High</x:v>
      </x:c>
      <x:c r="N169" t="str">
        <x:v>Approx. State/Non-MCC Pool</x:v>
      </x:c>
      <x:c r="O169" t="str">
        <x:v>Smaller state-counselling pool</x:v>
      </x:c>
      <x:c r="P169" t="n">
        <x:v>7379</x:v>
      </x:c>
      <x:c r="Q169" t="n">
        <x:v>11460</x:v>
      </x:c>
      <x:c r="R169" t="n">
        <x:v>11375</x:v>
      </x:c>
      <x:c r="S169" t="n">
        <x:v>58271</x:v>
      </x:c>
      <x:c r="T169" t="n">
        <x:v>88222</x:v>
      </x:c>
      <x:c r="U169" t="str">
        <x:v>Pending state Round-1 allotment/cutoff data</x:v>
      </x:c>
    </x:row>
    <x:row r="170">
      <x:c r="A170" t="str">
        <x:v>Haryana</x:v>
      </x:c>
      <x:c r="B170" t="str">
        <x:v>HR/001/P/4</x:v>
      </x:c>
      <x:c r="C170" t="str">
        <x:v>Adesh Medical College and Hospital, Shahabad, Kurukshetra, Haryana</x:v>
      </x:c>
      <x:c r="D170" t="str">
        <x:v>Private</x:v>
      </x:c>
      <x:c r="E170" t="n">
        <x:v>250</x:v>
      </x:c>
      <x:c r="F170" t="n">
        <x:v>0</x:v>
      </x:c>
      <x:c r="G170" t="n">
        <x:v>250</x:v>
      </x:c>
      <x:c r="H170"/>
      <x:c r="I170" t="n">
        <x:v>0</x:v>
      </x:c>
      <x:c r="J170" t="n">
        <x:v>0</x:v>
      </x:c>
      <x:c r="K170" t="n">
        <x:v>250</x:v>
      </x:c>
      <x:c r="L170" s="20" t="n">
        <x:v>1</x:v>
      </x:c>
      <x:c r="M170" t="str">
        <x:v>Variable</x:v>
      </x:c>
      <x:c r="N170" t="str">
        <x:v>Approx. Non-MCC Pool</x:v>
      </x:c>
      <x:c r="O170" t="str">
        <x:v>Large non-MCC pool; quota split varies by state</x:v>
      </x:c>
      <x:c r="P170"/>
      <x:c r="Q170"/>
      <x:c r="R170"/>
      <x:c r="S170"/>
      <x:c r="T170"/>
      <x:c r="U170" t="str">
        <x:v>Pending state Round-1 allotment/cutoff data</x:v>
      </x:c>
    </x:row>
    <x:row r="171">
      <x:c r="A171" t="str">
        <x:v>Haryana</x:v>
      </x:c>
      <x:c r="B171" t="str">
        <x:v>HR/017/P/3</x:v>
      </x:c>
      <x:c r="C171" t="str">
        <x:v>World College of Medical Sciences &amp; Researc, Jhajjar, Haryana</x:v>
      </x:c>
      <x:c r="D171" t="str">
        <x:v>Private</x:v>
      </x:c>
      <x:c r="E171" t="n">
        <x:v>250</x:v>
      </x:c>
      <x:c r="F171" t="n">
        <x:v>0</x:v>
      </x:c>
      <x:c r="G171" t="n">
        <x:v>250</x:v>
      </x:c>
      <x:c r="H171"/>
      <x:c r="I171" t="n">
        <x:v>0</x:v>
      </x:c>
      <x:c r="J171" t="n">
        <x:v>0</x:v>
      </x:c>
      <x:c r="K171" t="n">
        <x:v>250</x:v>
      </x:c>
      <x:c r="L171" s="20" t="n">
        <x:v>1</x:v>
      </x:c>
      <x:c r="M171" t="str">
        <x:v>Variable</x:v>
      </x:c>
      <x:c r="N171" t="str">
        <x:v>Approx. Non-MCC Pool</x:v>
      </x:c>
      <x:c r="O171" t="str">
        <x:v>Large non-MCC pool; quota split varies by state</x:v>
      </x:c>
      <x:c r="P171"/>
      <x:c r="Q171"/>
      <x:c r="R171"/>
      <x:c r="S171"/>
      <x:c r="T171"/>
      <x:c r="U171" t="str">
        <x:v>Pending state Round-1 allotment/cutoff data</x:v>
      </x:c>
    </x:row>
    <x:row r="172">
      <x:c r="A172" t="str">
        <x:v>Haryana</x:v>
      </x:c>
      <x:c r="B172" t="str">
        <x:v>HR/002/P/3</x:v>
      </x:c>
      <x:c r="C172" t="str">
        <x:v>Al Falah School of Medical Sciences &amp; Research Centre, Faridabad</x:v>
      </x:c>
      <x:c r="D172" t="str">
        <x:v>Private</x:v>
      </x:c>
      <x:c r="E172" t="n">
        <x:v>200</x:v>
      </x:c>
      <x:c r="F172" t="n">
        <x:v>0</x:v>
      </x:c>
      <x:c r="G172" t="n">
        <x:v>200</x:v>
      </x:c>
      <x:c r="H172"/>
      <x:c r="I172" t="n">
        <x:v>0</x:v>
      </x:c>
      <x:c r="J172" t="n">
        <x:v>0</x:v>
      </x:c>
      <x:c r="K172" t="n">
        <x:v>200</x:v>
      </x:c>
      <x:c r="L172" s="20" t="n">
        <x:v>1</x:v>
      </x:c>
      <x:c r="M172" t="str">
        <x:v>Variable</x:v>
      </x:c>
      <x:c r="N172" t="str">
        <x:v>Approx. Non-MCC Pool</x:v>
      </x:c>
      <x:c r="O172" t="str">
        <x:v>Large non-MCC pool; quota split varies by state</x:v>
      </x:c>
      <x:c r="P172"/>
      <x:c r="Q172"/>
      <x:c r="R172"/>
      <x:c r="S172"/>
      <x:c r="T172"/>
      <x:c r="U172" t="str">
        <x:v>Pending state Round-1 allotment/cutoff data</x:v>
      </x:c>
    </x:row>
    <x:row r="173">
      <x:c r="A173" t="str">
        <x:v>Haryana</x:v>
      </x:c>
      <x:c r="B173" t="str">
        <x:v>HR/006/P/3</x:v>
      </x:c>
      <x:c r="C173" t="str">
        <x:v>Faculty of Medicine and Health Sciences, Gurgaon (Formarly SGGST Medical College &amp; R Centre,Gurgaon)</x:v>
      </x:c>
      <x:c r="D173" t="str">
        <x:v>Private</x:v>
      </x:c>
      <x:c r="E173" t="n">
        <x:v>150</x:v>
      </x:c>
      <x:c r="F173" t="n">
        <x:v>50</x:v>
      </x:c>
      <x:c r="G173" t="n">
        <x:v>200</x:v>
      </x:c>
      <x:c r="H173"/>
      <x:c r="I173" t="n">
        <x:v>0</x:v>
      </x:c>
      <x:c r="J173" t="n">
        <x:v>0</x:v>
      </x:c>
      <x:c r="K173" t="n">
        <x:v>200</x:v>
      </x:c>
      <x:c r="L173" s="20" t="n">
        <x:v>1</x:v>
      </x:c>
      <x:c r="M173" t="str">
        <x:v>Variable</x:v>
      </x:c>
      <x:c r="N173" t="str">
        <x:v>Approx. Non-MCC Pool</x:v>
      </x:c>
      <x:c r="O173" t="str">
        <x:v>Expanded 2026 capacity; state/management split to verify</x:v>
      </x:c>
      <x:c r="P173"/>
      <x:c r="Q173"/>
      <x:c r="R173"/>
      <x:c r="S173"/>
      <x:c r="T173"/>
      <x:c r="U173" t="str">
        <x:v>Pending state Round-1 allotment/cutoff data</x:v>
      </x:c>
    </x:row>
    <x:row r="174">
      <x:c r="A174" t="str">
        <x:v>Haryana</x:v>
      </x:c>
      <x:c r="B174" t="str">
        <x:v>HR/010/P/3</x:v>
      </x:c>
      <x:c r="C174" t="str">
        <x:v>Maharishi Markandeshwar College of Medical Sciences &amp; Research, Sadopur</x:v>
      </x:c>
      <x:c r="D174" t="str">
        <x:v>Private</x:v>
      </x:c>
      <x:c r="E174" t="n">
        <x:v>150</x:v>
      </x:c>
      <x:c r="F174" t="n">
        <x:v>50</x:v>
      </x:c>
      <x:c r="G174" t="n">
        <x:v>200</x:v>
      </x:c>
      <x:c r="H174"/>
      <x:c r="I174" t="n">
        <x:v>0</x:v>
      </x:c>
      <x:c r="J174" t="n">
        <x:v>0</x:v>
      </x:c>
      <x:c r="K174" t="n">
        <x:v>200</x:v>
      </x:c>
      <x:c r="L174" s="20" t="n">
        <x:v>1</x:v>
      </x:c>
      <x:c r="M174" t="str">
        <x:v>Variable</x:v>
      </x:c>
      <x:c r="N174" t="str">
        <x:v>Approx. Non-MCC Pool</x:v>
      </x:c>
      <x:c r="O174" t="str">
        <x:v>Expanded 2026 capacity; state/management split to verify</x:v>
      </x:c>
      <x:c r="P174"/>
      <x:c r="Q174"/>
      <x:c r="R174"/>
      <x:c r="S174"/>
      <x:c r="T174"/>
      <x:c r="U174" t="str">
        <x:v>Pending state Round-1 allotment/cutoff data</x:v>
      </x:c>
    </x:row>
    <x:row r="175">
      <x:c r="A175" t="str">
        <x:v>Haryana</x:v>
      </x:c>
      <x:c r="B175" t="str">
        <x:v>HR/012/P/3</x:v>
      </x:c>
      <x:c r="C175" t="str">
        <x:v>N.C. Medical College &amp; Hospital, Panipat</x:v>
      </x:c>
      <x:c r="D175" t="str">
        <x:v>Private</x:v>
      </x:c>
      <x:c r="E175" t="n">
        <x:v>200</x:v>
      </x:c>
      <x:c r="F175" t="n">
        <x:v>0</x:v>
      </x:c>
      <x:c r="G175" t="n">
        <x:v>200</x:v>
      </x:c>
      <x:c r="H175"/>
      <x:c r="I175" t="n">
        <x:v>0</x:v>
      </x:c>
      <x:c r="J175" t="n">
        <x:v>0</x:v>
      </x:c>
      <x:c r="K175" t="n">
        <x:v>200</x:v>
      </x:c>
      <x:c r="L175" s="20" t="n">
        <x:v>1</x:v>
      </x:c>
      <x:c r="M175" t="str">
        <x:v>Variable</x:v>
      </x:c>
      <x:c r="N175" t="str">
        <x:v>Approx. Non-MCC Pool</x:v>
      </x:c>
      <x:c r="O175" t="str">
        <x:v>Large non-MCC pool; quota split varies by state</x:v>
      </x:c>
      <x:c r="P175"/>
      <x:c r="Q175"/>
      <x:c r="R175"/>
      <x:c r="S175"/>
      <x:c r="T175"/>
      <x:c r="U175" t="str">
        <x:v>Pending state Round-1 allotment/cutoff data</x:v>
      </x:c>
    </x:row>
    <x:row r="176">
      <x:c r="A176" t="str">
        <x:v>Haryana</x:v>
      </x:c>
      <x:c r="B176" t="str">
        <x:v>HR/008/P/4</x:v>
      </x:c>
      <x:c r="C176" t="str">
        <x:v>Maharaja Agrasen Medical College, Agroha</x:v>
      </x:c>
      <x:c r="D176" t="str">
        <x:v>Private</x:v>
      </x:c>
      <x:c r="E176" t="n">
        <x:v>100</x:v>
      </x:c>
      <x:c r="F176" t="n">
        <x:v>0</x:v>
      </x:c>
      <x:c r="G176" t="n">
        <x:v>100</x:v>
      </x:c>
      <x:c r="H176"/>
      <x:c r="I176" t="n">
        <x:v>0</x:v>
      </x:c>
      <x:c r="J176" t="n">
        <x:v>0</x:v>
      </x:c>
      <x:c r="K176" t="n">
        <x:v>100</x:v>
      </x:c>
      <x:c r="L176" s="20" t="n">
        <x:v>1</x:v>
      </x:c>
      <x:c r="M176" t="str">
        <x:v>Variable</x:v>
      </x:c>
      <x:c r="N176" t="str">
        <x:v>Approx. Non-MCC Pool</x:v>
      </x:c>
      <x:c r="O176" t="str">
        <x:v>State/management/NRI split must be verified</x:v>
      </x:c>
      <x:c r="P176"/>
      <x:c r="Q176"/>
      <x:c r="R176"/>
      <x:c r="S176"/>
      <x:c r="T176"/>
      <x:c r="U176" t="str">
        <x:v>Pending state Round-1 allotment/cutoff data</x:v>
      </x:c>
    </x:row>
    <x:row r="177">
      <x:c r="A177" t="str">
        <x:v>Haryana</x:v>
      </x:c>
      <x:c r="B177" t="str">
        <x:v>HR/003/P/3</x:v>
      </x:c>
      <x:c r="C177" t="str">
        <x:v>Amrita School of Medicine</x:v>
      </x:c>
      <x:c r="D177" t="str">
        <x:v>Private</x:v>
      </x:c>
      <x:c r="E177" t="n">
        <x:v>150</x:v>
      </x:c>
      <x:c r="F177" t="n">
        <x:v>0</x:v>
      </x:c>
      <x:c r="G177" t="n">
        <x:v>150</x:v>
      </x:c>
      <x:c r="H177" t="str">
        <x:v>200646</x:v>
      </x:c>
      <x:c r="I177" t="n">
        <x:v>150</x:v>
      </x:c>
      <x:c r="J177" t="n">
        <x:v>136</x:v>
      </x:c>
      <x:c r="K177" t="n">
        <x:v>0</x:v>
      </x:c>
      <x:c r="L177" s="20" t="n">
        <x:v>0</x:v>
      </x:c>
      <x:c r="M177" t="str">
        <x:v>Variable</x:v>
      </x:c>
      <x:c r="N177" t="str">
        <x:v>Approx. Non-MCC Pool</x:v>
      </x:c>
      <x:c r="O177" t="str">
        <x:v>State/management/NRI split must be verified</x:v>
      </x:c>
      <x:c r="P177" t="n">
        <x:v>185030</x:v>
      </x:c>
      <x:c r="Q177"/>
      <x:c r="R177"/>
      <x:c r="S177"/>
      <x:c r="T177"/>
      <x:c r="U177" t="str">
        <x:v>Pending state Round-1 allotment/cutoff data</x:v>
      </x:c>
    </x:row>
    <x:row r="178">
      <x:c r="A178" t="str">
        <x:v>Haryana</x:v>
      </x:c>
      <x:c r="B178" t="str">
        <x:v>HR/011/P/3</x:v>
      </x:c>
      <x:c r="C178" t="str">
        <x:v>Maharishi Markandeshwar Institute Of Medical Sciences &amp; Research, Mullana, Ambala</x:v>
      </x:c>
      <x:c r="D178" t="str">
        <x:v>Private</x:v>
      </x:c>
      <x:c r="E178" t="n">
        <x:v>200</x:v>
      </x:c>
      <x:c r="F178" t="n">
        <x:v>50</x:v>
      </x:c>
      <x:c r="G178" t="n">
        <x:v>250</x:v>
      </x:c>
      <x:c r="H178" t="str">
        <x:v>200332</x:v>
      </x:c>
      <x:c r="I178" t="n">
        <x:v>250</x:v>
      </x:c>
      <x:c r="J178" t="n">
        <x:v>213</x:v>
      </x:c>
      <x:c r="K178" t="n">
        <x:v>0</x:v>
      </x:c>
      <x:c r="L178" s="20" t="n">
        <x:v>0</x:v>
      </x:c>
      <x:c r="M178" t="str">
        <x:v>Variable</x:v>
      </x:c>
      <x:c r="N178" t="str">
        <x:v>Approx. Non-MCC Pool</x:v>
      </x:c>
      <x:c r="O178" t="str">
        <x:v>Expanded 2026 capacity; state/management split to verify</x:v>
      </x:c>
      <x:c r="P178" t="n">
        <x:v>277848</x:v>
      </x:c>
      <x:c r="Q178"/>
      <x:c r="R178"/>
      <x:c r="S178"/>
      <x:c r="T178"/>
      <x:c r="U178" t="str">
        <x:v>Pending state Round-1 allotment/cutoff data</x:v>
      </x:c>
    </x:row>
    <x:row r="179">
      <x:c r="A179" t="str">
        <x:v>Himachal Pradesh</x:v>
      </x:c>
      <x:c r="B179" t="str">
        <x:v>HP/006/G/1</x:v>
      </x:c>
      <x:c r="C179" t="str">
        <x:v>Pt. Jawahar Lal Nehru Government Medical College, Chamba</x:v>
      </x:c>
      <x:c r="D179" t="str">
        <x:v>Government</x:v>
      </x:c>
      <x:c r="E179" t="n">
        <x:v>120</x:v>
      </x:c>
      <x:c r="F179" t="n">
        <x:v>1</x:v>
      </x:c>
      <x:c r="G179" t="n">
        <x:v>121</x:v>
      </x:c>
      <x:c r="H179" t="str">
        <x:v>200155</x:v>
      </x:c>
      <x:c r="I179" t="n">
        <x:v>18</x:v>
      </x:c>
      <x:c r="J179" t="n">
        <x:v>18</x:v>
      </x:c>
      <x:c r="K179" t="n">
        <x:v>103</x:v>
      </x:c>
      <x:c r="L179" s="20" t="n">
        <x:v>0.8512396694214877</x:v>
      </x:c>
      <x:c r="M179" t="str">
        <x:v>High</x:v>
      </x:c>
      <x:c r="N179" t="str">
        <x:v>Approx. State/Non-MCC Pool</x:v>
      </x:c>
      <x:c r="O179" t="str">
        <x:v>Expanded 2026 capacity + substantial state pool</x:v>
      </x:c>
      <x:c r="P179" t="n">
        <x:v>8643</x:v>
      </x:c>
      <x:c r="Q179" t="n">
        <x:v>9531</x:v>
      </x:c>
      <x:c r="R179" t="n">
        <x:v>11093</x:v>
      </x:c>
      <x:c r="S179" t="n">
        <x:v>55814</x:v>
      </x:c>
      <x:c r="T179" t="n">
        <x:v>65615</x:v>
      </x:c>
      <x:c r="U179" t="str">
        <x:v>Pending state Round-1 allotment/cutoff data</x:v>
      </x:c>
    </x:row>
    <x:row r="180">
      <x:c r="A180" t="str">
        <x:v>Himachal Pradesh</x:v>
      </x:c>
      <x:c r="B180" t="str">
        <x:v>HP/001/G/1</x:v>
      </x:c>
      <x:c r="C180" t="str">
        <x:v>Dr. Radhakrishnan Government Medical College, Hamirpur, H.P</x:v>
      </x:c>
      <x:c r="D180" t="str">
        <x:v>Government</x:v>
      </x:c>
      <x:c r="E180" t="n">
        <x:v>120</x:v>
      </x:c>
      <x:c r="F180" t="n">
        <x:v>0</x:v>
      </x:c>
      <x:c r="G180" t="n">
        <x:v>120</x:v>
      </x:c>
      <x:c r="H180" t="str">
        <x:v>200461</x:v>
      </x:c>
      <x:c r="I180" t="n">
        <x:v>18</x:v>
      </x:c>
      <x:c r="J180" t="n">
        <x:v>18</x:v>
      </x:c>
      <x:c r="K180" t="n">
        <x:v>102</x:v>
      </x:c>
      <x:c r="L180" s="20" t="n">
        <x:v>0.85</x:v>
      </x:c>
      <x:c r="M180" t="str">
        <x:v>High</x:v>
      </x:c>
      <x:c r="N180" t="str">
        <x:v>Approx. State/Non-MCC Pool</x:v>
      </x:c>
      <x:c r="O180" t="str">
        <x:v>Moderate state-counselling pool</x:v>
      </x:c>
      <x:c r="P180" t="n">
        <x:v>7309</x:v>
      </x:c>
      <x:c r="Q180" t="n">
        <x:v>9512</x:v>
      </x:c>
      <x:c r="R180" t="n">
        <x:v>9730</x:v>
      </x:c>
      <x:c r="S180" t="n">
        <x:v>51259</x:v>
      </x:c>
      <x:c r="T180" t="n">
        <x:v>46510</x:v>
      </x:c>
      <x:c r="U180" t="str">
        <x:v>Pending state Round-1 allotment/cutoff data</x:v>
      </x:c>
    </x:row>
    <x:row r="181">
      <x:c r="A181" t="str">
        <x:v>Himachal Pradesh</x:v>
      </x:c>
      <x:c r="B181" t="str">
        <x:v>HP/002/G/1</x:v>
      </x:c>
      <x:c r="C181" t="str">
        <x:v>Dr. Rajendar Prasad Government Medical College, Tanda, H.P</x:v>
      </x:c>
      <x:c r="D181" t="str">
        <x:v>Government</x:v>
      </x:c>
      <x:c r="E181" t="n">
        <x:v>120</x:v>
      </x:c>
      <x:c r="F181" t="n">
        <x:v>0</x:v>
      </x:c>
      <x:c r="G181" t="n">
        <x:v>120</x:v>
      </x:c>
      <x:c r="H181" t="str">
        <x:v>200152</x:v>
      </x:c>
      <x:c r="I181" t="n">
        <x:v>18</x:v>
      </x:c>
      <x:c r="J181" t="n">
        <x:v>18</x:v>
      </x:c>
      <x:c r="K181" t="n">
        <x:v>102</x:v>
      </x:c>
      <x:c r="L181" s="20" t="n">
        <x:v>0.85</x:v>
      </x:c>
      <x:c r="M181" t="str">
        <x:v>High</x:v>
      </x:c>
      <x:c r="N181" t="str">
        <x:v>Approx. State/Non-MCC Pool</x:v>
      </x:c>
      <x:c r="O181" t="str">
        <x:v>Moderate state-counselling pool</x:v>
      </x:c>
      <x:c r="P181" t="n">
        <x:v>4312</x:v>
      </x:c>
      <x:c r="Q181" t="n">
        <x:v>5548</x:v>
      </x:c>
      <x:c r="R181" t="n">
        <x:v>5029</x:v>
      </x:c>
      <x:c r="S181" t="n">
        <x:v>30410</x:v>
      </x:c>
      <x:c r="T181" t="n">
        <x:v>45688</x:v>
      </x:c>
      <x:c r="U181" t="str">
        <x:v>Pending state Round-1 allotment/cutoff data</x:v>
      </x:c>
    </x:row>
    <x:row r="182">
      <x:c r="A182" t="str">
        <x:v>Himachal Pradesh</x:v>
      </x:c>
      <x:c r="B182" t="str">
        <x:v>HP/003/G/1</x:v>
      </x:c>
      <x:c r="C182" t="str">
        <x:v>Government Medical College, Nahan, Sirmour H.P.</x:v>
      </x:c>
      <x:c r="D182" t="str">
        <x:v>Government</x:v>
      </x:c>
      <x:c r="E182" t="n">
        <x:v>120</x:v>
      </x:c>
      <x:c r="F182" t="n">
        <x:v>0</x:v>
      </x:c>
      <x:c r="G182" t="n">
        <x:v>120</x:v>
      </x:c>
      <x:c r="H182" t="str">
        <x:v>200151</x:v>
      </x:c>
      <x:c r="I182" t="n">
        <x:v>18</x:v>
      </x:c>
      <x:c r="J182" t="n">
        <x:v>18</x:v>
      </x:c>
      <x:c r="K182" t="n">
        <x:v>102</x:v>
      </x:c>
      <x:c r="L182" s="20" t="n">
        <x:v>0.85</x:v>
      </x:c>
      <x:c r="M182" t="str">
        <x:v>High</x:v>
      </x:c>
      <x:c r="N182" t="str">
        <x:v>Approx. State/Non-MCC Pool</x:v>
      </x:c>
      <x:c r="O182" t="str">
        <x:v>Moderate state-counselling pool</x:v>
      </x:c>
      <x:c r="P182" t="n">
        <x:v>7880</x:v>
      </x:c>
      <x:c r="Q182" t="n">
        <x:v>9195</x:v>
      </x:c>
      <x:c r="R182" t="n">
        <x:v>10823</x:v>
      </x:c>
      <x:c r="S182" t="n">
        <x:v>52107</x:v>
      </x:c>
      <x:c r="T182" t="n">
        <x:v>70936</x:v>
      </x:c>
      <x:c r="U182" t="str">
        <x:v>Pending state Round-1 allotment/cutoff data</x:v>
      </x:c>
    </x:row>
    <x:row r="183">
      <x:c r="A183" t="str">
        <x:v>Himachal Pradesh</x:v>
      </x:c>
      <x:c r="B183" t="str">
        <x:v>HP/004/G/1</x:v>
      </x:c>
      <x:c r="C183" t="str">
        <x:v>Indira Gandhi Medical College, Shimla</x:v>
      </x:c>
      <x:c r="D183" t="str">
        <x:v>Government</x:v>
      </x:c>
      <x:c r="E183" t="n">
        <x:v>120</x:v>
      </x:c>
      <x:c r="F183" t="n">
        <x:v>0</x:v>
      </x:c>
      <x:c r="G183" t="n">
        <x:v>120</x:v>
      </x:c>
      <x:c r="H183" t="str">
        <x:v>200154</x:v>
      </x:c>
      <x:c r="I183" t="n">
        <x:v>18</x:v>
      </x:c>
      <x:c r="J183" t="n">
        <x:v>18</x:v>
      </x:c>
      <x:c r="K183" t="n">
        <x:v>102</x:v>
      </x:c>
      <x:c r="L183" s="20" t="n">
        <x:v>0.85</x:v>
      </x:c>
      <x:c r="M183" t="str">
        <x:v>High</x:v>
      </x:c>
      <x:c r="N183" t="str">
        <x:v>Approx. State/Non-MCC Pool</x:v>
      </x:c>
      <x:c r="O183" t="str">
        <x:v>Moderate state-counselling pool</x:v>
      </x:c>
      <x:c r="P183" t="n">
        <x:v>2985</x:v>
      </x:c>
      <x:c r="Q183" t="n">
        <x:v>3792</x:v>
      </x:c>
      <x:c r="R183" t="n">
        <x:v>4713</x:v>
      </x:c>
      <x:c r="S183" t="n">
        <x:v>22219</x:v>
      </x:c>
      <x:c r="T183" t="n">
        <x:v>34744</x:v>
      </x:c>
      <x:c r="U183" t="str">
        <x:v>Pending state Round-1 allotment/cutoff data</x:v>
      </x:c>
    </x:row>
    <x:row r="184">
      <x:c r="A184" t="str">
        <x:v>Himachal Pradesh</x:v>
      </x:c>
      <x:c r="B184" t="str">
        <x:v>HP/007/G/1</x:v>
      </x:c>
      <x:c r="C184" t="str">
        <x:v>Shri Lal Bahadur Shastri Government Medical College, Mandi, HP</x:v>
      </x:c>
      <x:c r="D184" t="str">
        <x:v>Government</x:v>
      </x:c>
      <x:c r="E184" t="n">
        <x:v>120</x:v>
      </x:c>
      <x:c r="F184" t="n">
        <x:v>0</x:v>
      </x:c>
      <x:c r="G184" t="n">
        <x:v>120</x:v>
      </x:c>
      <x:c r="H184" t="str">
        <x:v>200410</x:v>
      </x:c>
      <x:c r="I184" t="n">
        <x:v>54</x:v>
      </x:c>
      <x:c r="J184" t="n">
        <x:v>54</x:v>
      </x:c>
      <x:c r="K184" t="n">
        <x:v>66</x:v>
      </x:c>
      <x:c r="L184" s="20" t="n">
        <x:v>0.55</x:v>
      </x:c>
      <x:c r="M184" t="str">
        <x:v>High</x:v>
      </x:c>
      <x:c r="N184" t="str">
        <x:v>Approx. State/Non-MCC Pool</x:v>
      </x:c>
      <x:c r="O184" t="str">
        <x:v>Smaller state-counselling pool</x:v>
      </x:c>
      <x:c r="P184" t="n">
        <x:v>14632</x:v>
      </x:c>
      <x:c r="Q184" t="n">
        <x:v>18460</x:v>
      </x:c>
      <x:c r="R184" t="n">
        <x:v>18334</x:v>
      </x:c>
      <x:c r="S184" t="n">
        <x:v>105731</x:v>
      </x:c>
      <x:c r="T184" t="n">
        <x:v>135170</x:v>
      </x:c>
      <x:c r="U184" t="str">
        <x:v>Pending state Round-1 allotment/cutoff data</x:v>
      </x:c>
    </x:row>
    <x:row r="185">
      <x:c r="A185" t="str">
        <x:v>Himachal Pradesh</x:v>
      </x:c>
      <x:c r="B185" t="str">
        <x:v>HP/005/P/3</x:v>
      </x:c>
      <x:c r="C185" t="str">
        <x:v>Maharishi Markandeshwar Medical College &amp; Hospital, Solan</x:v>
      </x:c>
      <x:c r="D185" t="str">
        <x:v>Private</x:v>
      </x:c>
      <x:c r="E185" t="n">
        <x:v>150</x:v>
      </x:c>
      <x:c r="F185" t="n">
        <x:v>0</x:v>
      </x:c>
      <x:c r="G185" t="n">
        <x:v>150</x:v>
      </x:c>
      <x:c r="H185"/>
      <x:c r="I185" t="n">
        <x:v>0</x:v>
      </x:c>
      <x:c r="J185" t="n">
        <x:v>0</x:v>
      </x:c>
      <x:c r="K185" t="n">
        <x:v>150</x:v>
      </x:c>
      <x:c r="L185" s="20" t="n">
        <x:v>1</x:v>
      </x:c>
      <x:c r="M185" t="str">
        <x:v>Variable</x:v>
      </x:c>
      <x:c r="N185" t="str">
        <x:v>Approx. Non-MCC Pool</x:v>
      </x:c>
      <x:c r="O185" t="str">
        <x:v>Large non-MCC pool; quota split varies by state</x:v>
      </x:c>
      <x:c r="P185"/>
      <x:c r="Q185"/>
      <x:c r="R185"/>
      <x:c r="S185"/>
      <x:c r="T185"/>
      <x:c r="U185" t="str">
        <x:v>Pending state Round-1 allotment/cutoff data</x:v>
      </x:c>
    </x:row>
    <x:row r="186">
      <x:c r="A186" t="str">
        <x:v>Jammu and Kashmir</x:v>
      </x:c>
      <x:c r="B186" t="str">
        <x:v>JK/006/G/1</x:v>
      </x:c>
      <x:c r="C186" t="str">
        <x:v>Government Medical College, Jammu</x:v>
      </x:c>
      <x:c r="D186" t="str">
        <x:v>Government</x:v>
      </x:c>
      <x:c r="E186" t="n">
        <x:v>200</x:v>
      </x:c>
      <x:c r="F186" t="n">
        <x:v>50</x:v>
      </x:c>
      <x:c r="G186" t="n">
        <x:v>250</x:v>
      </x:c>
      <x:c r="H186" t="str">
        <x:v>200640</x:v>
      </x:c>
      <x:c r="I186" t="n">
        <x:v>22</x:v>
      </x:c>
      <x:c r="J186" t="n">
        <x:v>22</x:v>
      </x:c>
      <x:c r="K186" t="n">
        <x:v>228</x:v>
      </x:c>
      <x:c r="L186" s="20" t="n">
        <x:v>0.912</x:v>
      </x:c>
      <x:c r="M186" t="str">
        <x:v>High</x:v>
      </x:c>
      <x:c r="N186" t="str">
        <x:v>Approx. State/Non-MCC Pool</x:v>
      </x:c>
      <x:c r="O186" t="str">
        <x:v>Expanded 2026 capacity + substantial state pool</x:v>
      </x:c>
      <x:c r="P186" t="n">
        <x:v>14523</x:v>
      </x:c>
      <x:c r="Q186" t="n">
        <x:v>16029</x:v>
      </x:c>
      <x:c r="R186" t="n">
        <x:v>18043</x:v>
      </x:c>
      <x:c r="S186" t="n">
        <x:v>70700</x:v>
      </x:c>
      <x:c r="T186" t="n">
        <x:v>79596</x:v>
      </x:c>
      <x:c r="U186" t="str">
        <x:v>Pending state Round-1 allotment/cutoff data</x:v>
      </x:c>
    </x:row>
    <x:row r="187">
      <x:c r="A187" t="str">
        <x:v>Jammu and Kashmir</x:v>
      </x:c>
      <x:c r="B187" t="str">
        <x:v>JK/009/G/1</x:v>
      </x:c>
      <x:c r="C187" t="str">
        <x:v>Government Medical College, Srinagar</x:v>
      </x:c>
      <x:c r="D187" t="str">
        <x:v>Government</x:v>
      </x:c>
      <x:c r="E187" t="n">
        <x:v>200</x:v>
      </x:c>
      <x:c r="F187" t="n">
        <x:v>50</x:v>
      </x:c>
      <x:c r="G187" t="n">
        <x:v>250</x:v>
      </x:c>
      <x:c r="H187" t="str">
        <x:v>200629</x:v>
      </x:c>
      <x:c r="I187" t="n">
        <x:v>37</x:v>
      </x:c>
      <x:c r="J187" t="n">
        <x:v>37</x:v>
      </x:c>
      <x:c r="K187" t="n">
        <x:v>213</x:v>
      </x:c>
      <x:c r="L187" s="20" t="n">
        <x:v>0.852</x:v>
      </x:c>
      <x:c r="M187" t="str">
        <x:v>High</x:v>
      </x:c>
      <x:c r="N187" t="str">
        <x:v>Approx. State/Non-MCC Pool</x:v>
      </x:c>
      <x:c r="O187" t="str">
        <x:v>Expanded 2026 capacity + substantial state pool</x:v>
      </x:c>
      <x:c r="P187" t="n">
        <x:v>1509</x:v>
      </x:c>
      <x:c r="Q187" t="n">
        <x:v>6850</x:v>
      </x:c>
      <x:c r="R187" t="n">
        <x:v>9284</x:v>
      </x:c>
      <x:c r="S187" t="n">
        <x:v>51817</x:v>
      </x:c>
      <x:c r="T187" t="n">
        <x:v>26857</x:v>
      </x:c>
      <x:c r="U187" t="str">
        <x:v>Pending state Round-1 allotment/cutoff data</x:v>
      </x:c>
    </x:row>
    <x:row r="188">
      <x:c r="A188" t="str">
        <x:v>Jammu and Kashmir</x:v>
      </x:c>
      <x:c r="B188" t="str">
        <x:v>JK/004/G/1</x:v>
      </x:c>
      <x:c r="C188" t="str">
        <x:v>Government Medical College, Anantnag</x:v>
      </x:c>
      <x:c r="D188" t="str">
        <x:v>Government</x:v>
      </x:c>
      <x:c r="E188" t="n">
        <x:v>150</x:v>
      </x:c>
      <x:c r="F188" t="n">
        <x:v>0</x:v>
      </x:c>
      <x:c r="G188" t="n">
        <x:v>150</x:v>
      </x:c>
      <x:c r="H188" t="str">
        <x:v>200631</x:v>
      </x:c>
      <x:c r="I188" t="n">
        <x:v>22</x:v>
      </x:c>
      <x:c r="J188" t="n">
        <x:v>22</x:v>
      </x:c>
      <x:c r="K188" t="n">
        <x:v>128</x:v>
      </x:c>
      <x:c r="L188" s="20" t="n">
        <x:v>0.8533333333333334</x:v>
      </x:c>
      <x:c r="M188" t="str">
        <x:v>High</x:v>
      </x:c>
      <x:c r="N188" t="str">
        <x:v>Approx. State/Non-MCC Pool</x:v>
      </x:c>
      <x:c r="O188" t="str">
        <x:v>Moderate state-counselling pool</x:v>
      </x:c>
      <x:c r="P188" t="n">
        <x:v>10654</x:v>
      </x:c>
      <x:c r="Q188" t="n">
        <x:v>16214</x:v>
      </x:c>
      <x:c r="R188" t="n">
        <x:v>17230</x:v>
      </x:c>
      <x:c r="S188" t="n">
        <x:v>79742</x:v>
      </x:c>
      <x:c r="T188" t="n">
        <x:v>61092</x:v>
      </x:c>
      <x:c r="U188" t="str">
        <x:v>Pending state Round-1 allotment/cutoff data</x:v>
      </x:c>
    </x:row>
    <x:row r="189">
      <x:c r="A189" t="str">
        <x:v>Jammu and Kashmir</x:v>
      </x:c>
      <x:c r="B189" t="str">
        <x:v>JK/005/G/1</x:v>
      </x:c>
      <x:c r="C189" t="str">
        <x:v>Government Medical College, Baramulla</x:v>
      </x:c>
      <x:c r="D189" t="str">
        <x:v>Government</x:v>
      </x:c>
      <x:c r="E189" t="n">
        <x:v>150</x:v>
      </x:c>
      <x:c r="F189" t="n">
        <x:v>0</x:v>
      </x:c>
      <x:c r="G189" t="n">
        <x:v>150</x:v>
      </x:c>
      <x:c r="H189" t="str">
        <x:v>200634</x:v>
      </x:c>
      <x:c r="I189" t="n">
        <x:v>22</x:v>
      </x:c>
      <x:c r="J189" t="n">
        <x:v>22</x:v>
      </x:c>
      <x:c r="K189" t="n">
        <x:v>128</x:v>
      </x:c>
      <x:c r="L189" s="20" t="n">
        <x:v>0.8533333333333334</x:v>
      </x:c>
      <x:c r="M189" t="str">
        <x:v>High</x:v>
      </x:c>
      <x:c r="N189" t="str">
        <x:v>Approx. State/Non-MCC Pool</x:v>
      </x:c>
      <x:c r="O189" t="str">
        <x:v>Moderate state-counselling pool</x:v>
      </x:c>
      <x:c r="P189" t="n">
        <x:v>16604</x:v>
      </x:c>
      <x:c r="Q189" t="n">
        <x:v>18645</x:v>
      </x:c>
      <x:c r="R189" t="n">
        <x:v>19834</x:v>
      </x:c>
      <x:c r="S189" t="n">
        <x:v>83941</x:v>
      </x:c>
      <x:c r="T189" t="n">
        <x:v>77590</x:v>
      </x:c>
      <x:c r="U189" t="str">
        <x:v>Pending state Round-1 allotment/cutoff data</x:v>
      </x:c>
    </x:row>
    <x:row r="190">
      <x:c r="A190" t="str">
        <x:v>Jammu and Kashmir</x:v>
      </x:c>
      <x:c r="B190" t="str">
        <x:v>JK/007/G/1</x:v>
      </x:c>
      <x:c r="C190" t="str">
        <x:v>Government Medical College, Kathua</x:v>
      </x:c>
      <x:c r="D190" t="str">
        <x:v>Government</x:v>
      </x:c>
      <x:c r="E190" t="n">
        <x:v>150</x:v>
      </x:c>
      <x:c r="F190" t="n">
        <x:v>0</x:v>
      </x:c>
      <x:c r="G190" t="n">
        <x:v>150</x:v>
      </x:c>
      <x:c r="H190" t="str">
        <x:v>200630</x:v>
      </x:c>
      <x:c r="I190" t="n">
        <x:v>23</x:v>
      </x:c>
      <x:c r="J190" t="n">
        <x:v>23</x:v>
      </x:c>
      <x:c r="K190" t="n">
        <x:v>127</x:v>
      </x:c>
      <x:c r="L190" s="20" t="n">
        <x:v>0.8466666666666667</x:v>
      </x:c>
      <x:c r="M190" t="str">
        <x:v>High</x:v>
      </x:c>
      <x:c r="N190" t="str">
        <x:v>Approx. State/Non-MCC Pool</x:v>
      </x:c>
      <x:c r="O190" t="str">
        <x:v>Moderate state-counselling pool</x:v>
      </x:c>
      <x:c r="P190" t="n">
        <x:v>11804</x:v>
      </x:c>
      <x:c r="Q190" t="n">
        <x:v>13677</x:v>
      </x:c>
      <x:c r="R190" t="n">
        <x:v>17116</x:v>
      </x:c>
      <x:c r="S190" t="n">
        <x:v>54180</x:v>
      </x:c>
      <x:c r="T190" t="n">
        <x:v>79647</x:v>
      </x:c>
      <x:c r="U190" t="str">
        <x:v>Pending state Round-1 allotment/cutoff data</x:v>
      </x:c>
    </x:row>
    <x:row r="191">
      <x:c r="A191" t="str">
        <x:v>Jammu and Kashmir</x:v>
      </x:c>
      <x:c r="B191" t="str">
        <x:v>JK/010/G/1</x:v>
      </x:c>
      <x:c r="C191" t="str">
        <x:v>Govt. Medical College, Doda, Kashmir</x:v>
      </x:c>
      <x:c r="D191" t="str">
        <x:v>Government</x:v>
      </x:c>
      <x:c r="E191" t="n">
        <x:v>150</x:v>
      </x:c>
      <x:c r="F191" t="n">
        <x:v>0</x:v>
      </x:c>
      <x:c r="G191" t="n">
        <x:v>150</x:v>
      </x:c>
      <x:c r="H191" t="str">
        <x:v>200639</x:v>
      </x:c>
      <x:c r="I191" t="n">
        <x:v>23</x:v>
      </x:c>
      <x:c r="J191" t="n">
        <x:v>23</x:v>
      </x:c>
      <x:c r="K191" t="n">
        <x:v>127</x:v>
      </x:c>
      <x:c r="L191" s="20" t="n">
        <x:v>0.8466666666666667</x:v>
      </x:c>
      <x:c r="M191" t="str">
        <x:v>High</x:v>
      </x:c>
      <x:c r="N191" t="str">
        <x:v>Approx. State/Non-MCC Pool</x:v>
      </x:c>
      <x:c r="O191" t="str">
        <x:v>Moderate state-counselling pool</x:v>
      </x:c>
      <x:c r="P191" t="n">
        <x:v>17121</x:v>
      </x:c>
      <x:c r="Q191" t="n">
        <x:v>18584</x:v>
      </x:c>
      <x:c r="R191" t="n">
        <x:v>20524</x:v>
      </x:c>
      <x:c r="S191" t="n">
        <x:v>84748</x:v>
      </x:c>
      <x:c r="T191" t="n">
        <x:v>93226</x:v>
      </x:c>
      <x:c r="U191" t="str">
        <x:v>Pending state Round-1 allotment/cutoff data</x:v>
      </x:c>
    </x:row>
    <x:row r="192">
      <x:c r="A192" t="str">
        <x:v>Jammu and Kashmir</x:v>
      </x:c>
      <x:c r="B192" t="str">
        <x:v>JK/011/G/1</x:v>
      </x:c>
      <x:c r="C192" t="str">
        <x:v>Sher-I-Kashmir Instt. Of Medical Sciences, Srinagar</x:v>
      </x:c>
      <x:c r="D192" t="str">
        <x:v>Government</x:v>
      </x:c>
      <x:c r="E192" t="n">
        <x:v>125</x:v>
      </x:c>
      <x:c r="F192" t="n">
        <x:v>0</x:v>
      </x:c>
      <x:c r="G192" t="n">
        <x:v>125</x:v>
      </x:c>
      <x:c r="H192" t="str">
        <x:v>200621</x:v>
      </x:c>
      <x:c r="I192" t="n">
        <x:v>22</x:v>
      </x:c>
      <x:c r="J192" t="n">
        <x:v>22</x:v>
      </x:c>
      <x:c r="K192" t="n">
        <x:v>103</x:v>
      </x:c>
      <x:c r="L192" s="20" t="n">
        <x:v>0.824</x:v>
      </x:c>
      <x:c r="M192" t="str">
        <x:v>High</x:v>
      </x:c>
      <x:c r="N192" t="str">
        <x:v>Approx. State/Non-MCC Pool</x:v>
      </x:c>
      <x:c r="O192" t="str">
        <x:v>Moderate state-counselling pool</x:v>
      </x:c>
      <x:c r="P192" t="n">
        <x:v>4546</x:v>
      </x:c>
      <x:c r="Q192" t="n">
        <x:v>11702</x:v>
      </x:c>
      <x:c r="R192" t="n">
        <x:v>11888</x:v>
      </x:c>
      <x:c r="S192" t="n">
        <x:v>72071</x:v>
      </x:c>
      <x:c r="T192" t="n">
        <x:v>48610</x:v>
      </x:c>
      <x:c r="U192" t="str">
        <x:v>Pending state Round-1 allotment/cutoff data</x:v>
      </x:c>
    </x:row>
    <x:row r="193">
      <x:c r="A193" t="str">
        <x:v>Jammu and Kashmir</x:v>
      </x:c>
      <x:c r="B193" t="str">
        <x:v>JK/008/G/1</x:v>
      </x:c>
      <x:c r="C193" t="str">
        <x:v>Government Medical College, Rajouri, J&amp;K</x:v>
      </x:c>
      <x:c r="D193" t="str">
        <x:v>Government</x:v>
      </x:c>
      <x:c r="E193" t="n">
        <x:v>100</x:v>
      </x:c>
      <x:c r="F193" t="n">
        <x:v>0</x:v>
      </x:c>
      <x:c r="G193" t="n">
        <x:v>100</x:v>
      </x:c>
      <x:c r="H193"/>
      <x:c r="I193" t="n">
        <x:v>0</x:v>
      </x:c>
      <x:c r="J193" t="n">
        <x:v>0</x:v>
      </x:c>
      <x:c r="K193" t="n">
        <x:v>100</x:v>
      </x:c>
      <x:c r="L193" s="20" t="n">
        <x:v>1</x:v>
      </x:c>
      <x:c r="M193" t="str">
        <x:v>High</x:v>
      </x:c>
      <x:c r="N193" t="str">
        <x:v>Approx. State/Non-MCC Pool</x:v>
      </x:c>
      <x:c r="O193" t="str">
        <x:v>Moderate state-counselling pool</x:v>
      </x:c>
      <x:c r="P193"/>
      <x:c r="Q193"/>
      <x:c r="R193"/>
      <x:c r="S193"/>
      <x:c r="T193"/>
      <x:c r="U193" t="str">
        <x:v>Pending state Round-1 allotment/cutoff data</x:v>
      </x:c>
    </x:row>
    <x:row r="194">
      <x:c r="A194" t="str">
        <x:v>Jammu and Kashmir</x:v>
      </x:c>
      <x:c r="B194" t="str">
        <x:v>JK/002/G/1</x:v>
      </x:c>
      <x:c r="C194" t="str">
        <x:v>Government Medical College Handwara</x:v>
      </x:c>
      <x:c r="D194" t="str">
        <x:v>Government</x:v>
      </x:c>
      <x:c r="E194" t="n">
        <x:v>100</x:v>
      </x:c>
      <x:c r="F194" t="n">
        <x:v>0</x:v>
      </x:c>
      <x:c r="G194" t="n">
        <x:v>100</x:v>
      </x:c>
      <x:c r="H194" t="str">
        <x:v>200681</x:v>
      </x:c>
      <x:c r="I194" t="n">
        <x:v>15</x:v>
      </x:c>
      <x:c r="J194" t="n">
        <x:v>15</x:v>
      </x:c>
      <x:c r="K194" t="n">
        <x:v>85</x:v>
      </x:c>
      <x:c r="L194" s="20" t="n">
        <x:v>0.85</x:v>
      </x:c>
      <x:c r="M194" t="str">
        <x:v>High</x:v>
      </x:c>
      <x:c r="N194" t="str">
        <x:v>Approx. State/Non-MCC Pool</x:v>
      </x:c>
      <x:c r="O194" t="str">
        <x:v>Moderate state-counselling pool</x:v>
      </x:c>
      <x:c r="P194" t="n">
        <x:v>17091</x:v>
      </x:c>
      <x:c r="Q194" t="n">
        <x:v>19831</x:v>
      </x:c>
      <x:c r="R194" t="n">
        <x:v>23303</x:v>
      </x:c>
      <x:c r="S194" t="n">
        <x:v>90506</x:v>
      </x:c>
      <x:c r="T194" t="n">
        <x:v>94888</x:v>
      </x:c>
      <x:c r="U194" t="str">
        <x:v>Pending state Round-1 allotment/cutoff data</x:v>
      </x:c>
    </x:row>
    <x:row r="195">
      <x:c r="A195" t="str">
        <x:v>Jammu and Kashmir</x:v>
      </x:c>
      <x:c r="B195" t="str">
        <x:v>JK/003/G/1</x:v>
      </x:c>
      <x:c r="C195" t="str">
        <x:v>Government Medical College Udhampur</x:v>
      </x:c>
      <x:c r="D195" t="str">
        <x:v>Government</x:v>
      </x:c>
      <x:c r="E195" t="n">
        <x:v>100</x:v>
      </x:c>
      <x:c r="F195" t="n">
        <x:v>0</x:v>
      </x:c>
      <x:c r="G195" t="n">
        <x:v>100</x:v>
      </x:c>
      <x:c r="H195" t="str">
        <x:v>200685</x:v>
      </x:c>
      <x:c r="I195" t="n">
        <x:v>15</x:v>
      </x:c>
      <x:c r="J195" t="n">
        <x:v>15</x:v>
      </x:c>
      <x:c r="K195" t="n">
        <x:v>85</x:v>
      </x:c>
      <x:c r="L195" s="20" t="n">
        <x:v>0.85</x:v>
      </x:c>
      <x:c r="M195" t="str">
        <x:v>High</x:v>
      </x:c>
      <x:c r="N195" t="str">
        <x:v>Approx. State/Non-MCC Pool</x:v>
      </x:c>
      <x:c r="O195" t="str">
        <x:v>Moderate state-counselling pool</x:v>
      </x:c>
      <x:c r="P195" t="n">
        <x:v>14665</x:v>
      </x:c>
      <x:c r="Q195" t="n">
        <x:v>15603</x:v>
      </x:c>
      <x:c r="R195" t="n">
        <x:v>18206</x:v>
      </x:c>
      <x:c r="S195" t="n">
        <x:v>75964</x:v>
      </x:c>
      <x:c r="T195"/>
      <x:c r="U195" t="str">
        <x:v>Pending state Round-1 allotment/cutoff data</x:v>
      </x:c>
    </x:row>
    <x:row r="196">
      <x:c r="A196" t="str">
        <x:v>Jammu and Kashmir</x:v>
      </x:c>
      <x:c r="B196" t="str">
        <x:v>JK/001/P/3</x:v>
      </x:c>
      <x:c r="C196" t="str">
        <x:v>Acharya Shri Chander College of Medical Sciences, Jammu</x:v>
      </x:c>
      <x:c r="D196" t="str">
        <x:v>Private</x:v>
      </x:c>
      <x:c r="E196" t="n">
        <x:v>150</x:v>
      </x:c>
      <x:c r="F196" t="n">
        <x:v>0</x:v>
      </x:c>
      <x:c r="G196" t="n">
        <x:v>150</x:v>
      </x:c>
      <x:c r="H196"/>
      <x:c r="I196" t="n">
        <x:v>0</x:v>
      </x:c>
      <x:c r="J196" t="n">
        <x:v>0</x:v>
      </x:c>
      <x:c r="K196" t="n">
        <x:v>150</x:v>
      </x:c>
      <x:c r="L196" s="20" t="n">
        <x:v>1</x:v>
      </x:c>
      <x:c r="M196" t="str">
        <x:v>Variable</x:v>
      </x:c>
      <x:c r="N196" t="str">
        <x:v>Approx. Non-MCC Pool</x:v>
      </x:c>
      <x:c r="O196" t="str">
        <x:v>Large non-MCC pool; quota split varies by state</x:v>
      </x:c>
      <x:c r="P196"/>
      <x:c r="Q196"/>
      <x:c r="R196"/>
      <x:c r="S196"/>
      <x:c r="T196"/>
      <x:c r="U196" t="str">
        <x:v>Pending state Round-1 allotment/cutoff data</x:v>
      </x:c>
    </x:row>
    <x:row r="197">
      <x:c r="A197" t="str">
        <x:v>Jharkhand</x:v>
      </x:c>
      <x:c r="B197" t="str">
        <x:v>JH/008/G/1</x:v>
      </x:c>
      <x:c r="C197" t="str">
        <x:v>Rajendra Institute of Medical Sciences, Ranchi</x:v>
      </x:c>
      <x:c r="D197" t="str">
        <x:v>Government</x:v>
      </x:c>
      <x:c r="E197" t="n">
        <x:v>180</x:v>
      </x:c>
      <x:c r="F197" t="n">
        <x:v>70</x:v>
      </x:c>
      <x:c r="G197" t="n">
        <x:v>250</x:v>
      </x:c>
      <x:c r="H197" t="str">
        <x:v>200160</x:v>
      </x:c>
      <x:c r="I197" t="n">
        <x:v>37</x:v>
      </x:c>
      <x:c r="J197" t="n">
        <x:v>37</x:v>
      </x:c>
      <x:c r="K197" t="n">
        <x:v>213</x:v>
      </x:c>
      <x:c r="L197" s="20" t="n">
        <x:v>0.852</x:v>
      </x:c>
      <x:c r="M197" t="str">
        <x:v>High</x:v>
      </x:c>
      <x:c r="N197" t="str">
        <x:v>Approx. State/Non-MCC Pool</x:v>
      </x:c>
      <x:c r="O197" t="str">
        <x:v>Expanded 2026 capacity + substantial state pool</x:v>
      </x:c>
      <x:c r="P197" t="n">
        <x:v>4732</x:v>
      </x:c>
      <x:c r="Q197" t="n">
        <x:v>5292</x:v>
      </x:c>
      <x:c r="R197" t="n">
        <x:v>5762</x:v>
      </x:c>
      <x:c r="S197" t="n">
        <x:v>30706</x:v>
      </x:c>
      <x:c r="T197" t="n">
        <x:v>54876</x:v>
      </x:c>
      <x:c r="U197" t="str">
        <x:v>Pending state Round-1 allotment/cutoff data</x:v>
      </x:c>
    </x:row>
    <x:row r="198">
      <x:c r="A198" t="str">
        <x:v>Jharkhand</x:v>
      </x:c>
      <x:c r="B198" t="str">
        <x:v>JH/004/G/1</x:v>
      </x:c>
      <x:c r="C198" t="str">
        <x:v>M G M Medical College, Jamshedpur</x:v>
      </x:c>
      <x:c r="D198" t="str">
        <x:v>Government</x:v>
      </x:c>
      <x:c r="E198" t="n">
        <x:v>150</x:v>
      </x:c>
      <x:c r="F198" t="n">
        <x:v>0</x:v>
      </x:c>
      <x:c r="G198" t="n">
        <x:v>150</x:v>
      </x:c>
      <x:c r="H198" t="str">
        <x:v>200158</x:v>
      </x:c>
      <x:c r="I198" t="n">
        <x:v>23</x:v>
      </x:c>
      <x:c r="J198" t="n">
        <x:v>23</x:v>
      </x:c>
      <x:c r="K198" t="n">
        <x:v>127</x:v>
      </x:c>
      <x:c r="L198" s="20" t="n">
        <x:v>0.8466666666666667</x:v>
      </x:c>
      <x:c r="M198" t="str">
        <x:v>High</x:v>
      </x:c>
      <x:c r="N198" t="str">
        <x:v>Approx. State/Non-MCC Pool</x:v>
      </x:c>
      <x:c r="O198" t="str">
        <x:v>Moderate state-counselling pool</x:v>
      </x:c>
      <x:c r="P198" t="n">
        <x:v>7106</x:v>
      </x:c>
      <x:c r="Q198" t="n">
        <x:v>8734</x:v>
      </x:c>
      <x:c r="R198" t="n">
        <x:v>8862</x:v>
      </x:c>
      <x:c r="S198" t="n">
        <x:v>58628</x:v>
      </x:c>
      <x:c r="T198" t="n">
        <x:v>59397</x:v>
      </x:c>
      <x:c r="U198" t="str">
        <x:v>Pending state Round-1 allotment/cutoff data</x:v>
      </x:c>
    </x:row>
    <x:row r="199">
      <x:c r="A199" t="str">
        <x:v>Jharkhand</x:v>
      </x:c>
      <x:c r="B199" t="str">
        <x:v>JH/001/G/1</x:v>
      </x:c>
      <x:c r="C199" t="str">
        <x:v>Dumka Medical College, Dighi Dumka</x:v>
      </x:c>
      <x:c r="D199" t="str">
        <x:v>Government</x:v>
      </x:c>
      <x:c r="E199" t="n">
        <x:v>100</x:v>
      </x:c>
      <x:c r="F199" t="n">
        <x:v>0</x:v>
      </x:c>
      <x:c r="G199" t="n">
        <x:v>100</x:v>
      </x:c>
      <x:c r="H199" t="str">
        <x:v>200583</x:v>
      </x:c>
      <x:c r="I199" t="n">
        <x:v>15</x:v>
      </x:c>
      <x:c r="J199" t="n">
        <x:v>15</x:v>
      </x:c>
      <x:c r="K199" t="n">
        <x:v>85</x:v>
      </x:c>
      <x:c r="L199" s="20" t="n">
        <x:v>0.85</x:v>
      </x:c>
      <x:c r="M199" t="str">
        <x:v>High</x:v>
      </x:c>
      <x:c r="N199" t="str">
        <x:v>Approx. State/Non-MCC Pool</x:v>
      </x:c>
      <x:c r="O199" t="str">
        <x:v>Moderate state-counselling pool</x:v>
      </x:c>
      <x:c r="P199" t="n">
        <x:v>15615</x:v>
      </x:c>
      <x:c r="Q199" t="n">
        <x:v>16906</x:v>
      </x:c>
      <x:c r="R199" t="n">
        <x:v>18714</x:v>
      </x:c>
      <x:c r="S199" t="n">
        <x:v>94820</x:v>
      </x:c>
      <x:c r="T199" t="n">
        <x:v>113535</x:v>
      </x:c>
      <x:c r="U199" t="str">
        <x:v>Pending state Round-1 allotment/cutoff data</x:v>
      </x:c>
    </x:row>
    <x:row r="200">
      <x:c r="A200" t="str">
        <x:v>Jharkhand</x:v>
      </x:c>
      <x:c r="B200" t="str">
        <x:v>JH/002/G/1</x:v>
      </x:c>
      <x:c r="C200" t="str">
        <x:v>Hazaribagh Medical College, Hazaribagh</x:v>
      </x:c>
      <x:c r="D200" t="str">
        <x:v>Government</x:v>
      </x:c>
      <x:c r="E200" t="n">
        <x:v>100</x:v>
      </x:c>
      <x:c r="F200" t="n">
        <x:v>0</x:v>
      </x:c>
      <x:c r="G200" t="n">
        <x:v>100</x:v>
      </x:c>
      <x:c r="H200" t="str">
        <x:v>200586</x:v>
      </x:c>
      <x:c r="I200" t="n">
        <x:v>15</x:v>
      </x:c>
      <x:c r="J200" t="n">
        <x:v>15</x:v>
      </x:c>
      <x:c r="K200" t="n">
        <x:v>85</x:v>
      </x:c>
      <x:c r="L200" s="20" t="n">
        <x:v>0.85</x:v>
      </x:c>
      <x:c r="M200" t="str">
        <x:v>High</x:v>
      </x:c>
      <x:c r="N200" t="str">
        <x:v>Approx. State/Non-MCC Pool</x:v>
      </x:c>
      <x:c r="O200" t="str">
        <x:v>Moderate state-counselling pool</x:v>
      </x:c>
      <x:c r="P200" t="n">
        <x:v>12952</x:v>
      </x:c>
      <x:c r="Q200" t="n">
        <x:v>14532</x:v>
      </x:c>
      <x:c r="R200" t="n">
        <x:v>15023</x:v>
      </x:c>
      <x:c r="S200" t="n">
        <x:v>81916</x:v>
      </x:c>
      <x:c r="T200" t="n">
        <x:v>104848</x:v>
      </x:c>
      <x:c r="U200" t="str">
        <x:v>Pending state Round-1 allotment/cutoff data</x:v>
      </x:c>
    </x:row>
    <x:row r="201">
      <x:c r="A201" t="str">
        <x:v>Jharkhand</x:v>
      </x:c>
      <x:c r="B201" t="str">
        <x:v>JH/007/G/1</x:v>
      </x:c>
      <x:c r="C201" t="str">
        <x:v>Palamu Medical College, Palamu</x:v>
      </x:c>
      <x:c r="D201" t="str">
        <x:v>Government</x:v>
      </x:c>
      <x:c r="E201" t="n">
        <x:v>100</x:v>
      </x:c>
      <x:c r="F201" t="n">
        <x:v>0</x:v>
      </x:c>
      <x:c r="G201" t="n">
        <x:v>100</x:v>
      </x:c>
      <x:c r="H201" t="str">
        <x:v>200584</x:v>
      </x:c>
      <x:c r="I201" t="n">
        <x:v>15</x:v>
      </x:c>
      <x:c r="J201" t="n">
        <x:v>15</x:v>
      </x:c>
      <x:c r="K201" t="n">
        <x:v>85</x:v>
      </x:c>
      <x:c r="L201" s="20" t="n">
        <x:v>0.85</x:v>
      </x:c>
      <x:c r="M201" t="str">
        <x:v>High</x:v>
      </x:c>
      <x:c r="N201" t="str">
        <x:v>Approx. State/Non-MCC Pool</x:v>
      </x:c>
      <x:c r="O201" t="str">
        <x:v>Moderate state-counselling pool</x:v>
      </x:c>
      <x:c r="P201" t="n">
        <x:v>15813</x:v>
      </x:c>
      <x:c r="Q201" t="n">
        <x:v>17353</x:v>
      </x:c>
      <x:c r="R201" t="n">
        <x:v>19660</x:v>
      </x:c>
      <x:c r="S201" t="n">
        <x:v>91374</x:v>
      </x:c>
      <x:c r="T201" t="n">
        <x:v>107362</x:v>
      </x:c>
      <x:c r="U201" t="str">
        <x:v>Pending state Round-1 allotment/cutoff data</x:v>
      </x:c>
    </x:row>
    <x:row r="202">
      <x:c r="A202" t="str">
        <x:v>Jharkhand</x:v>
      </x:c>
      <x:c r="B202" t="str">
        <x:v>JH/009/G/1</x:v>
      </x:c>
      <x:c r="C202" t="str">
        <x:v>Shaheed Nirmal Mahto Medical College &amp; Hospital, Dhanbad (formely known as Patliputra Medical College, Dhanbad)</x:v>
      </x:c>
      <x:c r="D202" t="str">
        <x:v>Government</x:v>
      </x:c>
      <x:c r="E202" t="n">
        <x:v>100</x:v>
      </x:c>
      <x:c r="F202" t="n">
        <x:v>0</x:v>
      </x:c>
      <x:c r="G202" t="n">
        <x:v>100</x:v>
      </x:c>
      <x:c r="H202" t="str">
        <x:v>200159</x:v>
      </x:c>
      <x:c r="I202" t="n">
        <x:v>15</x:v>
      </x:c>
      <x:c r="J202" t="n">
        <x:v>15</x:v>
      </x:c>
      <x:c r="K202" t="n">
        <x:v>85</x:v>
      </x:c>
      <x:c r="L202" s="20" t="n">
        <x:v>0.85</x:v>
      </x:c>
      <x:c r="M202" t="str">
        <x:v>High</x:v>
      </x:c>
      <x:c r="N202" t="str">
        <x:v>Approx. State/Non-MCC Pool</x:v>
      </x:c>
      <x:c r="O202" t="str">
        <x:v>Moderate state-counselling pool</x:v>
      </x:c>
      <x:c r="P202" t="n">
        <x:v>10171</x:v>
      </x:c>
      <x:c r="Q202" t="n">
        <x:v>11387</x:v>
      </x:c>
      <x:c r="R202" t="n">
        <x:v>11287</x:v>
      </x:c>
      <x:c r="S202" t="n">
        <x:v>68692</x:v>
      </x:c>
      <x:c r="T202" t="n">
        <x:v>86570</x:v>
      </x:c>
      <x:c r="U202" t="str">
        <x:v>Pending state Round-1 allotment/cutoff data</x:v>
      </x:c>
    </x:row>
    <x:row r="203">
      <x:c r="A203" t="str">
        <x:v>Jharkhand</x:v>
      </x:c>
      <x:c r="B203" t="str">
        <x:v>JH/006/P/4</x:v>
      </x:c>
      <x:c r="C203" t="str">
        <x:v>NETAJI SUBHAS MEDICAL COLLEGE AND HOSPITAL</x:v>
      </x:c>
      <x:c r="D203" t="str">
        <x:v>Private</x:v>
      </x:c>
      <x:c r="E203" t="n">
        <x:v>100</x:v>
      </x:c>
      <x:c r="F203" t="n">
        <x:v>100</x:v>
      </x:c>
      <x:c r="G203" t="n">
        <x:v>200</x:v>
      </x:c>
      <x:c r="H203"/>
      <x:c r="I203" t="n">
        <x:v>0</x:v>
      </x:c>
      <x:c r="J203" t="n">
        <x:v>0</x:v>
      </x:c>
      <x:c r="K203" t="n">
        <x:v>200</x:v>
      </x:c>
      <x:c r="L203" s="20" t="n">
        <x:v>1</x:v>
      </x:c>
      <x:c r="M203" t="str">
        <x:v>Variable</x:v>
      </x:c>
      <x:c r="N203" t="str">
        <x:v>Approx. Non-MCC Pool</x:v>
      </x:c>
      <x:c r="O203" t="str">
        <x:v>Expanded 2026 capacity; state/management split to verify</x:v>
      </x:c>
      <x:c r="P203"/>
      <x:c r="Q203"/>
      <x:c r="R203"/>
      <x:c r="S203"/>
      <x:c r="T203"/>
      <x:c r="U203" t="str">
        <x:v>Pending state Round-1 allotment/cutoff data</x:v>
      </x:c>
    </x:row>
    <x:row r="204">
      <x:c r="A204" t="str">
        <x:v>Jharkhand</x:v>
      </x:c>
      <x:c r="B204" t="str">
        <x:v>JH/003/P/3</x:v>
      </x:c>
      <x:c r="C204" t="str">
        <x:v>Laxmi Chandravansi Medical College &amp; Hospital</x:v>
      </x:c>
      <x:c r="D204" t="str">
        <x:v>Private</x:v>
      </x:c>
      <x:c r="E204" t="n">
        <x:v>100</x:v>
      </x:c>
      <x:c r="F204" t="n">
        <x:v>50</x:v>
      </x:c>
      <x:c r="G204" t="n">
        <x:v>150</x:v>
      </x:c>
      <x:c r="H204"/>
      <x:c r="I204" t="n">
        <x:v>0</x:v>
      </x:c>
      <x:c r="J204" t="n">
        <x:v>0</x:v>
      </x:c>
      <x:c r="K204" t="n">
        <x:v>150</x:v>
      </x:c>
      <x:c r="L204" s="20" t="n">
        <x:v>1</x:v>
      </x:c>
      <x:c r="M204" t="str">
        <x:v>Variable</x:v>
      </x:c>
      <x:c r="N204" t="str">
        <x:v>Approx. Non-MCC Pool</x:v>
      </x:c>
      <x:c r="O204" t="str">
        <x:v>Expanded 2026 capacity; state/management split to verify</x:v>
      </x:c>
      <x:c r="P204"/>
      <x:c r="Q204"/>
      <x:c r="R204"/>
      <x:c r="S204"/>
      <x:c r="T204"/>
      <x:c r="U204" t="str">
        <x:v>Pending state Round-1 allotment/cutoff data</x:v>
      </x:c>
    </x:row>
    <x:row r="205">
      <x:c r="A205" t="str">
        <x:v>Jharkhand</x:v>
      </x:c>
      <x:c r="B205" t="str">
        <x:v>New Establishment</x:v>
      </x:c>
      <x:c r="C205" t="str">
        <x:v>Sido Kanhu Medical College and Hospital</x:v>
      </x:c>
      <x:c r="D205" t="str">
        <x:v>Private</x:v>
      </x:c>
      <x:c r="E205" t="n">
        <x:v>0</x:v>
      </x:c>
      <x:c r="F205" t="n">
        <x:v>100</x:v>
      </x:c>
      <x:c r="G205" t="n">
        <x:v>100</x:v>
      </x:c>
      <x:c r="H205" t="str">
        <x:v>904744</x:v>
      </x:c>
      <x:c r="I205" t="n">
        <x:v>15</x:v>
      </x:c>
      <x:c r="J205" t="n">
        <x:v>15</x:v>
      </x:c>
      <x:c r="K205" t="n">
        <x:v>85</x:v>
      </x:c>
      <x:c r="L205" s="20" t="n">
        <x:v>0.85</x:v>
      </x:c>
      <x:c r="M205" t="str">
        <x:v>Variable</x:v>
      </x:c>
      <x:c r="N205" t="str">
        <x:v>Approx. Non-MCC Pool</x:v>
      </x:c>
      <x:c r="O205" t="str">
        <x:v>Expanded 2026 capacity; state/management split to verify</x:v>
      </x:c>
      <x:c r="P205" t="n">
        <x:v>19127</x:v>
      </x:c>
      <x:c r="Q205" t="n">
        <x:v>22142</x:v>
      </x:c>
      <x:c r="R205" t="n">
        <x:v>21393</x:v>
      </x:c>
      <x:c r="S205" t="n">
        <x:v>82876</x:v>
      </x:c>
      <x:c r="T205" t="n">
        <x:v>72645</x:v>
      </x:c>
      <x:c r="U205" t="str">
        <x:v>Pending state Round-1 allotment/cutoff data</x:v>
      </x:c>
    </x:row>
    <x:row r="206">
      <x:c r="A206" t="str">
        <x:v>Jharkhand</x:v>
      </x:c>
      <x:c r="B206" t="str">
        <x:v>JH/005/P/3</x:v>
      </x:c>
      <x:c r="C206" t="str">
        <x:v>Manipal Tata Medical College,Baridih Jameshedpur</x:v>
      </x:c>
      <x:c r="D206" t="str">
        <x:v>Private</x:v>
      </x:c>
      <x:c r="E206" t="n">
        <x:v>200</x:v>
      </x:c>
      <x:c r="F206" t="n">
        <x:v>50</x:v>
      </x:c>
      <x:c r="G206" t="n">
        <x:v>250</x:v>
      </x:c>
      <x:c r="H206" t="str">
        <x:v>200528</x:v>
      </x:c>
      <x:c r="I206" t="n">
        <x:v>225</x:v>
      </x:c>
      <x:c r="J206" t="n">
        <x:v>214</x:v>
      </x:c>
      <x:c r="K206" t="n">
        <x:v>25</x:v>
      </x:c>
      <x:c r="L206" s="20" t="n">
        <x:v>0.1</x:v>
      </x:c>
      <x:c r="M206" t="str">
        <x:v>Variable</x:v>
      </x:c>
      <x:c r="N206" t="str">
        <x:v>Approx. Non-MCC Pool</x:v>
      </x:c>
      <x:c r="O206" t="str">
        <x:v>Expanded 2026 capacity; state/management split to verify</x:v>
      </x:c>
      <x:c r="P206" t="n">
        <x:v>88185</x:v>
      </x:c>
      <x:c r="Q206"/>
      <x:c r="R206"/>
      <x:c r="S206"/>
      <x:c r="T206"/>
      <x:c r="U206" t="str">
        <x:v>Pending state Round-1 allotment/cutoff data</x:v>
      </x:c>
    </x:row>
    <x:row r="207">
      <x:c r="A207" t="str">
        <x:v>Karnataka</x:v>
      </x:c>
      <x:c r="B207" t="str">
        <x:v>KA/005/G/1</x:v>
      </x:c>
      <x:c r="C207" t="str">
        <x:v>Bangalore Medical College and Research Institute, Bangalore</x:v>
      </x:c>
      <x:c r="D207" t="str">
        <x:v>Government</x:v>
      </x:c>
      <x:c r="E207" t="n">
        <x:v>250</x:v>
      </x:c>
      <x:c r="F207" t="n">
        <x:v>0</x:v>
      </x:c>
      <x:c r="G207" t="n">
        <x:v>250</x:v>
      </x:c>
      <x:c r="H207" t="str">
        <x:v>200161</x:v>
      </x:c>
      <x:c r="I207" t="n">
        <x:v>37</x:v>
      </x:c>
      <x:c r="J207" t="n">
        <x:v>37</x:v>
      </x:c>
      <x:c r="K207" t="n">
        <x:v>213</x:v>
      </x:c>
      <x:c r="L207" s="20" t="n">
        <x:v>0.852</x:v>
      </x:c>
      <x:c r="M207" t="str">
        <x:v>High</x:v>
      </x:c>
      <x:c r="N207" t="str">
        <x:v>Approx. State/Non-MCC Pool</x:v>
      </x:c>
      <x:c r="O207" t="str">
        <x:v>Large state-counselling pool</x:v>
      </x:c>
      <x:c r="P207" t="n">
        <x:v>1211</x:v>
      </x:c>
      <x:c r="Q207" t="n">
        <x:v>2616</x:v>
      </x:c>
      <x:c r="R207" t="n">
        <x:v>2517</x:v>
      </x:c>
      <x:c r="S207" t="n">
        <x:v>20890</x:v>
      </x:c>
      <x:c r="T207" t="n">
        <x:v>10226</x:v>
      </x:c>
      <x:c r="U207" t="str">
        <x:v>Pending state Round-1 allotment/cutoff data</x:v>
      </x:c>
    </x:row>
    <x:row r="208">
      <x:c r="A208" t="str">
        <x:v>Karnataka</x:v>
      </x:c>
      <x:c r="B208" t="str">
        <x:v>KA/033/G/1</x:v>
      </x:c>
      <x:c r="C208" t="str">
        <x:v>Karnataka Medical College and Research Institute, Hubballi, Karnataka</x:v>
      </x:c>
      <x:c r="D208" t="str">
        <x:v>Government</x:v>
      </x:c>
      <x:c r="E208" t="n">
        <x:v>200</x:v>
      </x:c>
      <x:c r="F208" t="n">
        <x:v>50</x:v>
      </x:c>
      <x:c r="G208" t="n">
        <x:v>250</x:v>
      </x:c>
      <x:c r="H208" t="str">
        <x:v>200173</x:v>
      </x:c>
      <x:c r="I208" t="n">
        <x:v>38</x:v>
      </x:c>
      <x:c r="J208" t="n">
        <x:v>38</x:v>
      </x:c>
      <x:c r="K208" t="n">
        <x:v>212</x:v>
      </x:c>
      <x:c r="L208" s="20" t="n">
        <x:v>0.848</x:v>
      </x:c>
      <x:c r="M208" t="str">
        <x:v>High</x:v>
      </x:c>
      <x:c r="N208" t="str">
        <x:v>Approx. State/Non-MCC Pool</x:v>
      </x:c>
      <x:c r="O208" t="str">
        <x:v>Expanded 2026 capacity + substantial state pool</x:v>
      </x:c>
      <x:c r="P208" t="n">
        <x:v>5593</x:v>
      </x:c>
      <x:c r="Q208" t="n">
        <x:v>8154</x:v>
      </x:c>
      <x:c r="R208" t="n">
        <x:v>8826</x:v>
      </x:c>
      <x:c r="S208" t="n">
        <x:v>39622</x:v>
      </x:c>
      <x:c r="T208" t="n">
        <x:v>53512</x:v>
      </x:c>
      <x:c r="U208" t="str">
        <x:v>Pending state Round-1 allotment/cutoff data</x:v>
      </x:c>
    </x:row>
    <x:row r="209">
      <x:c r="A209" t="str">
        <x:v>Karnataka</x:v>
      </x:c>
      <x:c r="B209" t="str">
        <x:v>KA/045/G/1</x:v>
      </x:c>
      <x:c r="C209" t="str">
        <x:v>Mysore Medical College and Research Instt. (Prev.name Government Medical College), Mysore</x:v>
      </x:c>
      <x:c r="D209" t="str">
        <x:v>Government</x:v>
      </x:c>
      <x:c r="E209" t="n">
        <x:v>250</x:v>
      </x:c>
      <x:c r="F209" t="n">
        <x:v>0</x:v>
      </x:c>
      <x:c r="G209" t="n">
        <x:v>250</x:v>
      </x:c>
      <x:c r="H209" t="str">
        <x:v>200178</x:v>
      </x:c>
      <x:c r="I209" t="n">
        <x:v>38</x:v>
      </x:c>
      <x:c r="J209" t="n">
        <x:v>38</x:v>
      </x:c>
      <x:c r="K209" t="n">
        <x:v>212</x:v>
      </x:c>
      <x:c r="L209" s="20" t="n">
        <x:v>0.848</x:v>
      </x:c>
      <x:c r="M209" t="str">
        <x:v>High</x:v>
      </x:c>
      <x:c r="N209" t="str">
        <x:v>Approx. State/Non-MCC Pool</x:v>
      </x:c>
      <x:c r="O209" t="str">
        <x:v>Large state-counselling pool</x:v>
      </x:c>
      <x:c r="P209" t="n">
        <x:v>3334</x:v>
      </x:c>
      <x:c r="Q209" t="n">
        <x:v>4900</x:v>
      </x:c>
      <x:c r="R209" t="n">
        <x:v>5056</x:v>
      </x:c>
      <x:c r="S209" t="n">
        <x:v>24546</x:v>
      </x:c>
      <x:c r="T209" t="n">
        <x:v>36105</x:v>
      </x:c>
      <x:c r="U209" t="str">
        <x:v>Pending state Round-1 allotment/cutoff data</x:v>
      </x:c>
    </x:row>
    <x:row r="210">
      <x:c r="A210" t="str">
        <x:v>Karnataka</x:v>
      </x:c>
      <x:c r="B210" t="str">
        <x:v>KA/069/G/1</x:v>
      </x:c>
      <x:c r="C210" t="str">
        <x:v>Vijaynagar Institute of Medical Sciences, Bellary</x:v>
      </x:c>
      <x:c r="D210" t="str">
        <x:v>Government</x:v>
      </x:c>
      <x:c r="E210" t="n">
        <x:v>250</x:v>
      </x:c>
      <x:c r="F210" t="n">
        <x:v>0</x:v>
      </x:c>
      <x:c r="G210" t="n">
        <x:v>250</x:v>
      </x:c>
      <x:c r="H210" t="str">
        <x:v>200181</x:v>
      </x:c>
      <x:c r="I210" t="n">
        <x:v>38</x:v>
      </x:c>
      <x:c r="J210" t="n">
        <x:v>38</x:v>
      </x:c>
      <x:c r="K210" t="n">
        <x:v>212</x:v>
      </x:c>
      <x:c r="L210" s="20" t="n">
        <x:v>0.848</x:v>
      </x:c>
      <x:c r="M210" t="str">
        <x:v>High</x:v>
      </x:c>
      <x:c r="N210" t="str">
        <x:v>Approx. State/Non-MCC Pool</x:v>
      </x:c>
      <x:c r="O210" t="str">
        <x:v>Large state-counselling pool</x:v>
      </x:c>
      <x:c r="P210" t="n">
        <x:v>10397</x:v>
      </x:c>
      <x:c r="Q210" t="n">
        <x:v>12557</x:v>
      </x:c>
      <x:c r="R210" t="n">
        <x:v>16495</x:v>
      </x:c>
      <x:c r="S210" t="n">
        <x:v>55738</x:v>
      </x:c>
      <x:c r="T210" t="n">
        <x:v>65907</x:v>
      </x:c>
      <x:c r="U210" t="str">
        <x:v>Pending state Round-1 allotment/cutoff data</x:v>
      </x:c>
    </x:row>
    <x:row r="211">
      <x:c r="A211" t="str">
        <x:v>Karnataka</x:v>
      </x:c>
      <x:c r="B211" t="str">
        <x:v>KA/007/G/1</x:v>
      </x:c>
      <x:c r="C211" t="str">
        <x:v>Belagavi Institute of Medical Sciences, Belagavi</x:v>
      </x:c>
      <x:c r="D211" t="str">
        <x:v>Government</x:v>
      </x:c>
      <x:c r="E211" t="n">
        <x:v>200</x:v>
      </x:c>
      <x:c r="F211" t="n">
        <x:v>0</x:v>
      </x:c>
      <x:c r="G211" t="n">
        <x:v>200</x:v>
      </x:c>
      <x:c r="H211" t="str">
        <x:v>200162</x:v>
      </x:c>
      <x:c r="I211" t="n">
        <x:v>30</x:v>
      </x:c>
      <x:c r="J211" t="n">
        <x:v>30</x:v>
      </x:c>
      <x:c r="K211" t="n">
        <x:v>170</x:v>
      </x:c>
      <x:c r="L211" s="20" t="n">
        <x:v>0.85</x:v>
      </x:c>
      <x:c r="M211" t="str">
        <x:v>High</x:v>
      </x:c>
      <x:c r="N211" t="str">
        <x:v>Approx. State/Non-MCC Pool</x:v>
      </x:c>
      <x:c r="O211" t="str">
        <x:v>Large state-counselling pool</x:v>
      </x:c>
      <x:c r="P211" t="n">
        <x:v>7918</x:v>
      </x:c>
      <x:c r="Q211" t="n">
        <x:v>10815</x:v>
      </x:c>
      <x:c r="R211" t="n">
        <x:v>13861</x:v>
      </x:c>
      <x:c r="S211" t="n">
        <x:v>57011</x:v>
      </x:c>
      <x:c r="T211" t="n">
        <x:v>56302</x:v>
      </x:c>
      <x:c r="U211" t="str">
        <x:v>Pending state Round-1 allotment/cutoff data</x:v>
      </x:c>
    </x:row>
    <x:row r="212">
      <x:c r="A212" t="str">
        <x:v>Karnataka</x:v>
      </x:c>
      <x:c r="B212" t="str">
        <x:v>KA/010/G/1</x:v>
      </x:c>
      <x:c r="C212" t="str">
        <x:v>Bidar Institute of Medical Sciences, Bidar</x:v>
      </x:c>
      <x:c r="D212" t="str">
        <x:v>Government</x:v>
      </x:c>
      <x:c r="E212" t="n">
        <x:v>200</x:v>
      </x:c>
      <x:c r="F212" t="n">
        <x:v>0</x:v>
      </x:c>
      <x:c r="G212" t="n">
        <x:v>200</x:v>
      </x:c>
      <x:c r="H212" t="str">
        <x:v>200163</x:v>
      </x:c>
      <x:c r="I212" t="n">
        <x:v>30</x:v>
      </x:c>
      <x:c r="J212" t="n">
        <x:v>30</x:v>
      </x:c>
      <x:c r="K212" t="n">
        <x:v>170</x:v>
      </x:c>
      <x:c r="L212" s="20" t="n">
        <x:v>0.85</x:v>
      </x:c>
      <x:c r="M212" t="str">
        <x:v>High</x:v>
      </x:c>
      <x:c r="N212" t="str">
        <x:v>Approx. State/Non-MCC Pool</x:v>
      </x:c>
      <x:c r="O212" t="str">
        <x:v>Large state-counselling pool</x:v>
      </x:c>
      <x:c r="P212" t="n">
        <x:v>15665</x:v>
      </x:c>
      <x:c r="Q212" t="n">
        <x:v>16568</x:v>
      </x:c>
      <x:c r="R212" t="n">
        <x:v>20177</x:v>
      </x:c>
      <x:c r="S212" t="n">
        <x:v>82974</x:v>
      </x:c>
      <x:c r="T212" t="n">
        <x:v>65342</x:v>
      </x:c>
      <x:c r="U212" t="str">
        <x:v>Pending state Round-1 allotment/cutoff data</x:v>
      </x:c>
    </x:row>
    <x:row r="213">
      <x:c r="A213" t="str">
        <x:v>Karnataka</x:v>
      </x:c>
      <x:c r="B213" t="str">
        <x:v>KA/022/G/1</x:v>
      </x:c>
      <x:c r="C213" t="str">
        <x:v>Gulbarga Institute of Medical Sciences, Gulbarga</x:v>
      </x:c>
      <x:c r="D213" t="str">
        <x:v>Government</x:v>
      </x:c>
      <x:c r="E213" t="n">
        <x:v>200</x:v>
      </x:c>
      <x:c r="F213" t="n">
        <x:v>0</x:v>
      </x:c>
      <x:c r="G213" t="n">
        <x:v>200</x:v>
      </x:c>
      <x:c r="H213" t="str">
        <x:v>200171</x:v>
      </x:c>
      <x:c r="I213" t="n">
        <x:v>30</x:v>
      </x:c>
      <x:c r="J213" t="n">
        <x:v>30</x:v>
      </x:c>
      <x:c r="K213" t="n">
        <x:v>170</x:v>
      </x:c>
      <x:c r="L213" s="20" t="n">
        <x:v>0.85</x:v>
      </x:c>
      <x:c r="M213" t="str">
        <x:v>High</x:v>
      </x:c>
      <x:c r="N213" t="str">
        <x:v>Approx. State/Non-MCC Pool</x:v>
      </x:c>
      <x:c r="O213" t="str">
        <x:v>Large state-counselling pool</x:v>
      </x:c>
      <x:c r="P213" t="n">
        <x:v>13458</x:v>
      </x:c>
      <x:c r="Q213" t="n">
        <x:v>15213</x:v>
      </x:c>
      <x:c r="R213" t="n">
        <x:v>18273</x:v>
      </x:c>
      <x:c r="S213" t="n">
        <x:v>71718</x:v>
      </x:c>
      <x:c r="T213" t="n">
        <x:v>88412</x:v>
      </x:c>
      <x:c r="U213" t="str">
        <x:v>Pending state Round-1 allotment/cutoff data</x:v>
      </x:c>
    </x:row>
    <x:row r="214">
      <x:c r="A214" t="str">
        <x:v>Karnataka</x:v>
      </x:c>
      <x:c r="B214" t="str">
        <x:v>KA/023/G/1</x:v>
      </x:c>
      <x:c r="C214" t="str">
        <x:v>Hassan Institute of Medical Sciences, Hassan</x:v>
      </x:c>
      <x:c r="D214" t="str">
        <x:v>Government</x:v>
      </x:c>
      <x:c r="E214" t="n">
        <x:v>200</x:v>
      </x:c>
      <x:c r="F214" t="n">
        <x:v>0</x:v>
      </x:c>
      <x:c r="G214" t="n">
        <x:v>200</x:v>
      </x:c>
      <x:c r="H214" t="str">
        <x:v>200172</x:v>
      </x:c>
      <x:c r="I214" t="n">
        <x:v>30</x:v>
      </x:c>
      <x:c r="J214" t="n">
        <x:v>30</x:v>
      </x:c>
      <x:c r="K214" t="n">
        <x:v>170</x:v>
      </x:c>
      <x:c r="L214" s="20" t="n">
        <x:v>0.85</x:v>
      </x:c>
      <x:c r="M214" t="str">
        <x:v>High</x:v>
      </x:c>
      <x:c r="N214" t="str">
        <x:v>Approx. State/Non-MCC Pool</x:v>
      </x:c>
      <x:c r="O214" t="str">
        <x:v>Large state-counselling pool</x:v>
      </x:c>
      <x:c r="P214" t="n">
        <x:v>8247</x:v>
      </x:c>
      <x:c r="Q214" t="n">
        <x:v>11131</x:v>
      </x:c>
      <x:c r="R214" t="n">
        <x:v>15950</x:v>
      </x:c>
      <x:c r="S214" t="n">
        <x:v>61440</x:v>
      </x:c>
      <x:c r="T214" t="n">
        <x:v>72275</x:v>
      </x:c>
      <x:c r="U214" t="str">
        <x:v>Pending state Round-1 allotment/cutoff data</x:v>
      </x:c>
    </x:row>
    <x:row r="215">
      <x:c r="A215" t="str">
        <x:v>Karnataka</x:v>
      </x:c>
      <x:c r="B215" t="str">
        <x:v>KA/031/G/1</x:v>
      </x:c>
      <x:c r="C215" t="str">
        <x:v>K.H. Patil Institute of Medical Sciences (previously Gadag Institute of Medical Sciences, Mallasamudra, Mulgund Road, Gadag)</x:v>
      </x:c>
      <x:c r="D215" t="str">
        <x:v>Government</x:v>
      </x:c>
      <x:c r="E215" t="n">
        <x:v>150</x:v>
      </x:c>
      <x:c r="F215" t="n">
        <x:v>50</x:v>
      </x:c>
      <x:c r="G215" t="n">
        <x:v>200</x:v>
      </x:c>
      <x:c r="H215" t="str">
        <x:v>200168</x:v>
      </x:c>
      <x:c r="I215" t="n">
        <x:v>30</x:v>
      </x:c>
      <x:c r="J215" t="n">
        <x:v>30</x:v>
      </x:c>
      <x:c r="K215" t="n">
        <x:v>170</x:v>
      </x:c>
      <x:c r="L215" s="20" t="n">
        <x:v>0.85</x:v>
      </x:c>
      <x:c r="M215" t="str">
        <x:v>High</x:v>
      </x:c>
      <x:c r="N215" t="str">
        <x:v>Approx. State/Non-MCC Pool</x:v>
      </x:c>
      <x:c r="O215" t="str">
        <x:v>Expanded 2026 capacity + substantial state pool</x:v>
      </x:c>
      <x:c r="P215" t="n">
        <x:v>15793</x:v>
      </x:c>
      <x:c r="Q215" t="n">
        <x:v>18406</x:v>
      </x:c>
      <x:c r="R215" t="n">
        <x:v>22918</x:v>
      </x:c>
      <x:c r="S215" t="n">
        <x:v>80167</x:v>
      </x:c>
      <x:c r="T215" t="n">
        <x:v>98362</x:v>
      </x:c>
      <x:c r="U215" t="str">
        <x:v>Pending state Round-1 allotment/cutoff data</x:v>
      </x:c>
    </x:row>
    <x:row r="216">
      <x:c r="A216" t="str">
        <x:v>Karnataka</x:v>
      </x:c>
      <x:c r="B216" t="str">
        <x:v>KA/043/G/1</x:v>
      </x:c>
      <x:c r="C216" t="str">
        <x:v>Mandya Institute of Medical Sciences, Mandya</x:v>
      </x:c>
      <x:c r="D216" t="str">
        <x:v>Government</x:v>
      </x:c>
      <x:c r="E216" t="n">
        <x:v>150</x:v>
      </x:c>
      <x:c r="F216" t="n">
        <x:v>50</x:v>
      </x:c>
      <x:c r="G216" t="n">
        <x:v>200</x:v>
      </x:c>
      <x:c r="H216" t="str">
        <x:v>200177</x:v>
      </x:c>
      <x:c r="I216" t="n">
        <x:v>30</x:v>
      </x:c>
      <x:c r="J216" t="n">
        <x:v>29</x:v>
      </x:c>
      <x:c r="K216" t="n">
        <x:v>170</x:v>
      </x:c>
      <x:c r="L216" s="20" t="n">
        <x:v>0.85</x:v>
      </x:c>
      <x:c r="M216" t="str">
        <x:v>High</x:v>
      </x:c>
      <x:c r="N216" t="str">
        <x:v>Approx. State/Non-MCC Pool</x:v>
      </x:c>
      <x:c r="O216" t="str">
        <x:v>Expanded 2026 capacity + substantial state pool</x:v>
      </x:c>
      <x:c r="P216" t="n">
        <x:v>6588</x:v>
      </x:c>
      <x:c r="Q216" t="n">
        <x:v>10352</x:v>
      </x:c>
      <x:c r="R216" t="n">
        <x:v>11487</x:v>
      </x:c>
      <x:c r="S216" t="n">
        <x:v>36137</x:v>
      </x:c>
      <x:c r="T216" t="n">
        <x:v>66131</x:v>
      </x:c>
      <x:c r="U216" t="str">
        <x:v>Pending state Round-1 allotment/cutoff data</x:v>
      </x:c>
    </x:row>
    <x:row r="217">
      <x:c r="A217" t="str">
        <x:v>Karnataka</x:v>
      </x:c>
      <x:c r="B217" t="str">
        <x:v>KA/048/G/1</x:v>
      </x:c>
      <x:c r="C217" t="str">
        <x:v>Raichur Institute of Medical Sciences, Raichur</x:v>
      </x:c>
      <x:c r="D217" t="str">
        <x:v>Government</x:v>
      </x:c>
      <x:c r="E217" t="n">
        <x:v>200</x:v>
      </x:c>
      <x:c r="F217" t="n">
        <x:v>0</x:v>
      </x:c>
      <x:c r="G217" t="n">
        <x:v>200</x:v>
      </x:c>
      <x:c r="H217" t="str">
        <x:v>200179</x:v>
      </x:c>
      <x:c r="I217" t="n">
        <x:v>30</x:v>
      </x:c>
      <x:c r="J217" t="n">
        <x:v>30</x:v>
      </x:c>
      <x:c r="K217" t="n">
        <x:v>170</x:v>
      </x:c>
      <x:c r="L217" s="20" t="n">
        <x:v>0.85</x:v>
      </x:c>
      <x:c r="M217" t="str">
        <x:v>High</x:v>
      </x:c>
      <x:c r="N217" t="str">
        <x:v>Approx. State/Non-MCC Pool</x:v>
      </x:c>
      <x:c r="O217" t="str">
        <x:v>Large state-counselling pool</x:v>
      </x:c>
      <x:c r="P217" t="n">
        <x:v>14566</x:v>
      </x:c>
      <x:c r="Q217" t="n">
        <x:v>17771</x:v>
      </x:c>
      <x:c r="R217" t="n">
        <x:v>20020</x:v>
      </x:c>
      <x:c r="S217" t="n">
        <x:v>83036</x:v>
      </x:c>
      <x:c r="T217" t="n">
        <x:v>95254</x:v>
      </x:c>
      <x:c r="U217" t="str">
        <x:v>Pending state Round-1 allotment/cutoff data</x:v>
      </x:c>
    </x:row>
    <x:row r="218">
      <x:c r="A218" t="str">
        <x:v>Karnataka</x:v>
      </x:c>
      <x:c r="B218" t="str">
        <x:v>KA/055/G/1</x:v>
      </x:c>
      <x:c r="C218" t="str">
        <x:v>Shri Atal Bihari Vajapayee Medical College and Research Institute, Bengaluru,</x:v>
      </x:c>
      <x:c r="D218" t="str">
        <x:v>Government</x:v>
      </x:c>
      <x:c r="E218" t="n">
        <x:v>200</x:v>
      </x:c>
      <x:c r="F218" t="n">
        <x:v>0</x:v>
      </x:c>
      <x:c r="G218" t="n">
        <x:v>200</x:v>
      </x:c>
      <x:c r="H218" t="str">
        <x:v>200476</x:v>
      </x:c>
      <x:c r="I218" t="n">
        <x:v>30</x:v>
      </x:c>
      <x:c r="J218" t="n">
        <x:v>30</x:v>
      </x:c>
      <x:c r="K218" t="n">
        <x:v>170</x:v>
      </x:c>
      <x:c r="L218" s="20" t="n">
        <x:v>0.85</x:v>
      </x:c>
      <x:c r="M218" t="str">
        <x:v>High</x:v>
      </x:c>
      <x:c r="N218" t="str">
        <x:v>Approx. State/Non-MCC Pool</x:v>
      </x:c>
      <x:c r="O218" t="str">
        <x:v>Large state-counselling pool</x:v>
      </x:c>
      <x:c r="P218" t="n">
        <x:v>3011</x:v>
      </x:c>
      <x:c r="Q218" t="n">
        <x:v>6596</x:v>
      </x:c>
      <x:c r="R218" t="n">
        <x:v>7255</x:v>
      </x:c>
      <x:c r="S218" t="n">
        <x:v>30196</x:v>
      </x:c>
      <x:c r="T218" t="n">
        <x:v>50410</x:v>
      </x:c>
      <x:c r="U218" t="str">
        <x:v>Pending state Round-1 allotment/cutoff data</x:v>
      </x:c>
    </x:row>
    <x:row r="219">
      <x:c r="A219" t="str">
        <x:v>Karnataka</x:v>
      </x:c>
      <x:c r="B219" t="str">
        <x:v>KA/011/G/1</x:v>
      </x:c>
      <x:c r="C219" t="str">
        <x:v>Chamrajanagar Institute of Medical Sciences, Karnataka</x:v>
      </x:c>
      <x:c r="D219" t="str">
        <x:v>Government</x:v>
      </x:c>
      <x:c r="E219" t="n">
        <x:v>150</x:v>
      </x:c>
      <x:c r="F219" t="n">
        <x:v>0</x:v>
      </x:c>
      <x:c r="G219" t="n">
        <x:v>150</x:v>
      </x:c>
      <x:c r="H219" t="str">
        <x:v>200164</x:v>
      </x:c>
      <x:c r="I219" t="n">
        <x:v>22</x:v>
      </x:c>
      <x:c r="J219" t="n">
        <x:v>22</x:v>
      </x:c>
      <x:c r="K219" t="n">
        <x:v>128</x:v>
      </x:c>
      <x:c r="L219" s="20" t="n">
        <x:v>0.8533333333333334</x:v>
      </x:c>
      <x:c r="M219" t="str">
        <x:v>High</x:v>
      </x:c>
      <x:c r="N219" t="str">
        <x:v>Approx. State/Non-MCC Pool</x:v>
      </x:c>
      <x:c r="O219" t="str">
        <x:v>Moderate state-counselling pool</x:v>
      </x:c>
      <x:c r="P219" t="n">
        <x:v>13322</x:v>
      </x:c>
      <x:c r="Q219" t="n">
        <x:v>16236</x:v>
      </x:c>
      <x:c r="R219" t="n">
        <x:v>19144</x:v>
      </x:c>
      <x:c r="S219" t="n">
        <x:v>79102</x:v>
      </x:c>
      <x:c r="T219" t="n">
        <x:v>86386</x:v>
      </x:c>
      <x:c r="U219" t="str">
        <x:v>Pending state Round-1 allotment/cutoff data</x:v>
      </x:c>
    </x:row>
    <x:row r="220">
      <x:c r="A220" t="str">
        <x:v>Karnataka</x:v>
      </x:c>
      <x:c r="B220" t="str">
        <x:v>KA/013/G/1</x:v>
      </x:c>
      <x:c r="C220" t="str">
        <x:v>Chikkamagaluru Institute of Medical Sciences, Chikkamagaluru</x:v>
      </x:c>
      <x:c r="D220" t="str">
        <x:v>Government</x:v>
      </x:c>
      <x:c r="E220" t="n">
        <x:v>150</x:v>
      </x:c>
      <x:c r="F220" t="n">
        <x:v>0</x:v>
      </x:c>
      <x:c r="G220" t="n">
        <x:v>150</x:v>
      </x:c>
      <x:c r="H220" t="str">
        <x:v>200608</x:v>
      </x:c>
      <x:c r="I220" t="n">
        <x:v>22</x:v>
      </x:c>
      <x:c r="J220" t="n">
        <x:v>22</x:v>
      </x:c>
      <x:c r="K220" t="n">
        <x:v>128</x:v>
      </x:c>
      <x:c r="L220" s="20" t="n">
        <x:v>0.8533333333333334</x:v>
      </x:c>
      <x:c r="M220" t="str">
        <x:v>High</x:v>
      </x:c>
      <x:c r="N220" t="str">
        <x:v>Approx. State/Non-MCC Pool</x:v>
      </x:c>
      <x:c r="O220" t="str">
        <x:v>Moderate state-counselling pool</x:v>
      </x:c>
      <x:c r="P220" t="n">
        <x:v>15834</x:v>
      </x:c>
      <x:c r="Q220" t="n">
        <x:v>17905</x:v>
      </x:c>
      <x:c r="R220" t="n">
        <x:v>22202</x:v>
      </x:c>
      <x:c r="S220" t="n">
        <x:v>86823</x:v>
      </x:c>
      <x:c r="T220" t="n">
        <x:v>88441</x:v>
      </x:c>
      <x:c r="U220" t="str">
        <x:v>Pending state Round-1 allotment/cutoff data</x:v>
      </x:c>
    </x:row>
    <x:row r="221">
      <x:c r="A221" t="str">
        <x:v>Karnataka</x:v>
      </x:c>
      <x:c r="B221" t="str">
        <x:v>KA/024/G/1</x:v>
      </x:c>
      <x:c r="C221" t="str">
        <x:v>Haveri Institute of Medical Sciences, Haveri</x:v>
      </x:c>
      <x:c r="D221" t="str">
        <x:v>Government</x:v>
      </x:c>
      <x:c r="E221" t="n">
        <x:v>150</x:v>
      </x:c>
      <x:c r="F221" t="n">
        <x:v>0</x:v>
      </x:c>
      <x:c r="G221" t="n">
        <x:v>150</x:v>
      </x:c>
      <x:c r="H221" t="str">
        <x:v>200610</x:v>
      </x:c>
      <x:c r="I221" t="n">
        <x:v>22</x:v>
      </x:c>
      <x:c r="J221" t="n">
        <x:v>22</x:v>
      </x:c>
      <x:c r="K221" t="n">
        <x:v>128</x:v>
      </x:c>
      <x:c r="L221" s="20" t="n">
        <x:v>0.8533333333333334</x:v>
      </x:c>
      <x:c r="M221" t="str">
        <x:v>High</x:v>
      </x:c>
      <x:c r="N221" t="str">
        <x:v>Approx. State/Non-MCC Pool</x:v>
      </x:c>
      <x:c r="O221" t="str">
        <x:v>Moderate state-counselling pool</x:v>
      </x:c>
      <x:c r="P221" t="n">
        <x:v>17912</x:v>
      </x:c>
      <x:c r="Q221" t="n">
        <x:v>19081</x:v>
      </x:c>
      <x:c r="R221" t="n">
        <x:v>24324</x:v>
      </x:c>
      <x:c r="S221" t="n">
        <x:v>96181</x:v>
      </x:c>
      <x:c r="T221" t="n">
        <x:v>97532</x:v>
      </x:c>
      <x:c r="U221" t="str">
        <x:v>Pending state Round-1 allotment/cutoff data</x:v>
      </x:c>
    </x:row>
    <x:row r="222">
      <x:c r="A222" t="str">
        <x:v>Karnataka</x:v>
      </x:c>
      <x:c r="B222" t="str">
        <x:v>KA/039/G/1</x:v>
      </x:c>
      <x:c r="C222" t="str">
        <x:v>Kodagu Institute of Medical Sciences, Kodagu</x:v>
      </x:c>
      <x:c r="D222" t="str">
        <x:v>Government</x:v>
      </x:c>
      <x:c r="E222" t="n">
        <x:v>150</x:v>
      </x:c>
      <x:c r="F222" t="n">
        <x:v>0</x:v>
      </x:c>
      <x:c r="G222" t="n">
        <x:v>150</x:v>
      </x:c>
      <x:c r="H222" t="str">
        <x:v>200175</x:v>
      </x:c>
      <x:c r="I222" t="n">
        <x:v>22</x:v>
      </x:c>
      <x:c r="J222" t="n">
        <x:v>22</x:v>
      </x:c>
      <x:c r="K222" t="n">
        <x:v>128</x:v>
      </x:c>
      <x:c r="L222" s="20" t="n">
        <x:v>0.8533333333333334</x:v>
      </x:c>
      <x:c r="M222" t="str">
        <x:v>High</x:v>
      </x:c>
      <x:c r="N222" t="str">
        <x:v>Approx. State/Non-MCC Pool</x:v>
      </x:c>
      <x:c r="O222" t="str">
        <x:v>Moderate state-counselling pool</x:v>
      </x:c>
      <x:c r="P222" t="n">
        <x:v>12490</x:v>
      </x:c>
      <x:c r="Q222" t="n">
        <x:v>14871</x:v>
      </x:c>
      <x:c r="R222" t="n">
        <x:v>24072</x:v>
      </x:c>
      <x:c r="S222" t="n">
        <x:v>75717</x:v>
      </x:c>
      <x:c r="T222" t="n">
        <x:v>103065</x:v>
      </x:c>
      <x:c r="U222" t="str">
        <x:v>Pending state Round-1 allotment/cutoff data</x:v>
      </x:c>
    </x:row>
    <x:row r="223">
      <x:c r="A223" t="str">
        <x:v>Karnataka</x:v>
      </x:c>
      <x:c r="B223" t="str">
        <x:v>KA/054/G/1</x:v>
      </x:c>
      <x:c r="C223" t="str">
        <x:v>Shimoga Institute of Medical Sciences, Shimoga</x:v>
      </x:c>
      <x:c r="D223" t="str">
        <x:v>Government</x:v>
      </x:c>
      <x:c r="E223" t="n">
        <x:v>150</x:v>
      </x:c>
      <x:c r="F223" t="n">
        <x:v>0</x:v>
      </x:c>
      <x:c r="G223" t="n">
        <x:v>150</x:v>
      </x:c>
      <x:c r="H223" t="str">
        <x:v>200180</x:v>
      </x:c>
      <x:c r="I223" t="n">
        <x:v>22</x:v>
      </x:c>
      <x:c r="J223" t="n">
        <x:v>22</x:v>
      </x:c>
      <x:c r="K223" t="n">
        <x:v>128</x:v>
      </x:c>
      <x:c r="L223" s="20" t="n">
        <x:v>0.8533333333333334</x:v>
      </x:c>
      <x:c r="M223" t="str">
        <x:v>High</x:v>
      </x:c>
      <x:c r="N223" t="str">
        <x:v>Approx. State/Non-MCC Pool</x:v>
      </x:c>
      <x:c r="O223" t="str">
        <x:v>Moderate state-counselling pool</x:v>
      </x:c>
      <x:c r="P223" t="n">
        <x:v>9876</x:v>
      </x:c>
      <x:c r="Q223" t="n">
        <x:v>13352</x:v>
      </x:c>
      <x:c r="R223" t="n">
        <x:v>15585</x:v>
      </x:c>
      <x:c r="S223" t="n">
        <x:v>54625</x:v>
      </x:c>
      <x:c r="T223" t="n">
        <x:v>71185</x:v>
      </x:c>
      <x:c r="U223" t="str">
        <x:v>Pending state Round-1 allotment/cutoff data</x:v>
      </x:c>
    </x:row>
    <x:row r="224">
      <x:c r="A224" t="str">
        <x:v>Karnataka</x:v>
      </x:c>
      <x:c r="B224" t="str">
        <x:v>KA/071/G/1</x:v>
      </x:c>
      <x:c r="C224" t="str">
        <x:v>Yadgiri Institute of Medical Sciences, Yadgiri</x:v>
      </x:c>
      <x:c r="D224" t="str">
        <x:v>Government</x:v>
      </x:c>
      <x:c r="E224" t="n">
        <x:v>150</x:v>
      </x:c>
      <x:c r="F224" t="n">
        <x:v>0</x:v>
      </x:c>
      <x:c r="G224" t="n">
        <x:v>150</x:v>
      </x:c>
      <x:c r="H224" t="str">
        <x:v>200601</x:v>
      </x:c>
      <x:c r="I224" t="n">
        <x:v>22</x:v>
      </x:c>
      <x:c r="J224" t="n">
        <x:v>22</x:v>
      </x:c>
      <x:c r="K224" t="n">
        <x:v>128</x:v>
      </x:c>
      <x:c r="L224" s="20" t="n">
        <x:v>0.8533333333333334</x:v>
      </x:c>
      <x:c r="M224" t="str">
        <x:v>High</x:v>
      </x:c>
      <x:c r="N224" t="str">
        <x:v>Approx. State/Non-MCC Pool</x:v>
      </x:c>
      <x:c r="O224" t="str">
        <x:v>Moderate state-counselling pool</x:v>
      </x:c>
      <x:c r="P224" t="n">
        <x:v>18145</x:v>
      </x:c>
      <x:c r="Q224" t="n">
        <x:v>19926</x:v>
      </x:c>
      <x:c r="R224" t="n">
        <x:v>24651</x:v>
      </x:c>
      <x:c r="S224" t="n">
        <x:v>97871</x:v>
      </x:c>
      <x:c r="T224" t="n">
        <x:v>113224</x:v>
      </x:c>
      <x:c r="U224" t="str">
        <x:v>Pending state Round-1 allotment/cutoff data</x:v>
      </x:c>
    </x:row>
    <x:row r="225">
      <x:c r="A225" t="str">
        <x:v>Karnataka</x:v>
      </x:c>
      <x:c r="B225" t="str">
        <x:v>KA/014/G/1</x:v>
      </x:c>
      <x:c r="C225" t="str">
        <x:v>Chitradurga Medical College and Research Institute</x:v>
      </x:c>
      <x:c r="D225" t="str">
        <x:v>Government</x:v>
      </x:c>
      <x:c r="E225" t="n">
        <x:v>150</x:v>
      </x:c>
      <x:c r="F225" t="n">
        <x:v>0</x:v>
      </x:c>
      <x:c r="G225" t="n">
        <x:v>150</x:v>
      </x:c>
      <x:c r="H225" t="str">
        <x:v>200682</x:v>
      </x:c>
      <x:c r="I225" t="n">
        <x:v>23</x:v>
      </x:c>
      <x:c r="J225" t="n">
        <x:v>23</x:v>
      </x:c>
      <x:c r="K225" t="n">
        <x:v>127</x:v>
      </x:c>
      <x:c r="L225" s="20" t="n">
        <x:v>0.8466666666666667</x:v>
      </x:c>
      <x:c r="M225" t="str">
        <x:v>High</x:v>
      </x:c>
      <x:c r="N225" t="str">
        <x:v>Approx. State/Non-MCC Pool</x:v>
      </x:c>
      <x:c r="O225" t="str">
        <x:v>Moderate state-counselling pool</x:v>
      </x:c>
      <x:c r="P225" t="n">
        <x:v>17823</x:v>
      </x:c>
      <x:c r="Q225" t="n">
        <x:v>19426</x:v>
      </x:c>
      <x:c r="R225" t="n">
        <x:v>24873</x:v>
      </x:c>
      <x:c r="S225" t="n">
        <x:v>91475</x:v>
      </x:c>
      <x:c r="T225" t="n">
        <x:v>101934</x:v>
      </x:c>
      <x:c r="U225" t="str">
        <x:v>Pending state Round-1 allotment/cutoff data</x:v>
      </x:c>
    </x:row>
    <x:row r="226">
      <x:c r="A226" t="str">
        <x:v>Karnataka</x:v>
      </x:c>
      <x:c r="B226" t="str">
        <x:v>KA/012/G/1</x:v>
      </x:c>
      <x:c r="C226" t="str">
        <x:v>Nandi Medical College and Research Institute Chikkaballapura (Chikkaballapura Institute of Medical Sciences Chikkaballapura )</x:v>
      </x:c>
      <x:c r="D226" t="str">
        <x:v>Government</x:v>
      </x:c>
      <x:c r="E226" t="n">
        <x:v>150</x:v>
      </x:c>
      <x:c r="F226" t="n">
        <x:v>0</x:v>
      </x:c>
      <x:c r="G226" t="n">
        <x:v>150</x:v>
      </x:c>
      <x:c r="H226" t="str">
        <x:v>200585</x:v>
      </x:c>
      <x:c r="I226" t="n">
        <x:v>23</x:v>
      </x:c>
      <x:c r="J226" t="n">
        <x:v>23</x:v>
      </x:c>
      <x:c r="K226" t="n">
        <x:v>127</x:v>
      </x:c>
      <x:c r="L226" s="20" t="n">
        <x:v>0.8466666666666667</x:v>
      </x:c>
      <x:c r="M226" t="str">
        <x:v>High</x:v>
      </x:c>
      <x:c r="N226" t="str">
        <x:v>Approx. State/Non-MCC Pool</x:v>
      </x:c>
      <x:c r="O226" t="str">
        <x:v>Moderate state-counselling pool</x:v>
      </x:c>
      <x:c r="P226" t="n">
        <x:v>12930</x:v>
      </x:c>
      <x:c r="Q226" t="n">
        <x:v>17498</x:v>
      </x:c>
      <x:c r="R226" t="n">
        <x:v>20408</x:v>
      </x:c>
      <x:c r="S226" t="n">
        <x:v>89259</x:v>
      </x:c>
      <x:c r="T226" t="n">
        <x:v>103094</x:v>
      </x:c>
      <x:c r="U226" t="str">
        <x:v>Pending state Round-1 allotment/cutoff data</x:v>
      </x:c>
    </x:row>
    <x:row r="227">
      <x:c r="A227" t="str">
        <x:v>Karnataka</x:v>
      </x:c>
      <x:c r="B227" t="str">
        <x:v>KA/034/G/1</x:v>
      </x:c>
      <x:c r="C227" t="str">
        <x:v>Karwar Institute of Medical Sciences, Karwar</x:v>
      </x:c>
      <x:c r="D227" t="str">
        <x:v>Government</x:v>
      </x:c>
      <x:c r="E227" t="n">
        <x:v>150</x:v>
      </x:c>
      <x:c r="F227" t="n">
        <x:v>0</x:v>
      </x:c>
      <x:c r="G227" t="n">
        <x:v>150</x:v>
      </x:c>
      <x:c r="H227" t="str">
        <x:v>200174</x:v>
      </x:c>
      <x:c r="I227" t="n">
        <x:v>30</x:v>
      </x:c>
      <x:c r="J227" t="n">
        <x:v>30</x:v>
      </x:c>
      <x:c r="K227" t="n">
        <x:v>120</x:v>
      </x:c>
      <x:c r="L227" s="20" t="n">
        <x:v>0.8</x:v>
      </x:c>
      <x:c r="M227" t="str">
        <x:v>High</x:v>
      </x:c>
      <x:c r="N227" t="str">
        <x:v>Approx. State/Non-MCC Pool</x:v>
      </x:c>
      <x:c r="O227" t="str">
        <x:v>Moderate state-counselling pool</x:v>
      </x:c>
      <x:c r="P227" t="n">
        <x:v>16526</x:v>
      </x:c>
      <x:c r="Q227" t="n">
        <x:v>18165</x:v>
      </x:c>
      <x:c r="R227" t="n">
        <x:v>22579</x:v>
      </x:c>
      <x:c r="S227" t="n">
        <x:v>88002</x:v>
      </x:c>
      <x:c r="T227" t="n">
        <x:v>92065</x:v>
      </x:c>
      <x:c r="U227" t="str">
        <x:v>Pending state Round-1 allotment/cutoff data</x:v>
      </x:c>
    </x:row>
    <x:row r="228">
      <x:c r="A228" t="str">
        <x:v>Karnataka</x:v>
      </x:c>
      <x:c r="B228" t="str">
        <x:v>KA/040/G/1</x:v>
      </x:c>
      <x:c r="C228" t="str">
        <x:v>Koppal Institute of Medical Sciences, Koppal</x:v>
      </x:c>
      <x:c r="D228" t="str">
        <x:v>Government</x:v>
      </x:c>
      <x:c r="E228" t="n">
        <x:v>150</x:v>
      </x:c>
      <x:c r="F228" t="n">
        <x:v>0</x:v>
      </x:c>
      <x:c r="G228" t="n">
        <x:v>150</x:v>
      </x:c>
      <x:c r="H228" t="str">
        <x:v>200176</x:v>
      </x:c>
      <x:c r="I228" t="n">
        <x:v>30</x:v>
      </x:c>
      <x:c r="J228" t="n">
        <x:v>30</x:v>
      </x:c>
      <x:c r="K228" t="n">
        <x:v>120</x:v>
      </x:c>
      <x:c r="L228" s="20" t="n">
        <x:v>0.8</x:v>
      </x:c>
      <x:c r="M228" t="str">
        <x:v>High</x:v>
      </x:c>
      <x:c r="N228" t="str">
        <x:v>Approx. State/Non-MCC Pool</x:v>
      </x:c>
      <x:c r="O228" t="str">
        <x:v>Moderate state-counselling pool</x:v>
      </x:c>
      <x:c r="P228" t="n">
        <x:v>17316</x:v>
      </x:c>
      <x:c r="Q228" t="n">
        <x:v>18686</x:v>
      </x:c>
      <x:c r="R228" t="n">
        <x:v>24016</x:v>
      </x:c>
      <x:c r="S228" t="n">
        <x:v>91137</x:v>
      </x:c>
      <x:c r="T228" t="n">
        <x:v>101627</x:v>
      </x:c>
      <x:c r="U228" t="str">
        <x:v>Pending state Round-1 allotment/cutoff data</x:v>
      </x:c>
    </x:row>
    <x:row r="229">
      <x:c r="A229" t="str">
        <x:v>Karnataka</x:v>
      </x:c>
      <x:c r="B229" t="str">
        <x:v>KA/018/G/1</x:v>
      </x:c>
      <x:c r="C229" t="str">
        <x:v>Employees State Insurance Corporation Medical College, Bangalore</x:v>
      </x:c>
      <x:c r="D229" t="str">
        <x:v>Government</x:v>
      </x:c>
      <x:c r="E229" t="n">
        <x:v>150</x:v>
      </x:c>
      <x:c r="F229" t="n">
        <x:v>0</x:v>
      </x:c>
      <x:c r="G229" t="n">
        <x:v>150</x:v>
      </x:c>
      <x:c r="H229" t="str">
        <x:v>200165</x:v>
      </x:c>
      <x:c r="I229" t="n">
        <x:v>90</x:v>
      </x:c>
      <x:c r="J229" t="n">
        <x:v>86</x:v>
      </x:c>
      <x:c r="K229" t="n">
        <x:v>60</x:v>
      </x:c>
      <x:c r="L229" s="20" t="n">
        <x:v>0.4</x:v>
      </x:c>
      <x:c r="M229" t="str">
        <x:v>High</x:v>
      </x:c>
      <x:c r="N229" t="str">
        <x:v>Approx. State/Non-MCC Pool</x:v>
      </x:c>
      <x:c r="O229" t="str">
        <x:v>Smaller state-counselling pool</x:v>
      </x:c>
      <x:c r="P229" t="n">
        <x:v>18052</x:v>
      </x:c>
      <x:c r="Q229" t="n">
        <x:v>26016</x:v>
      </x:c>
      <x:c r="R229" t="n">
        <x:v>25024</x:v>
      </x:c>
      <x:c r="S229" t="n">
        <x:v>129089</x:v>
      </x:c>
      <x:c r="T229" t="n">
        <x:v>132835</x:v>
      </x:c>
      <x:c r="U229" t="str">
        <x:v>Pending state Round-1 allotment/cutoff data</x:v>
      </x:c>
    </x:row>
    <x:row r="230">
      <x:c r="A230" t="str">
        <x:v>Karnataka</x:v>
      </x:c>
      <x:c r="B230" t="str">
        <x:v>KA/019/G/1</x:v>
      </x:c>
      <x:c r="C230" t="str">
        <x:v>Employees State Insurance Corporation Medical College, Gulbarga</x:v>
      </x:c>
      <x:c r="D230" t="str">
        <x:v>Government</x:v>
      </x:c>
      <x:c r="E230" t="n">
        <x:v>150</x:v>
      </x:c>
      <x:c r="F230" t="n">
        <x:v>0</x:v>
      </x:c>
      <x:c r="G230" t="n">
        <x:v>150</x:v>
      </x:c>
      <x:c r="H230" t="str">
        <x:v>200413</x:v>
      </x:c>
      <x:c r="I230" t="n">
        <x:v>90</x:v>
      </x:c>
      <x:c r="J230" t="n">
        <x:v>87</x:v>
      </x:c>
      <x:c r="K230" t="n">
        <x:v>60</x:v>
      </x:c>
      <x:c r="L230" s="20" t="n">
        <x:v>0.4</x:v>
      </x:c>
      <x:c r="M230" t="str">
        <x:v>High</x:v>
      </x:c>
      <x:c r="N230" t="str">
        <x:v>Approx. State/Non-MCC Pool</x:v>
      </x:c>
      <x:c r="O230" t="str">
        <x:v>Smaller state-counselling pool</x:v>
      </x:c>
      <x:c r="P230" t="n">
        <x:v>29889</x:v>
      </x:c>
      <x:c r="Q230" t="n">
        <x:v>37357</x:v>
      </x:c>
      <x:c r="R230" t="n">
        <x:v>35499</x:v>
      </x:c>
      <x:c r="S230" t="n">
        <x:v>167723</x:v>
      </x:c>
      <x:c r="T230" t="n">
        <x:v>294823</x:v>
      </x:c>
      <x:c r="U230" t="str">
        <x:v>Pending state Round-1 allotment/cutoff data</x:v>
      </x:c>
    </x:row>
    <x:row r="231">
      <x:c r="A231" t="str">
        <x:v>Karnataka</x:v>
      </x:c>
      <x:c r="B231" t="str">
        <x:v>KA/001/P/3</x:v>
      </x:c>
      <x:c r="C231" t="str">
        <x:v>A J Institute of Medical Sciences &amp; Research Centre, Mangalore</x:v>
      </x:c>
      <x:c r="D231" t="str">
        <x:v>Private</x:v>
      </x:c>
      <x:c r="E231" t="n">
        <x:v>250</x:v>
      </x:c>
      <x:c r="F231" t="n">
        <x:v>0</x:v>
      </x:c>
      <x:c r="G231" t="n">
        <x:v>250</x:v>
      </x:c>
      <x:c r="H231"/>
      <x:c r="I231" t="n">
        <x:v>0</x:v>
      </x:c>
      <x:c r="J231" t="n">
        <x:v>0</x:v>
      </x:c>
      <x:c r="K231" t="n">
        <x:v>250</x:v>
      </x:c>
      <x:c r="L231" s="20" t="n">
        <x:v>1</x:v>
      </x:c>
      <x:c r="M231" t="str">
        <x:v>Variable</x:v>
      </x:c>
      <x:c r="N231" t="str">
        <x:v>Approx. Non-MCC Pool</x:v>
      </x:c>
      <x:c r="O231" t="str">
        <x:v>Large non-MCC pool; quota split varies by state</x:v>
      </x:c>
      <x:c r="P231"/>
      <x:c r="Q231"/>
      <x:c r="R231"/>
      <x:c r="S231"/>
      <x:c r="T231"/>
      <x:c r="U231" t="str">
        <x:v>Pending state Round-1 allotment/cutoff data</x:v>
      </x:c>
    </x:row>
    <x:row r="232">
      <x:c r="A232" t="str">
        <x:v>Karnataka</x:v>
      </x:c>
      <x:c r="B232" t="str">
        <x:v>KA/002/P/3</x:v>
      </x:c>
      <x:c r="C232" t="str">
        <x:v>Adichunchanagiri Institute of Medical Sciences, Bellur</x:v>
      </x:c>
      <x:c r="D232" t="str">
        <x:v>Private</x:v>
      </x:c>
      <x:c r="E232" t="n">
        <x:v>250</x:v>
      </x:c>
      <x:c r="F232" t="n">
        <x:v>0</x:v>
      </x:c>
      <x:c r="G232" t="n">
        <x:v>250</x:v>
      </x:c>
      <x:c r="H232"/>
      <x:c r="I232" t="n">
        <x:v>0</x:v>
      </x:c>
      <x:c r="J232" t="n">
        <x:v>0</x:v>
      </x:c>
      <x:c r="K232" t="n">
        <x:v>250</x:v>
      </x:c>
      <x:c r="L232" s="20" t="n">
        <x:v>1</x:v>
      </x:c>
      <x:c r="M232" t="str">
        <x:v>Variable</x:v>
      </x:c>
      <x:c r="N232" t="str">
        <x:v>Approx. Non-MCC Pool</x:v>
      </x:c>
      <x:c r="O232" t="str">
        <x:v>Large non-MCC pool; quota split varies by state</x:v>
      </x:c>
      <x:c r="P232"/>
      <x:c r="Q232"/>
      <x:c r="R232"/>
      <x:c r="S232"/>
      <x:c r="T232"/>
      <x:c r="U232" t="str">
        <x:v>Pending state Round-1 allotment/cutoff data</x:v>
      </x:c>
    </x:row>
    <x:row r="233">
      <x:c r="A233" t="str">
        <x:v>Karnataka</x:v>
      </x:c>
      <x:c r="B233" t="str">
        <x:v>KA/003/P/3</x:v>
      </x:c>
      <x:c r="C233" t="str">
        <x:v>Akash Institute of Medical Sciences &amp; Research Centre, Devanhalli, Bangalore, Karnataka</x:v>
      </x:c>
      <x:c r="D233" t="str">
        <x:v>Private</x:v>
      </x:c>
      <x:c r="E233" t="n">
        <x:v>250</x:v>
      </x:c>
      <x:c r="F233" t="n">
        <x:v>0</x:v>
      </x:c>
      <x:c r="G233" t="n">
        <x:v>250</x:v>
      </x:c>
      <x:c r="H233"/>
      <x:c r="I233" t="n">
        <x:v>0</x:v>
      </x:c>
      <x:c r="J233" t="n">
        <x:v>0</x:v>
      </x:c>
      <x:c r="K233" t="n">
        <x:v>250</x:v>
      </x:c>
      <x:c r="L233" s="20" t="n">
        <x:v>1</x:v>
      </x:c>
      <x:c r="M233" t="str">
        <x:v>Variable</x:v>
      </x:c>
      <x:c r="N233" t="str">
        <x:v>Approx. Non-MCC Pool</x:v>
      </x:c>
      <x:c r="O233" t="str">
        <x:v>Large non-MCC pool; quota split varies by state</x:v>
      </x:c>
      <x:c r="P233"/>
      <x:c r="Q233"/>
      <x:c r="R233"/>
      <x:c r="S233"/>
      <x:c r="T233"/>
      <x:c r="U233" t="str">
        <x:v>Pending state Round-1 allotment/cutoff data</x:v>
      </x:c>
    </x:row>
    <x:row r="234">
      <x:c r="A234" t="str">
        <x:v>Karnataka</x:v>
      </x:c>
      <x:c r="B234" t="str">
        <x:v>KA/008/P/3</x:v>
      </x:c>
      <x:c r="C234" t="str">
        <x:v>BGS Global Institute of Medical Sciences, Bangalore</x:v>
      </x:c>
      <x:c r="D234" t="str">
        <x:v>Private</x:v>
      </x:c>
      <x:c r="E234" t="n">
        <x:v>150</x:v>
      </x:c>
      <x:c r="F234" t="n">
        <x:v>100</x:v>
      </x:c>
      <x:c r="G234" t="n">
        <x:v>250</x:v>
      </x:c>
      <x:c r="H234"/>
      <x:c r="I234" t="n">
        <x:v>0</x:v>
      </x:c>
      <x:c r="J234" t="n">
        <x:v>0</x:v>
      </x:c>
      <x:c r="K234" t="n">
        <x:v>250</x:v>
      </x:c>
      <x:c r="L234" s="20" t="n">
        <x:v>1</x:v>
      </x:c>
      <x:c r="M234" t="str">
        <x:v>Variable</x:v>
      </x:c>
      <x:c r="N234" t="str">
        <x:v>Approx. Non-MCC Pool</x:v>
      </x:c>
      <x:c r="O234" t="str">
        <x:v>Expanded 2026 capacity; state/management split to verify</x:v>
      </x:c>
      <x:c r="P234"/>
      <x:c r="Q234"/>
      <x:c r="R234"/>
      <x:c r="S234"/>
      <x:c r="T234"/>
      <x:c r="U234" t="str">
        <x:v>Pending state Round-1 allotment/cutoff data</x:v>
      </x:c>
    </x:row>
    <x:row r="235">
      <x:c r="A235" t="str">
        <x:v>Karnataka</x:v>
      </x:c>
      <x:c r="B235" t="str">
        <x:v>KA/009/P/3</x:v>
      </x:c>
      <x:c r="C235" t="str">
        <x:v>BGS Medical College and Hospital Bengaluru, Karnataka</x:v>
      </x:c>
      <x:c r="D235" t="str">
        <x:v>Private</x:v>
      </x:c>
      <x:c r="E235" t="n">
        <x:v>250</x:v>
      </x:c>
      <x:c r="F235" t="n">
        <x:v>0</x:v>
      </x:c>
      <x:c r="G235" t="n">
        <x:v>250</x:v>
      </x:c>
      <x:c r="H235"/>
      <x:c r="I235" t="n">
        <x:v>0</x:v>
      </x:c>
      <x:c r="J235" t="n">
        <x:v>0</x:v>
      </x:c>
      <x:c r="K235" t="n">
        <x:v>250</x:v>
      </x:c>
      <x:c r="L235" s="20" t="n">
        <x:v>1</x:v>
      </x:c>
      <x:c r="M235" t="str">
        <x:v>Variable</x:v>
      </x:c>
      <x:c r="N235" t="str">
        <x:v>Approx. Non-MCC Pool</x:v>
      </x:c>
      <x:c r="O235" t="str">
        <x:v>Large non-MCC pool; quota split varies by state</x:v>
      </x:c>
      <x:c r="P235"/>
      <x:c r="Q235"/>
      <x:c r="R235"/>
      <x:c r="S235"/>
      <x:c r="T235"/>
      <x:c r="U235" t="str">
        <x:v>Pending state Round-1 allotment/cutoff data</x:v>
      </x:c>
    </x:row>
    <x:row r="236">
      <x:c r="A236" t="str">
        <x:v>Karnataka</x:v>
      </x:c>
      <x:c r="B236" t="str">
        <x:v>KA/017/P/3</x:v>
      </x:c>
      <x:c r="C236" t="str">
        <x:v>East Point College of Medical Sciences &amp; Research Centre, Bangalore</x:v>
      </x:c>
      <x:c r="D236" t="str">
        <x:v>Private</x:v>
      </x:c>
      <x:c r="E236" t="n">
        <x:v>200</x:v>
      </x:c>
      <x:c r="F236" t="n">
        <x:v>50</x:v>
      </x:c>
      <x:c r="G236" t="n">
        <x:v>250</x:v>
      </x:c>
      <x:c r="H236"/>
      <x:c r="I236" t="n">
        <x:v>0</x:v>
      </x:c>
      <x:c r="J236" t="n">
        <x:v>0</x:v>
      </x:c>
      <x:c r="K236" t="n">
        <x:v>250</x:v>
      </x:c>
      <x:c r="L236" s="20" t="n">
        <x:v>1</x:v>
      </x:c>
      <x:c r="M236" t="str">
        <x:v>Variable</x:v>
      </x:c>
      <x:c r="N236" t="str">
        <x:v>Approx. Non-MCC Pool</x:v>
      </x:c>
      <x:c r="O236" t="str">
        <x:v>Expanded 2026 capacity; state/management split to verify</x:v>
      </x:c>
      <x:c r="P236"/>
      <x:c r="Q236"/>
      <x:c r="R236"/>
      <x:c r="S236"/>
      <x:c r="T236"/>
      <x:c r="U236" t="str">
        <x:v>Pending state Round-1 allotment/cutoff data</x:v>
      </x:c>
    </x:row>
    <x:row r="237">
      <x:c r="A237" t="str">
        <x:v>Karnataka</x:v>
      </x:c>
      <x:c r="B237" t="str">
        <x:v>KA/032/P/3</x:v>
      </x:c>
      <x:c r="C237" t="str">
        <x:v>Kanachur Institute of Medical Sciences, Mangalore</x:v>
      </x:c>
      <x:c r="D237" t="str">
        <x:v>Private</x:v>
      </x:c>
      <x:c r="E237" t="n">
        <x:v>200</x:v>
      </x:c>
      <x:c r="F237" t="n">
        <x:v>50</x:v>
      </x:c>
      <x:c r="G237" t="n">
        <x:v>250</x:v>
      </x:c>
      <x:c r="H237"/>
      <x:c r="I237" t="n">
        <x:v>0</x:v>
      </x:c>
      <x:c r="J237" t="n">
        <x:v>0</x:v>
      </x:c>
      <x:c r="K237" t="n">
        <x:v>250</x:v>
      </x:c>
      <x:c r="L237" s="20" t="n">
        <x:v>1</x:v>
      </x:c>
      <x:c r="M237" t="str">
        <x:v>Variable</x:v>
      </x:c>
      <x:c r="N237" t="str">
        <x:v>Approx. Non-MCC Pool</x:v>
      </x:c>
      <x:c r="O237" t="str">
        <x:v>Expanded 2026 capacity; state/management split to verify</x:v>
      </x:c>
      <x:c r="P237"/>
      <x:c r="Q237"/>
      <x:c r="R237"/>
      <x:c r="S237"/>
      <x:c r="T237"/>
      <x:c r="U237" t="str">
        <x:v>Pending state Round-1 allotment/cutoff data</x:v>
      </x:c>
    </x:row>
    <x:row r="238">
      <x:c r="A238" t="str">
        <x:v>Karnataka</x:v>
      </x:c>
      <x:c r="B238" t="str">
        <x:v>KA/037/P/3</x:v>
      </x:c>
      <x:c r="C238" t="str">
        <x:v>Kempegowda Institute of Medical Sciences, Bangalore</x:v>
      </x:c>
      <x:c r="D238" t="str">
        <x:v>Private</x:v>
      </x:c>
      <x:c r="E238" t="n">
        <x:v>250</x:v>
      </x:c>
      <x:c r="F238" t="n">
        <x:v>0</x:v>
      </x:c>
      <x:c r="G238" t="n">
        <x:v>250</x:v>
      </x:c>
      <x:c r="H238"/>
      <x:c r="I238" t="n">
        <x:v>0</x:v>
      </x:c>
      <x:c r="J238" t="n">
        <x:v>0</x:v>
      </x:c>
      <x:c r="K238" t="n">
        <x:v>250</x:v>
      </x:c>
      <x:c r="L238" s="20" t="n">
        <x:v>1</x:v>
      </x:c>
      <x:c r="M238" t="str">
        <x:v>Variable</x:v>
      </x:c>
      <x:c r="N238" t="str">
        <x:v>Approx. Non-MCC Pool</x:v>
      </x:c>
      <x:c r="O238" t="str">
        <x:v>Large non-MCC pool; quota split varies by state</x:v>
      </x:c>
      <x:c r="P238"/>
      <x:c r="Q238"/>
      <x:c r="R238"/>
      <x:c r="S238"/>
      <x:c r="T238"/>
      <x:c r="U238" t="str">
        <x:v>Pending state Round-1 allotment/cutoff data</x:v>
      </x:c>
    </x:row>
    <x:row r="239">
      <x:c r="A239" t="str">
        <x:v>Karnataka</x:v>
      </x:c>
      <x:c r="B239" t="str">
        <x:v>KA/044/P/4</x:v>
      </x:c>
      <x:c r="C239" t="str">
        <x:v>MVJ Medical College and Research Hospital, Bangalore</x:v>
      </x:c>
      <x:c r="D239" t="str">
        <x:v>Private</x:v>
      </x:c>
      <x:c r="E239" t="n">
        <x:v>250</x:v>
      </x:c>
      <x:c r="F239" t="n">
        <x:v>0</x:v>
      </x:c>
      <x:c r="G239" t="n">
        <x:v>250</x:v>
      </x:c>
      <x:c r="H239"/>
      <x:c r="I239" t="n">
        <x:v>0</x:v>
      </x:c>
      <x:c r="J239" t="n">
        <x:v>0</x:v>
      </x:c>
      <x:c r="K239" t="n">
        <x:v>250</x:v>
      </x:c>
      <x:c r="L239" s="20" t="n">
        <x:v>1</x:v>
      </x:c>
      <x:c r="M239" t="str">
        <x:v>Variable</x:v>
      </x:c>
      <x:c r="N239" t="str">
        <x:v>Approx. Non-MCC Pool</x:v>
      </x:c>
      <x:c r="O239" t="str">
        <x:v>Large non-MCC pool; quota split varies by state</x:v>
      </x:c>
      <x:c r="P239"/>
      <x:c r="Q239"/>
      <x:c r="R239"/>
      <x:c r="S239"/>
      <x:c r="T239"/>
      <x:c r="U239" t="str">
        <x:v>Pending state Round-1 allotment/cutoff data</x:v>
      </x:c>
    </x:row>
    <x:row r="240">
      <x:c r="A240" t="str">
        <x:v>Karnataka</x:v>
      </x:c>
      <x:c r="B240" t="str">
        <x:v>KA/042/P/4</x:v>
      </x:c>
      <x:c r="C240" t="str">
        <x:v>Mahadevappa Rampure Medical College, Kalaburagi, Gulbarga</x:v>
      </x:c>
      <x:c r="D240" t="str">
        <x:v>Private</x:v>
      </x:c>
      <x:c r="E240" t="n">
        <x:v>200</x:v>
      </x:c>
      <x:c r="F240" t="n">
        <x:v>50</x:v>
      </x:c>
      <x:c r="G240" t="n">
        <x:v>250</x:v>
      </x:c>
      <x:c r="H240"/>
      <x:c r="I240" t="n">
        <x:v>0</x:v>
      </x:c>
      <x:c r="J240" t="n">
        <x:v>0</x:v>
      </x:c>
      <x:c r="K240" t="n">
        <x:v>250</x:v>
      </x:c>
      <x:c r="L240" s="20" t="n">
        <x:v>1</x:v>
      </x:c>
      <x:c r="M240" t="str">
        <x:v>Variable</x:v>
      </x:c>
      <x:c r="N240" t="str">
        <x:v>Approx. Non-MCC Pool</x:v>
      </x:c>
      <x:c r="O240" t="str">
        <x:v>Expanded 2026 capacity; state/management split to verify</x:v>
      </x:c>
      <x:c r="P240"/>
      <x:c r="Q240"/>
      <x:c r="R240"/>
      <x:c r="S240"/>
      <x:c r="T240"/>
      <x:c r="U240" t="str">
        <x:v>Pending state Round-1 allotment/cutoff data</x:v>
      </x:c>
    </x:row>
    <x:row r="241">
      <x:c r="A241" t="str">
        <x:v>Karnataka</x:v>
      </x:c>
      <x:c r="B241" t="str">
        <x:v>KA/046/P/3</x:v>
      </x:c>
      <x:c r="C241" t="str">
        <x:v>Navodaya Medical College, Raichur</x:v>
      </x:c>
      <x:c r="D241" t="str">
        <x:v>Private</x:v>
      </x:c>
      <x:c r="E241" t="n">
        <x:v>200</x:v>
      </x:c>
      <x:c r="F241" t="n">
        <x:v>50</x:v>
      </x:c>
      <x:c r="G241" t="n">
        <x:v>250</x:v>
      </x:c>
      <x:c r="H241"/>
      <x:c r="I241" t="n">
        <x:v>0</x:v>
      </x:c>
      <x:c r="J241" t="n">
        <x:v>0</x:v>
      </x:c>
      <x:c r="K241" t="n">
        <x:v>250</x:v>
      </x:c>
      <x:c r="L241" s="20" t="n">
        <x:v>1</x:v>
      </x:c>
      <x:c r="M241" t="str">
        <x:v>Variable</x:v>
      </x:c>
      <x:c r="N241" t="str">
        <x:v>Approx. Non-MCC Pool</x:v>
      </x:c>
      <x:c r="O241" t="str">
        <x:v>Expanded 2026 capacity; state/management split to verify</x:v>
      </x:c>
      <x:c r="P241"/>
      <x:c r="Q241"/>
      <x:c r="R241"/>
      <x:c r="S241"/>
      <x:c r="T241"/>
      <x:c r="U241" t="str">
        <x:v>Pending state Round-1 allotment/cutoff data</x:v>
      </x:c>
    </x:row>
    <x:row r="242">
      <x:c r="A242" t="str">
        <x:v>Karnataka</x:v>
      </x:c>
      <x:c r="B242" t="str">
        <x:v>KA/047/P/1</x:v>
      </x:c>
      <x:c r="C242" t="str">
        <x:v>PES University Institute of Medical Sciences and Reseach Bangalore</x:v>
      </x:c>
      <x:c r="D242" t="str">
        <x:v>Private</x:v>
      </x:c>
      <x:c r="E242" t="n">
        <x:v>150</x:v>
      </x:c>
      <x:c r="F242" t="n">
        <x:v>100</x:v>
      </x:c>
      <x:c r="G242" t="n">
        <x:v>250</x:v>
      </x:c>
      <x:c r="H242"/>
      <x:c r="I242" t="n">
        <x:v>0</x:v>
      </x:c>
      <x:c r="J242" t="n">
        <x:v>0</x:v>
      </x:c>
      <x:c r="K242" t="n">
        <x:v>250</x:v>
      </x:c>
      <x:c r="L242" s="20" t="n">
        <x:v>1</x:v>
      </x:c>
      <x:c r="M242" t="str">
        <x:v>Variable</x:v>
      </x:c>
      <x:c r="N242" t="str">
        <x:v>Approx. Non-MCC Pool</x:v>
      </x:c>
      <x:c r="O242" t="str">
        <x:v>Expanded 2026 capacity; state/management split to verify</x:v>
      </x:c>
      <x:c r="P242"/>
      <x:c r="Q242"/>
      <x:c r="R242"/>
      <x:c r="S242"/>
      <x:c r="T242"/>
      <x:c r="U242" t="str">
        <x:v>Pending state Round-1 allotment/cutoff data</x:v>
      </x:c>
    </x:row>
    <x:row r="243">
      <x:c r="A243" t="str">
        <x:v>Karnataka</x:v>
      </x:c>
      <x:c r="B243" t="str">
        <x:v>KA/050/P/3</x:v>
      </x:c>
      <x:c r="C243" t="str">
        <x:v>S S Institute of Medical Sciences&amp; Research Centre, Davangere</x:v>
      </x:c>
      <x:c r="D243" t="str">
        <x:v>Private</x:v>
      </x:c>
      <x:c r="E243" t="n">
        <x:v>200</x:v>
      </x:c>
      <x:c r="F243" t="n">
        <x:v>50</x:v>
      </x:c>
      <x:c r="G243" t="n">
        <x:v>250</x:v>
      </x:c>
      <x:c r="H243"/>
      <x:c r="I243" t="n">
        <x:v>0</x:v>
      </x:c>
      <x:c r="J243" t="n">
        <x:v>0</x:v>
      </x:c>
      <x:c r="K243" t="n">
        <x:v>250</x:v>
      </x:c>
      <x:c r="L243" s="20" t="n">
        <x:v>1</x:v>
      </x:c>
      <x:c r="M243" t="str">
        <x:v>Variable</x:v>
      </x:c>
      <x:c r="N243" t="str">
        <x:v>Approx. Non-MCC Pool</x:v>
      </x:c>
      <x:c r="O243" t="str">
        <x:v>Expanded 2026 capacity; state/management split to verify</x:v>
      </x:c>
      <x:c r="P243"/>
      <x:c r="Q243"/>
      <x:c r="R243"/>
      <x:c r="S243"/>
      <x:c r="T243"/>
      <x:c r="U243" t="str">
        <x:v>Pending state Round-1 allotment/cutoff data</x:v>
      </x:c>
    </x:row>
    <x:row r="244">
      <x:c r="A244" t="str">
        <x:v>Karnataka</x:v>
      </x:c>
      <x:c r="B244" t="str">
        <x:v>KA/051/P/3</x:v>
      </x:c>
      <x:c r="C244" t="str">
        <x:v>S. Nijalingappa Medical College &amp; HSK Hospital &amp; Research Centre, Bagalkot</x:v>
      </x:c>
      <x:c r="D244" t="str">
        <x:v>Private</x:v>
      </x:c>
      <x:c r="E244" t="n">
        <x:v>250</x:v>
      </x:c>
      <x:c r="F244" t="n">
        <x:v>0</x:v>
      </x:c>
      <x:c r="G244" t="n">
        <x:v>250</x:v>
      </x:c>
      <x:c r="H244"/>
      <x:c r="I244" t="n">
        <x:v>0</x:v>
      </x:c>
      <x:c r="J244" t="n">
        <x:v>0</x:v>
      </x:c>
      <x:c r="K244" t="n">
        <x:v>250</x:v>
      </x:c>
      <x:c r="L244" s="20" t="n">
        <x:v>1</x:v>
      </x:c>
      <x:c r="M244" t="str">
        <x:v>Variable</x:v>
      </x:c>
      <x:c r="N244" t="str">
        <x:v>Approx. Non-MCC Pool</x:v>
      </x:c>
      <x:c r="O244" t="str">
        <x:v>Large non-MCC pool; quota split varies by state</x:v>
      </x:c>
      <x:c r="P244"/>
      <x:c r="Q244"/>
      <x:c r="R244"/>
      <x:c r="S244"/>
      <x:c r="T244"/>
      <x:c r="U244" t="str">
        <x:v>Pending state Round-1 allotment/cutoff data</x:v>
      </x:c>
    </x:row>
    <x:row r="245">
      <x:c r="A245" t="str">
        <x:v>Karnataka</x:v>
      </x:c>
      <x:c r="B245" t="str">
        <x:v>KA/052/P/3</x:v>
      </x:c>
      <x:c r="C245" t="str">
        <x:v>Sapthagiri Institute of Medical Sciences &amp; Research Centre, Bangalore</x:v>
      </x:c>
      <x:c r="D245" t="str">
        <x:v>Private</x:v>
      </x:c>
      <x:c r="E245" t="n">
        <x:v>250</x:v>
      </x:c>
      <x:c r="F245" t="n">
        <x:v>0</x:v>
      </x:c>
      <x:c r="G245" t="n">
        <x:v>250</x:v>
      </x:c>
      <x:c r="H245"/>
      <x:c r="I245" t="n">
        <x:v>0</x:v>
      </x:c>
      <x:c r="J245" t="n">
        <x:v>0</x:v>
      </x:c>
      <x:c r="K245" t="n">
        <x:v>250</x:v>
      </x:c>
      <x:c r="L245" s="20" t="n">
        <x:v>1</x:v>
      </x:c>
      <x:c r="M245" t="str">
        <x:v>Variable</x:v>
      </x:c>
      <x:c r="N245" t="str">
        <x:v>Approx. Non-MCC Pool</x:v>
      </x:c>
      <x:c r="O245" t="str">
        <x:v>Large non-MCC pool; quota split varies by state</x:v>
      </x:c>
      <x:c r="P245"/>
      <x:c r="Q245"/>
      <x:c r="R245"/>
      <x:c r="S245"/>
      <x:c r="T245"/>
      <x:c r="U245" t="str">
        <x:v>Pending state Round-1 allotment/cutoff data</x:v>
      </x:c>
    </x:row>
    <x:row r="246">
      <x:c r="A246" t="str">
        <x:v>Karnataka</x:v>
      </x:c>
      <x:c r="B246" t="str">
        <x:v>KA/057/P/3</x:v>
      </x:c>
      <x:c r="C246" t="str">
        <x:v>Shridevi Institute of Medical Sciences &amp; Research Hospital, Tumkur</x:v>
      </x:c>
      <x:c r="D246" t="str">
        <x:v>Private</x:v>
      </x:c>
      <x:c r="E246" t="n">
        <x:v>250</x:v>
      </x:c>
      <x:c r="F246" t="n">
        <x:v>0</x:v>
      </x:c>
      <x:c r="G246" t="n">
        <x:v>250</x:v>
      </x:c>
      <x:c r="H246"/>
      <x:c r="I246" t="n">
        <x:v>0</x:v>
      </x:c>
      <x:c r="J246" t="n">
        <x:v>0</x:v>
      </x:c>
      <x:c r="K246" t="n">
        <x:v>250</x:v>
      </x:c>
      <x:c r="L246" s="20" t="n">
        <x:v>1</x:v>
      </x:c>
      <x:c r="M246" t="str">
        <x:v>Variable</x:v>
      </x:c>
      <x:c r="N246" t="str">
        <x:v>Approx. Non-MCC Pool</x:v>
      </x:c>
      <x:c r="O246" t="str">
        <x:v>Large non-MCC pool; quota split varies by state</x:v>
      </x:c>
      <x:c r="P246"/>
      <x:c r="Q246"/>
      <x:c r="R246"/>
      <x:c r="S246"/>
      <x:c r="T246"/>
      <x:c r="U246" t="str">
        <x:v>Pending state Round-1 allotment/cutoff data</x:v>
      </x:c>
    </x:row>
    <x:row r="247">
      <x:c r="A247" t="str">
        <x:v>Karnataka</x:v>
      </x:c>
      <x:c r="B247" t="str">
        <x:v>KA/058/P/3</x:v>
      </x:c>
      <x:c r="C247" t="str">
        <x:v>Siddaganga Medical College and Research Institute, Tumakuru</x:v>
      </x:c>
      <x:c r="D247" t="str">
        <x:v>Private</x:v>
      </x:c>
      <x:c r="E247" t="n">
        <x:v>200</x:v>
      </x:c>
      <x:c r="F247" t="n">
        <x:v>50</x:v>
      </x:c>
      <x:c r="G247" t="n">
        <x:v>250</x:v>
      </x:c>
      <x:c r="H247"/>
      <x:c r="I247" t="n">
        <x:v>0</x:v>
      </x:c>
      <x:c r="J247" t="n">
        <x:v>0</x:v>
      </x:c>
      <x:c r="K247" t="n">
        <x:v>250</x:v>
      </x:c>
      <x:c r="L247" s="20" t="n">
        <x:v>1</x:v>
      </x:c>
      <x:c r="M247" t="str">
        <x:v>Variable</x:v>
      </x:c>
      <x:c r="N247" t="str">
        <x:v>Approx. Non-MCC Pool</x:v>
      </x:c>
      <x:c r="O247" t="str">
        <x:v>Expanded 2026 capacity; state/management split to verify</x:v>
      </x:c>
      <x:c r="P247"/>
      <x:c r="Q247"/>
      <x:c r="R247"/>
      <x:c r="S247"/>
      <x:c r="T247"/>
      <x:c r="U247" t="str">
        <x:v>Pending state Round-1 allotment/cutoff data</x:v>
      </x:c>
    </x:row>
    <x:row r="248">
      <x:c r="A248" t="str">
        <x:v>Karnataka</x:v>
      </x:c>
      <x:c r="B248" t="str">
        <x:v>KA/065/P/3</x:v>
      </x:c>
      <x:c r="C248" t="str">
        <x:v>Srinivas Institute of Medical Research Centre, Srinivasnagar, Mangalore</x:v>
      </x:c>
      <x:c r="D248" t="str">
        <x:v>Private</x:v>
      </x:c>
      <x:c r="E248" t="n">
        <x:v>250</x:v>
      </x:c>
      <x:c r="F248" t="n">
        <x:v>0</x:v>
      </x:c>
      <x:c r="G248" t="n">
        <x:v>250</x:v>
      </x:c>
      <x:c r="H248"/>
      <x:c r="I248" t="n">
        <x:v>0</x:v>
      </x:c>
      <x:c r="J248" t="n">
        <x:v>0</x:v>
      </x:c>
      <x:c r="K248" t="n">
        <x:v>250</x:v>
      </x:c>
      <x:c r="L248" s="20" t="n">
        <x:v>1</x:v>
      </x:c>
      <x:c r="M248" t="str">
        <x:v>Variable</x:v>
      </x:c>
      <x:c r="N248" t="str">
        <x:v>Approx. Non-MCC Pool</x:v>
      </x:c>
      <x:c r="O248" t="str">
        <x:v>Large non-MCC pool; quota split varies by state</x:v>
      </x:c>
      <x:c r="P248"/>
      <x:c r="Q248"/>
      <x:c r="R248"/>
      <x:c r="S248"/>
      <x:c r="T248"/>
      <x:c r="U248" t="str">
        <x:v>Pending state Round-1 allotment/cutoff data</x:v>
      </x:c>
    </x:row>
    <x:row r="249">
      <x:c r="A249" t="str">
        <x:v>Karnataka</x:v>
      </x:c>
      <x:c r="B249" t="str">
        <x:v>KA/067/P/3</x:v>
      </x:c>
      <x:c r="C249" t="str">
        <x:v>Subbaiah Institute of Medical Sciences, Shimoga, Karnataka</x:v>
      </x:c>
      <x:c r="D249" t="str">
        <x:v>Private</x:v>
      </x:c>
      <x:c r="E249" t="n">
        <x:v>250</x:v>
      </x:c>
      <x:c r="F249" t="n">
        <x:v>0</x:v>
      </x:c>
      <x:c r="G249" t="n">
        <x:v>250</x:v>
      </x:c>
      <x:c r="H249"/>
      <x:c r="I249" t="n">
        <x:v>0</x:v>
      </x:c>
      <x:c r="J249" t="n">
        <x:v>0</x:v>
      </x:c>
      <x:c r="K249" t="n">
        <x:v>250</x:v>
      </x:c>
      <x:c r="L249" s="20" t="n">
        <x:v>1</x:v>
      </x:c>
      <x:c r="M249" t="str">
        <x:v>Variable</x:v>
      </x:c>
      <x:c r="N249" t="str">
        <x:v>Approx. Non-MCC Pool</x:v>
      </x:c>
      <x:c r="O249" t="str">
        <x:v>Large non-MCC pool; quota split varies by state</x:v>
      </x:c>
      <x:c r="P249"/>
      <x:c r="Q249"/>
      <x:c r="R249"/>
      <x:c r="S249"/>
      <x:c r="T249"/>
      <x:c r="U249" t="str">
        <x:v>Pending state Round-1 allotment/cutoff data</x:v>
      </x:c>
    </x:row>
    <x:row r="250">
      <x:c r="A250" t="str">
        <x:v>Karnataka</x:v>
      </x:c>
      <x:c r="B250" t="str">
        <x:v>KA/068/P/4</x:v>
      </x:c>
      <x:c r="C250" t="str">
        <x:v>The Oxford Medical College, Hospital &amp; Research Centre, Bangalore</x:v>
      </x:c>
      <x:c r="D250" t="str">
        <x:v>Private</x:v>
      </x:c>
      <x:c r="E250" t="n">
        <x:v>200</x:v>
      </x:c>
      <x:c r="F250" t="n">
        <x:v>50</x:v>
      </x:c>
      <x:c r="G250" t="n">
        <x:v>250</x:v>
      </x:c>
      <x:c r="H250"/>
      <x:c r="I250" t="n">
        <x:v>0</x:v>
      </x:c>
      <x:c r="J250" t="n">
        <x:v>0</x:v>
      </x:c>
      <x:c r="K250" t="n">
        <x:v>250</x:v>
      </x:c>
      <x:c r="L250" s="20" t="n">
        <x:v>1</x:v>
      </x:c>
      <x:c r="M250" t="str">
        <x:v>Variable</x:v>
      </x:c>
      <x:c r="N250" t="str">
        <x:v>Approx. Non-MCC Pool</x:v>
      </x:c>
      <x:c r="O250" t="str">
        <x:v>Expanded 2026 capacity; state/management split to verify</x:v>
      </x:c>
      <x:c r="P250"/>
      <x:c r="Q250"/>
      <x:c r="R250"/>
      <x:c r="S250"/>
      <x:c r="T250"/>
      <x:c r="U250" t="str">
        <x:v>Pending state Round-1 allotment/cutoff data</x:v>
      </x:c>
    </x:row>
    <x:row r="251">
      <x:c r="A251" t="str">
        <x:v>Karnataka</x:v>
      </x:c>
      <x:c r="B251" t="str">
        <x:v>KA/070/P/3</x:v>
      </x:c>
      <x:c r="C251" t="str">
        <x:v>Vydehi Institute Of Medical Sciences &amp; Research Centre, Bangalore</x:v>
      </x:c>
      <x:c r="D251" t="str">
        <x:v>Private</x:v>
      </x:c>
      <x:c r="E251" t="n">
        <x:v>250</x:v>
      </x:c>
      <x:c r="F251" t="n">
        <x:v>0</x:v>
      </x:c>
      <x:c r="G251" t="n">
        <x:v>250</x:v>
      </x:c>
      <x:c r="H251"/>
      <x:c r="I251" t="n">
        <x:v>0</x:v>
      </x:c>
      <x:c r="J251" t="n">
        <x:v>0</x:v>
      </x:c>
      <x:c r="K251" t="n">
        <x:v>250</x:v>
      </x:c>
      <x:c r="L251" s="20" t="n">
        <x:v>1</x:v>
      </x:c>
      <x:c r="M251" t="str">
        <x:v>Variable</x:v>
      </x:c>
      <x:c r="N251" t="str">
        <x:v>Approx. Non-MCC Pool</x:v>
      </x:c>
      <x:c r="O251" t="str">
        <x:v>Large non-MCC pool; quota split varies by state</x:v>
      </x:c>
      <x:c r="P251"/>
      <x:c r="Q251"/>
      <x:c r="R251"/>
      <x:c r="S251"/>
      <x:c r="T251"/>
      <x:c r="U251" t="str">
        <x:v>Pending state Round-1 allotment/cutoff data</x:v>
      </x:c>
    </x:row>
    <x:row r="252">
      <x:c r="A252" t="str">
        <x:v>Karnataka</x:v>
      </x:c>
      <x:c r="B252" t="str">
        <x:v>KA/027/P/3</x:v>
      </x:c>
      <x:c r="C252" t="str">
        <x:v>JJM Medical College, Davangere</x:v>
      </x:c>
      <x:c r="D252" t="str">
        <x:v>Private</x:v>
      </x:c>
      <x:c r="E252" t="n">
        <x:v>245</x:v>
      </x:c>
      <x:c r="F252" t="n">
        <x:v>0</x:v>
      </x:c>
      <x:c r="G252" t="n">
        <x:v>245</x:v>
      </x:c>
      <x:c r="H252"/>
      <x:c r="I252" t="n">
        <x:v>0</x:v>
      </x:c>
      <x:c r="J252" t="n">
        <x:v>0</x:v>
      </x:c>
      <x:c r="K252" t="n">
        <x:v>245</x:v>
      </x:c>
      <x:c r="L252" s="20" t="n">
        <x:v>1</x:v>
      </x:c>
      <x:c r="M252" t="str">
        <x:v>Variable</x:v>
      </x:c>
      <x:c r="N252" t="str">
        <x:v>Approx. Non-MCC Pool</x:v>
      </x:c>
      <x:c r="O252" t="str">
        <x:v>Large non-MCC pool; quota split varies by state</x:v>
      </x:c>
      <x:c r="P252"/>
      <x:c r="Q252"/>
      <x:c r="R252"/>
      <x:c r="S252"/>
      <x:c r="T252"/>
      <x:c r="U252" t="str">
        <x:v>Pending state Round-1 allotment/cutoff data</x:v>
      </x:c>
    </x:row>
    <x:row r="253">
      <x:c r="A253" t="str">
        <x:v>Karnataka</x:v>
      </x:c>
      <x:c r="B253" t="str">
        <x:v>KA/016/P/3</x:v>
      </x:c>
      <x:c r="C253" t="str">
        <x:v>Dr. Chandramma Dayananda Sagar Instt. of Medical Education &amp; Research, Harohalli, Hubli</x:v>
      </x:c>
      <x:c r="D253" t="str">
        <x:v>Private</x:v>
      </x:c>
      <x:c r="E253" t="n">
        <x:v>200</x:v>
      </x:c>
      <x:c r="F253" t="n">
        <x:v>0</x:v>
      </x:c>
      <x:c r="G253" t="n">
        <x:v>200</x:v>
      </x:c>
      <x:c r="H253"/>
      <x:c r="I253" t="n">
        <x:v>0</x:v>
      </x:c>
      <x:c r="J253" t="n">
        <x:v>0</x:v>
      </x:c>
      <x:c r="K253" t="n">
        <x:v>200</x:v>
      </x:c>
      <x:c r="L253" s="20" t="n">
        <x:v>1</x:v>
      </x:c>
      <x:c r="M253" t="str">
        <x:v>Variable</x:v>
      </x:c>
      <x:c r="N253" t="str">
        <x:v>Approx. Non-MCC Pool</x:v>
      </x:c>
      <x:c r="O253" t="str">
        <x:v>Large non-MCC pool; quota split varies by state</x:v>
      </x:c>
      <x:c r="P253"/>
      <x:c r="Q253"/>
      <x:c r="R253"/>
      <x:c r="S253"/>
      <x:c r="T253"/>
      <x:c r="U253" t="str">
        <x:v>Pending state Round-1 allotment/cutoff data</x:v>
      </x:c>
    </x:row>
    <x:row r="254">
      <x:c r="A254" t="str">
        <x:v>Karnataka</x:v>
      </x:c>
      <x:c r="B254" t="str">
        <x:v>KA/041/P/3</x:v>
      </x:c>
      <x:c r="C254" t="str">
        <x:v>M S Ramaiah Medical College, Bangalore</x:v>
      </x:c>
      <x:c r="D254" t="str">
        <x:v>Private</x:v>
      </x:c>
      <x:c r="E254" t="n">
        <x:v>150</x:v>
      </x:c>
      <x:c r="F254" t="n">
        <x:v>50</x:v>
      </x:c>
      <x:c r="G254" t="n">
        <x:v>200</x:v>
      </x:c>
      <x:c r="H254"/>
      <x:c r="I254" t="n">
        <x:v>0</x:v>
      </x:c>
      <x:c r="J254" t="n">
        <x:v>0</x:v>
      </x:c>
      <x:c r="K254" t="n">
        <x:v>200</x:v>
      </x:c>
      <x:c r="L254" s="20" t="n">
        <x:v>1</x:v>
      </x:c>
      <x:c r="M254" t="str">
        <x:v>Variable</x:v>
      </x:c>
      <x:c r="N254" t="str">
        <x:v>Approx. Non-MCC Pool</x:v>
      </x:c>
      <x:c r="O254" t="str">
        <x:v>Expanded 2026 capacity; state/management split to verify</x:v>
      </x:c>
      <x:c r="P254"/>
      <x:c r="Q254"/>
      <x:c r="R254"/>
      <x:c r="S254"/>
      <x:c r="T254"/>
      <x:c r="U254" t="str">
        <x:v>Pending state Round-1 allotment/cutoff data</x:v>
      </x:c>
    </x:row>
    <x:row r="255">
      <x:c r="A255" t="str">
        <x:v>Karnataka</x:v>
      </x:c>
      <x:c r="B255" t="str">
        <x:v>KA/060/P/3</x:v>
      </x:c>
      <x:c r="C255" t="str">
        <x:v>Sri Chamundeshwari Medical College Hospital &amp; Research Institute</x:v>
      </x:c>
      <x:c r="D255" t="str">
        <x:v>Private</x:v>
      </x:c>
      <x:c r="E255" t="n">
        <x:v>150</x:v>
      </x:c>
      <x:c r="F255" t="n">
        <x:v>50</x:v>
      </x:c>
      <x:c r="G255" t="n">
        <x:v>200</x:v>
      </x:c>
      <x:c r="H255"/>
      <x:c r="I255" t="n">
        <x:v>0</x:v>
      </x:c>
      <x:c r="J255" t="n">
        <x:v>0</x:v>
      </x:c>
      <x:c r="K255" t="n">
        <x:v>200</x:v>
      </x:c>
      <x:c r="L255" s="20" t="n">
        <x:v>1</x:v>
      </x:c>
      <x:c r="M255" t="str">
        <x:v>Variable</x:v>
      </x:c>
      <x:c r="N255" t="str">
        <x:v>Approx. Non-MCC Pool</x:v>
      </x:c>
      <x:c r="O255" t="str">
        <x:v>Expanded 2026 capacity; state/management split to verify</x:v>
      </x:c>
      <x:c r="P255"/>
      <x:c r="Q255"/>
      <x:c r="R255"/>
      <x:c r="S255"/>
      <x:c r="T255"/>
      <x:c r="U255" t="str">
        <x:v>Pending state Round-1 allotment/cutoff data</x:v>
      </x:c>
    </x:row>
    <x:row r="256">
      <x:c r="A256" t="str">
        <x:v>Karnataka</x:v>
      </x:c>
      <x:c r="B256" t="str">
        <x:v>KA/004/P/3</x:v>
      </x:c>
      <x:c r="C256" t="str">
        <x:v>Al-Ameen Medical College, Bijapur</x:v>
      </x:c>
      <x:c r="D256" t="str">
        <x:v>Private</x:v>
      </x:c>
      <x:c r="E256" t="n">
        <x:v>150</x:v>
      </x:c>
      <x:c r="F256" t="n">
        <x:v>0</x:v>
      </x:c>
      <x:c r="G256" t="n">
        <x:v>150</x:v>
      </x:c>
      <x:c r="H256"/>
      <x:c r="I256" t="n">
        <x:v>0</x:v>
      </x:c>
      <x:c r="J256" t="n">
        <x:v>0</x:v>
      </x:c>
      <x:c r="K256" t="n">
        <x:v>150</x:v>
      </x:c>
      <x:c r="L256" s="20" t="n">
        <x:v>1</x:v>
      </x:c>
      <x:c r="M256" t="str">
        <x:v>Variable</x:v>
      </x:c>
      <x:c r="N256" t="str">
        <x:v>Approx. Non-MCC Pool</x:v>
      </x:c>
      <x:c r="O256" t="str">
        <x:v>Large non-MCC pool; quota split varies by state</x:v>
      </x:c>
      <x:c r="P256"/>
      <x:c r="Q256"/>
      <x:c r="R256"/>
      <x:c r="S256"/>
      <x:c r="T256"/>
      <x:c r="U256" t="str">
        <x:v>Pending state Round-1 allotment/cutoff data</x:v>
      </x:c>
    </x:row>
    <x:row r="257">
      <x:c r="A257" t="str">
        <x:v>Karnataka</x:v>
      </x:c>
      <x:c r="B257" t="str">
        <x:v>KA/006/P/4</x:v>
      </x:c>
      <x:c r="C257" t="str">
        <x:v>Basaveswara Medical College and Hospital, Chitradurga</x:v>
      </x:c>
      <x:c r="D257" t="str">
        <x:v>Private</x:v>
      </x:c>
      <x:c r="E257" t="n">
        <x:v>150</x:v>
      </x:c>
      <x:c r="F257" t="n">
        <x:v>0</x:v>
      </x:c>
      <x:c r="G257" t="n">
        <x:v>150</x:v>
      </x:c>
      <x:c r="H257"/>
      <x:c r="I257" t="n">
        <x:v>0</x:v>
      </x:c>
      <x:c r="J257" t="n">
        <x:v>0</x:v>
      </x:c>
      <x:c r="K257" t="n">
        <x:v>150</x:v>
      </x:c>
      <x:c r="L257" s="20" t="n">
        <x:v>1</x:v>
      </x:c>
      <x:c r="M257" t="str">
        <x:v>Variable</x:v>
      </x:c>
      <x:c r="N257" t="str">
        <x:v>Approx. Non-MCC Pool</x:v>
      </x:c>
      <x:c r="O257" t="str">
        <x:v>Large non-MCC pool; quota split varies by state</x:v>
      </x:c>
      <x:c r="P257"/>
      <x:c r="Q257"/>
      <x:c r="R257"/>
      <x:c r="S257"/>
      <x:c r="T257"/>
      <x:c r="U257" t="str">
        <x:v>Pending state Round-1 allotment/cutoff data</x:v>
      </x:c>
    </x:row>
    <x:row r="258">
      <x:c r="A258" t="str">
        <x:v>Karnataka</x:v>
      </x:c>
      <x:c r="B258" t="str">
        <x:v>KA/015/P/3</x:v>
      </x:c>
      <x:c r="C258" t="str">
        <x:v>Dr BR Ambedkar Medical College, Bangalore</x:v>
      </x:c>
      <x:c r="D258" t="str">
        <x:v>Private</x:v>
      </x:c>
      <x:c r="E258" t="n">
        <x:v>150</x:v>
      </x:c>
      <x:c r="F258" t="n">
        <x:v>0</x:v>
      </x:c>
      <x:c r="G258" t="n">
        <x:v>150</x:v>
      </x:c>
      <x:c r="H258"/>
      <x:c r="I258" t="n">
        <x:v>0</x:v>
      </x:c>
      <x:c r="J258" t="n">
        <x:v>0</x:v>
      </x:c>
      <x:c r="K258" t="n">
        <x:v>150</x:v>
      </x:c>
      <x:c r="L258" s="20" t="n">
        <x:v>1</x:v>
      </x:c>
      <x:c r="M258" t="str">
        <x:v>Variable</x:v>
      </x:c>
      <x:c r="N258" t="str">
        <x:v>Approx. Non-MCC Pool</x:v>
      </x:c>
      <x:c r="O258" t="str">
        <x:v>Large non-MCC pool; quota split varies by state</x:v>
      </x:c>
      <x:c r="P258"/>
      <x:c r="Q258"/>
      <x:c r="R258"/>
      <x:c r="S258"/>
      <x:c r="T258"/>
      <x:c r="U258" t="str">
        <x:v>Pending state Round-1 allotment/cutoff data</x:v>
      </x:c>
    </x:row>
    <x:row r="259">
      <x:c r="A259" t="str">
        <x:v>Karnataka</x:v>
      </x:c>
      <x:c r="B259" t="str">
        <x:v>KA/020/P/5</x:v>
      </x:c>
      <x:c r="C259" t="str">
        <x:v>FAROOKH ACADEMY OF MEDICAL EDUCATION HOSPITAL AND RESEARCH INSTITUTE</x:v>
      </x:c>
      <x:c r="D259" t="str">
        <x:v>Private</x:v>
      </x:c>
      <x:c r="E259" t="n">
        <x:v>100</x:v>
      </x:c>
      <x:c r="F259" t="n">
        <x:v>50</x:v>
      </x:c>
      <x:c r="G259" t="n">
        <x:v>150</x:v>
      </x:c>
      <x:c r="H259"/>
      <x:c r="I259" t="n">
        <x:v>0</x:v>
      </x:c>
      <x:c r="J259" t="n">
        <x:v>0</x:v>
      </x:c>
      <x:c r="K259" t="n">
        <x:v>150</x:v>
      </x:c>
      <x:c r="L259" s="20" t="n">
        <x:v>1</x:v>
      </x:c>
      <x:c r="M259" t="str">
        <x:v>Variable</x:v>
      </x:c>
      <x:c r="N259" t="str">
        <x:v>Approx. Non-MCC Pool</x:v>
      </x:c>
      <x:c r="O259" t="str">
        <x:v>Expanded 2026 capacity; state/management split to verify</x:v>
      </x:c>
      <x:c r="P259"/>
      <x:c r="Q259"/>
      <x:c r="R259"/>
      <x:c r="S259"/>
      <x:c r="T259"/>
      <x:c r="U259" t="str">
        <x:v>Pending state Round-1 allotment/cutoff data</x:v>
      </x:c>
    </x:row>
    <x:row r="260">
      <x:c r="A260" t="str">
        <x:v>Karnataka</x:v>
      </x:c>
      <x:c r="B260" t="str">
        <x:v>KA/021/P/4</x:v>
      </x:c>
      <x:c r="C260" t="str">
        <x:v>Father Mullers Medical College, Mangalore</x:v>
      </x:c>
      <x:c r="D260" t="str">
        <x:v>Private</x:v>
      </x:c>
      <x:c r="E260" t="n">
        <x:v>150</x:v>
      </x:c>
      <x:c r="F260" t="n">
        <x:v>0</x:v>
      </x:c>
      <x:c r="G260" t="n">
        <x:v>150</x:v>
      </x:c>
      <x:c r="H260"/>
      <x:c r="I260" t="n">
        <x:v>0</x:v>
      </x:c>
      <x:c r="J260" t="n">
        <x:v>0</x:v>
      </x:c>
      <x:c r="K260" t="n">
        <x:v>150</x:v>
      </x:c>
      <x:c r="L260" s="20" t="n">
        <x:v>1</x:v>
      </x:c>
      <x:c r="M260" t="str">
        <x:v>Variable</x:v>
      </x:c>
      <x:c r="N260" t="str">
        <x:v>Approx. Non-MCC Pool</x:v>
      </x:c>
      <x:c r="O260" t="str">
        <x:v>Large non-MCC pool; quota split varies by state</x:v>
      </x:c>
      <x:c r="P260"/>
      <x:c r="Q260"/>
      <x:c r="R260"/>
      <x:c r="S260"/>
      <x:c r="T260"/>
      <x:c r="U260" t="str">
        <x:v>Pending state Round-1 allotment/cutoff data</x:v>
      </x:c>
    </x:row>
    <x:row r="261">
      <x:c r="A261" t="str">
        <x:v>Karnataka</x:v>
      </x:c>
      <x:c r="B261" t="str">
        <x:v>KA/073/T/3</x:v>
      </x:c>
      <x:c r="C261" t="str">
        <x:v>G R Medical College Hospital &amp; Research Centre</x:v>
      </x:c>
      <x:c r="D261" t="str">
        <x:v>Private</x:v>
      </x:c>
      <x:c r="E261" t="n">
        <x:v>150</x:v>
      </x:c>
      <x:c r="F261" t="n">
        <x:v>0</x:v>
      </x:c>
      <x:c r="G261" t="n">
        <x:v>150</x:v>
      </x:c>
      <x:c r="H261"/>
      <x:c r="I261" t="n">
        <x:v>0</x:v>
      </x:c>
      <x:c r="J261" t="n">
        <x:v>0</x:v>
      </x:c>
      <x:c r="K261" t="n">
        <x:v>150</x:v>
      </x:c>
      <x:c r="L261" s="20" t="n">
        <x:v>1</x:v>
      </x:c>
      <x:c r="M261" t="str">
        <x:v>Variable</x:v>
      </x:c>
      <x:c r="N261" t="str">
        <x:v>Approx. Non-MCC Pool</x:v>
      </x:c>
      <x:c r="O261" t="str">
        <x:v>Large non-MCC pool; quota split varies by state</x:v>
      </x:c>
      <x:c r="P261"/>
      <x:c r="Q261"/>
      <x:c r="R261"/>
      <x:c r="S261"/>
      <x:c r="T261"/>
      <x:c r="U261" t="str">
        <x:v>Pending state Round-1 allotment/cutoff data</x:v>
      </x:c>
    </x:row>
    <x:row r="262">
      <x:c r="A262" t="str">
        <x:v>Karnataka</x:v>
      </x:c>
      <x:c r="B262" t="str">
        <x:v>KA/030/P/3</x:v>
      </x:c>
      <x:c r="C262" t="str">
        <x:v>K V G Medical College, Sullia</x:v>
      </x:c>
      <x:c r="D262" t="str">
        <x:v>Private</x:v>
      </x:c>
      <x:c r="E262" t="n">
        <x:v>150</x:v>
      </x:c>
      <x:c r="F262" t="n">
        <x:v>0</x:v>
      </x:c>
      <x:c r="G262" t="n">
        <x:v>150</x:v>
      </x:c>
      <x:c r="H262"/>
      <x:c r="I262" t="n">
        <x:v>0</x:v>
      </x:c>
      <x:c r="J262" t="n">
        <x:v>0</x:v>
      </x:c>
      <x:c r="K262" t="n">
        <x:v>150</x:v>
      </x:c>
      <x:c r="L262" s="20" t="n">
        <x:v>1</x:v>
      </x:c>
      <x:c r="M262" t="str">
        <x:v>Variable</x:v>
      </x:c>
      <x:c r="N262" t="str">
        <x:v>Approx. Non-MCC Pool</x:v>
      </x:c>
      <x:c r="O262" t="str">
        <x:v>Large non-MCC pool; quota split varies by state</x:v>
      </x:c>
      <x:c r="P262"/>
      <x:c r="Q262"/>
      <x:c r="R262"/>
      <x:c r="S262"/>
      <x:c r="T262"/>
      <x:c r="U262" t="str">
        <x:v>Pending state Round-1 allotment/cutoff data</x:v>
      </x:c>
    </x:row>
    <x:row r="263">
      <x:c r="A263" t="str">
        <x:v>Karnataka</x:v>
      </x:c>
      <x:c r="B263" t="str">
        <x:v>KA/038/P/4</x:v>
      </x:c>
      <x:c r="C263" t="str">
        <x:v>Khaja Bandanawaz University - Faculty of Medical Sciences, Gulbarga</x:v>
      </x:c>
      <x:c r="D263" t="str">
        <x:v>Private</x:v>
      </x:c>
      <x:c r="E263" t="n">
        <x:v>150</x:v>
      </x:c>
      <x:c r="F263" t="n">
        <x:v>0</x:v>
      </x:c>
      <x:c r="G263" t="n">
        <x:v>150</x:v>
      </x:c>
      <x:c r="H263"/>
      <x:c r="I263" t="n">
        <x:v>0</x:v>
      </x:c>
      <x:c r="J263" t="n">
        <x:v>0</x:v>
      </x:c>
      <x:c r="K263" t="n">
        <x:v>150</x:v>
      </x:c>
      <x:c r="L263" s="20" t="n">
        <x:v>1</x:v>
      </x:c>
      <x:c r="M263" t="str">
        <x:v>Variable</x:v>
      </x:c>
      <x:c r="N263" t="str">
        <x:v>Approx. Non-MCC Pool</x:v>
      </x:c>
      <x:c r="O263" t="str">
        <x:v>Large non-MCC pool; quota split varies by state</x:v>
      </x:c>
      <x:c r="P263"/>
      <x:c r="Q263"/>
      <x:c r="R263"/>
      <x:c r="S263"/>
      <x:c r="T263"/>
      <x:c r="U263" t="str">
        <x:v>Pending state Round-1 allotment/cutoff data</x:v>
      </x:c>
    </x:row>
    <x:row r="264">
      <x:c r="A264" t="str">
        <x:v>Karnataka</x:v>
      </x:c>
      <x:c r="B264" t="str">
        <x:v>KA/053/P/4</x:v>
      </x:c>
      <x:c r="C264" t="str">
        <x:v>SDM College of Medical Sciences &amp; Hospital, Sattur, Dharwad</x:v>
      </x:c>
      <x:c r="D264" t="str">
        <x:v>Private</x:v>
      </x:c>
      <x:c r="E264" t="n">
        <x:v>150</x:v>
      </x:c>
      <x:c r="F264" t="n">
        <x:v>0</x:v>
      </x:c>
      <x:c r="G264" t="n">
        <x:v>150</x:v>
      </x:c>
      <x:c r="H264"/>
      <x:c r="I264" t="n">
        <x:v>0</x:v>
      </x:c>
      <x:c r="J264" t="n">
        <x:v>0</x:v>
      </x:c>
      <x:c r="K264" t="n">
        <x:v>150</x:v>
      </x:c>
      <x:c r="L264" s="20" t="n">
        <x:v>1</x:v>
      </x:c>
      <x:c r="M264" t="str">
        <x:v>Variable</x:v>
      </x:c>
      <x:c r="N264" t="str">
        <x:v>Approx. Non-MCC Pool</x:v>
      </x:c>
      <x:c r="O264" t="str">
        <x:v>Large non-MCC pool; quota split varies by state</x:v>
      </x:c>
      <x:c r="P264"/>
      <x:c r="Q264"/>
      <x:c r="R264"/>
      <x:c r="S264"/>
      <x:c r="T264"/>
      <x:c r="U264" t="str">
        <x:v>Pending state Round-1 allotment/cutoff data</x:v>
      </x:c>
    </x:row>
    <x:row r="265">
      <x:c r="A265" t="str">
        <x:v>Karnataka</x:v>
      </x:c>
      <x:c r="B265" t="str">
        <x:v>KA/066/P/4</x:v>
      </x:c>
      <x:c r="C265" t="str">
        <x:v>St. Johns Medical College, Bangalore</x:v>
      </x:c>
      <x:c r="D265" t="str">
        <x:v>Private</x:v>
      </x:c>
      <x:c r="E265" t="n">
        <x:v>150</x:v>
      </x:c>
      <x:c r="F265" t="n">
        <x:v>0</x:v>
      </x:c>
      <x:c r="G265" t="n">
        <x:v>150</x:v>
      </x:c>
      <x:c r="H265"/>
      <x:c r="I265" t="n">
        <x:v>0</x:v>
      </x:c>
      <x:c r="J265" t="n">
        <x:v>0</x:v>
      </x:c>
      <x:c r="K265" t="n">
        <x:v>150</x:v>
      </x:c>
      <x:c r="L265" s="20" t="n">
        <x:v>1</x:v>
      </x:c>
      <x:c r="M265" t="str">
        <x:v>Variable</x:v>
      </x:c>
      <x:c r="N265" t="str">
        <x:v>Approx. Non-MCC Pool</x:v>
      </x:c>
      <x:c r="O265" t="str">
        <x:v>Large non-MCC pool; quota split varies by state</x:v>
      </x:c>
      <x:c r="P265"/>
      <x:c r="Q265"/>
      <x:c r="R265"/>
      <x:c r="S265"/>
      <x:c r="T265"/>
      <x:c r="U265" t="str">
        <x:v>Pending state Round-1 allotment/cutoff data</x:v>
      </x:c>
    </x:row>
    <x:row r="266">
      <x:c r="A266" t="str">
        <x:v>Karnataka</x:v>
      </x:c>
      <x:c r="B266" t="str">
        <x:v>New Establishment</x:v>
      </x:c>
      <x:c r="C266" t="str">
        <x:v>ALVA'S INSTITUTE OF MEDICAL SCIENCES AND RESEARCH CENTRE</x:v>
      </x:c>
      <x:c r="D266" t="str">
        <x:v>Private</x:v>
      </x:c>
      <x:c r="E266" t="n">
        <x:v>0</x:v>
      </x:c>
      <x:c r="F266" t="n">
        <x:v>150</x:v>
      </x:c>
      <x:c r="G266" t="n">
        <x:v>150</x:v>
      </x:c>
      <x:c r="H266" t="str">
        <x:v>904744</x:v>
      </x:c>
      <x:c r="I266" t="n">
        <x:v>15</x:v>
      </x:c>
      <x:c r="J266" t="n">
        <x:v>15</x:v>
      </x:c>
      <x:c r="K266" t="n">
        <x:v>135</x:v>
      </x:c>
      <x:c r="L266" s="20" t="n">
        <x:v>0.9</x:v>
      </x:c>
      <x:c r="M266" t="str">
        <x:v>Variable</x:v>
      </x:c>
      <x:c r="N266" t="str">
        <x:v>Approx. Non-MCC Pool</x:v>
      </x:c>
      <x:c r="O266" t="str">
        <x:v>Expanded 2026 capacity; state/management split to verify</x:v>
      </x:c>
      <x:c r="P266" t="n">
        <x:v>19127</x:v>
      </x:c>
      <x:c r="Q266" t="n">
        <x:v>22142</x:v>
      </x:c>
      <x:c r="R266" t="n">
        <x:v>21393</x:v>
      </x:c>
      <x:c r="S266" t="n">
        <x:v>82876</x:v>
      </x:c>
      <x:c r="T266" t="n">
        <x:v>72645</x:v>
      </x:c>
      <x:c r="U266" t="str">
        <x:v>Pending state Round-1 allotment/cutoff data</x:v>
      </x:c>
    </x:row>
    <x:row r="267">
      <x:c r="A267" t="str">
        <x:v>Karnataka</x:v>
      </x:c>
      <x:c r="B267" t="str">
        <x:v>KA/059/P/3</x:v>
      </x:c>
      <x:c r="C267" t="str">
        <x:v>SR Patil Medical College and Hospital Distt Bagalkot</x:v>
      </x:c>
      <x:c r="D267" t="str">
        <x:v>Private</x:v>
      </x:c>
      <x:c r="E267" t="n">
        <x:v>100</x:v>
      </x:c>
      <x:c r="F267" t="n">
        <x:v>0</x:v>
      </x:c>
      <x:c r="G267" t="n">
        <x:v>100</x:v>
      </x:c>
      <x:c r="H267"/>
      <x:c r="I267" t="n">
        <x:v>0</x:v>
      </x:c>
      <x:c r="J267" t="n">
        <x:v>0</x:v>
      </x:c>
      <x:c r="K267" t="n">
        <x:v>100</x:v>
      </x:c>
      <x:c r="L267" s="20" t="n">
        <x:v>1</x:v>
      </x:c>
      <x:c r="M267" t="str">
        <x:v>Variable</x:v>
      </x:c>
      <x:c r="N267" t="str">
        <x:v>Approx. Non-MCC Pool</x:v>
      </x:c>
      <x:c r="O267" t="str">
        <x:v>State/management/NRI split must be verified</x:v>
      </x:c>
      <x:c r="P267"/>
      <x:c r="Q267"/>
      <x:c r="R267"/>
      <x:c r="S267"/>
      <x:c r="T267"/>
      <x:c r="U267" t="str">
        <x:v>Pending state Round-1 allotment/cutoff data</x:v>
      </x:c>
    </x:row>
    <x:row r="268">
      <x:c r="A268" t="str">
        <x:v>Karnataka</x:v>
      </x:c>
      <x:c r="B268" t="str">
        <x:v>New Establishment</x:v>
      </x:c>
      <x:c r="C268" t="str">
        <x:v>Chettinad Institute of Medical Education and Research</x:v>
      </x:c>
      <x:c r="D268" t="str">
        <x:v>Private</x:v>
      </x:c>
      <x:c r="E268" t="n">
        <x:v>0</x:v>
      </x:c>
      <x:c r="F268" t="n">
        <x:v>100</x:v>
      </x:c>
      <x:c r="G268" t="n">
        <x:v>100</x:v>
      </x:c>
      <x:c r="H268" t="str">
        <x:v>904744</x:v>
      </x:c>
      <x:c r="I268" t="n">
        <x:v>15</x:v>
      </x:c>
      <x:c r="J268" t="n">
        <x:v>15</x:v>
      </x:c>
      <x:c r="K268" t="n">
        <x:v>85</x:v>
      </x:c>
      <x:c r="L268" s="20" t="n">
        <x:v>0.85</x:v>
      </x:c>
      <x:c r="M268" t="str">
        <x:v>Variable</x:v>
      </x:c>
      <x:c r="N268" t="str">
        <x:v>Approx. Non-MCC Pool</x:v>
      </x:c>
      <x:c r="O268" t="str">
        <x:v>Expanded 2026 capacity; state/management split to verify</x:v>
      </x:c>
      <x:c r="P268" t="n">
        <x:v>19127</x:v>
      </x:c>
      <x:c r="Q268" t="n">
        <x:v>22142</x:v>
      </x:c>
      <x:c r="R268" t="n">
        <x:v>21393</x:v>
      </x:c>
      <x:c r="S268" t="n">
        <x:v>82876</x:v>
      </x:c>
      <x:c r="T268" t="n">
        <x:v>72645</x:v>
      </x:c>
      <x:c r="U268" t="str">
        <x:v>Pending state Round-1 allotment/cutoff data</x:v>
      </x:c>
    </x:row>
    <x:row r="269">
      <x:c r="A269" t="str">
        <x:v>Karnataka</x:v>
      </x:c>
      <x:c r="B269" t="str">
        <x:v>KA/035/P/3</x:v>
      </x:c>
      <x:c r="C269" t="str">
        <x:v>Kasturba Medical College, Mangalore</x:v>
      </x:c>
      <x:c r="D269" t="str">
        <x:v>Private</x:v>
      </x:c>
      <x:c r="E269" t="n">
        <x:v>250</x:v>
      </x:c>
      <x:c r="F269" t="n">
        <x:v>0</x:v>
      </x:c>
      <x:c r="G269" t="n">
        <x:v>250</x:v>
      </x:c>
      <x:c r="H269" t="str">
        <x:v>200339</x:v>
      </x:c>
      <x:c r="I269" t="n">
        <x:v>198</x:v>
      </x:c>
      <x:c r="J269" t="n">
        <x:v>198</x:v>
      </x:c>
      <x:c r="K269" t="n">
        <x:v>52</x:v>
      </x:c>
      <x:c r="L269" s="20" t="n">
        <x:v>0.208</x:v>
      </x:c>
      <x:c r="M269" t="str">
        <x:v>Variable</x:v>
      </x:c>
      <x:c r="N269" t="str">
        <x:v>Approx. Non-MCC Pool</x:v>
      </x:c>
      <x:c r="O269" t="str">
        <x:v>State/management/NRI split must be verified</x:v>
      </x:c>
      <x:c r="P269" t="n">
        <x:v>114159</x:v>
      </x:c>
      <x:c r="Q269"/>
      <x:c r="R269"/>
      <x:c r="S269"/>
      <x:c r="T269"/>
      <x:c r="U269" t="str">
        <x:v>Pending state Round-1 allotment/cutoff data</x:v>
      </x:c>
    </x:row>
    <x:row r="270">
      <x:c r="A270" t="str">
        <x:v>Karnataka</x:v>
      </x:c>
      <x:c r="B270" t="str">
        <x:v>KA/062/P/3</x:v>
      </x:c>
      <x:c r="C270" t="str">
        <x:v>Sri Madhusudan Sai Institute of Medical Sciences &amp; Research, Chikballapur</x:v>
      </x:c>
      <x:c r="D270" t="str">
        <x:v>Private</x:v>
      </x:c>
      <x:c r="E270" t="n">
        <x:v>50</x:v>
      </x:c>
      <x:c r="F270" t="n">
        <x:v>0</x:v>
      </x:c>
      <x:c r="G270" t="n">
        <x:v>50</x:v>
      </x:c>
      <x:c r="H270"/>
      <x:c r="I270" t="n">
        <x:v>0</x:v>
      </x:c>
      <x:c r="J270" t="n">
        <x:v>0</x:v>
      </x:c>
      <x:c r="K270" t="n">
        <x:v>50</x:v>
      </x:c>
      <x:c r="L270" s="20" t="n">
        <x:v>1</x:v>
      </x:c>
      <x:c r="M270" t="str">
        <x:v>Variable</x:v>
      </x:c>
      <x:c r="N270" t="str">
        <x:v>Approx. Non-MCC Pool</x:v>
      </x:c>
      <x:c r="O270" t="str">
        <x:v>State/management/NRI split must be verified</x:v>
      </x:c>
      <x:c r="P270"/>
      <x:c r="Q270"/>
      <x:c r="R270"/>
      <x:c r="S270"/>
      <x:c r="T270"/>
      <x:c r="U270" t="str">
        <x:v>Pending state Round-1 allotment/cutoff data</x:v>
      </x:c>
    </x:row>
    <x:row r="271">
      <x:c r="A271" t="str">
        <x:v>Karnataka</x:v>
      </x:c>
      <x:c r="B271" t="str">
        <x:v>KA/029/P/4</x:v>
      </x:c>
      <x:c r="C271" t="str">
        <x:v>K S Hegde Medical Academy, Mangalore</x:v>
      </x:c>
      <x:c r="D271" t="str">
        <x:v>Private</x:v>
      </x:c>
      <x:c r="E271" t="n">
        <x:v>250</x:v>
      </x:c>
      <x:c r="F271" t="n">
        <x:v>0</x:v>
      </x:c>
      <x:c r="G271" t="n">
        <x:v>250</x:v>
      </x:c>
      <x:c r="H271" t="str">
        <x:v>200338</x:v>
      </x:c>
      <x:c r="I271" t="n">
        <x:v>212</x:v>
      </x:c>
      <x:c r="J271" t="n">
        <x:v>210</x:v>
      </x:c>
      <x:c r="K271" t="n">
        <x:v>38</x:v>
      </x:c>
      <x:c r="L271" s="20" t="n">
        <x:v>0.152</x:v>
      </x:c>
      <x:c r="M271" t="str">
        <x:v>Variable</x:v>
      </x:c>
      <x:c r="N271" t="str">
        <x:v>Approx. Non-MCC Pool</x:v>
      </x:c>
      <x:c r="O271" t="str">
        <x:v>State/management/NRI split must be verified</x:v>
      </x:c>
      <x:c r="P271" t="n">
        <x:v>248017</x:v>
      </x:c>
      <x:c r="Q271"/>
      <x:c r="R271"/>
      <x:c r="S271"/>
      <x:c r="T271"/>
      <x:c r="U271" t="str">
        <x:v>Pending state Round-1 allotment/cutoff data</x:v>
      </x:c>
    </x:row>
    <x:row r="272">
      <x:c r="A272" t="str">
        <x:v>Karnataka</x:v>
      </x:c>
      <x:c r="B272" t="str">
        <x:v>KA/025/P/4</x:v>
      </x:c>
      <x:c r="C272" t="str">
        <x:v>Jagadguru Gangadhar Mahaswamigalu Moorusavirmath Medical College JGMMMC</x:v>
      </x:c>
      <x:c r="D272" t="str">
        <x:v>Private</x:v>
      </x:c>
      <x:c r="E272" t="n">
        <x:v>200</x:v>
      </x:c>
      <x:c r="F272" t="n">
        <x:v>50</x:v>
      </x:c>
      <x:c r="G272" t="n">
        <x:v>250</x:v>
      </x:c>
      <x:c r="H272" t="str">
        <x:v>200536</x:v>
      </x:c>
      <x:c r="I272" t="n">
        <x:v>213</x:v>
      </x:c>
      <x:c r="J272" t="n">
        <x:v>176</x:v>
      </x:c>
      <x:c r="K272" t="n">
        <x:v>37</x:v>
      </x:c>
      <x:c r="L272" s="20" t="n">
        <x:v>0.148</x:v>
      </x:c>
      <x:c r="M272" t="str">
        <x:v>Variable</x:v>
      </x:c>
      <x:c r="N272" t="str">
        <x:v>Approx. Non-MCC Pool</x:v>
      </x:c>
      <x:c r="O272" t="str">
        <x:v>Expanded 2026 capacity; state/management split to verify</x:v>
      </x:c>
      <x:c r="P272" t="n">
        <x:v>332257</x:v>
      </x:c>
      <x:c r="Q272"/>
      <x:c r="R272"/>
      <x:c r="S272"/>
      <x:c r="T272"/>
      <x:c r="U272" t="str">
        <x:v>Pending state Round-1 allotment/cutoff data</x:v>
      </x:c>
    </x:row>
    <x:row r="273">
      <x:c r="A273" t="str">
        <x:v>Karnataka</x:v>
      </x:c>
      <x:c r="B273" t="str">
        <x:v>KA/072/P/3</x:v>
      </x:c>
      <x:c r="C273" t="str">
        <x:v>Yenepoya Medical College, Mangalore</x:v>
      </x:c>
      <x:c r="D273" t="str">
        <x:v>Private</x:v>
      </x:c>
      <x:c r="E273" t="n">
        <x:v>250</x:v>
      </x:c>
      <x:c r="F273" t="n">
        <x:v>0</x:v>
      </x:c>
      <x:c r="G273" t="n">
        <x:v>250</x:v>
      </x:c>
      <x:c r="H273" t="str">
        <x:v>200351</x:v>
      </x:c>
      <x:c r="I273" t="n">
        <x:v>213</x:v>
      </x:c>
      <x:c r="J273" t="n">
        <x:v>179</x:v>
      </x:c>
      <x:c r="K273" t="n">
        <x:v>37</x:v>
      </x:c>
      <x:c r="L273" s="20" t="n">
        <x:v>0.148</x:v>
      </x:c>
      <x:c r="M273" t="str">
        <x:v>Variable</x:v>
      </x:c>
      <x:c r="N273" t="str">
        <x:v>Approx. Non-MCC Pool</x:v>
      </x:c>
      <x:c r="O273" t="str">
        <x:v>State/management/NRI split must be verified</x:v>
      </x:c>
      <x:c r="P273" t="n">
        <x:v>312359</x:v>
      </x:c>
      <x:c r="Q273"/>
      <x:c r="R273"/>
      <x:c r="S273"/>
      <x:c r="T273"/>
      <x:c r="U273" t="str">
        <x:v>Pending state Round-1 allotment/cutoff data</x:v>
      </x:c>
    </x:row>
    <x:row r="274">
      <x:c r="A274" t="str">
        <x:v>Karnataka</x:v>
      </x:c>
      <x:c r="B274" t="str">
        <x:v>KA/028/P/4</x:v>
      </x:c>
      <x:c r="C274" t="str">
        <x:v>JSS Medical College, Mysore</x:v>
      </x:c>
      <x:c r="D274" t="str">
        <x:v>Private</x:v>
      </x:c>
      <x:c r="E274" t="n">
        <x:v>250</x:v>
      </x:c>
      <x:c r="F274" t="n">
        <x:v>0</x:v>
      </x:c>
      <x:c r="G274" t="n">
        <x:v>250</x:v>
      </x:c>
      <x:c r="H274" t="str">
        <x:v>200337</x:v>
      </x:c>
      <x:c r="I274" t="n">
        <x:v>237</x:v>
      </x:c>
      <x:c r="J274" t="n">
        <x:v>213</x:v>
      </x:c>
      <x:c r="K274" t="n">
        <x:v>13</x:v>
      </x:c>
      <x:c r="L274" s="20" t="n">
        <x:v>0.052</x:v>
      </x:c>
      <x:c r="M274" t="str">
        <x:v>Variable</x:v>
      </x:c>
      <x:c r="N274" t="str">
        <x:v>Approx. Non-MCC Pool</x:v>
      </x:c>
      <x:c r="O274" t="str">
        <x:v>State/management/NRI split must be verified</x:v>
      </x:c>
      <x:c r="P274" t="n">
        <x:v>150459</x:v>
      </x:c>
      <x:c r="Q274"/>
      <x:c r="R274"/>
      <x:c r="S274"/>
      <x:c r="T274"/>
      <x:c r="U274" t="str">
        <x:v>Pending state Round-1 allotment/cutoff data</x:v>
      </x:c>
    </x:row>
    <x:row r="275">
      <x:c r="A275" t="str">
        <x:v>Karnataka</x:v>
      </x:c>
      <x:c r="B275" t="str">
        <x:v>KA/026/P/4</x:v>
      </x:c>
      <x:c r="C275" t="str">
        <x:v>Jawaharlal Nehru Medical College, Belgaum</x:v>
      </x:c>
      <x:c r="D275" t="str">
        <x:v>Private</x:v>
      </x:c>
      <x:c r="E275" t="n">
        <x:v>250</x:v>
      </x:c>
      <x:c r="F275" t="n">
        <x:v>0</x:v>
      </x:c>
      <x:c r="G275" t="n">
        <x:v>250</x:v>
      </x:c>
      <x:c r="H275" t="str">
        <x:v>200335</x:v>
      </x:c>
      <x:c r="I275" t="n">
        <x:v>238</x:v>
      </x:c>
      <x:c r="J275" t="n">
        <x:v>209</x:v>
      </x:c>
      <x:c r="K275" t="n">
        <x:v>12</x:v>
      </x:c>
      <x:c r="L275" s="20" t="n">
        <x:v>0.048</x:v>
      </x:c>
      <x:c r="M275" t="str">
        <x:v>Variable</x:v>
      </x:c>
      <x:c r="N275" t="str">
        <x:v>Approx. Non-MCC Pool</x:v>
      </x:c>
      <x:c r="O275" t="str">
        <x:v>State/management/NRI split must be verified</x:v>
      </x:c>
      <x:c r="P275" t="n">
        <x:v>163637</x:v>
      </x:c>
      <x:c r="Q275"/>
      <x:c r="R275"/>
      <x:c r="S275"/>
      <x:c r="T275"/>
      <x:c r="U275" t="str">
        <x:v>Pending state Round-1 allotment/cutoff data</x:v>
      </x:c>
    </x:row>
    <x:row r="276">
      <x:c r="A276" t="str">
        <x:v>Karnataka</x:v>
      </x:c>
      <x:c r="B276" t="str">
        <x:v>KA/036/P/3</x:v>
      </x:c>
      <x:c r="C276" t="str">
        <x:v>Kasturba Medical College, Manipal</x:v>
      </x:c>
      <x:c r="D276" t="str">
        <x:v>Private</x:v>
      </x:c>
      <x:c r="E276" t="n">
        <x:v>250</x:v>
      </x:c>
      <x:c r="F276" t="n">
        <x:v>0</x:v>
      </x:c>
      <x:c r="G276" t="n">
        <x:v>250</x:v>
      </x:c>
      <x:c r="H276" t="str">
        <x:v>200340</x:v>
      </x:c>
      <x:c r="I276" t="n">
        <x:v>250</x:v>
      </x:c>
      <x:c r="J276" t="n">
        <x:v>250</x:v>
      </x:c>
      <x:c r="K276" t="n">
        <x:v>0</x:v>
      </x:c>
      <x:c r="L276" s="20" t="n">
        <x:v>0</x:v>
      </x:c>
      <x:c r="M276" t="str">
        <x:v>Variable</x:v>
      </x:c>
      <x:c r="N276" t="str">
        <x:v>Approx. Non-MCC Pool</x:v>
      </x:c>
      <x:c r="O276" t="str">
        <x:v>State/management/NRI split must be verified</x:v>
      </x:c>
      <x:c r="P276" t="n">
        <x:v>92098</x:v>
      </x:c>
      <x:c r="Q276"/>
      <x:c r="R276"/>
      <x:c r="S276"/>
      <x:c r="T276"/>
      <x:c r="U276" t="str">
        <x:v>Pending state Round-1 allotment/cutoff data</x:v>
      </x:c>
    </x:row>
    <x:row r="277">
      <x:c r="A277" t="str">
        <x:v>Karnataka</x:v>
      </x:c>
      <x:c r="B277" t="str">
        <x:v>KA/049/P/3</x:v>
      </x:c>
      <x:c r="C277" t="str">
        <x:v>Raja Rajeswari Medical College &amp; Hospital, Bangalore</x:v>
      </x:c>
      <x:c r="D277" t="str">
        <x:v>Private</x:v>
      </x:c>
      <x:c r="E277" t="n">
        <x:v>250</x:v>
      </x:c>
      <x:c r="F277" t="n">
        <x:v>0</x:v>
      </x:c>
      <x:c r="G277" t="n">
        <x:v>250</x:v>
      </x:c>
      <x:c r="H277" t="str">
        <x:v>200469</x:v>
      </x:c>
      <x:c r="I277" t="n">
        <x:v>250</x:v>
      </x:c>
      <x:c r="J277" t="n">
        <x:v>216</x:v>
      </x:c>
      <x:c r="K277" t="n">
        <x:v>0</x:v>
      </x:c>
      <x:c r="L277" s="20" t="n">
        <x:v>0</x:v>
      </x:c>
      <x:c r="M277" t="str">
        <x:v>Variable</x:v>
      </x:c>
      <x:c r="N277" t="str">
        <x:v>Approx. Non-MCC Pool</x:v>
      </x:c>
      <x:c r="O277" t="str">
        <x:v>State/management/NRI split must be verified</x:v>
      </x:c>
      <x:c r="P277" t="n">
        <x:v>383008</x:v>
      </x:c>
      <x:c r="Q277"/>
      <x:c r="R277"/>
      <x:c r="S277"/>
      <x:c r="T277"/>
      <x:c r="U277" t="str">
        <x:v>Pending state Round-1 allotment/cutoff data</x:v>
      </x:c>
    </x:row>
    <x:row r="278">
      <x:c r="A278" t="str">
        <x:v>Karnataka</x:v>
      </x:c>
      <x:c r="B278" t="str">
        <x:v>KA/056/P/4</x:v>
      </x:c>
      <x:c r="C278" t="str">
        <x:v>Shri B M Patil Medical College, Hospital &amp; Research Centre, Vijayapura (Bijapur</x:v>
      </x:c>
      <x:c r="D278" t="str">
        <x:v>Private</x:v>
      </x:c>
      <x:c r="E278" t="n">
        <x:v>250</x:v>
      </x:c>
      <x:c r="F278" t="n">
        <x:v>0</x:v>
      </x:c>
      <x:c r="G278" t="n">
        <x:v>250</x:v>
      </x:c>
      <x:c r="H278" t="str">
        <x:v>200346</x:v>
      </x:c>
      <x:c r="I278" t="n">
        <x:v>250</x:v>
      </x:c>
      <x:c r="J278" t="n">
        <x:v>230</x:v>
      </x:c>
      <x:c r="K278" t="n">
        <x:v>0</x:v>
      </x:c>
      <x:c r="L278" s="20" t="n">
        <x:v>0</x:v>
      </x:c>
      <x:c r="M278" t="str">
        <x:v>Variable</x:v>
      </x:c>
      <x:c r="N278" t="str">
        <x:v>Approx. Non-MCC Pool</x:v>
      </x:c>
      <x:c r="O278" t="str">
        <x:v>State/management/NRI split must be verified</x:v>
      </x:c>
      <x:c r="P278" t="n">
        <x:v>226460</x:v>
      </x:c>
      <x:c r="Q278"/>
      <x:c r="R278"/>
      <x:c r="S278"/>
      <x:c r="T278"/>
      <x:c r="U278" t="str">
        <x:v>Pending state Round-1 allotment/cutoff data</x:v>
      </x:c>
    </x:row>
    <x:row r="279">
      <x:c r="A279" t="str">
        <x:v>Karnataka</x:v>
      </x:c>
      <x:c r="B279" t="str">
        <x:v>KA/061/P/3</x:v>
      </x:c>
      <x:c r="C279" t="str">
        <x:v>Sri Devaraj URS Medical College, Kolar</x:v>
      </x:c>
      <x:c r="D279" t="str">
        <x:v>Private</x:v>
      </x:c>
      <x:c r="E279" t="n">
        <x:v>200</x:v>
      </x:c>
      <x:c r="F279" t="n">
        <x:v>50</x:v>
      </x:c>
      <x:c r="G279" t="n">
        <x:v>250</x:v>
      </x:c>
      <x:c r="H279" t="str">
        <x:v>200347</x:v>
      </x:c>
      <x:c r="I279" t="n">
        <x:v>250</x:v>
      </x:c>
      <x:c r="J279" t="n">
        <x:v>215</x:v>
      </x:c>
      <x:c r="K279" t="n">
        <x:v>0</x:v>
      </x:c>
      <x:c r="L279" s="20" t="n">
        <x:v>0</x:v>
      </x:c>
      <x:c r="M279" t="str">
        <x:v>Variable</x:v>
      </x:c>
      <x:c r="N279" t="str">
        <x:v>Approx. Non-MCC Pool</x:v>
      </x:c>
      <x:c r="O279" t="str">
        <x:v>Expanded 2026 capacity; state/management split to verify</x:v>
      </x:c>
      <x:c r="P279" t="n">
        <x:v>236635</x:v>
      </x:c>
      <x:c r="Q279"/>
      <x:c r="R279"/>
      <x:c r="S279"/>
      <x:c r="T279"/>
      <x:c r="U279" t="str">
        <x:v>Pending state Round-1 allotment/cutoff data</x:v>
      </x:c>
    </x:row>
    <x:row r="280">
      <x:c r="A280" t="str">
        <x:v>Karnataka</x:v>
      </x:c>
      <x:c r="B280" t="str">
        <x:v>KA/064/P/3</x:v>
      </x:c>
      <x:c r="C280" t="str">
        <x:v>Sri Siddhartha Medical College, Tumkur</x:v>
      </x:c>
      <x:c r="D280" t="str">
        <x:v>Private</x:v>
      </x:c>
      <x:c r="E280" t="n">
        <x:v>250</x:v>
      </x:c>
      <x:c r="F280" t="n">
        <x:v>0</x:v>
      </x:c>
      <x:c r="G280" t="n">
        <x:v>250</x:v>
      </x:c>
      <x:c r="H280" t="str">
        <x:v>200349</x:v>
      </x:c>
      <x:c r="I280" t="n">
        <x:v>250</x:v>
      </x:c>
      <x:c r="J280" t="n">
        <x:v>212</x:v>
      </x:c>
      <x:c r="K280" t="n">
        <x:v>0</x:v>
      </x:c>
      <x:c r="L280" s="20" t="n">
        <x:v>0</x:v>
      </x:c>
      <x:c r="M280" t="str">
        <x:v>Variable</x:v>
      </x:c>
      <x:c r="N280" t="str">
        <x:v>Approx. Non-MCC Pool</x:v>
      </x:c>
      <x:c r="O280" t="str">
        <x:v>State/management/NRI split must be verified</x:v>
      </x:c>
      <x:c r="P280" t="n">
        <x:v>285328</x:v>
      </x:c>
      <x:c r="Q280"/>
      <x:c r="R280"/>
      <x:c r="S280"/>
      <x:c r="T280"/>
      <x:c r="U280" t="str">
        <x:v>Pending state Round-1 allotment/cutoff data</x:v>
      </x:c>
    </x:row>
    <x:row r="281">
      <x:c r="A281" t="str">
        <x:v>Karnataka</x:v>
      </x:c>
      <x:c r="B281" t="str">
        <x:v>KA/063/P/3</x:v>
      </x:c>
      <x:c r="C281" t="str">
        <x:v>Sri siddhartha Institute of Medical Sciences &amp; Research Centre, Bangalore</x:v>
      </x:c>
      <x:c r="D281" t="str">
        <x:v>Private</x:v>
      </x:c>
      <x:c r="E281" t="n">
        <x:v>150</x:v>
      </x:c>
      <x:c r="F281" t="n">
        <x:v>100</x:v>
      </x:c>
      <x:c r="G281" t="n">
        <x:v>250</x:v>
      </x:c>
      <x:c r="H281" t="str">
        <x:v>200472</x:v>
      </x:c>
      <x:c r="I281" t="n">
        <x:v>250</x:v>
      </x:c>
      <x:c r="J281" t="n">
        <x:v>212</x:v>
      </x:c>
      <x:c r="K281" t="n">
        <x:v>0</x:v>
      </x:c>
      <x:c r="L281" s="20" t="n">
        <x:v>0</x:v>
      </x:c>
      <x:c r="M281" t="str">
        <x:v>Variable</x:v>
      </x:c>
      <x:c r="N281" t="str">
        <x:v>Approx. Non-MCC Pool</x:v>
      </x:c>
      <x:c r="O281" t="str">
        <x:v>Expanded 2026 capacity; state/management split to verify</x:v>
      </x:c>
      <x:c r="P281" t="n">
        <x:v>370004</x:v>
      </x:c>
      <x:c r="Q281"/>
      <x:c r="R281"/>
      <x:c r="S281"/>
      <x:c r="T281"/>
      <x:c r="U281" t="str">
        <x:v>Pending state Round-1 allotment/cutoff data</x:v>
      </x:c>
    </x:row>
    <x:row r="282">
      <x:c r="A282" t="str">
        <x:v>Kerala</x:v>
      </x:c>
      <x:c r="B282" t="str">
        <x:v>KL/014/G/1</x:v>
      </x:c>
      <x:c r="C282" t="str">
        <x:v>Government Medical College, Kozhikode, Calicut</x:v>
      </x:c>
      <x:c r="D282" t="str">
        <x:v>Government</x:v>
      </x:c>
      <x:c r="E282" t="n">
        <x:v>250</x:v>
      </x:c>
      <x:c r="F282" t="n">
        <x:v>0</x:v>
      </x:c>
      <x:c r="G282" t="n">
        <x:v>250</x:v>
      </x:c>
      <x:c r="H282" t="str">
        <x:v>200194</x:v>
      </x:c>
      <x:c r="I282" t="n">
        <x:v>37</x:v>
      </x:c>
      <x:c r="J282" t="n">
        <x:v>37</x:v>
      </x:c>
      <x:c r="K282" t="n">
        <x:v>213</x:v>
      </x:c>
      <x:c r="L282" s="20" t="n">
        <x:v>0.852</x:v>
      </x:c>
      <x:c r="M282" t="str">
        <x:v>High</x:v>
      </x:c>
      <x:c r="N282" t="str">
        <x:v>Approx. State/Non-MCC Pool</x:v>
      </x:c>
      <x:c r="O282" t="str">
        <x:v>Large state-counselling pool</x:v>
      </x:c>
      <x:c r="P282" t="n">
        <x:v>826</x:v>
      </x:c>
      <x:c r="Q282" t="n">
        <x:v>1401</x:v>
      </x:c>
      <x:c r="R282" t="n">
        <x:v>7440</x:v>
      </x:c>
      <x:c r="S282" t="n">
        <x:v>26220</x:v>
      </x:c>
      <x:c r="T282" t="n">
        <x:v>34612</x:v>
      </x:c>
      <x:c r="U282" t="str">
        <x:v>Pending state Round-1 allotment/cutoff data</x:v>
      </x:c>
    </x:row>
    <x:row r="283">
      <x:c r="A283" t="str">
        <x:v>Kerala</x:v>
      </x:c>
      <x:c r="B283" t="str">
        <x:v>KL/027/G/1</x:v>
      </x:c>
      <x:c r="C283" t="str">
        <x:v>Medical College, Thiruvananthapuram</x:v>
      </x:c>
      <x:c r="D283" t="str">
        <x:v>Government</x:v>
      </x:c>
      <x:c r="E283" t="n">
        <x:v>250</x:v>
      </x:c>
      <x:c r="F283" t="n">
        <x:v>0</x:v>
      </x:c>
      <x:c r="G283" t="n">
        <x:v>250</x:v>
      </x:c>
      <x:c r="H283" t="str">
        <x:v>200196</x:v>
      </x:c>
      <x:c r="I283" t="n">
        <x:v>37</x:v>
      </x:c>
      <x:c r="J283" t="n">
        <x:v>37</x:v>
      </x:c>
      <x:c r="K283" t="n">
        <x:v>213</x:v>
      </x:c>
      <x:c r="L283" s="20" t="n">
        <x:v>0.852</x:v>
      </x:c>
      <x:c r="M283" t="str">
        <x:v>High</x:v>
      </x:c>
      <x:c r="N283" t="str">
        <x:v>Approx. State/Non-MCC Pool</x:v>
      </x:c>
      <x:c r="O283" t="str">
        <x:v>Large state-counselling pool</x:v>
      </x:c>
      <x:c r="P283" t="n">
        <x:v>1751</x:v>
      </x:c>
      <x:c r="Q283" t="n">
        <x:v>2380</x:v>
      </x:c>
      <x:c r="R283" t="n">
        <x:v>8478</x:v>
      </x:c>
      <x:c r="S283" t="n">
        <x:v>35238</x:v>
      </x:c>
      <x:c r="T283" t="n">
        <x:v>54884</x:v>
      </x:c>
      <x:c r="U283" t="str">
        <x:v>Pending state Round-1 allotment/cutoff data</x:v>
      </x:c>
    </x:row>
    <x:row r="284">
      <x:c r="A284" t="str">
        <x:v>Kerala</x:v>
      </x:c>
      <x:c r="B284" t="str">
        <x:v>KL/013/G/1</x:v>
      </x:c>
      <x:c r="C284" t="str">
        <x:v>Government Medical College, Kottayam</x:v>
      </x:c>
      <x:c r="D284" t="str">
        <x:v>Government</x:v>
      </x:c>
      <x:c r="E284" t="n">
        <x:v>175</x:v>
      </x:c>
      <x:c r="F284" t="n">
        <x:v>0</x:v>
      </x:c>
      <x:c r="G284" t="n">
        <x:v>175</x:v>
      </x:c>
      <x:c r="H284" t="str">
        <x:v>200193</x:v>
      </x:c>
      <x:c r="I284" t="n">
        <x:v>26</x:v>
      </x:c>
      <x:c r="J284" t="n">
        <x:v>26</x:v>
      </x:c>
      <x:c r="K284" t="n">
        <x:v>149</x:v>
      </x:c>
      <x:c r="L284" s="20" t="n">
        <x:v>0.8514285714285714</x:v>
      </x:c>
      <x:c r="M284" t="str">
        <x:v>High</x:v>
      </x:c>
      <x:c r="N284" t="str">
        <x:v>Approx. State/Non-MCC Pool</x:v>
      </x:c>
      <x:c r="O284" t="str">
        <x:v>Moderate state-counselling pool</x:v>
      </x:c>
      <x:c r="P284" t="n">
        <x:v>2535</x:v>
      </x:c>
      <x:c r="Q284" t="n">
        <x:v>3167</x:v>
      </x:c>
      <x:c r="R284" t="n">
        <x:v>10750</x:v>
      </x:c>
      <x:c r="S284" t="n">
        <x:v>42426</x:v>
      </x:c>
      <x:c r="T284" t="n">
        <x:v>63906</x:v>
      </x:c>
      <x:c r="U284" t="str">
        <x:v>Pending state Round-1 allotment/cutoff data</x:v>
      </x:c>
    </x:row>
    <x:row r="285">
      <x:c r="A285" t="str">
        <x:v>Kerala</x:v>
      </x:c>
      <x:c r="B285" t="str">
        <x:v>KL/017/G/1</x:v>
      </x:c>
      <x:c r="C285" t="str">
        <x:v>Government Medical College, Thrissur</x:v>
      </x:c>
      <x:c r="D285" t="str">
        <x:v>Government</x:v>
      </x:c>
      <x:c r="E285" t="n">
        <x:v>175</x:v>
      </x:c>
      <x:c r="F285" t="n">
        <x:v>0</x:v>
      </x:c>
      <x:c r="G285" t="n">
        <x:v>175</x:v>
      </x:c>
      <x:c r="H285" t="str">
        <x:v>200195</x:v>
      </x:c>
      <x:c r="I285" t="n">
        <x:v>26</x:v>
      </x:c>
      <x:c r="J285" t="n">
        <x:v>26</x:v>
      </x:c>
      <x:c r="K285" t="n">
        <x:v>149</x:v>
      </x:c>
      <x:c r="L285" s="20" t="n">
        <x:v>0.8514285714285714</x:v>
      </x:c>
      <x:c r="M285" t="str">
        <x:v>High</x:v>
      </x:c>
      <x:c r="N285" t="str">
        <x:v>Approx. State/Non-MCC Pool</x:v>
      </x:c>
      <x:c r="O285" t="str">
        <x:v>Moderate state-counselling pool</x:v>
      </x:c>
      <x:c r="P285" t="n">
        <x:v>2124</x:v>
      </x:c>
      <x:c r="Q285" t="n">
        <x:v>3628</x:v>
      </x:c>
      <x:c r="R285" t="n">
        <x:v>11383</x:v>
      </x:c>
      <x:c r="S285" t="n">
        <x:v>43930</x:v>
      </x:c>
      <x:c r="T285" t="n">
        <x:v>59362</x:v>
      </x:c>
      <x:c r="U285" t="str">
        <x:v>Pending state Round-1 allotment/cutoff data</x:v>
      </x:c>
    </x:row>
    <x:row r="286">
      <x:c r="A286" t="str">
        <x:v>Kerala</x:v>
      </x:c>
      <x:c r="B286" t="str">
        <x:v>KL/035/G/1</x:v>
      </x:c>
      <x:c r="C286" t="str">
        <x:v>T D Medical College, Alleppey (Allappuzha)</x:v>
      </x:c>
      <x:c r="D286" t="str">
        <x:v>Government</x:v>
      </x:c>
      <x:c r="E286" t="n">
        <x:v>175</x:v>
      </x:c>
      <x:c r="F286" t="n">
        <x:v>0</x:v>
      </x:c>
      <x:c r="G286" t="n">
        <x:v>175</x:v>
      </x:c>
      <x:c r="H286" t="str">
        <x:v>200197</x:v>
      </x:c>
      <x:c r="I286" t="n">
        <x:v>26</x:v>
      </x:c>
      <x:c r="J286" t="n">
        <x:v>26</x:v>
      </x:c>
      <x:c r="K286" t="n">
        <x:v>149</x:v>
      </x:c>
      <x:c r="L286" s="20" t="n">
        <x:v>0.8514285714285714</x:v>
      </x:c>
      <x:c r="M286" t="str">
        <x:v>High</x:v>
      </x:c>
      <x:c r="N286" t="str">
        <x:v>Approx. State/Non-MCC Pool</x:v>
      </x:c>
      <x:c r="O286" t="str">
        <x:v>Moderate state-counselling pool</x:v>
      </x:c>
      <x:c r="P286" t="n">
        <x:v>4056</x:v>
      </x:c>
      <x:c r="Q286" t="n">
        <x:v>4726</x:v>
      </x:c>
      <x:c r="R286" t="n">
        <x:v>12574</x:v>
      </x:c>
      <x:c r="S286" t="n">
        <x:v>60538</x:v>
      </x:c>
      <x:c r="T286" t="n">
        <x:v>90972</x:v>
      </x:c>
      <x:c r="U286" t="str">
        <x:v>Pending state Round-1 allotment/cutoff data</x:v>
      </x:c>
    </x:row>
    <x:row r="287">
      <x:c r="A287" t="str">
        <x:v>Kerala</x:v>
      </x:c>
      <x:c r="B287" t="str">
        <x:v>KL/015/G/1</x:v>
      </x:c>
      <x:c r="C287" t="str">
        <x:v>Government Medical College, Manjeri, Malapuram Dist.</x:v>
      </x:c>
      <x:c r="D287" t="str">
        <x:v>Government</x:v>
      </x:c>
      <x:c r="E287" t="n">
        <x:v>110</x:v>
      </x:c>
      <x:c r="F287" t="n">
        <x:v>0</x:v>
      </x:c>
      <x:c r="G287" t="n">
        <x:v>110</x:v>
      </x:c>
      <x:c r="H287" t="str">
        <x:v>200183</x:v>
      </x:c>
      <x:c r="I287" t="n">
        <x:v>16</x:v>
      </x:c>
      <x:c r="J287" t="n">
        <x:v>16</x:v>
      </x:c>
      <x:c r="K287" t="n">
        <x:v>94</x:v>
      </x:c>
      <x:c r="L287" s="20" t="n">
        <x:v>0.8545454545454545</x:v>
      </x:c>
      <x:c r="M287" t="str">
        <x:v>High</x:v>
      </x:c>
      <x:c r="N287" t="str">
        <x:v>Approx. State/Non-MCC Pool</x:v>
      </x:c>
      <x:c r="O287" t="str">
        <x:v>Moderate state-counselling pool</x:v>
      </x:c>
      <x:c r="P287" t="n">
        <x:v>4387</x:v>
      </x:c>
      <x:c r="Q287" t="n">
        <x:v>5804</x:v>
      </x:c>
      <x:c r="R287" t="n">
        <x:v>15354</x:v>
      </x:c>
      <x:c r="S287" t="n">
        <x:v>61494</x:v>
      </x:c>
      <x:c r="T287" t="n">
        <x:v>74362</x:v>
      </x:c>
      <x:c r="U287" t="str">
        <x:v>Pending state Round-1 allotment/cutoff data</x:v>
      </x:c>
    </x:row>
    <x:row r="288">
      <x:c r="A288" t="str">
        <x:v>Kerala</x:v>
      </x:c>
      <x:c r="B288" t="str">
        <x:v>KL/010/G/1</x:v>
      </x:c>
      <x:c r="C288" t="str">
        <x:v>Government Medical College, Ernakulam</x:v>
      </x:c>
      <x:c r="D288" t="str">
        <x:v>Government</x:v>
      </x:c>
      <x:c r="E288" t="n">
        <x:v>110</x:v>
      </x:c>
      <x:c r="F288" t="n">
        <x:v>0</x:v>
      </x:c>
      <x:c r="G288" t="n">
        <x:v>110</x:v>
      </x:c>
      <x:c r="H288" t="str">
        <x:v>200187</x:v>
      </x:c>
      <x:c r="I288" t="n">
        <x:v>17</x:v>
      </x:c>
      <x:c r="J288" t="n">
        <x:v>17</x:v>
      </x:c>
      <x:c r="K288" t="n">
        <x:v>93</x:v>
      </x:c>
      <x:c r="L288" s="20" t="n">
        <x:v>0.8454545454545455</x:v>
      </x:c>
      <x:c r="M288" t="str">
        <x:v>High</x:v>
      </x:c>
      <x:c r="N288" t="str">
        <x:v>Approx. State/Non-MCC Pool</x:v>
      </x:c>
      <x:c r="O288" t="str">
        <x:v>Moderate state-counselling pool</x:v>
      </x:c>
      <x:c r="P288" t="n">
        <x:v>4206</x:v>
      </x:c>
      <x:c r="Q288" t="n">
        <x:v>5138</x:v>
      </x:c>
      <x:c r="R288" t="n">
        <x:v>15754</x:v>
      </x:c>
      <x:c r="S288" t="n">
        <x:v>54459</x:v>
      </x:c>
      <x:c r="T288" t="n">
        <x:v>80017</x:v>
      </x:c>
      <x:c r="U288" t="str">
        <x:v>Pending state Round-1 allotment/cutoff data</x:v>
      </x:c>
    </x:row>
    <x:row r="289">
      <x:c r="A289" t="str">
        <x:v>Kerala</x:v>
      </x:c>
      <x:c r="B289" t="str">
        <x:v>KL/008/G/1</x:v>
      </x:c>
      <x:c r="C289" t="str">
        <x:v>Government Medical College (Institute of Integrated Medical Sciences), Yakkara, Palakkad</x:v>
      </x:c>
      <x:c r="D289" t="str">
        <x:v>Government</x:v>
      </x:c>
      <x:c r="E289" t="n">
        <x:v>100</x:v>
      </x:c>
      <x:c r="F289" t="n">
        <x:v>0</x:v>
      </x:c>
      <x:c r="G289" t="n">
        <x:v>100</x:v>
      </x:c>
      <x:c r="H289" t="str">
        <x:v>200188</x:v>
      </x:c>
      <x:c r="I289" t="n">
        <x:v>15</x:v>
      </x:c>
      <x:c r="J289" t="n">
        <x:v>15</x:v>
      </x:c>
      <x:c r="K289" t="n">
        <x:v>85</x:v>
      </x:c>
      <x:c r="L289" s="20" t="n">
        <x:v>0.85</x:v>
      </x:c>
      <x:c r="M289" t="str">
        <x:v>High</x:v>
      </x:c>
      <x:c r="N289" t="str">
        <x:v>Approx. State/Non-MCC Pool</x:v>
      </x:c>
      <x:c r="O289" t="str">
        <x:v>Moderate state-counselling pool</x:v>
      </x:c>
      <x:c r="P289" t="n">
        <x:v>6561</x:v>
      </x:c>
      <x:c r="Q289" t="n">
        <x:v>7586</x:v>
      </x:c>
      <x:c r="R289" t="n">
        <x:v>18048</x:v>
      </x:c>
      <x:c r="S289" t="n">
        <x:v>63980</x:v>
      </x:c>
      <x:c r="T289" t="n">
        <x:v>97373</x:v>
      </x:c>
      <x:c r="U289" t="str">
        <x:v>Pending state Round-1 allotment/cutoff data</x:v>
      </x:c>
    </x:row>
    <x:row r="290">
      <x:c r="A290" t="str">
        <x:v>Kerala</x:v>
      </x:c>
      <x:c r="B290" t="str">
        <x:v>KL/011/G/1</x:v>
      </x:c>
      <x:c r="C290" t="str">
        <x:v>Government Medical College, Idukki</x:v>
      </x:c>
      <x:c r="D290" t="str">
        <x:v>Government</x:v>
      </x:c>
      <x:c r="E290" t="n">
        <x:v>100</x:v>
      </x:c>
      <x:c r="F290" t="n">
        <x:v>0</x:v>
      </x:c>
      <x:c r="G290" t="n">
        <x:v>100</x:v>
      </x:c>
      <x:c r="H290" t="str">
        <x:v>200593</x:v>
      </x:c>
      <x:c r="I290" t="n">
        <x:v>15</x:v>
      </x:c>
      <x:c r="J290" t="n">
        <x:v>15</x:v>
      </x:c>
      <x:c r="K290" t="n">
        <x:v>85</x:v>
      </x:c>
      <x:c r="L290" s="20" t="n">
        <x:v>0.85</x:v>
      </x:c>
      <x:c r="M290" t="str">
        <x:v>High</x:v>
      </x:c>
      <x:c r="N290" t="str">
        <x:v>Approx. State/Non-MCC Pool</x:v>
      </x:c>
      <x:c r="O290" t="str">
        <x:v>Moderate state-counselling pool</x:v>
      </x:c>
      <x:c r="P290" t="n">
        <x:v>7084</x:v>
      </x:c>
      <x:c r="Q290" t="n">
        <x:v>7802</x:v>
      </x:c>
      <x:c r="R290" t="n">
        <x:v>22614</x:v>
      </x:c>
      <x:c r="S290" t="n">
        <x:v>75820</x:v>
      </x:c>
      <x:c r="T290" t="n">
        <x:v>109898</x:v>
      </x:c>
      <x:c r="U290" t="str">
        <x:v>Pending state Round-1 allotment/cutoff data</x:v>
      </x:c>
    </x:row>
    <x:row r="291">
      <x:c r="A291" t="str">
        <x:v>Kerala</x:v>
      </x:c>
      <x:c r="B291" t="str">
        <x:v>KL/012/G/1</x:v>
      </x:c>
      <x:c r="C291" t="str">
        <x:v>Government Medical College, Konni</x:v>
      </x:c>
      <x:c r="D291" t="str">
        <x:v>Government</x:v>
      </x:c>
      <x:c r="E291" t="n">
        <x:v>100</x:v>
      </x:c>
      <x:c r="F291" t="n">
        <x:v>0</x:v>
      </x:c>
      <x:c r="G291" t="n">
        <x:v>100</x:v>
      </x:c>
      <x:c r="H291" t="str">
        <x:v>200624</x:v>
      </x:c>
      <x:c r="I291" t="n">
        <x:v>15</x:v>
      </x:c>
      <x:c r="J291" t="n">
        <x:v>14</x:v>
      </x:c>
      <x:c r="K291" t="n">
        <x:v>85</x:v>
      </x:c>
      <x:c r="L291" s="20" t="n">
        <x:v>0.85</x:v>
      </x:c>
      <x:c r="M291" t="str">
        <x:v>High</x:v>
      </x:c>
      <x:c r="N291" t="str">
        <x:v>Approx. State/Non-MCC Pool</x:v>
      </x:c>
      <x:c r="O291" t="str">
        <x:v>Moderate state-counselling pool</x:v>
      </x:c>
      <x:c r="P291" t="n">
        <x:v>7646</x:v>
      </x:c>
      <x:c r="Q291" t="n">
        <x:v>8188</x:v>
      </x:c>
      <x:c r="R291" t="n">
        <x:v>22323</x:v>
      </x:c>
      <x:c r="S291" t="n">
        <x:v>68032</x:v>
      </x:c>
      <x:c r="T291"/>
      <x:c r="U291" t="str">
        <x:v>Pending state Round-1 allotment/cutoff data</x:v>
      </x:c>
    </x:row>
    <x:row r="292">
      <x:c r="A292" t="str">
        <x:v>Kerala</x:v>
      </x:c>
      <x:c r="B292" t="str">
        <x:v>KL/019/G/1</x:v>
      </x:c>
      <x:c r="C292" t="str">
        <x:v>Govt. Medical College,Pariyaram, Kannur (Prev. Known as Academy of Medical Sciences)</x:v>
      </x:c>
      <x:c r="D292" t="str">
        <x:v>Government</x:v>
      </x:c>
      <x:c r="E292" t="n">
        <x:v>100</x:v>
      </x:c>
      <x:c r="F292" t="n">
        <x:v>0</x:v>
      </x:c>
      <x:c r="G292" t="n">
        <x:v>100</x:v>
      </x:c>
      <x:c r="H292" t="str">
        <x:v>200485</x:v>
      </x:c>
      <x:c r="I292" t="n">
        <x:v>15</x:v>
      </x:c>
      <x:c r="J292" t="n">
        <x:v>15</x:v>
      </x:c>
      <x:c r="K292" t="n">
        <x:v>85</x:v>
      </x:c>
      <x:c r="L292" s="20" t="n">
        <x:v>0.85</x:v>
      </x:c>
      <x:c r="M292" t="str">
        <x:v>High</x:v>
      </x:c>
      <x:c r="N292" t="str">
        <x:v>Approx. State/Non-MCC Pool</x:v>
      </x:c>
      <x:c r="O292" t="str">
        <x:v>Moderate state-counselling pool</x:v>
      </x:c>
      <x:c r="P292" t="n">
        <x:v>5158</x:v>
      </x:c>
      <x:c r="Q292" t="n">
        <x:v>6383</x:v>
      </x:c>
      <x:c r="R292" t="n">
        <x:v>16578</x:v>
      </x:c>
      <x:c r="S292" t="n">
        <x:v>62964</x:v>
      </x:c>
      <x:c r="T292" t="n">
        <x:v>95821</x:v>
      </x:c>
      <x:c r="U292" t="str">
        <x:v>Pending state Round-1 allotment/cutoff data</x:v>
      </x:c>
    </x:row>
    <x:row r="293">
      <x:c r="A293" t="str">
        <x:v>Kerala</x:v>
      </x:c>
      <x:c r="B293" t="str">
        <x:v>KL/016/G/1</x:v>
      </x:c>
      <x:c r="C293" t="str">
        <x:v>Government Medical College, Parippally, Kollam</x:v>
      </x:c>
      <x:c r="D293" t="str">
        <x:v>Government</x:v>
      </x:c>
      <x:c r="E293" t="n">
        <x:v>110</x:v>
      </x:c>
      <x:c r="F293" t="n">
        <x:v>0</x:v>
      </x:c>
      <x:c r="G293" t="n">
        <x:v>110</x:v>
      </x:c>
      <x:c r="H293" t="str">
        <x:v>200186</x:v>
      </x:c>
      <x:c r="I293" t="n">
        <x:v>55</x:v>
      </x:c>
      <x:c r="J293" t="n">
        <x:v>52</x:v>
      </x:c>
      <x:c r="K293" t="n">
        <x:v>55</x:v>
      </x:c>
      <x:c r="L293" s="20" t="n">
        <x:v>0.5</x:v>
      </x:c>
      <x:c r="M293" t="str">
        <x:v>High</x:v>
      </x:c>
      <x:c r="N293" t="str">
        <x:v>Approx. State/Non-MCC Pool</x:v>
      </x:c>
      <x:c r="O293" t="str">
        <x:v>Smaller state-counselling pool</x:v>
      </x:c>
      <x:c r="P293" t="n">
        <x:v>11494</x:v>
      </x:c>
      <x:c r="Q293" t="n">
        <x:v>19823</x:v>
      </x:c>
      <x:c r="R293" t="n">
        <x:v>34119</x:v>
      </x:c>
      <x:c r="S293" t="n">
        <x:v>129670</x:v>
      </x:c>
      <x:c r="T293" t="n">
        <x:v>285815</x:v>
      </x:c>
      <x:c r="U293" t="str">
        <x:v>Pending state Round-1 allotment/cutoff data</x:v>
      </x:c>
    </x:row>
    <x:row r="294">
      <x:c r="A294" t="str">
        <x:v>Kerala</x:v>
      </x:c>
      <x:c r="B294" t="str">
        <x:v>KL/009/G/1</x:v>
      </x:c>
      <x:c r="C294" t="str">
        <x:v>Government Medical College Kasaragod</x:v>
      </x:c>
      <x:c r="D294" t="str">
        <x:v>Government</x:v>
      </x:c>
      <x:c r="E294" t="n">
        <x:v>50</x:v>
      </x:c>
      <x:c r="F294" t="n">
        <x:v>0</x:v>
      </x:c>
      <x:c r="G294" t="n">
        <x:v>50</x:v>
      </x:c>
      <x:c r="H294" t="str">
        <x:v>904367</x:v>
      </x:c>
      <x:c r="I294" t="n">
        <x:v>8</x:v>
      </x:c>
      <x:c r="J294" t="n">
        <x:v>8</x:v>
      </x:c>
      <x:c r="K294" t="n">
        <x:v>42</x:v>
      </x:c>
      <x:c r="L294" s="20" t="n">
        <x:v>0.84</x:v>
      </x:c>
      <x:c r="M294" t="str">
        <x:v>High</x:v>
      </x:c>
      <x:c r="N294" t="str">
        <x:v>Approx. State/Non-MCC Pool</x:v>
      </x:c>
      <x:c r="O294" t="str">
        <x:v>Smaller state-counselling pool</x:v>
      </x:c>
      <x:c r="P294" t="n">
        <x:v>8494</x:v>
      </x:c>
      <x:c r="Q294" t="n">
        <x:v>8783</x:v>
      </x:c>
      <x:c r="R294" t="n">
        <x:v>21035</x:v>
      </x:c>
      <x:c r="S294" t="n">
        <x:v>79577</x:v>
      </x:c>
      <x:c r="T294" t="n">
        <x:v>121466</x:v>
      </x:c>
      <x:c r="U294" t="str">
        <x:v>Pending state Round-1 allotment/cutoff data</x:v>
      </x:c>
    </x:row>
    <x:row r="295">
      <x:c r="A295" t="str">
        <x:v>Kerala</x:v>
      </x:c>
      <x:c r="B295" t="str">
        <x:v>KL/018/G/1</x:v>
      </x:c>
      <x:c r="C295" t="str">
        <x:v>Government Medical College, Wayanad</x:v>
      </x:c>
      <x:c r="D295" t="str">
        <x:v>Government</x:v>
      </x:c>
      <x:c r="E295" t="n">
        <x:v>50</x:v>
      </x:c>
      <x:c r="F295" t="n">
        <x:v>0</x:v>
      </x:c>
      <x:c r="G295" t="n">
        <x:v>50</x:v>
      </x:c>
      <x:c r="H295" t="str">
        <x:v>904368</x:v>
      </x:c>
      <x:c r="I295" t="n">
        <x:v>8</x:v>
      </x:c>
      <x:c r="J295" t="n">
        <x:v>8</x:v>
      </x:c>
      <x:c r="K295" t="n">
        <x:v>42</x:v>
      </x:c>
      <x:c r="L295" s="20" t="n">
        <x:v>0.84</x:v>
      </x:c>
      <x:c r="M295" t="str">
        <x:v>High</x:v>
      </x:c>
      <x:c r="N295" t="str">
        <x:v>Approx. State/Non-MCC Pool</x:v>
      </x:c>
      <x:c r="O295" t="str">
        <x:v>Smaller state-counselling pool</x:v>
      </x:c>
      <x:c r="P295" t="n">
        <x:v>8009</x:v>
      </x:c>
      <x:c r="Q295" t="n">
        <x:v>8197</x:v>
      </x:c>
      <x:c r="R295" t="n">
        <x:v>23675</x:v>
      </x:c>
      <x:c r="S295" t="n">
        <x:v>68599</x:v>
      </x:c>
      <x:c r="T295" t="n">
        <x:v>123979</x:v>
      </x:c>
      <x:c r="U295" t="str">
        <x:v>Pending state Round-1 allotment/cutoff data</x:v>
      </x:c>
    </x:row>
    <x:row r="296">
      <x:c r="A296" t="str">
        <x:v>Kerala</x:v>
      </x:c>
      <x:c r="B296" t="str">
        <x:v>KL/001/P/3</x:v>
      </x:c>
      <x:c r="C296" t="str">
        <x:v>Al-Azhar Medical College and Super Speciality Hospital, Thodupuzha</x:v>
      </x:c>
      <x:c r="D296" t="str">
        <x:v>Private</x:v>
      </x:c>
      <x:c r="E296" t="n">
        <x:v>250</x:v>
      </x:c>
      <x:c r="F296" t="n">
        <x:v>0</x:v>
      </x:c>
      <x:c r="G296" t="n">
        <x:v>250</x:v>
      </x:c>
      <x:c r="H296"/>
      <x:c r="I296" t="n">
        <x:v>0</x:v>
      </x:c>
      <x:c r="J296" t="n">
        <x:v>0</x:v>
      </x:c>
      <x:c r="K296" t="n">
        <x:v>250</x:v>
      </x:c>
      <x:c r="L296" s="20" t="n">
        <x:v>1</x:v>
      </x:c>
      <x:c r="M296" t="str">
        <x:v>Variable</x:v>
      </x:c>
      <x:c r="N296" t="str">
        <x:v>Approx. Non-MCC Pool</x:v>
      </x:c>
      <x:c r="O296" t="str">
        <x:v>Large non-MCC pool; quota split varies by state</x:v>
      </x:c>
      <x:c r="P296"/>
      <x:c r="Q296"/>
      <x:c r="R296"/>
      <x:c r="S296"/>
      <x:c r="T296"/>
      <x:c r="U296" t="str">
        <x:v>Pending state Round-1 allotment/cutoff data</x:v>
      </x:c>
    </x:row>
    <x:row r="297">
      <x:c r="A297" t="str">
        <x:v>Kerala</x:v>
      </x:c>
      <x:c r="B297" t="str">
        <x:v>KL/006/P/3</x:v>
      </x:c>
      <x:c r="C297" t="str">
        <x:v>Dr. Moopen Medical College Wayanad, Kerala</x:v>
      </x:c>
      <x:c r="D297" t="str">
        <x:v>Private</x:v>
      </x:c>
      <x:c r="E297" t="n">
        <x:v>150</x:v>
      </x:c>
      <x:c r="F297" t="n">
        <x:v>100</x:v>
      </x:c>
      <x:c r="G297" t="n">
        <x:v>250</x:v>
      </x:c>
      <x:c r="H297"/>
      <x:c r="I297" t="n">
        <x:v>0</x:v>
      </x:c>
      <x:c r="J297" t="n">
        <x:v>0</x:v>
      </x:c>
      <x:c r="K297" t="n">
        <x:v>250</x:v>
      </x:c>
      <x:c r="L297" s="20" t="n">
        <x:v>1</x:v>
      </x:c>
      <x:c r="M297" t="str">
        <x:v>Variable</x:v>
      </x:c>
      <x:c r="N297" t="str">
        <x:v>Approx. Non-MCC Pool</x:v>
      </x:c>
      <x:c r="O297" t="str">
        <x:v>Expanded 2026 capacity; state/management split to verify</x:v>
      </x:c>
      <x:c r="P297"/>
      <x:c r="Q297"/>
      <x:c r="R297"/>
      <x:c r="S297"/>
      <x:c r="T297"/>
      <x:c r="U297" t="str">
        <x:v>Pending state Round-1 allotment/cutoff data</x:v>
      </x:c>
    </x:row>
    <x:row r="298">
      <x:c r="A298" t="str">
        <x:v>Kerala</x:v>
      </x:c>
      <x:c r="B298" t="str">
        <x:v>KL/023/P/3</x:v>
      </x:c>
      <x:c r="C298" t="str">
        <x:v>KMCT Medical College, Kozhikode, Calicut</x:v>
      </x:c>
      <x:c r="D298" t="str">
        <x:v>Private</x:v>
      </x:c>
      <x:c r="E298" t="n">
        <x:v>250</x:v>
      </x:c>
      <x:c r="F298" t="n">
        <x:v>0</x:v>
      </x:c>
      <x:c r="G298" t="n">
        <x:v>250</x:v>
      </x:c>
      <x:c r="H298"/>
      <x:c r="I298" t="n">
        <x:v>0</x:v>
      </x:c>
      <x:c r="J298" t="n">
        <x:v>0</x:v>
      </x:c>
      <x:c r="K298" t="n">
        <x:v>250</x:v>
      </x:c>
      <x:c r="L298" s="20" t="n">
        <x:v>1</x:v>
      </x:c>
      <x:c r="M298" t="str">
        <x:v>Variable</x:v>
      </x:c>
      <x:c r="N298" t="str">
        <x:v>Approx. Non-MCC Pool</x:v>
      </x:c>
      <x:c r="O298" t="str">
        <x:v>Large non-MCC pool; quota split varies by state</x:v>
      </x:c>
      <x:c r="P298"/>
      <x:c r="Q298"/>
      <x:c r="R298"/>
      <x:c r="S298"/>
      <x:c r="T298"/>
      <x:c r="U298" t="str">
        <x:v>Pending state Round-1 allotment/cutoff data</x:v>
      </x:c>
    </x:row>
    <x:row r="299">
      <x:c r="A299" t="str">
        <x:v>Kerala</x:v>
      </x:c>
      <x:c r="B299" t="str">
        <x:v>KL/025/P/3</x:v>
      </x:c>
      <x:c r="C299" t="str">
        <x:v>Malabar Medical College, Kozhikode, Calicut</x:v>
      </x:c>
      <x:c r="D299" t="str">
        <x:v>Private</x:v>
      </x:c>
      <x:c r="E299" t="n">
        <x:v>250</x:v>
      </x:c>
      <x:c r="F299" t="n">
        <x:v>0</x:v>
      </x:c>
      <x:c r="G299" t="n">
        <x:v>250</x:v>
      </x:c>
      <x:c r="H299"/>
      <x:c r="I299" t="n">
        <x:v>0</x:v>
      </x:c>
      <x:c r="J299" t="n">
        <x:v>0</x:v>
      </x:c>
      <x:c r="K299" t="n">
        <x:v>250</x:v>
      </x:c>
      <x:c r="L299" s="20" t="n">
        <x:v>1</x:v>
      </x:c>
      <x:c r="M299" t="str">
        <x:v>Variable</x:v>
      </x:c>
      <x:c r="N299" t="str">
        <x:v>Approx. Non-MCC Pool</x:v>
      </x:c>
      <x:c r="O299" t="str">
        <x:v>Large non-MCC pool; quota split varies by state</x:v>
      </x:c>
      <x:c r="P299"/>
      <x:c r="Q299"/>
      <x:c r="R299"/>
      <x:c r="S299"/>
      <x:c r="T299"/>
      <x:c r="U299" t="str">
        <x:v>Pending state Round-1 allotment/cutoff data</x:v>
      </x:c>
    </x:row>
    <x:row r="300">
      <x:c r="A300" t="str">
        <x:v>Kerala</x:v>
      </x:c>
      <x:c r="B300" t="str">
        <x:v>KL/029/P/3</x:v>
      </x:c>
      <x:c r="C300" t="str">
        <x:v>P K Das Institute of Medical Sciences, Palakkad, Kerala</x:v>
      </x:c>
      <x:c r="D300" t="str">
        <x:v>Private</x:v>
      </x:c>
      <x:c r="E300" t="n">
        <x:v>250</x:v>
      </x:c>
      <x:c r="F300" t="n">
        <x:v>0</x:v>
      </x:c>
      <x:c r="G300" t="n">
        <x:v>250</x:v>
      </x:c>
      <x:c r="H300"/>
      <x:c r="I300" t="n">
        <x:v>0</x:v>
      </x:c>
      <x:c r="J300" t="n">
        <x:v>0</x:v>
      </x:c>
      <x:c r="K300" t="n">
        <x:v>250</x:v>
      </x:c>
      <x:c r="L300" s="20" t="n">
        <x:v>1</x:v>
      </x:c>
      <x:c r="M300" t="str">
        <x:v>Variable</x:v>
      </x:c>
      <x:c r="N300" t="str">
        <x:v>Approx. Non-MCC Pool</x:v>
      </x:c>
      <x:c r="O300" t="str">
        <x:v>Large non-MCC pool; quota split varies by state</x:v>
      </x:c>
      <x:c r="P300"/>
      <x:c r="Q300"/>
      <x:c r="R300"/>
      <x:c r="S300"/>
      <x:c r="T300"/>
      <x:c r="U300" t="str">
        <x:v>Pending state Round-1 allotment/cutoff data</x:v>
      </x:c>
    </x:row>
    <x:row r="301">
      <x:c r="A301" t="str">
        <x:v>Kerala</x:v>
      </x:c>
      <x:c r="B301" t="str">
        <x:v>KL/034/P/3</x:v>
      </x:c>
      <x:c r="C301" t="str">
        <x:v>Sree Uthradom Thiurnal Academy of Medical Sciences, Trivandrum</x:v>
      </x:c>
      <x:c r="D301" t="str">
        <x:v>Private</x:v>
      </x:c>
      <x:c r="E301" t="n">
        <x:v>250</x:v>
      </x:c>
      <x:c r="F301" t="n">
        <x:v>0</x:v>
      </x:c>
      <x:c r="G301" t="n">
        <x:v>250</x:v>
      </x:c>
      <x:c r="H301"/>
      <x:c r="I301" t="n">
        <x:v>0</x:v>
      </x:c>
      <x:c r="J301" t="n">
        <x:v>0</x:v>
      </x:c>
      <x:c r="K301" t="n">
        <x:v>250</x:v>
      </x:c>
      <x:c r="L301" s="20" t="n">
        <x:v>1</x:v>
      </x:c>
      <x:c r="M301" t="str">
        <x:v>Variable</x:v>
      </x:c>
      <x:c r="N301" t="str">
        <x:v>Approx. Non-MCC Pool</x:v>
      </x:c>
      <x:c r="O301" t="str">
        <x:v>Large non-MCC pool; quota split varies by state</x:v>
      </x:c>
      <x:c r="P301"/>
      <x:c r="Q301"/>
      <x:c r="R301"/>
      <x:c r="S301"/>
      <x:c r="T301"/>
      <x:c r="U301" t="str">
        <x:v>Pending state Round-1 allotment/cutoff data</x:v>
      </x:c>
    </x:row>
    <x:row r="302">
      <x:c r="A302" t="str">
        <x:v>Kerala</x:v>
      </x:c>
      <x:c r="B302" t="str">
        <x:v>KL/007/P/3</x:v>
      </x:c>
      <x:c r="C302" t="str">
        <x:v>Dr. Somervel Memorial CSI Hospital &amp; Medical College, Karakonam, Thiruvananthapuram</x:v>
      </x:c>
      <x:c r="D302" t="str">
        <x:v>Private</x:v>
      </x:c>
      <x:c r="E302" t="n">
        <x:v>150</x:v>
      </x:c>
      <x:c r="F302" t="n">
        <x:v>50</x:v>
      </x:c>
      <x:c r="G302" t="n">
        <x:v>200</x:v>
      </x:c>
      <x:c r="H302"/>
      <x:c r="I302" t="n">
        <x:v>0</x:v>
      </x:c>
      <x:c r="J302" t="n">
        <x:v>0</x:v>
      </x:c>
      <x:c r="K302" t="n">
        <x:v>200</x:v>
      </x:c>
      <x:c r="L302" s="20" t="n">
        <x:v>1</x:v>
      </x:c>
      <x:c r="M302" t="str">
        <x:v>Variable</x:v>
      </x:c>
      <x:c r="N302" t="str">
        <x:v>Approx. Non-MCC Pool</x:v>
      </x:c>
      <x:c r="O302" t="str">
        <x:v>Expanded 2026 capacity; state/management split to verify</x:v>
      </x:c>
      <x:c r="P302"/>
      <x:c r="Q302"/>
      <x:c r="R302"/>
      <x:c r="S302"/>
      <x:c r="T302"/>
      <x:c r="U302" t="str">
        <x:v>Pending state Round-1 allotment/cutoff data</x:v>
      </x:c>
    </x:row>
    <x:row r="303">
      <x:c r="A303" t="str">
        <x:v>Kerala</x:v>
      </x:c>
      <x:c r="B303" t="str">
        <x:v>KL/024/P/4</x:v>
      </x:c>
      <x:c r="C303" t="str">
        <x:v>M E S Medical College , Perintalmanna Malappuram Distt.Kerala</x:v>
      </x:c>
      <x:c r="D303" t="str">
        <x:v>Private</x:v>
      </x:c>
      <x:c r="E303" t="n">
        <x:v>150</x:v>
      </x:c>
      <x:c r="F303" t="n">
        <x:v>50</x:v>
      </x:c>
      <x:c r="G303" t="n">
        <x:v>200</x:v>
      </x:c>
      <x:c r="H303"/>
      <x:c r="I303" t="n">
        <x:v>0</x:v>
      </x:c>
      <x:c r="J303" t="n">
        <x:v>0</x:v>
      </x:c>
      <x:c r="K303" t="n">
        <x:v>200</x:v>
      </x:c>
      <x:c r="L303" s="20" t="n">
        <x:v>1</x:v>
      </x:c>
      <x:c r="M303" t="str">
        <x:v>Variable</x:v>
      </x:c>
      <x:c r="N303" t="str">
        <x:v>Approx. Non-MCC Pool</x:v>
      </x:c>
      <x:c r="O303" t="str">
        <x:v>Expanded 2026 capacity; state/management split to verify</x:v>
      </x:c>
      <x:c r="P303"/>
      <x:c r="Q303"/>
      <x:c r="R303"/>
      <x:c r="S303"/>
      <x:c r="T303"/>
      <x:c r="U303" t="str">
        <x:v>Pending state Round-1 allotment/cutoff data</x:v>
      </x:c>
    </x:row>
    <x:row r="304">
      <x:c r="A304" t="str">
        <x:v>Kerala</x:v>
      </x:c>
      <x:c r="B304" t="str">
        <x:v>KL/036/P/3</x:v>
      </x:c>
      <x:c r="C304" t="str">
        <x:v>Travancore Medical College, Kollam</x:v>
      </x:c>
      <x:c r="D304" t="str">
        <x:v>Private</x:v>
      </x:c>
      <x:c r="E304" t="n">
        <x:v>200</x:v>
      </x:c>
      <x:c r="F304" t="n">
        <x:v>0</x:v>
      </x:c>
      <x:c r="G304" t="n">
        <x:v>200</x:v>
      </x:c>
      <x:c r="H304"/>
      <x:c r="I304" t="n">
        <x:v>0</x:v>
      </x:c>
      <x:c r="J304" t="n">
        <x:v>0</x:v>
      </x:c>
      <x:c r="K304" t="n">
        <x:v>200</x:v>
      </x:c>
      <x:c r="L304" s="20" t="n">
        <x:v>1</x:v>
      </x:c>
      <x:c r="M304" t="str">
        <x:v>Variable</x:v>
      </x:c>
      <x:c r="N304" t="str">
        <x:v>Approx. Non-MCC Pool</x:v>
      </x:c>
      <x:c r="O304" t="str">
        <x:v>Large non-MCC pool; quota split varies by state</x:v>
      </x:c>
      <x:c r="P304"/>
      <x:c r="Q304"/>
      <x:c r="R304"/>
      <x:c r="S304"/>
      <x:c r="T304"/>
      <x:c r="U304" t="str">
        <x:v>Pending state Round-1 allotment/cutoff data</x:v>
      </x:c>
    </x:row>
    <x:row r="305">
      <x:c r="A305" t="str">
        <x:v>Kerala</x:v>
      </x:c>
      <x:c r="B305" t="str">
        <x:v>KL/004/P/3</x:v>
      </x:c>
      <x:c r="C305" t="str">
        <x:v>Azeezia Instt of Medical Science,Meeyannoor, Kollam</x:v>
      </x:c>
      <x:c r="D305" t="str">
        <x:v>Private</x:v>
      </x:c>
      <x:c r="E305" t="n">
        <x:v>100</x:v>
      </x:c>
      <x:c r="F305" t="n">
        <x:v>50</x:v>
      </x:c>
      <x:c r="G305" t="n">
        <x:v>150</x:v>
      </x:c>
      <x:c r="H305"/>
      <x:c r="I305" t="n">
        <x:v>0</x:v>
      </x:c>
      <x:c r="J305" t="n">
        <x:v>0</x:v>
      </x:c>
      <x:c r="K305" t="n">
        <x:v>150</x:v>
      </x:c>
      <x:c r="L305" s="20" t="n">
        <x:v>1</x:v>
      </x:c>
      <x:c r="M305" t="str">
        <x:v>Variable</x:v>
      </x:c>
      <x:c r="N305" t="str">
        <x:v>Approx. Non-MCC Pool</x:v>
      </x:c>
      <x:c r="O305" t="str">
        <x:v>Expanded 2026 capacity; state/management split to verify</x:v>
      </x:c>
      <x:c r="P305"/>
      <x:c r="Q305"/>
      <x:c r="R305"/>
      <x:c r="S305"/>
      <x:c r="T305"/>
      <x:c r="U305" t="str">
        <x:v>Pending state Round-1 allotment/cutoff data</x:v>
      </x:c>
    </x:row>
    <x:row r="306">
      <x:c r="A306" t="str">
        <x:v>Kerala</x:v>
      </x:c>
      <x:c r="B306" t="str">
        <x:v>KL/020/P/3</x:v>
      </x:c>
      <x:c r="C306" t="str">
        <x:v>Jubilee Mission Medical College &amp; Research Institute, Thrissur</x:v>
      </x:c>
      <x:c r="D306" t="str">
        <x:v>Private</x:v>
      </x:c>
      <x:c r="E306" t="n">
        <x:v>150</x:v>
      </x:c>
      <x:c r="F306" t="n">
        <x:v>0</x:v>
      </x:c>
      <x:c r="G306" t="n">
        <x:v>150</x:v>
      </x:c>
      <x:c r="H306"/>
      <x:c r="I306" t="n">
        <x:v>0</x:v>
      </x:c>
      <x:c r="J306" t="n">
        <x:v>0</x:v>
      </x:c>
      <x:c r="K306" t="n">
        <x:v>150</x:v>
      </x:c>
      <x:c r="L306" s="20" t="n">
        <x:v>1</x:v>
      </x:c>
      <x:c r="M306" t="str">
        <x:v>Variable</x:v>
      </x:c>
      <x:c r="N306" t="str">
        <x:v>Approx. Non-MCC Pool</x:v>
      </x:c>
      <x:c r="O306" t="str">
        <x:v>Large non-MCC pool; quota split varies by state</x:v>
      </x:c>
      <x:c r="P306"/>
      <x:c r="Q306"/>
      <x:c r="R306"/>
      <x:c r="S306"/>
      <x:c r="T306"/>
      <x:c r="U306" t="str">
        <x:v>Pending state Round-1 allotment/cutoff data</x:v>
      </x:c>
    </x:row>
    <x:row r="307">
      <x:c r="A307" t="str">
        <x:v>Kerala</x:v>
      </x:c>
      <x:c r="B307" t="str">
        <x:v>KL/021/P/3</x:v>
      </x:c>
      <x:c r="C307" t="str">
        <x:v>Karuna Medical College, Palakkad</x:v>
      </x:c>
      <x:c r="D307" t="str">
        <x:v>Private</x:v>
      </x:c>
      <x:c r="E307" t="n">
        <x:v>150</x:v>
      </x:c>
      <x:c r="F307" t="n">
        <x:v>0</x:v>
      </x:c>
      <x:c r="G307" t="n">
        <x:v>150</x:v>
      </x:c>
      <x:c r="H307"/>
      <x:c r="I307" t="n">
        <x:v>0</x:v>
      </x:c>
      <x:c r="J307" t="n">
        <x:v>0</x:v>
      </x:c>
      <x:c r="K307" t="n">
        <x:v>150</x:v>
      </x:c>
      <x:c r="L307" s="20" t="n">
        <x:v>1</x:v>
      </x:c>
      <x:c r="M307" t="str">
        <x:v>Variable</x:v>
      </x:c>
      <x:c r="N307" t="str">
        <x:v>Approx. Non-MCC Pool</x:v>
      </x:c>
      <x:c r="O307" t="str">
        <x:v>Large non-MCC pool; quota split varies by state</x:v>
      </x:c>
      <x:c r="P307"/>
      <x:c r="Q307"/>
      <x:c r="R307"/>
      <x:c r="S307"/>
      <x:c r="T307"/>
      <x:c r="U307" t="str">
        <x:v>Pending state Round-1 allotment/cutoff data</x:v>
      </x:c>
    </x:row>
    <x:row r="308">
      <x:c r="A308" t="str">
        <x:v>Kerala</x:v>
      </x:c>
      <x:c r="B308" t="str">
        <x:v>KL/022/P/3</x:v>
      </x:c>
      <x:c r="C308" t="str">
        <x:v>Kerala Medical College, Mangode</x:v>
      </x:c>
      <x:c r="D308" t="str">
        <x:v>Private</x:v>
      </x:c>
      <x:c r="E308" t="n">
        <x:v>150</x:v>
      </x:c>
      <x:c r="F308" t="n">
        <x:v>0</x:v>
      </x:c>
      <x:c r="G308" t="n">
        <x:v>150</x:v>
      </x:c>
      <x:c r="H308"/>
      <x:c r="I308" t="n">
        <x:v>0</x:v>
      </x:c>
      <x:c r="J308" t="n">
        <x:v>0</x:v>
      </x:c>
      <x:c r="K308" t="n">
        <x:v>150</x:v>
      </x:c>
      <x:c r="L308" s="20" t="n">
        <x:v>1</x:v>
      </x:c>
      <x:c r="M308" t="str">
        <x:v>Variable</x:v>
      </x:c>
      <x:c r="N308" t="str">
        <x:v>Approx. Non-MCC Pool</x:v>
      </x:c>
      <x:c r="O308" t="str">
        <x:v>Large non-MCC pool; quota split varies by state</x:v>
      </x:c>
      <x:c r="P308"/>
      <x:c r="Q308"/>
      <x:c r="R308"/>
      <x:c r="S308"/>
      <x:c r="T308"/>
      <x:c r="U308" t="str">
        <x:v>Pending state Round-1 allotment/cutoff data</x:v>
      </x:c>
    </x:row>
    <x:row r="309">
      <x:c r="A309" t="str">
        <x:v>Kerala</x:v>
      </x:c>
      <x:c r="B309" t="str">
        <x:v>KL/028/P/4</x:v>
      </x:c>
      <x:c r="C309" t="str">
        <x:v>Mount Zion Medical College, Chayalode, Ezhamkulam Adoor, Pathanamthitta</x:v>
      </x:c>
      <x:c r="D309" t="str">
        <x:v>Private</x:v>
      </x:c>
      <x:c r="E309" t="n">
        <x:v>150</x:v>
      </x:c>
      <x:c r="F309" t="n">
        <x:v>0</x:v>
      </x:c>
      <x:c r="G309" t="n">
        <x:v>150</x:v>
      </x:c>
      <x:c r="H309"/>
      <x:c r="I309" t="n">
        <x:v>0</x:v>
      </x:c>
      <x:c r="J309" t="n">
        <x:v>0</x:v>
      </x:c>
      <x:c r="K309" t="n">
        <x:v>150</x:v>
      </x:c>
      <x:c r="L309" s="20" t="n">
        <x:v>1</x:v>
      </x:c>
      <x:c r="M309" t="str">
        <x:v>Variable</x:v>
      </x:c>
      <x:c r="N309" t="str">
        <x:v>Approx. Non-MCC Pool</x:v>
      </x:c>
      <x:c r="O309" t="str">
        <x:v>Large non-MCC pool; quota split varies by state</x:v>
      </x:c>
      <x:c r="P309"/>
      <x:c r="Q309"/>
      <x:c r="R309"/>
      <x:c r="S309"/>
      <x:c r="T309"/>
      <x:c r="U309" t="str">
        <x:v>Pending state Round-1 allotment/cutoff data</x:v>
      </x:c>
    </x:row>
    <x:row r="310">
      <x:c r="A310" t="str">
        <x:v>Kerala</x:v>
      </x:c>
      <x:c r="B310" t="str">
        <x:v>KL/030/P/3</x:v>
      </x:c>
      <x:c r="C310" t="str">
        <x:v>Palakkad Institute of Medical Sciences, Palakkad</x:v>
      </x:c>
      <x:c r="D310" t="str">
        <x:v>Private</x:v>
      </x:c>
      <x:c r="E310" t="n">
        <x:v>150</x:v>
      </x:c>
      <x:c r="F310" t="n">
        <x:v>0</x:v>
      </x:c>
      <x:c r="G310" t="n">
        <x:v>150</x:v>
      </x:c>
      <x:c r="H310"/>
      <x:c r="I310" t="n">
        <x:v>0</x:v>
      </x:c>
      <x:c r="J310" t="n">
        <x:v>0</x:v>
      </x:c>
      <x:c r="K310" t="n">
        <x:v>150</x:v>
      </x:c>
      <x:c r="L310" s="20" t="n">
        <x:v>1</x:v>
      </x:c>
      <x:c r="M310" t="str">
        <x:v>Variable</x:v>
      </x:c>
      <x:c r="N310" t="str">
        <x:v>Approx. Non-MCC Pool</x:v>
      </x:c>
      <x:c r="O310" t="str">
        <x:v>Large non-MCC pool; quota split varies by state</x:v>
      </x:c>
      <x:c r="P310"/>
      <x:c r="Q310"/>
      <x:c r="R310"/>
      <x:c r="S310"/>
      <x:c r="T310"/>
      <x:c r="U310" t="str">
        <x:v>Pending state Round-1 allotment/cutoff data</x:v>
      </x:c>
    </x:row>
    <x:row r="311">
      <x:c r="A311" t="str">
        <x:v>Kerala</x:v>
      </x:c>
      <x:c r="B311" t="str">
        <x:v>KL/032/P/3</x:v>
      </x:c>
      <x:c r="C311" t="str">
        <x:v>Sree Gokulam Medical College Trust &amp; Research Foundation, Trivandrum</x:v>
      </x:c>
      <x:c r="D311" t="str">
        <x:v>Private</x:v>
      </x:c>
      <x:c r="E311" t="n">
        <x:v>150</x:v>
      </x:c>
      <x:c r="F311" t="n">
        <x:v>0</x:v>
      </x:c>
      <x:c r="G311" t="n">
        <x:v>150</x:v>
      </x:c>
      <x:c r="H311"/>
      <x:c r="I311" t="n">
        <x:v>0</x:v>
      </x:c>
      <x:c r="J311" t="n">
        <x:v>0</x:v>
      </x:c>
      <x:c r="K311" t="n">
        <x:v>150</x:v>
      </x:c>
      <x:c r="L311" s="20" t="n">
        <x:v>1</x:v>
      </x:c>
      <x:c r="M311" t="str">
        <x:v>Variable</x:v>
      </x:c>
      <x:c r="N311" t="str">
        <x:v>Approx. Non-MCC Pool</x:v>
      </x:c>
      <x:c r="O311" t="str">
        <x:v>Large non-MCC pool; quota split varies by state</x:v>
      </x:c>
      <x:c r="P311"/>
      <x:c r="Q311"/>
      <x:c r="R311"/>
      <x:c r="S311"/>
      <x:c r="T311"/>
      <x:c r="U311" t="str">
        <x:v>Pending state Round-1 allotment/cutoff data</x:v>
      </x:c>
    </x:row>
    <x:row r="312">
      <x:c r="A312" t="str">
        <x:v>Kerala</x:v>
      </x:c>
      <x:c r="B312" t="str">
        <x:v>KL/033/P/3</x:v>
      </x:c>
      <x:c r="C312" t="str">
        <x:v>Sree Narayana Instt. of Medical Sciences, Chalakka, Ernakulam</x:v>
      </x:c>
      <x:c r="D312" t="str">
        <x:v>Private</x:v>
      </x:c>
      <x:c r="E312" t="n">
        <x:v>150</x:v>
      </x:c>
      <x:c r="F312" t="n">
        <x:v>0</x:v>
      </x:c>
      <x:c r="G312" t="n">
        <x:v>150</x:v>
      </x:c>
      <x:c r="H312"/>
      <x:c r="I312" t="n">
        <x:v>0</x:v>
      </x:c>
      <x:c r="J312" t="n">
        <x:v>0</x:v>
      </x:c>
      <x:c r="K312" t="n">
        <x:v>150</x:v>
      </x:c>
      <x:c r="L312" s="20" t="n">
        <x:v>1</x:v>
      </x:c>
      <x:c r="M312" t="str">
        <x:v>Variable</x:v>
      </x:c>
      <x:c r="N312" t="str">
        <x:v>Approx. Non-MCC Pool</x:v>
      </x:c>
      <x:c r="O312" t="str">
        <x:v>Large non-MCC pool; quota split varies by state</x:v>
      </x:c>
      <x:c r="P312"/>
      <x:c r="Q312"/>
      <x:c r="R312"/>
      <x:c r="S312"/>
      <x:c r="T312"/>
      <x:c r="U312" t="str">
        <x:v>Pending state Round-1 allotment/cutoff data</x:v>
      </x:c>
    </x:row>
    <x:row r="313">
      <x:c r="A313" t="str">
        <x:v>Kerala</x:v>
      </x:c>
      <x:c r="B313" t="str">
        <x:v>KL/002/P/4</x:v>
      </x:c>
      <x:c r="C313" t="str">
        <x:v>Amala Institute of Medical Sciences, Thrissur</x:v>
      </x:c>
      <x:c r="D313" t="str">
        <x:v>Private</x:v>
      </x:c>
      <x:c r="E313" t="n">
        <x:v>100</x:v>
      </x:c>
      <x:c r="F313" t="n">
        <x:v>0</x:v>
      </x:c>
      <x:c r="G313" t="n">
        <x:v>100</x:v>
      </x:c>
      <x:c r="H313"/>
      <x:c r="I313" t="n">
        <x:v>0</x:v>
      </x:c>
      <x:c r="J313" t="n">
        <x:v>0</x:v>
      </x:c>
      <x:c r="K313" t="n">
        <x:v>100</x:v>
      </x:c>
      <x:c r="L313" s="20" t="n">
        <x:v>1</x:v>
      </x:c>
      <x:c r="M313" t="str">
        <x:v>Variable</x:v>
      </x:c>
      <x:c r="N313" t="str">
        <x:v>Approx. Non-MCC Pool</x:v>
      </x:c>
      <x:c r="O313" t="str">
        <x:v>State/management/NRI split must be verified</x:v>
      </x:c>
      <x:c r="P313"/>
      <x:c r="Q313"/>
      <x:c r="R313"/>
      <x:c r="S313"/>
      <x:c r="T313"/>
      <x:c r="U313" t="str">
        <x:v>Pending state Round-1 allotment/cutoff data</x:v>
      </x:c>
    </x:row>
    <x:row r="314">
      <x:c r="A314" t="str">
        <x:v>Kerala</x:v>
      </x:c>
      <x:c r="B314" t="str">
        <x:v>KL/005/P/3</x:v>
      </x:c>
      <x:c r="C314" t="str">
        <x:v>Believers Church Medical College Hospital, Thiruvalla, Kerala</x:v>
      </x:c>
      <x:c r="D314" t="str">
        <x:v>Private</x:v>
      </x:c>
      <x:c r="E314" t="n">
        <x:v>100</x:v>
      </x:c>
      <x:c r="F314" t="n">
        <x:v>0</x:v>
      </x:c>
      <x:c r="G314" t="n">
        <x:v>100</x:v>
      </x:c>
      <x:c r="H314"/>
      <x:c r="I314" t="n">
        <x:v>0</x:v>
      </x:c>
      <x:c r="J314" t="n">
        <x:v>0</x:v>
      </x:c>
      <x:c r="K314" t="n">
        <x:v>100</x:v>
      </x:c>
      <x:c r="L314" s="20" t="n">
        <x:v>1</x:v>
      </x:c>
      <x:c r="M314" t="str">
        <x:v>Variable</x:v>
      </x:c>
      <x:c r="N314" t="str">
        <x:v>Approx. Non-MCC Pool</x:v>
      </x:c>
      <x:c r="O314" t="str">
        <x:v>State/management/NRI split must be verified</x:v>
      </x:c>
      <x:c r="P314"/>
      <x:c r="Q314"/>
      <x:c r="R314"/>
      <x:c r="S314"/>
      <x:c r="T314"/>
      <x:c r="U314" t="str">
        <x:v>Pending state Round-1 allotment/cutoff data</x:v>
      </x:c>
    </x:row>
    <x:row r="315">
      <x:c r="A315" t="str">
        <x:v>Kerala</x:v>
      </x:c>
      <x:c r="B315" t="str">
        <x:v>KL/026/P/3</x:v>
      </x:c>
      <x:c r="C315" t="str">
        <x:v>Malankara Orthodox Syrian Church Medical College, Kolenchery</x:v>
      </x:c>
      <x:c r="D315" t="str">
        <x:v>Private</x:v>
      </x:c>
      <x:c r="E315" t="n">
        <x:v>100</x:v>
      </x:c>
      <x:c r="F315" t="n">
        <x:v>0</x:v>
      </x:c>
      <x:c r="G315" t="n">
        <x:v>100</x:v>
      </x:c>
      <x:c r="H315"/>
      <x:c r="I315" t="n">
        <x:v>0</x:v>
      </x:c>
      <x:c r="J315" t="n">
        <x:v>0</x:v>
      </x:c>
      <x:c r="K315" t="n">
        <x:v>100</x:v>
      </x:c>
      <x:c r="L315" s="20" t="n">
        <x:v>1</x:v>
      </x:c>
      <x:c r="M315" t="str">
        <x:v>Variable</x:v>
      </x:c>
      <x:c r="N315" t="str">
        <x:v>Approx. Non-MCC Pool</x:v>
      </x:c>
      <x:c r="O315" t="str">
        <x:v>State/management/NRI split must be verified</x:v>
      </x:c>
      <x:c r="P315"/>
      <x:c r="Q315"/>
      <x:c r="R315"/>
      <x:c r="S315"/>
      <x:c r="T315"/>
      <x:c r="U315" t="str">
        <x:v>Pending state Round-1 allotment/cutoff data</x:v>
      </x:c>
    </x:row>
    <x:row r="316">
      <x:c r="A316" t="str">
        <x:v>Kerala</x:v>
      </x:c>
      <x:c r="B316" t="str">
        <x:v>KL/031/P/4</x:v>
      </x:c>
      <x:c r="C316" t="str">
        <x:v>Pushpagiri Institute Of Medical Sciences and Research Centre, Tiruvalla</x:v>
      </x:c>
      <x:c r="D316" t="str">
        <x:v>Private</x:v>
      </x:c>
      <x:c r="E316" t="n">
        <x:v>100</x:v>
      </x:c>
      <x:c r="F316" t="n">
        <x:v>0</x:v>
      </x:c>
      <x:c r="G316" t="n">
        <x:v>100</x:v>
      </x:c>
      <x:c r="H316"/>
      <x:c r="I316" t="n">
        <x:v>0</x:v>
      </x:c>
      <x:c r="J316" t="n">
        <x:v>0</x:v>
      </x:c>
      <x:c r="K316" t="n">
        <x:v>100</x:v>
      </x:c>
      <x:c r="L316" s="20" t="n">
        <x:v>1</x:v>
      </x:c>
      <x:c r="M316" t="str">
        <x:v>Variable</x:v>
      </x:c>
      <x:c r="N316" t="str">
        <x:v>Approx. Non-MCC Pool</x:v>
      </x:c>
      <x:c r="O316" t="str">
        <x:v>State/management/NRI split must be verified</x:v>
      </x:c>
      <x:c r="P316"/>
      <x:c r="Q316"/>
      <x:c r="R316"/>
      <x:c r="S316"/>
      <x:c r="T316"/>
      <x:c r="U316" t="str">
        <x:v>Pending state Round-1 allotment/cutoff data</x:v>
      </x:c>
    </x:row>
    <x:row r="317">
      <x:c r="A317" t="str">
        <x:v>Kerala</x:v>
      </x:c>
      <x:c r="B317" t="str">
        <x:v>KL/003/P/3</x:v>
      </x:c>
      <x:c r="C317" t="str">
        <x:v>Amrita School of Medicine, Elamkara, Kochi</x:v>
      </x:c>
      <x:c r="D317" t="str">
        <x:v>Private</x:v>
      </x:c>
      <x:c r="E317" t="n">
        <x:v>149</x:v>
      </x:c>
      <x:c r="F317" t="n">
        <x:v>0</x:v>
      </x:c>
      <x:c r="G317" t="n">
        <x:v>149</x:v>
      </x:c>
      <x:c r="H317" t="str">
        <x:v>200352</x:v>
      </x:c>
      <x:c r="I317" t="n">
        <x:v>149</x:v>
      </x:c>
      <x:c r="J317" t="n">
        <x:v>136</x:v>
      </x:c>
      <x:c r="K317" t="n">
        <x:v>0</x:v>
      </x:c>
      <x:c r="L317" s="20" t="n">
        <x:v>0</x:v>
      </x:c>
      <x:c r="M317" t="str">
        <x:v>Variable</x:v>
      </x:c>
      <x:c r="N317" t="str">
        <x:v>Approx. Non-MCC Pool</x:v>
      </x:c>
      <x:c r="O317" t="str">
        <x:v>State/management/NRI split must be verified</x:v>
      </x:c>
      <x:c r="P317" t="n">
        <x:v>225077</x:v>
      </x:c>
      <x:c r="Q317"/>
      <x:c r="R317"/>
      <x:c r="S317"/>
      <x:c r="T317"/>
      <x:c r="U317" t="str">
        <x:v>Pending state Round-1 allotment/cutoff data</x:v>
      </x:c>
    </x:row>
    <x:row r="318">
      <x:c r="A318" t="str">
        <x:v>Madhya Pradesh</x:v>
      </x:c>
      <x:c r="B318" t="str">
        <x:v>MP/005/G/1</x:v>
      </x:c>
      <x:c r="C318" t="str">
        <x:v>Gajra Raja Medical College, Gwalior</x:v>
      </x:c>
      <x:c r="D318" t="str">
        <x:v>Government</x:v>
      </x:c>
      <x:c r="E318" t="n">
        <x:v>200</x:v>
      </x:c>
      <x:c r="F318" t="n">
        <x:v>50</x:v>
      </x:c>
      <x:c r="G318" t="n">
        <x:v>250</x:v>
      </x:c>
      <x:c r="H318" t="str">
        <x:v>200199</x:v>
      </x:c>
      <x:c r="I318" t="n">
        <x:v>37</x:v>
      </x:c>
      <x:c r="J318" t="n">
        <x:v>37</x:v>
      </x:c>
      <x:c r="K318" t="n">
        <x:v>213</x:v>
      </x:c>
      <x:c r="L318" s="20" t="n">
        <x:v>0.852</x:v>
      </x:c>
      <x:c r="M318" t="str">
        <x:v>High</x:v>
      </x:c>
      <x:c r="N318" t="str">
        <x:v>Approx. State/Non-MCC Pool</x:v>
      </x:c>
      <x:c r="O318" t="str">
        <x:v>Expanded 2026 capacity + substantial state pool</x:v>
      </x:c>
      <x:c r="P318" t="n">
        <x:v>5746</x:v>
      </x:c>
      <x:c r="Q318" t="n">
        <x:v>7446</x:v>
      </x:c>
      <x:c r="R318" t="n">
        <x:v>8398</x:v>
      </x:c>
      <x:c r="S318" t="n">
        <x:v>30984</x:v>
      </x:c>
      <x:c r="T318" t="n">
        <x:v>62947</x:v>
      </x:c>
      <x:c r="U318" t="str">
        <x:v>Pending state Round-1 allotment/cutoff data</x:v>
      </x:c>
    </x:row>
    <x:row r="319">
      <x:c r="A319" t="str">
        <x:v>Madhya Pradesh</x:v>
      </x:c>
      <x:c r="B319" t="str">
        <x:v>MP/006/G/1</x:v>
      </x:c>
      <x:c r="C319" t="str">
        <x:v>Gandhi Medical College, Bhopal</x:v>
      </x:c>
      <x:c r="D319" t="str">
        <x:v>Government</x:v>
      </x:c>
      <x:c r="E319" t="n">
        <x:v>250</x:v>
      </x:c>
      <x:c r="F319" t="n">
        <x:v>0</x:v>
      </x:c>
      <x:c r="G319" t="n">
        <x:v>250</x:v>
      </x:c>
      <x:c r="H319" t="str">
        <x:v>200200</x:v>
      </x:c>
      <x:c r="I319" t="n">
        <x:v>37</x:v>
      </x:c>
      <x:c r="J319" t="n">
        <x:v>37</x:v>
      </x:c>
      <x:c r="K319" t="n">
        <x:v>213</x:v>
      </x:c>
      <x:c r="L319" s="20" t="n">
        <x:v>0.852</x:v>
      </x:c>
      <x:c r="M319" t="str">
        <x:v>High</x:v>
      </x:c>
      <x:c r="N319" t="str">
        <x:v>Approx. State/Non-MCC Pool</x:v>
      </x:c>
      <x:c r="O319" t="str">
        <x:v>Large state-counselling pool</x:v>
      </x:c>
      <x:c r="P319" t="n">
        <x:v>4210</x:v>
      </x:c>
      <x:c r="Q319" t="n">
        <x:v>6407</x:v>
      </x:c>
      <x:c r="R319" t="n">
        <x:v>6594</x:v>
      </x:c>
      <x:c r="S319" t="n">
        <x:v>38455</x:v>
      </x:c>
      <x:c r="T319" t="n">
        <x:v>48745</x:v>
      </x:c>
      <x:c r="U319" t="str">
        <x:v>Pending state Round-1 allotment/cutoff data</x:v>
      </x:c>
    </x:row>
    <x:row r="320">
      <x:c r="A320" t="str">
        <x:v>Madhya Pradesh</x:v>
      </x:c>
      <x:c r="B320" t="str">
        <x:v>MP/021/G/1</x:v>
      </x:c>
      <x:c r="C320" t="str">
        <x:v>M G M Medical College, Indore</x:v>
      </x:c>
      <x:c r="D320" t="str">
        <x:v>Government</x:v>
      </x:c>
      <x:c r="E320" t="n">
        <x:v>250</x:v>
      </x:c>
      <x:c r="F320" t="n">
        <x:v>0</x:v>
      </x:c>
      <x:c r="G320" t="n">
        <x:v>250</x:v>
      </x:c>
      <x:c r="H320" t="str">
        <x:v>200202</x:v>
      </x:c>
      <x:c r="I320" t="n">
        <x:v>37</x:v>
      </x:c>
      <x:c r="J320" t="n">
        <x:v>37</x:v>
      </x:c>
      <x:c r="K320" t="n">
        <x:v>213</x:v>
      </x:c>
      <x:c r="L320" s="20" t="n">
        <x:v>0.852</x:v>
      </x:c>
      <x:c r="M320" t="str">
        <x:v>High</x:v>
      </x:c>
      <x:c r="N320" t="str">
        <x:v>Approx. State/Non-MCC Pool</x:v>
      </x:c>
      <x:c r="O320" t="str">
        <x:v>Large state-counselling pool</x:v>
      </x:c>
      <x:c r="P320" t="n">
        <x:v>3411</x:v>
      </x:c>
      <x:c r="Q320" t="n">
        <x:v>5319</x:v>
      </x:c>
      <x:c r="R320" t="n">
        <x:v>5360</x:v>
      </x:c>
      <x:c r="S320" t="n">
        <x:v>28486</x:v>
      </x:c>
      <x:c r="T320" t="n">
        <x:v>41279</x:v>
      </x:c>
      <x:c r="U320" t="str">
        <x:v>Pending state Round-1 allotment/cutoff data</x:v>
      </x:c>
    </x:row>
    <x:row r="321">
      <x:c r="A321" t="str">
        <x:v>Madhya Pradesh</x:v>
      </x:c>
      <x:c r="B321" t="str">
        <x:v>MP/024/G/1</x:v>
      </x:c>
      <x:c r="C321" t="str">
        <x:v>Netaji Subhash Chandra Bose Medical College, Jabalpur</x:v>
      </x:c>
      <x:c r="D321" t="str">
        <x:v>Government</x:v>
      </x:c>
      <x:c r="E321" t="n">
        <x:v>250</x:v>
      </x:c>
      <x:c r="F321" t="n">
        <x:v>0</x:v>
      </x:c>
      <x:c r="G321" t="n">
        <x:v>250</x:v>
      </x:c>
      <x:c r="H321" t="str">
        <x:v>200203</x:v>
      </x:c>
      <x:c r="I321" t="n">
        <x:v>37</x:v>
      </x:c>
      <x:c r="J321" t="n">
        <x:v>37</x:v>
      </x:c>
      <x:c r="K321" t="n">
        <x:v>213</x:v>
      </x:c>
      <x:c r="L321" s="20" t="n">
        <x:v>0.852</x:v>
      </x:c>
      <x:c r="M321" t="str">
        <x:v>High</x:v>
      </x:c>
      <x:c r="N321" t="str">
        <x:v>Approx. State/Non-MCC Pool</x:v>
      </x:c>
      <x:c r="O321" t="str">
        <x:v>Large state-counselling pool</x:v>
      </x:c>
      <x:c r="P321" t="n">
        <x:v>7063</x:v>
      </x:c>
      <x:c r="Q321" t="n">
        <x:v>8476</x:v>
      </x:c>
      <x:c r="R321" t="n">
        <x:v>8585</x:v>
      </x:c>
      <x:c r="S321" t="n">
        <x:v>52017</x:v>
      </x:c>
      <x:c r="T321" t="n">
        <x:v>71418</x:v>
      </x:c>
      <x:c r="U321" t="str">
        <x:v>Pending state Round-1 allotment/cutoff data</x:v>
      </x:c>
    </x:row>
    <x:row r="322">
      <x:c r="A322" t="str">
        <x:v>Madhya Pradesh</x:v>
      </x:c>
      <x:c r="B322" t="str">
        <x:v>MP/012/G/1</x:v>
      </x:c>
      <x:c r="C322" t="str">
        <x:v>Dr. Laxminarayan Pandey Government Medical College, Ratlam (M.P.)</x:v>
      </x:c>
      <x:c r="D322" t="str">
        <x:v>Government</x:v>
      </x:c>
      <x:c r="E322" t="n">
        <x:v>180</x:v>
      </x:c>
      <x:c r="F322" t="n">
        <x:v>20</x:v>
      </x:c>
      <x:c r="G322" t="n">
        <x:v>200</x:v>
      </x:c>
      <x:c r="H322" t="str">
        <x:v>200479</x:v>
      </x:c>
      <x:c r="I322" t="n">
        <x:v>30</x:v>
      </x:c>
      <x:c r="J322" t="n">
        <x:v>30</x:v>
      </x:c>
      <x:c r="K322" t="n">
        <x:v>170</x:v>
      </x:c>
      <x:c r="L322" s="20" t="n">
        <x:v>0.85</x:v>
      </x:c>
      <x:c r="M322" t="str">
        <x:v>High</x:v>
      </x:c>
      <x:c r="N322" t="str">
        <x:v>Approx. State/Non-MCC Pool</x:v>
      </x:c>
      <x:c r="O322" t="str">
        <x:v>Expanded 2026 capacity + substantial state pool</x:v>
      </x:c>
      <x:c r="P322" t="n">
        <x:v>10058</x:v>
      </x:c>
      <x:c r="Q322" t="n">
        <x:v>11294</x:v>
      </x:c>
      <x:c r="R322" t="n">
        <x:v>12593</x:v>
      </x:c>
      <x:c r="S322" t="n">
        <x:v>62526</x:v>
      </x:c>
      <x:c r="T322" t="n">
        <x:v>74995</x:v>
      </x:c>
      <x:c r="U322" t="str">
        <x:v>Pending state Round-1 allotment/cutoff data</x:v>
      </x:c>
    </x:row>
    <x:row r="323">
      <x:c r="A323" t="str">
        <x:v>Madhya Pradesh</x:v>
      </x:c>
      <x:c r="B323" t="str">
        <x:v>MP/030/G/1</x:v>
      </x:c>
      <x:c r="C323" t="str">
        <x:v>Shyam Shah Medical College, Rewa</x:v>
      </x:c>
      <x:c r="D323" t="str">
        <x:v>Government</x:v>
      </x:c>
      <x:c r="E323" t="n">
        <x:v>150</x:v>
      </x:c>
      <x:c r="F323" t="n">
        <x:v>50</x:v>
      </x:c>
      <x:c r="G323" t="n">
        <x:v>200</x:v>
      </x:c>
      <x:c r="H323" t="str">
        <x:v>200204</x:v>
      </x:c>
      <x:c r="I323" t="n">
        <x:v>30</x:v>
      </x:c>
      <x:c r="J323" t="n">
        <x:v>30</x:v>
      </x:c>
      <x:c r="K323" t="n">
        <x:v>170</x:v>
      </x:c>
      <x:c r="L323" s="20" t="n">
        <x:v>0.85</x:v>
      </x:c>
      <x:c r="M323" t="str">
        <x:v>High</x:v>
      </x:c>
      <x:c r="N323" t="str">
        <x:v>Approx. State/Non-MCC Pool</x:v>
      </x:c>
      <x:c r="O323" t="str">
        <x:v>Expanded 2026 capacity + substantial state pool</x:v>
      </x:c>
      <x:c r="P323" t="n">
        <x:v>8492</x:v>
      </x:c>
      <x:c r="Q323" t="n">
        <x:v>9992</x:v>
      </x:c>
      <x:c r="R323" t="n">
        <x:v>10280</x:v>
      </x:c>
      <x:c r="S323" t="n">
        <x:v>57752</x:v>
      </x:c>
      <x:c r="T323" t="n">
        <x:v>79426</x:v>
      </x:c>
      <x:c r="U323" t="str">
        <x:v>Pending state Round-1 allotment/cutoff data</x:v>
      </x:c>
    </x:row>
    <x:row r="324">
      <x:c r="A324" t="str">
        <x:v>Madhya Pradesh</x:v>
      </x:c>
      <x:c r="B324" t="str">
        <x:v>MP/017/G/1</x:v>
      </x:c>
      <x:c r="C324" t="str">
        <x:v>Government Medical College, Vidisha, MP</x:v>
      </x:c>
      <x:c r="D324" t="str">
        <x:v>Government</x:v>
      </x:c>
      <x:c r="E324" t="n">
        <x:v>180</x:v>
      </x:c>
      <x:c r="F324" t="n">
        <x:v>0</x:v>
      </x:c>
      <x:c r="G324" t="n">
        <x:v>180</x:v>
      </x:c>
      <x:c r="H324" t="str">
        <x:v>200483</x:v>
      </x:c>
      <x:c r="I324" t="n">
        <x:v>27</x:v>
      </x:c>
      <x:c r="J324" t="n">
        <x:v>27</x:v>
      </x:c>
      <x:c r="K324" t="n">
        <x:v>153</x:v>
      </x:c>
      <x:c r="L324" s="20" t="n">
        <x:v>0.85</x:v>
      </x:c>
      <x:c r="M324" t="str">
        <x:v>High</x:v>
      </x:c>
      <x:c r="N324" t="str">
        <x:v>Approx. State/Non-MCC Pool</x:v>
      </x:c>
      <x:c r="O324" t="str">
        <x:v>Moderate state-counselling pool</x:v>
      </x:c>
      <x:c r="P324" t="n">
        <x:v>9460</x:v>
      </x:c>
      <x:c r="Q324" t="n">
        <x:v>11640</x:v>
      </x:c>
      <x:c r="R324" t="n">
        <x:v>13129</x:v>
      </x:c>
      <x:c r="S324" t="n">
        <x:v>61833</x:v>
      </x:c>
      <x:c r="T324" t="n">
        <x:v>74674</x:v>
      </x:c>
      <x:c r="U324" t="str">
        <x:v>Pending state Round-1 allotment/cutoff data</x:v>
      </x:c>
    </x:row>
    <x:row r="325">
      <x:c r="A325" t="str">
        <x:v>Madhya Pradesh</x:v>
      </x:c>
      <x:c r="B325" t="str">
        <x:v>MP/013/G/1</x:v>
      </x:c>
      <x:c r="C325" t="str">
        <x:v>Government Medical College, Satna</x:v>
      </x:c>
      <x:c r="D325" t="str">
        <x:v>Government</x:v>
      </x:c>
      <x:c r="E325" t="n">
        <x:v>150</x:v>
      </x:c>
      <x:c r="F325" t="n">
        <x:v>0</x:v>
      </x:c>
      <x:c r="G325" t="n">
        <x:v>150</x:v>
      </x:c>
      <x:c r="H325" t="str">
        <x:v>200657</x:v>
      </x:c>
      <x:c r="I325" t="n">
        <x:v>22</x:v>
      </x:c>
      <x:c r="J325" t="n">
        <x:v>22</x:v>
      </x:c>
      <x:c r="K325" t="n">
        <x:v>128</x:v>
      </x:c>
      <x:c r="L325" s="20" t="n">
        <x:v>0.8533333333333334</x:v>
      </x:c>
      <x:c r="M325" t="str">
        <x:v>High</x:v>
      </x:c>
      <x:c r="N325" t="str">
        <x:v>Approx. State/Non-MCC Pool</x:v>
      </x:c>
      <x:c r="O325" t="str">
        <x:v>Moderate state-counselling pool</x:v>
      </x:c>
      <x:c r="P325" t="n">
        <x:v>14962</x:v>
      </x:c>
      <x:c r="Q325" t="n">
        <x:v>16164</x:v>
      </x:c>
      <x:c r="R325" t="n">
        <x:v>17078</x:v>
      </x:c>
      <x:c r="S325" t="n">
        <x:v>87339</x:v>
      </x:c>
      <x:c r="T325" t="n">
        <x:v>102487</x:v>
      </x:c>
      <x:c r="U325" t="str">
        <x:v>Pending state Round-1 allotment/cutoff data</x:v>
      </x:c>
    </x:row>
    <x:row r="326">
      <x:c r="A326" t="str">
        <x:v>Madhya Pradesh</x:v>
      </x:c>
      <x:c r="B326" t="str">
        <x:v>MP/002/G/1</x:v>
      </x:c>
      <x:c r="C326" t="str">
        <x:v>Bundelkhand Medical College, Sagar</x:v>
      </x:c>
      <x:c r="D326" t="str">
        <x:v>Government</x:v>
      </x:c>
      <x:c r="E326" t="n">
        <x:v>150</x:v>
      </x:c>
      <x:c r="F326" t="n">
        <x:v>0</x:v>
      </x:c>
      <x:c r="G326" t="n">
        <x:v>150</x:v>
      </x:c>
      <x:c r="H326" t="str">
        <x:v>200198</x:v>
      </x:c>
      <x:c r="I326" t="n">
        <x:v>23</x:v>
      </x:c>
      <x:c r="J326" t="n">
        <x:v>23</x:v>
      </x:c>
      <x:c r="K326" t="n">
        <x:v>127</x:v>
      </x:c>
      <x:c r="L326" s="20" t="n">
        <x:v>0.8466666666666667</x:v>
      </x:c>
      <x:c r="M326" t="str">
        <x:v>High</x:v>
      </x:c>
      <x:c r="N326" t="str">
        <x:v>Approx. State/Non-MCC Pool</x:v>
      </x:c>
      <x:c r="O326" t="str">
        <x:v>Moderate state-counselling pool</x:v>
      </x:c>
      <x:c r="P326" t="n">
        <x:v>9799</x:v>
      </x:c>
      <x:c r="Q326" t="n">
        <x:v>10694</x:v>
      </x:c>
      <x:c r="R326" t="n">
        <x:v>12726</x:v>
      </x:c>
      <x:c r="S326" t="n">
        <x:v>55246</x:v>
      </x:c>
      <x:c r="T326" t="n">
        <x:v>77868</x:v>
      </x:c>
      <x:c r="U326" t="str">
        <x:v>Pending state Round-1 allotment/cutoff data</x:v>
      </x:c>
    </x:row>
    <x:row r="327">
      <x:c r="A327" t="str">
        <x:v>Madhya Pradesh</x:v>
      </x:c>
      <x:c r="B327" t="str">
        <x:v>MP/009/G/1</x:v>
      </x:c>
      <x:c r="C327" t="str">
        <x:v>Government Medical College, Chhindwara, MP</x:v>
      </x:c>
      <x:c r="D327" t="str">
        <x:v>Government</x:v>
      </x:c>
      <x:c r="E327" t="n">
        <x:v>150</x:v>
      </x:c>
      <x:c r="F327" t="n">
        <x:v>0</x:v>
      </x:c>
      <x:c r="G327" t="n">
        <x:v>150</x:v>
      </x:c>
      <x:c r="H327" t="str">
        <x:v>200468</x:v>
      </x:c>
      <x:c r="I327" t="n">
        <x:v>23</x:v>
      </x:c>
      <x:c r="J327" t="n">
        <x:v>23</x:v>
      </x:c>
      <x:c r="K327" t="n">
        <x:v>127</x:v>
      </x:c>
      <x:c r="L327" s="20" t="n">
        <x:v>0.8466666666666667</x:v>
      </x:c>
      <x:c r="M327" t="str">
        <x:v>High</x:v>
      </x:c>
      <x:c r="N327" t="str">
        <x:v>Approx. State/Non-MCC Pool</x:v>
      </x:c>
      <x:c r="O327" t="str">
        <x:v>Moderate state-counselling pool</x:v>
      </x:c>
      <x:c r="P327" t="n">
        <x:v>13339</x:v>
      </x:c>
      <x:c r="Q327" t="n">
        <x:v>15544</x:v>
      </x:c>
      <x:c r="R327" t="n">
        <x:v>14845</x:v>
      </x:c>
      <x:c r="S327" t="n">
        <x:v>75572</x:v>
      </x:c>
      <x:c r="T327" t="n">
        <x:v>99243</x:v>
      </x:c>
      <x:c r="U327" t="str">
        <x:v>Pending state Round-1 allotment/cutoff data</x:v>
      </x:c>
    </x:row>
    <x:row r="328">
      <x:c r="A328" t="str">
        <x:v>Madhya Pradesh</x:v>
      </x:c>
      <x:c r="B328" t="str">
        <x:v>MP/010/G/1</x:v>
      </x:c>
      <x:c r="C328" t="str">
        <x:v>Government Medical College, Datia, MP</x:v>
      </x:c>
      <x:c r="D328" t="str">
        <x:v>Government</x:v>
      </x:c>
      <x:c r="E328" t="n">
        <x:v>120</x:v>
      </x:c>
      <x:c r="F328" t="n">
        <x:v>0</x:v>
      </x:c>
      <x:c r="G328" t="n">
        <x:v>120</x:v>
      </x:c>
      <x:c r="H328" t="str">
        <x:v>200431</x:v>
      </x:c>
      <x:c r="I328" t="n">
        <x:v>18</x:v>
      </x:c>
      <x:c r="J328" t="n">
        <x:v>18</x:v>
      </x:c>
      <x:c r="K328" t="n">
        <x:v>102</x:v>
      </x:c>
      <x:c r="L328" s="20" t="n">
        <x:v>0.85</x:v>
      </x:c>
      <x:c r="M328" t="str">
        <x:v>High</x:v>
      </x:c>
      <x:c r="N328" t="str">
        <x:v>Approx. State/Non-MCC Pool</x:v>
      </x:c>
      <x:c r="O328" t="str">
        <x:v>Moderate state-counselling pool</x:v>
      </x:c>
      <x:c r="P328" t="n">
        <x:v>12496</x:v>
      </x:c>
      <x:c r="Q328" t="n">
        <x:v>13552</x:v>
      </x:c>
      <x:c r="R328" t="n">
        <x:v>13999</x:v>
      </x:c>
      <x:c r="S328" t="n">
        <x:v>73423</x:v>
      </x:c>
      <x:c r="T328" t="n">
        <x:v>82903</x:v>
      </x:c>
      <x:c r="U328" t="str">
        <x:v>Pending state Round-1 allotment/cutoff data</x:v>
      </x:c>
    </x:row>
    <x:row r="329">
      <x:c r="A329" t="str">
        <x:v>Madhya Pradesh</x:v>
      </x:c>
      <x:c r="B329" t="str">
        <x:v>MP/011/G/1</x:v>
      </x:c>
      <x:c r="C329" t="str">
        <x:v>Government Medical College, Khandwa, MP</x:v>
      </x:c>
      <x:c r="D329" t="str">
        <x:v>Government</x:v>
      </x:c>
      <x:c r="E329" t="n">
        <x:v>120</x:v>
      </x:c>
      <x:c r="F329" t="n">
        <x:v>0</x:v>
      </x:c>
      <x:c r="G329" t="n">
        <x:v>120</x:v>
      </x:c>
      <x:c r="H329" t="str">
        <x:v>200480</x:v>
      </x:c>
      <x:c r="I329" t="n">
        <x:v>18</x:v>
      </x:c>
      <x:c r="J329" t="n">
        <x:v>18</x:v>
      </x:c>
      <x:c r="K329" t="n">
        <x:v>102</x:v>
      </x:c>
      <x:c r="L329" s="20" t="n">
        <x:v>0.85</x:v>
      </x:c>
      <x:c r="M329" t="str">
        <x:v>High</x:v>
      </x:c>
      <x:c r="N329" t="str">
        <x:v>Approx. State/Non-MCC Pool</x:v>
      </x:c>
      <x:c r="O329" t="str">
        <x:v>Moderate state-counselling pool</x:v>
      </x:c>
      <x:c r="P329" t="n">
        <x:v>12819</x:v>
      </x:c>
      <x:c r="Q329" t="n">
        <x:v>13395</x:v>
      </x:c>
      <x:c r="R329" t="n">
        <x:v>15454</x:v>
      </x:c>
      <x:c r="S329" t="n">
        <x:v>70844</x:v>
      </x:c>
      <x:c r="T329" t="n">
        <x:v>93166</x:v>
      </x:c>
      <x:c r="U329" t="str">
        <x:v>Pending state Round-1 allotment/cutoff data</x:v>
      </x:c>
    </x:row>
    <x:row r="330">
      <x:c r="A330" t="str">
        <x:v>Madhya Pradesh</x:v>
      </x:c>
      <x:c r="B330" t="str">
        <x:v>MP/007/G/1</x:v>
      </x:c>
      <x:c r="C330" t="str">
        <x:v>GOVERMENT MEDICAL COLLEGE, SHEOPUR</x:v>
      </x:c>
      <x:c r="D330" t="str">
        <x:v>Government</x:v>
      </x:c>
      <x:c r="E330" t="n">
        <x:v>100</x:v>
      </x:c>
      <x:c r="F330" t="n">
        <x:v>0</x:v>
      </x:c>
      <x:c r="G330" t="n">
        <x:v>100</x:v>
      </x:c>
      <x:c r="H330" t="str">
        <x:v>904352</x:v>
      </x:c>
      <x:c r="I330" t="n">
        <x:v>15</x:v>
      </x:c>
      <x:c r="J330" t="n">
        <x:v>15</x:v>
      </x:c>
      <x:c r="K330" t="n">
        <x:v>85</x:v>
      </x:c>
      <x:c r="L330" s="20" t="n">
        <x:v>0.85</x:v>
      </x:c>
      <x:c r="M330" t="str">
        <x:v>High</x:v>
      </x:c>
      <x:c r="N330" t="str">
        <x:v>Approx. State/Non-MCC Pool</x:v>
      </x:c>
      <x:c r="O330" t="str">
        <x:v>Moderate state-counselling pool</x:v>
      </x:c>
      <x:c r="P330" t="n">
        <x:v>14691</x:v>
      </x:c>
      <x:c r="Q330" t="n">
        <x:v>16240</x:v>
      </x:c>
      <x:c r="R330" t="n">
        <x:v>17737</x:v>
      </x:c>
      <x:c r="S330" t="n">
        <x:v>83191</x:v>
      </x:c>
      <x:c r="T330" t="n">
        <x:v>91711</x:v>
      </x:c>
      <x:c r="U330" t="str">
        <x:v>Pending state Round-1 allotment/cutoff data</x:v>
      </x:c>
    </x:row>
    <x:row r="331">
      <x:c r="A331" t="str">
        <x:v>Madhya Pradesh</x:v>
      </x:c>
      <x:c r="B331" t="str">
        <x:v>MP/008/G/1</x:v>
      </x:c>
      <x:c r="C331" t="str">
        <x:v>GOVERNMENT MEDICAL COLLEGE SINGRAULI</x:v>
      </x:c>
      <x:c r="D331" t="str">
        <x:v>Government</x:v>
      </x:c>
      <x:c r="E331" t="n">
        <x:v>100</x:v>
      </x:c>
      <x:c r="F331" t="n">
        <x:v>0</x:v>
      </x:c>
      <x:c r="G331" t="n">
        <x:v>100</x:v>
      </x:c>
      <x:c r="H331" t="str">
        <x:v>904351</x:v>
      </x:c>
      <x:c r="I331" t="n">
        <x:v>15</x:v>
      </x:c>
      <x:c r="J331" t="n">
        <x:v>15</x:v>
      </x:c>
      <x:c r="K331" t="n">
        <x:v>85</x:v>
      </x:c>
      <x:c r="L331" s="20" t="n">
        <x:v>0.85</x:v>
      </x:c>
      <x:c r="M331" t="str">
        <x:v>High</x:v>
      </x:c>
      <x:c r="N331" t="str">
        <x:v>Approx. State/Non-MCC Pool</x:v>
      </x:c>
      <x:c r="O331" t="str">
        <x:v>Moderate state-counselling pool</x:v>
      </x:c>
      <x:c r="P331" t="n">
        <x:v>16230</x:v>
      </x:c>
      <x:c r="Q331" t="n">
        <x:v>17574</x:v>
      </x:c>
      <x:c r="R331" t="n">
        <x:v>18759</x:v>
      </x:c>
      <x:c r="S331" t="n">
        <x:v>89294</x:v>
      </x:c>
      <x:c r="T331" t="n">
        <x:v>110270</x:v>
      </x:c>
      <x:c r="U331" t="str">
        <x:v>Pending state Round-1 allotment/cutoff data</x:v>
      </x:c>
    </x:row>
    <x:row r="332">
      <x:c r="A332" t="str">
        <x:v>Madhya Pradesh</x:v>
      </x:c>
      <x:c r="B332" t="str">
        <x:v>MP/014/G/1</x:v>
      </x:c>
      <x:c r="C332" t="str">
        <x:v>Government Medical College, Seoni</x:v>
      </x:c>
      <x:c r="D332" t="str">
        <x:v>Government</x:v>
      </x:c>
      <x:c r="E332" t="n">
        <x:v>100</x:v>
      </x:c>
      <x:c r="F332" t="n">
        <x:v>0</x:v>
      </x:c>
      <x:c r="G332" t="n">
        <x:v>100</x:v>
      </x:c>
      <x:c r="H332" t="str">
        <x:v>902825</x:v>
      </x:c>
      <x:c r="I332" t="n">
        <x:v>15</x:v>
      </x:c>
      <x:c r="J332" t="n">
        <x:v>15</x:v>
      </x:c>
      <x:c r="K332" t="n">
        <x:v>85</x:v>
      </x:c>
      <x:c r="L332" s="20" t="n">
        <x:v>0.85</x:v>
      </x:c>
      <x:c r="M332" t="str">
        <x:v>High</x:v>
      </x:c>
      <x:c r="N332" t="str">
        <x:v>Approx. State/Non-MCC Pool</x:v>
      </x:c>
      <x:c r="O332" t="str">
        <x:v>Moderate state-counselling pool</x:v>
      </x:c>
      <x:c r="P332" t="n">
        <x:v>15389</x:v>
      </x:c>
      <x:c r="Q332" t="n">
        <x:v>16573</x:v>
      </x:c>
      <x:c r="R332" t="n">
        <x:v>17376</x:v>
      </x:c>
      <x:c r="S332" t="n">
        <x:v>74144</x:v>
      </x:c>
      <x:c r="T332" t="n">
        <x:v>104543</x:v>
      </x:c>
      <x:c r="U332" t="str">
        <x:v>Pending state Round-1 allotment/cutoff data</x:v>
      </x:c>
    </x:row>
    <x:row r="333">
      <x:c r="A333" t="str">
        <x:v>Madhya Pradesh</x:v>
      </x:c>
      <x:c r="B333" t="str">
        <x:v>MP/015/G/1</x:v>
      </x:c>
      <x:c r="C333" t="str">
        <x:v>Government Medical College, Shahdol, MP</x:v>
      </x:c>
      <x:c r="D333" t="str">
        <x:v>Government</x:v>
      </x:c>
      <x:c r="E333" t="n">
        <x:v>100</x:v>
      </x:c>
      <x:c r="F333" t="n">
        <x:v>0</x:v>
      </x:c>
      <x:c r="G333" t="n">
        <x:v>100</x:v>
      </x:c>
      <x:c r="H333" t="str">
        <x:v>200471</x:v>
      </x:c>
      <x:c r="I333" t="n">
        <x:v>15</x:v>
      </x:c>
      <x:c r="J333" t="n">
        <x:v>15</x:v>
      </x:c>
      <x:c r="K333" t="n">
        <x:v>85</x:v>
      </x:c>
      <x:c r="L333" s="20" t="n">
        <x:v>0.85</x:v>
      </x:c>
      <x:c r="M333" t="str">
        <x:v>High</x:v>
      </x:c>
      <x:c r="N333" t="str">
        <x:v>Approx. State/Non-MCC Pool</x:v>
      </x:c>
      <x:c r="O333" t="str">
        <x:v>Moderate state-counselling pool</x:v>
      </x:c>
      <x:c r="P333" t="n">
        <x:v>13929</x:v>
      </x:c>
      <x:c r="Q333" t="n">
        <x:v>15412</x:v>
      </x:c>
      <x:c r="R333" t="n">
        <x:v>15664</x:v>
      </x:c>
      <x:c r="S333" t="n">
        <x:v>82428</x:v>
      </x:c>
      <x:c r="T333" t="n">
        <x:v>99692</x:v>
      </x:c>
      <x:c r="U333" t="str">
        <x:v>Pending state Round-1 allotment/cutoff data</x:v>
      </x:c>
    </x:row>
    <x:row r="334">
      <x:c r="A334" t="str">
        <x:v>Madhya Pradesh</x:v>
      </x:c>
      <x:c r="B334" t="str">
        <x:v>MP/016/G/1</x:v>
      </x:c>
      <x:c r="C334" t="str">
        <x:v>Government Medical College, Shivpuri, MP</x:v>
      </x:c>
      <x:c r="D334" t="str">
        <x:v>Government</x:v>
      </x:c>
      <x:c r="E334" t="n">
        <x:v>100</x:v>
      </x:c>
      <x:c r="F334" t="n">
        <x:v>0</x:v>
      </x:c>
      <x:c r="G334" t="n">
        <x:v>100</x:v>
      </x:c>
      <x:c r="H334" t="str">
        <x:v>200488</x:v>
      </x:c>
      <x:c r="I334" t="n">
        <x:v>15</x:v>
      </x:c>
      <x:c r="J334" t="n">
        <x:v>15</x:v>
      </x:c>
      <x:c r="K334" t="n">
        <x:v>85</x:v>
      </x:c>
      <x:c r="L334" s="20" t="n">
        <x:v>0.85</x:v>
      </x:c>
      <x:c r="M334" t="str">
        <x:v>High</x:v>
      </x:c>
      <x:c r="N334" t="str">
        <x:v>Approx. State/Non-MCC Pool</x:v>
      </x:c>
      <x:c r="O334" t="str">
        <x:v>Moderate state-counselling pool</x:v>
      </x:c>
      <x:c r="P334" t="n">
        <x:v>11791</x:v>
      </x:c>
      <x:c r="Q334" t="n">
        <x:v>12762</x:v>
      </x:c>
      <x:c r="R334" t="n">
        <x:v>15332</x:v>
      </x:c>
      <x:c r="S334" t="n">
        <x:v>59688</x:v>
      </x:c>
      <x:c r="T334" t="n">
        <x:v>90382</x:v>
      </x:c>
      <x:c r="U334" t="str">
        <x:v>Pending state Round-1 allotment/cutoff data</x:v>
      </x:c>
    </x:row>
    <x:row r="335">
      <x:c r="A335" t="str">
        <x:v>Madhya Pradesh</x:v>
      </x:c>
      <x:c r="B335" t="str">
        <x:v>MP/033/G/1</x:v>
      </x:c>
      <x:c r="C335" t="str">
        <x:v>Sundarlal Patwa Govt. Medical College</x:v>
      </x:c>
      <x:c r="D335" t="str">
        <x:v>Government</x:v>
      </x:c>
      <x:c r="E335" t="n">
        <x:v>100</x:v>
      </x:c>
      <x:c r="F335" t="n">
        <x:v>0</x:v>
      </x:c>
      <x:c r="G335" t="n">
        <x:v>100</x:v>
      </x:c>
      <x:c r="H335" t="str">
        <x:v>902826</x:v>
      </x:c>
      <x:c r="I335" t="n">
        <x:v>15</x:v>
      </x:c>
      <x:c r="J335" t="n">
        <x:v>15</x:v>
      </x:c>
      <x:c r="K335" t="n">
        <x:v>85</x:v>
      </x:c>
      <x:c r="L335" s="20" t="n">
        <x:v>0.85</x:v>
      </x:c>
      <x:c r="M335" t="str">
        <x:v>High</x:v>
      </x:c>
      <x:c r="N335" t="str">
        <x:v>Approx. State/Non-MCC Pool</x:v>
      </x:c>
      <x:c r="O335" t="str">
        <x:v>Moderate state-counselling pool</x:v>
      </x:c>
      <x:c r="P335" t="n">
        <x:v>13923</x:v>
      </x:c>
      <x:c r="Q335" t="n">
        <x:v>14841</x:v>
      </x:c>
      <x:c r="R335" t="n">
        <x:v>16422</x:v>
      </x:c>
      <x:c r="S335" t="n">
        <x:v>74782</x:v>
      </x:c>
      <x:c r="T335" t="n">
        <x:v>104221</x:v>
      </x:c>
      <x:c r="U335" t="str">
        <x:v>Pending state Round-1 allotment/cutoff data</x:v>
      </x:c>
    </x:row>
    <x:row r="336">
      <x:c r="A336" t="str">
        <x:v>Madhya Pradesh</x:v>
      </x:c>
      <x:c r="B336" t="str">
        <x:v>MP/034/G/1</x:v>
      </x:c>
      <x:c r="C336" t="str">
        <x:v>Virendra Kumar Sakhlecha Government Medical College</x:v>
      </x:c>
      <x:c r="D336" t="str">
        <x:v>Government</x:v>
      </x:c>
      <x:c r="E336" t="n">
        <x:v>100</x:v>
      </x:c>
      <x:c r="F336" t="n">
        <x:v>0</x:v>
      </x:c>
      <x:c r="G336" t="n">
        <x:v>100</x:v>
      </x:c>
      <x:c r="H336" t="str">
        <x:v>902827</x:v>
      </x:c>
      <x:c r="I336" t="n">
        <x:v>15</x:v>
      </x:c>
      <x:c r="J336" t="n">
        <x:v>15</x:v>
      </x:c>
      <x:c r="K336" t="n">
        <x:v>85</x:v>
      </x:c>
      <x:c r="L336" s="20" t="n">
        <x:v>0.85</x:v>
      </x:c>
      <x:c r="M336" t="str">
        <x:v>High</x:v>
      </x:c>
      <x:c r="N336" t="str">
        <x:v>Approx. State/Non-MCC Pool</x:v>
      </x:c>
      <x:c r="O336" t="str">
        <x:v>Moderate state-counselling pool</x:v>
      </x:c>
      <x:c r="P336" t="n">
        <x:v>11749</x:v>
      </x:c>
      <x:c r="Q336" t="n">
        <x:v>14220</x:v>
      </x:c>
      <x:c r="R336" t="n">
        <x:v>15155</x:v>
      </x:c>
      <x:c r="S336" t="n">
        <x:v>74222</x:v>
      </x:c>
      <x:c r="T336" t="n">
        <x:v>98103</x:v>
      </x:c>
      <x:c r="U336" t="str">
        <x:v>Pending state Round-1 allotment/cutoff data</x:v>
      </x:c>
    </x:row>
    <x:row r="337">
      <x:c r="A337" t="str">
        <x:v>Madhya Pradesh</x:v>
      </x:c>
      <x:c r="B337" t="str">
        <x:v>MP/004/G/1</x:v>
      </x:c>
      <x:c r="C337" t="str">
        <x:v>ESIC MEDICAL COLLEGE AND HOSPITAL,INDORE</x:v>
      </x:c>
      <x:c r="D337" t="str">
        <x:v>Government</x:v>
      </x:c>
      <x:c r="E337" t="n">
        <x:v>50</x:v>
      </x:c>
      <x:c r="F337" t="n">
        <x:v>0</x:v>
      </x:c>
      <x:c r="G337" t="n">
        <x:v>50</x:v>
      </x:c>
      <x:c r="H337" t="str">
        <x:v>904548</x:v>
      </x:c>
      <x:c r="I337" t="n">
        <x:v>25</x:v>
      </x:c>
      <x:c r="J337" t="n">
        <x:v>25</x:v>
      </x:c>
      <x:c r="K337" t="n">
        <x:v>25</x:v>
      </x:c>
      <x:c r="L337" s="20" t="n">
        <x:v>0.5</x:v>
      </x:c>
      <x:c r="M337" t="str">
        <x:v>High</x:v>
      </x:c>
      <x:c r="N337" t="str">
        <x:v>Approx. State/Non-MCC Pool</x:v>
      </x:c>
      <x:c r="O337" t="str">
        <x:v>Smaller state-counselling pool</x:v>
      </x:c>
      <x:c r="P337" t="n">
        <x:v>16951</x:v>
      </x:c>
      <x:c r="Q337" t="n">
        <x:v>20955</x:v>
      </x:c>
      <x:c r="R337" t="n">
        <x:v>27530</x:v>
      </x:c>
      <x:c r="S337" t="n">
        <x:v>138814</x:v>
      </x:c>
      <x:c r="T337" t="n">
        <x:v>190392</x:v>
      </x:c>
      <x:c r="U337" t="str">
        <x:v>Pending state Round-1 allotment/cutoff data</x:v>
      </x:c>
    </x:row>
    <x:row r="338">
      <x:c r="A338" t="str">
        <x:v>Madhya Pradesh</x:v>
      </x:c>
      <x:c r="B338" t="str">
        <x:v>MP/001/P/4</x:v>
      </x:c>
      <x:c r="C338" t="str">
        <x:v>Amaltas Institute of Medical Sciences, Dewas</x:v>
      </x:c>
      <x:c r="D338" t="str">
        <x:v>Private</x:v>
      </x:c>
      <x:c r="E338" t="n">
        <x:v>250</x:v>
      </x:c>
      <x:c r="F338" t="n">
        <x:v>0</x:v>
      </x:c>
      <x:c r="G338" t="n">
        <x:v>250</x:v>
      </x:c>
      <x:c r="H338"/>
      <x:c r="I338" t="n">
        <x:v>0</x:v>
      </x:c>
      <x:c r="J338" t="n">
        <x:v>0</x:v>
      </x:c>
      <x:c r="K338" t="n">
        <x:v>250</x:v>
      </x:c>
      <x:c r="L338" s="20" t="n">
        <x:v>1</x:v>
      </x:c>
      <x:c r="M338" t="str">
        <x:v>Variable</x:v>
      </x:c>
      <x:c r="N338" t="str">
        <x:v>Approx. Non-MCC Pool</x:v>
      </x:c>
      <x:c r="O338" t="str">
        <x:v>Large non-MCC pool; quota split varies by state</x:v>
      </x:c>
      <x:c r="P338"/>
      <x:c r="Q338"/>
      <x:c r="R338"/>
      <x:c r="S338"/>
      <x:c r="T338"/>
      <x:c r="U338" t="str">
        <x:v>Pending state Round-1 allotment/cutoff data</x:v>
      </x:c>
    </x:row>
    <x:row r="339">
      <x:c r="A339" t="str">
        <x:v>Madhya Pradesh</x:v>
      </x:c>
      <x:c r="B339" t="str">
        <x:v>MP/003/P/4</x:v>
      </x:c>
      <x:c r="C339" t="str">
        <x:v>Chirayu Medical College and Hospital, Bairagarh, Bhopal</x:v>
      </x:c>
      <x:c r="D339" t="str">
        <x:v>Private</x:v>
      </x:c>
      <x:c r="E339" t="n">
        <x:v>250</x:v>
      </x:c>
      <x:c r="F339" t="n">
        <x:v>0</x:v>
      </x:c>
      <x:c r="G339" t="n">
        <x:v>250</x:v>
      </x:c>
      <x:c r="H339"/>
      <x:c r="I339" t="n">
        <x:v>0</x:v>
      </x:c>
      <x:c r="J339" t="n">
        <x:v>0</x:v>
      </x:c>
      <x:c r="K339" t="n">
        <x:v>250</x:v>
      </x:c>
      <x:c r="L339" s="20" t="n">
        <x:v>1</x:v>
      </x:c>
      <x:c r="M339" t="str">
        <x:v>Variable</x:v>
      </x:c>
      <x:c r="N339" t="str">
        <x:v>Approx. Non-MCC Pool</x:v>
      </x:c>
      <x:c r="O339" t="str">
        <x:v>Large non-MCC pool; quota split varies by state</x:v>
      </x:c>
      <x:c r="P339"/>
      <x:c r="Q339"/>
      <x:c r="R339"/>
      <x:c r="S339"/>
      <x:c r="T339"/>
      <x:c r="U339" t="str">
        <x:v>Pending state Round-1 allotment/cutoff data</x:v>
      </x:c>
    </x:row>
    <x:row r="340">
      <x:c r="A340" t="str">
        <x:v>Madhya Pradesh</x:v>
      </x:c>
      <x:c r="B340" t="str">
        <x:v>MP/018/P/4</x:v>
      </x:c>
      <x:c r="C340" t="str">
        <x:v>Index Medical College Hospital &amp; Research Centre, Indore</x:v>
      </x:c>
      <x:c r="D340" t="str">
        <x:v>Private</x:v>
      </x:c>
      <x:c r="E340" t="n">
        <x:v>250</x:v>
      </x:c>
      <x:c r="F340" t="n">
        <x:v>0</x:v>
      </x:c>
      <x:c r="G340" t="n">
        <x:v>250</x:v>
      </x:c>
      <x:c r="H340"/>
      <x:c r="I340" t="n">
        <x:v>0</x:v>
      </x:c>
      <x:c r="J340" t="n">
        <x:v>0</x:v>
      </x:c>
      <x:c r="K340" t="n">
        <x:v>250</x:v>
      </x:c>
      <x:c r="L340" s="20" t="n">
        <x:v>1</x:v>
      </x:c>
      <x:c r="M340" t="str">
        <x:v>Variable</x:v>
      </x:c>
      <x:c r="N340" t="str">
        <x:v>Approx. Non-MCC Pool</x:v>
      </x:c>
      <x:c r="O340" t="str">
        <x:v>Large non-MCC pool; quota split varies by state</x:v>
      </x:c>
      <x:c r="P340"/>
      <x:c r="Q340"/>
      <x:c r="R340"/>
      <x:c r="S340"/>
      <x:c r="T340"/>
      <x:c r="U340" t="str">
        <x:v>Pending state Round-1 allotment/cutoff data</x:v>
      </x:c>
    </x:row>
    <x:row r="341">
      <x:c r="A341" t="str">
        <x:v>Madhya Pradesh</x:v>
      </x:c>
      <x:c r="B341" t="str">
        <x:v>MP/019/P/3</x:v>
      </x:c>
      <x:c r="C341" t="str">
        <x:v>L.N. Medical College and Research Centre, Bhopal</x:v>
      </x:c>
      <x:c r="D341" t="str">
        <x:v>Private</x:v>
      </x:c>
      <x:c r="E341" t="n">
        <x:v>250</x:v>
      </x:c>
      <x:c r="F341" t="n">
        <x:v>0</x:v>
      </x:c>
      <x:c r="G341" t="n">
        <x:v>250</x:v>
      </x:c>
      <x:c r="H341"/>
      <x:c r="I341" t="n">
        <x:v>0</x:v>
      </x:c>
      <x:c r="J341" t="n">
        <x:v>0</x:v>
      </x:c>
      <x:c r="K341" t="n">
        <x:v>250</x:v>
      </x:c>
      <x:c r="L341" s="20" t="n">
        <x:v>1</x:v>
      </x:c>
      <x:c r="M341" t="str">
        <x:v>Variable</x:v>
      </x:c>
      <x:c r="N341" t="str">
        <x:v>Approx. Non-MCC Pool</x:v>
      </x:c>
      <x:c r="O341" t="str">
        <x:v>Large non-MCC pool; quota split varies by state</x:v>
      </x:c>
      <x:c r="P341"/>
      <x:c r="Q341"/>
      <x:c r="R341"/>
      <x:c r="S341"/>
      <x:c r="T341"/>
      <x:c r="U341" t="str">
        <x:v>Pending state Round-1 allotment/cutoff data</x:v>
      </x:c>
    </x:row>
    <x:row r="342">
      <x:c r="A342" t="str">
        <x:v>Madhya Pradesh</x:v>
      </x:c>
      <x:c r="B342" t="str">
        <x:v>MP/020/P/4</x:v>
      </x:c>
      <x:c r="C342" t="str">
        <x:v>LNCT Medical College &amp; Sewakunj Hospital, Indore</x:v>
      </x:c>
      <x:c r="D342" t="str">
        <x:v>Private</x:v>
      </x:c>
      <x:c r="E342" t="n">
        <x:v>150</x:v>
      </x:c>
      <x:c r="F342" t="n">
        <x:v>100</x:v>
      </x:c>
      <x:c r="G342" t="n">
        <x:v>250</x:v>
      </x:c>
      <x:c r="H342"/>
      <x:c r="I342" t="n">
        <x:v>0</x:v>
      </x:c>
      <x:c r="J342" t="n">
        <x:v>0</x:v>
      </x:c>
      <x:c r="K342" t="n">
        <x:v>250</x:v>
      </x:c>
      <x:c r="L342" s="20" t="n">
        <x:v>1</x:v>
      </x:c>
      <x:c r="M342" t="str">
        <x:v>Variable</x:v>
      </x:c>
      <x:c r="N342" t="str">
        <x:v>Approx. Non-MCC Pool</x:v>
      </x:c>
      <x:c r="O342" t="str">
        <x:v>Expanded 2026 capacity; state/management split to verify</x:v>
      </x:c>
      <x:c r="P342"/>
      <x:c r="Q342"/>
      <x:c r="R342"/>
      <x:c r="S342"/>
      <x:c r="T342"/>
      <x:c r="U342" t="str">
        <x:v>Pending state Round-1 allotment/cutoff data</x:v>
      </x:c>
    </x:row>
    <x:row r="343">
      <x:c r="A343" t="str">
        <x:v>Madhya Pradesh</x:v>
      </x:c>
      <x:c r="B343" t="str">
        <x:v>MP/023/P/4</x:v>
      </x:c>
      <x:c r="C343" t="str">
        <x:v>MANSAROVAR MEDICAL COLLEGE AND MGU HOSPITAL</x:v>
      </x:c>
      <x:c r="D343" t="str">
        <x:v>Private</x:v>
      </x:c>
      <x:c r="E343" t="n">
        <x:v>150</x:v>
      </x:c>
      <x:c r="F343" t="n">
        <x:v>100</x:v>
      </x:c>
      <x:c r="G343" t="n">
        <x:v>250</x:v>
      </x:c>
      <x:c r="H343"/>
      <x:c r="I343" t="n">
        <x:v>0</x:v>
      </x:c>
      <x:c r="J343" t="n">
        <x:v>0</x:v>
      </x:c>
      <x:c r="K343" t="n">
        <x:v>250</x:v>
      </x:c>
      <x:c r="L343" s="20" t="n">
        <x:v>1</x:v>
      </x:c>
      <x:c r="M343" t="str">
        <x:v>Variable</x:v>
      </x:c>
      <x:c r="N343" t="str">
        <x:v>Approx. Non-MCC Pool</x:v>
      </x:c>
      <x:c r="O343" t="str">
        <x:v>Expanded 2026 capacity; state/management split to verify</x:v>
      </x:c>
      <x:c r="P343"/>
      <x:c r="Q343"/>
      <x:c r="R343"/>
      <x:c r="S343"/>
      <x:c r="T343"/>
      <x:c r="U343" t="str">
        <x:v>Pending state Round-1 allotment/cutoff data</x:v>
      </x:c>
    </x:row>
    <x:row r="344">
      <x:c r="A344" t="str">
        <x:v>Madhya Pradesh</x:v>
      </x:c>
      <x:c r="B344" t="str">
        <x:v>MP/025/P/3</x:v>
      </x:c>
      <x:c r="C344" t="str">
        <x:v>Peoples College of Medical Sciences &amp; Research Centre, Bhanpur, Bhopal</x:v>
      </x:c>
      <x:c r="D344" t="str">
        <x:v>Private</x:v>
      </x:c>
      <x:c r="E344" t="n">
        <x:v>250</x:v>
      </x:c>
      <x:c r="F344" t="n">
        <x:v>0</x:v>
      </x:c>
      <x:c r="G344" t="n">
        <x:v>250</x:v>
      </x:c>
      <x:c r="H344"/>
      <x:c r="I344" t="n">
        <x:v>0</x:v>
      </x:c>
      <x:c r="J344" t="n">
        <x:v>0</x:v>
      </x:c>
      <x:c r="K344" t="n">
        <x:v>250</x:v>
      </x:c>
      <x:c r="L344" s="20" t="n">
        <x:v>1</x:v>
      </x:c>
      <x:c r="M344" t="str">
        <x:v>Variable</x:v>
      </x:c>
      <x:c r="N344" t="str">
        <x:v>Approx. Non-MCC Pool</x:v>
      </x:c>
      <x:c r="O344" t="str">
        <x:v>Large non-MCC pool; quota split varies by state</x:v>
      </x:c>
      <x:c r="P344"/>
      <x:c r="Q344"/>
      <x:c r="R344"/>
      <x:c r="S344"/>
      <x:c r="T344"/>
      <x:c r="U344" t="str">
        <x:v>Pending state Round-1 allotment/cutoff data</x:v>
      </x:c>
    </x:row>
    <x:row r="345">
      <x:c r="A345" t="str">
        <x:v>Madhya Pradesh</x:v>
      </x:c>
      <x:c r="B345" t="str">
        <x:v>MP/026/P/4</x:v>
      </x:c>
      <x:c r="C345" t="str">
        <x:v>Ram Krishna College Hospital &amp; Research Centre, Bhopal</x:v>
      </x:c>
      <x:c r="D345" t="str">
        <x:v>Private</x:v>
      </x:c>
      <x:c r="E345" t="n">
        <x:v>150</x:v>
      </x:c>
      <x:c r="F345" t="n">
        <x:v>100</x:v>
      </x:c>
      <x:c r="G345" t="n">
        <x:v>250</x:v>
      </x:c>
      <x:c r="H345"/>
      <x:c r="I345" t="n">
        <x:v>0</x:v>
      </x:c>
      <x:c r="J345" t="n">
        <x:v>0</x:v>
      </x:c>
      <x:c r="K345" t="n">
        <x:v>250</x:v>
      </x:c>
      <x:c r="L345" s="20" t="n">
        <x:v>1</x:v>
      </x:c>
      <x:c r="M345" t="str">
        <x:v>Variable</x:v>
      </x:c>
      <x:c r="N345" t="str">
        <x:v>Approx. Non-MCC Pool</x:v>
      </x:c>
      <x:c r="O345" t="str">
        <x:v>Expanded 2026 capacity; state/management split to verify</x:v>
      </x:c>
      <x:c r="P345"/>
      <x:c r="Q345"/>
      <x:c r="R345"/>
      <x:c r="S345"/>
      <x:c r="T345"/>
      <x:c r="U345" t="str">
        <x:v>Pending state Round-1 allotment/cutoff data</x:v>
      </x:c>
    </x:row>
    <x:row r="346">
      <x:c r="A346" t="str">
        <x:v>Madhya Pradesh</x:v>
      </x:c>
      <x:c r="B346" t="str">
        <x:v>MP/031/P/4</x:v>
      </x:c>
      <x:c r="C346" t="str">
        <x:v>Sri Aurobindo Medical College and Post Graduate Institute , Indore</x:v>
      </x:c>
      <x:c r="D346" t="str">
        <x:v>Private</x:v>
      </x:c>
      <x:c r="E346" t="n">
        <x:v>250</x:v>
      </x:c>
      <x:c r="F346" t="n">
        <x:v>0</x:v>
      </x:c>
      <x:c r="G346" t="n">
        <x:v>250</x:v>
      </x:c>
      <x:c r="H346"/>
      <x:c r="I346" t="n">
        <x:v>0</x:v>
      </x:c>
      <x:c r="J346" t="n">
        <x:v>0</x:v>
      </x:c>
      <x:c r="K346" t="n">
        <x:v>250</x:v>
      </x:c>
      <x:c r="L346" s="20" t="n">
        <x:v>1</x:v>
      </x:c>
      <x:c r="M346" t="str">
        <x:v>Variable</x:v>
      </x:c>
      <x:c r="N346" t="str">
        <x:v>Approx. Non-MCC Pool</x:v>
      </x:c>
      <x:c r="O346" t="str">
        <x:v>Large non-MCC pool; quota split varies by state</x:v>
      </x:c>
      <x:c r="P346"/>
      <x:c r="Q346"/>
      <x:c r="R346"/>
      <x:c r="S346"/>
      <x:c r="T346"/>
      <x:c r="U346" t="str">
        <x:v>Pending state Round-1 allotment/cutoff data</x:v>
      </x:c>
    </x:row>
    <x:row r="347">
      <x:c r="A347" t="str">
        <x:v>Madhya Pradesh</x:v>
      </x:c>
      <x:c r="B347" t="str">
        <x:v>MP/032/P/3</x:v>
      </x:c>
      <x:c r="C347" t="str">
        <x:v>Sukh Sagar Medical College &amp; Hospital, Jabalpur</x:v>
      </x:c>
      <x:c r="D347" t="str">
        <x:v>Private</x:v>
      </x:c>
      <x:c r="E347" t="n">
        <x:v>200</x:v>
      </x:c>
      <x:c r="F347" t="n">
        <x:v>0</x:v>
      </x:c>
      <x:c r="G347" t="n">
        <x:v>200</x:v>
      </x:c>
      <x:c r="H347"/>
      <x:c r="I347" t="n">
        <x:v>0</x:v>
      </x:c>
      <x:c r="J347" t="n">
        <x:v>0</x:v>
      </x:c>
      <x:c r="K347" t="n">
        <x:v>200</x:v>
      </x:c>
      <x:c r="L347" s="20" t="n">
        <x:v>1</x:v>
      </x:c>
      <x:c r="M347" t="str">
        <x:v>Variable</x:v>
      </x:c>
      <x:c r="N347" t="str">
        <x:v>Approx. Non-MCC Pool</x:v>
      </x:c>
      <x:c r="O347" t="str">
        <x:v>Large non-MCC pool; quota split varies by state</x:v>
      </x:c>
      <x:c r="P347"/>
      <x:c r="Q347"/>
      <x:c r="R347"/>
      <x:c r="S347"/>
      <x:c r="T347"/>
      <x:c r="U347" t="str">
        <x:v>Pending state Round-1 allotment/cutoff data</x:v>
      </x:c>
    </x:row>
    <x:row r="348">
      <x:c r="A348" t="str">
        <x:v>Madhya Pradesh</x:v>
      </x:c>
      <x:c r="B348" t="str">
        <x:v>MP/022/P/4</x:v>
      </x:c>
      <x:c r="C348" t="str">
        <x:v>Mahaveer Institute of Medical Sciences &amp; Research, Bhopal</x:v>
      </x:c>
      <x:c r="D348" t="str">
        <x:v>Private</x:v>
      </x:c>
      <x:c r="E348" t="n">
        <x:v>150</x:v>
      </x:c>
      <x:c r="F348" t="n">
        <x:v>0</x:v>
      </x:c>
      <x:c r="G348" t="n">
        <x:v>150</x:v>
      </x:c>
      <x:c r="H348"/>
      <x:c r="I348" t="n">
        <x:v>0</x:v>
      </x:c>
      <x:c r="J348" t="n">
        <x:v>0</x:v>
      </x:c>
      <x:c r="K348" t="n">
        <x:v>150</x:v>
      </x:c>
      <x:c r="L348" s="20" t="n">
        <x:v>1</x:v>
      </x:c>
      <x:c r="M348" t="str">
        <x:v>Variable</x:v>
      </x:c>
      <x:c r="N348" t="str">
        <x:v>Approx. Non-MCC Pool</x:v>
      </x:c>
      <x:c r="O348" t="str">
        <x:v>Large non-MCC pool; quota split varies by state</x:v>
      </x:c>
      <x:c r="P348"/>
      <x:c r="Q348"/>
      <x:c r="R348"/>
      <x:c r="S348"/>
      <x:c r="T348"/>
      <x:c r="U348" t="str">
        <x:v>Pending state Round-1 allotment/cutoff data</x:v>
      </x:c>
    </x:row>
    <x:row r="349">
      <x:c r="A349" t="str">
        <x:v>Madhya Pradesh</x:v>
      </x:c>
      <x:c r="B349" t="str">
        <x:v>MP/027/P/4</x:v>
      </x:c>
      <x:c r="C349" t="str">
        <x:v>RKDF Medical College Hospital &amp; Research Centre, Jatkhedi, Bhopal</x:v>
      </x:c>
      <x:c r="D349" t="str">
        <x:v>Private</x:v>
      </x:c>
      <x:c r="E349" t="n">
        <x:v>150</x:v>
      </x:c>
      <x:c r="F349" t="n">
        <x:v>0</x:v>
      </x:c>
      <x:c r="G349" t="n">
        <x:v>150</x:v>
      </x:c>
      <x:c r="H349"/>
      <x:c r="I349" t="n">
        <x:v>0</x:v>
      </x:c>
      <x:c r="J349" t="n">
        <x:v>0</x:v>
      </x:c>
      <x:c r="K349" t="n">
        <x:v>150</x:v>
      </x:c>
      <x:c r="L349" s="20" t="n">
        <x:v>1</x:v>
      </x:c>
      <x:c r="M349" t="str">
        <x:v>Variable</x:v>
      </x:c>
      <x:c r="N349" t="str">
        <x:v>Approx. Non-MCC Pool</x:v>
      </x:c>
      <x:c r="O349" t="str">
        <x:v>Large non-MCC pool; quota split varies by state</x:v>
      </x:c>
      <x:c r="P349"/>
      <x:c r="Q349"/>
      <x:c r="R349"/>
      <x:c r="S349"/>
      <x:c r="T349"/>
      <x:c r="U349" t="str">
        <x:v>Pending state Round-1 allotment/cutoff data</x:v>
      </x:c>
    </x:row>
    <x:row r="350">
      <x:c r="A350" t="str">
        <x:v>Madhya Pradesh</x:v>
      </x:c>
      <x:c r="B350" t="str">
        <x:v>MP/028/P/3</x:v>
      </x:c>
      <x:c r="C350" t="str">
        <x:v>Ruxmaniben Deepchand Gardi Medical College, Ujjain</x:v>
      </x:c>
      <x:c r="D350" t="str">
        <x:v>Private</x:v>
      </x:c>
      <x:c r="E350" t="n">
        <x:v>150</x:v>
      </x:c>
      <x:c r="F350" t="n">
        <x:v>0</x:v>
      </x:c>
      <x:c r="G350" t="n">
        <x:v>150</x:v>
      </x:c>
      <x:c r="H350"/>
      <x:c r="I350" t="n">
        <x:v>0</x:v>
      </x:c>
      <x:c r="J350" t="n">
        <x:v>0</x:v>
      </x:c>
      <x:c r="K350" t="n">
        <x:v>150</x:v>
      </x:c>
      <x:c r="L350" s="20" t="n">
        <x:v>1</x:v>
      </x:c>
      <x:c r="M350" t="str">
        <x:v>Variable</x:v>
      </x:c>
      <x:c r="N350" t="str">
        <x:v>Approx. Non-MCC Pool</x:v>
      </x:c>
      <x:c r="O350" t="str">
        <x:v>Large non-MCC pool; quota split varies by state</x:v>
      </x:c>
      <x:c r="P350"/>
      <x:c r="Q350"/>
      <x:c r="R350"/>
      <x:c r="S350"/>
      <x:c r="T350"/>
      <x:c r="U350" t="str">
        <x:v>Pending state Round-1 allotment/cutoff data</x:v>
      </x:c>
    </x:row>
    <x:row r="351">
      <x:c r="A351" t="str">
        <x:v>Madhya Pradesh</x:v>
      </x:c>
      <x:c r="B351" t="str">
        <x:v>MP/029/P/4</x:v>
      </x:c>
      <x:c r="C351" t="str">
        <x:v>School of Medical Sciences, Sri Satya Sai University of Technology and Medical Sciences</x:v>
      </x:c>
      <x:c r="D351" t="str">
        <x:v>Private</x:v>
      </x:c>
      <x:c r="E351" t="n">
        <x:v>100</x:v>
      </x:c>
      <x:c r="F351" t="n">
        <x:v>0</x:v>
      </x:c>
      <x:c r="G351" t="n">
        <x:v>100</x:v>
      </x:c>
      <x:c r="H351"/>
      <x:c r="I351" t="n">
        <x:v>0</x:v>
      </x:c>
      <x:c r="J351" t="n">
        <x:v>0</x:v>
      </x:c>
      <x:c r="K351" t="n">
        <x:v>100</x:v>
      </x:c>
      <x:c r="L351" s="20" t="n">
        <x:v>1</x:v>
      </x:c>
      <x:c r="M351" t="str">
        <x:v>Variable</x:v>
      </x:c>
      <x:c r="N351" t="str">
        <x:v>Approx. Non-MCC Pool</x:v>
      </x:c>
      <x:c r="O351" t="str">
        <x:v>State/management/NRI split must be verified</x:v>
      </x:c>
      <x:c r="P351"/>
      <x:c r="Q351"/>
      <x:c r="R351"/>
      <x:c r="S351"/>
      <x:c r="T351"/>
      <x:c r="U351" t="str">
        <x:v>Pending state Round-1 allotment/cutoff data</x:v>
      </x:c>
    </x:row>
    <x:row r="352">
      <x:c r="A352" t="str">
        <x:v>Maharashtra</x:v>
      </x:c>
      <x:c r="B352" t="str">
        <x:v>MH/004/G/1</x:v>
      </x:c>
      <x:c r="C352" t="str">
        <x:v>B. J. Govt. Medical College, Pune</x:v>
      </x:c>
      <x:c r="D352" t="str">
        <x:v>Government</x:v>
      </x:c>
      <x:c r="E352" t="n">
        <x:v>250</x:v>
      </x:c>
      <x:c r="F352" t="n">
        <x:v>0</x:v>
      </x:c>
      <x:c r="G352" t="n">
        <x:v>250</x:v>
      </x:c>
      <x:c r="H352" t="str">
        <x:v>200205</x:v>
      </x:c>
      <x:c r="I352" t="n">
        <x:v>38</x:v>
      </x:c>
      <x:c r="J352" t="n">
        <x:v>38</x:v>
      </x:c>
      <x:c r="K352" t="n">
        <x:v>212</x:v>
      </x:c>
      <x:c r="L352" s="20" t="n">
        <x:v>0.848</x:v>
      </x:c>
      <x:c r="M352" t="str">
        <x:v>High</x:v>
      </x:c>
      <x:c r="N352" t="str">
        <x:v>Approx. State/Non-MCC Pool</x:v>
      </x:c>
      <x:c r="O352" t="str">
        <x:v>Large state-counselling pool</x:v>
      </x:c>
      <x:c r="P352" t="n">
        <x:v>2419</x:v>
      </x:c>
      <x:c r="Q352" t="n">
        <x:v>4425</x:v>
      </x:c>
      <x:c r="R352" t="n">
        <x:v>4552</x:v>
      </x:c>
      <x:c r="S352" t="n">
        <x:v>27116</x:v>
      </x:c>
      <x:c r="T352" t="n">
        <x:v>52359</x:v>
      </x:c>
      <x:c r="U352" t="str">
        <x:v>Pending state Round-1 allotment/cutoff data</x:v>
      </x:c>
    </x:row>
    <x:row r="353">
      <x:c r="A353" t="str">
        <x:v>Maharashtra</x:v>
      </x:c>
      <x:c r="B353" t="str">
        <x:v>MH/040/G/1</x:v>
      </x:c>
      <x:c r="C353" t="str">
        <x:v>Government Medical College, Nagpur</x:v>
      </x:c>
      <x:c r="D353" t="str">
        <x:v>Government</x:v>
      </x:c>
      <x:c r="E353" t="n">
        <x:v>250</x:v>
      </x:c>
      <x:c r="F353" t="n">
        <x:v>0</x:v>
      </x:c>
      <x:c r="G353" t="n">
        <x:v>250</x:v>
      </x:c>
      <x:c r="H353" t="str">
        <x:v>200217</x:v>
      </x:c>
      <x:c r="I353" t="n">
        <x:v>38</x:v>
      </x:c>
      <x:c r="J353" t="n">
        <x:v>38</x:v>
      </x:c>
      <x:c r="K353" t="n">
        <x:v>212</x:v>
      </x:c>
      <x:c r="L353" s="20" t="n">
        <x:v>0.848</x:v>
      </x:c>
      <x:c r="M353" t="str">
        <x:v>High</x:v>
      </x:c>
      <x:c r="N353" t="str">
        <x:v>Approx. State/Non-MCC Pool</x:v>
      </x:c>
      <x:c r="O353" t="str">
        <x:v>Large state-counselling pool</x:v>
      </x:c>
      <x:c r="P353" t="n">
        <x:v>3691</x:v>
      </x:c>
      <x:c r="Q353" t="n">
        <x:v>5418</x:v>
      </x:c>
      <x:c r="R353" t="n">
        <x:v>7200</x:v>
      </x:c>
      <x:c r="S353" t="n">
        <x:v>27537</x:v>
      </x:c>
      <x:c r="T353" t="n">
        <x:v>55971</x:v>
      </x:c>
      <x:c r="U353" t="str">
        <x:v>Pending state Round-1 allotment/cutoff data</x:v>
      </x:c>
    </x:row>
    <x:row r="354">
      <x:c r="A354" t="str">
        <x:v>Maharashtra</x:v>
      </x:c>
      <x:c r="B354" t="str">
        <x:v>MH/048/G/1</x:v>
      </x:c>
      <x:c r="C354" t="str">
        <x:v>Grant Medical College, Mumbai</x:v>
      </x:c>
      <x:c r="D354" t="str">
        <x:v>Government</x:v>
      </x:c>
      <x:c r="E354" t="n">
        <x:v>250</x:v>
      </x:c>
      <x:c r="F354" t="n">
        <x:v>0</x:v>
      </x:c>
      <x:c r="G354" t="n">
        <x:v>250</x:v>
      </x:c>
      <x:c r="H354" t="str">
        <x:v>200219</x:v>
      </x:c>
      <x:c r="I354" t="n">
        <x:v>38</x:v>
      </x:c>
      <x:c r="J354" t="n">
        <x:v>38</x:v>
      </x:c>
      <x:c r="K354" t="n">
        <x:v>212</x:v>
      </x:c>
      <x:c r="L354" s="20" t="n">
        <x:v>0.848</x:v>
      </x:c>
      <x:c r="M354" t="str">
        <x:v>High</x:v>
      </x:c>
      <x:c r="N354" t="str">
        <x:v>Approx. State/Non-MCC Pool</x:v>
      </x:c>
      <x:c r="O354" t="str">
        <x:v>Large state-counselling pool</x:v>
      </x:c>
      <x:c r="P354" t="n">
        <x:v>1863</x:v>
      </x:c>
      <x:c r="Q354" t="n">
        <x:v>3770</x:v>
      </x:c>
      <x:c r="R354" t="n">
        <x:v>3779</x:v>
      </x:c>
      <x:c r="S354" t="n">
        <x:v>21969</x:v>
      </x:c>
      <x:c r="T354" t="n">
        <x:v>47033</x:v>
      </x:c>
      <x:c r="U354" t="str">
        <x:v>Pending state Round-1 allotment/cutoff data</x:v>
      </x:c>
    </x:row>
    <x:row r="355">
      <x:c r="A355" t="str">
        <x:v>Maharashtra</x:v>
      </x:c>
      <x:c r="B355" t="str">
        <x:v>MH/073/G/1</x:v>
      </x:c>
      <x:c r="C355" t="str">
        <x:v>Seth GS Medical College, Mumbai</x:v>
      </x:c>
      <x:c r="D355" t="str">
        <x:v>Government</x:v>
      </x:c>
      <x:c r="E355" t="n">
        <x:v>250</x:v>
      </x:c>
      <x:c r="F355" t="n">
        <x:v>0</x:v>
      </x:c>
      <x:c r="G355" t="n">
        <x:v>250</x:v>
      </x:c>
      <x:c r="H355" t="str">
        <x:v>200226</x:v>
      </x:c>
      <x:c r="I355" t="n">
        <x:v>38</x:v>
      </x:c>
      <x:c r="J355" t="n">
        <x:v>38</x:v>
      </x:c>
      <x:c r="K355" t="n">
        <x:v>212</x:v>
      </x:c>
      <x:c r="L355" s="20" t="n">
        <x:v>0.848</x:v>
      </x:c>
      <x:c r="M355" t="str">
        <x:v>High</x:v>
      </x:c>
      <x:c r="N355" t="str">
        <x:v>Approx. State/Non-MCC Pool</x:v>
      </x:c>
      <x:c r="O355" t="str">
        <x:v>Large state-counselling pool</x:v>
      </x:c>
      <x:c r="P355" t="n">
        <x:v>960</x:v>
      </x:c>
      <x:c r="Q355" t="n">
        <x:v>2317</x:v>
      </x:c>
      <x:c r="R355" t="n">
        <x:v>3988</x:v>
      </x:c>
      <x:c r="S355" t="n">
        <x:v>8343</x:v>
      </x:c>
      <x:c r="T355" t="n">
        <x:v>37577</x:v>
      </x:c>
      <x:c r="U355" t="str">
        <x:v>Pending state Round-1 allotment/cutoff data</x:v>
      </x:c>
    </x:row>
    <x:row r="356">
      <x:c r="A356" t="str">
        <x:v>Maharashtra</x:v>
      </x:c>
      <x:c r="B356" t="str">
        <x:v>MH/010/G/1</x:v>
      </x:c>
      <x:c r="C356" t="str">
        <x:v>Dr Vaishampayan Memorial Medical College, Solapur</x:v>
      </x:c>
      <x:c r="D356" t="str">
        <x:v>Government</x:v>
      </x:c>
      <x:c r="E356" t="n">
        <x:v>200</x:v>
      </x:c>
      <x:c r="F356" t="n">
        <x:v>0</x:v>
      </x:c>
      <x:c r="G356" t="n">
        <x:v>200</x:v>
      </x:c>
      <x:c r="H356" t="str">
        <x:v>200207</x:v>
      </x:c>
      <x:c r="I356" t="n">
        <x:v>30</x:v>
      </x:c>
      <x:c r="J356" t="n">
        <x:v>30</x:v>
      </x:c>
      <x:c r="K356" t="n">
        <x:v>170</x:v>
      </x:c>
      <x:c r="L356" s="20" t="n">
        <x:v>0.85</x:v>
      </x:c>
      <x:c r="M356" t="str">
        <x:v>High</x:v>
      </x:c>
      <x:c r="N356" t="str">
        <x:v>Approx. State/Non-MCC Pool</x:v>
      </x:c>
      <x:c r="O356" t="str">
        <x:v>Large state-counselling pool</x:v>
      </x:c>
      <x:c r="P356" t="n">
        <x:v>10342</x:v>
      </x:c>
      <x:c r="Q356" t="n">
        <x:v>12226</x:v>
      </x:c>
      <x:c r="R356" t="n">
        <x:v>13708</x:v>
      </x:c>
      <x:c r="S356" t="n">
        <x:v>57487</x:v>
      </x:c>
      <x:c r="T356" t="n">
        <x:v>91303</x:v>
      </x:c>
      <x:c r="U356" t="str">
        <x:v>Pending state Round-1 allotment/cutoff data</x:v>
      </x:c>
    </x:row>
    <x:row r="357">
      <x:c r="A357" t="str">
        <x:v>Maharashtra</x:v>
      </x:c>
      <x:c r="B357" t="str">
        <x:v>MH/025/G/1</x:v>
      </x:c>
      <x:c r="C357" t="str">
        <x:v>Government Medical College, Akola</x:v>
      </x:c>
      <x:c r="D357" t="str">
        <x:v>Government</x:v>
      </x:c>
      <x:c r="E357" t="n">
        <x:v>200</x:v>
      </x:c>
      <x:c r="F357" t="n">
        <x:v>0</x:v>
      </x:c>
      <x:c r="G357" t="n">
        <x:v>200</x:v>
      </x:c>
      <x:c r="H357" t="str">
        <x:v>200210</x:v>
      </x:c>
      <x:c r="I357" t="n">
        <x:v>30</x:v>
      </x:c>
      <x:c r="J357" t="n">
        <x:v>30</x:v>
      </x:c>
      <x:c r="K357" t="n">
        <x:v>170</x:v>
      </x:c>
      <x:c r="L357" s="20" t="n">
        <x:v>0.85</x:v>
      </x:c>
      <x:c r="M357" t="str">
        <x:v>High</x:v>
      </x:c>
      <x:c r="N357" t="str">
        <x:v>Approx. State/Non-MCC Pool</x:v>
      </x:c>
      <x:c r="O357" t="str">
        <x:v>Large state-counselling pool</x:v>
      </x:c>
      <x:c r="P357" t="n">
        <x:v>13218</x:v>
      </x:c>
      <x:c r="Q357" t="n">
        <x:v>14616</x:v>
      </x:c>
      <x:c r="R357" t="n">
        <x:v>17092</x:v>
      </x:c>
      <x:c r="S357" t="n">
        <x:v>68372</x:v>
      </x:c>
      <x:c r="T357" t="n">
        <x:v>97276</x:v>
      </x:c>
      <x:c r="U357" t="str">
        <x:v>Pending state Round-1 allotment/cutoff data</x:v>
      </x:c>
    </x:row>
    <x:row r="358">
      <x:c r="A358" t="str">
        <x:v>Maharashtra</x:v>
      </x:c>
      <x:c r="B358" t="str">
        <x:v>MH/029/G/1</x:v>
      </x:c>
      <x:c r="C358" t="str">
        <x:v>Government Medical College, Aurangabad</x:v>
      </x:c>
      <x:c r="D358" t="str">
        <x:v>Government</x:v>
      </x:c>
      <x:c r="E358" t="n">
        <x:v>200</x:v>
      </x:c>
      <x:c r="F358" t="n">
        <x:v>0</x:v>
      </x:c>
      <x:c r="G358" t="n">
        <x:v>200</x:v>
      </x:c>
      <x:c r="H358" t="str">
        <x:v>200218</x:v>
      </x:c>
      <x:c r="I358" t="n">
        <x:v>30</x:v>
      </x:c>
      <x:c r="J358" t="n">
        <x:v>30</x:v>
      </x:c>
      <x:c r="K358" t="n">
        <x:v>170</x:v>
      </x:c>
      <x:c r="L358" s="20" t="n">
        <x:v>0.85</x:v>
      </x:c>
      <x:c r="M358" t="str">
        <x:v>High</x:v>
      </x:c>
      <x:c r="N358" t="str">
        <x:v>Approx. State/Non-MCC Pool</x:v>
      </x:c>
      <x:c r="O358" t="str">
        <x:v>Large state-counselling pool</x:v>
      </x:c>
      <x:c r="P358" t="n">
        <x:v>6011</x:v>
      </x:c>
      <x:c r="Q358" t="n">
        <x:v>8320</x:v>
      </x:c>
      <x:c r="R358" t="n">
        <x:v>11336</x:v>
      </x:c>
      <x:c r="S358" t="n">
        <x:v>44219</x:v>
      </x:c>
      <x:c r="T358" t="n">
        <x:v>72390</x:v>
      </x:c>
      <x:c r="U358" t="str">
        <x:v>Pending state Round-1 allotment/cutoff data</x:v>
      </x:c>
    </x:row>
    <x:row r="359">
      <x:c r="A359" t="str">
        <x:v>Maharashtra</x:v>
      </x:c>
      <x:c r="B359" t="str">
        <x:v>MH/039/G/1</x:v>
      </x:c>
      <x:c r="C359" t="str">
        <x:v>Government Medical College, Miraj</x:v>
      </x:c>
      <x:c r="D359" t="str">
        <x:v>Government</x:v>
      </x:c>
      <x:c r="E359" t="n">
        <x:v>200</x:v>
      </x:c>
      <x:c r="F359" t="n">
        <x:v>0</x:v>
      </x:c>
      <x:c r="G359" t="n">
        <x:v>200</x:v>
      </x:c>
      <x:c r="H359" t="str">
        <x:v>200212</x:v>
      </x:c>
      <x:c r="I359" t="n">
        <x:v>30</x:v>
      </x:c>
      <x:c r="J359" t="n">
        <x:v>30</x:v>
      </x:c>
      <x:c r="K359" t="n">
        <x:v>170</x:v>
      </x:c>
      <x:c r="L359" s="20" t="n">
        <x:v>0.85</x:v>
      </x:c>
      <x:c r="M359" t="str">
        <x:v>High</x:v>
      </x:c>
      <x:c r="N359" t="str">
        <x:v>Approx. State/Non-MCC Pool</x:v>
      </x:c>
      <x:c r="O359" t="str">
        <x:v>Large state-counselling pool</x:v>
      </x:c>
      <x:c r="P359" t="n">
        <x:v>10248</x:v>
      </x:c>
      <x:c r="Q359" t="n">
        <x:v>12675</x:v>
      </x:c>
      <x:c r="R359" t="n">
        <x:v>14400</x:v>
      </x:c>
      <x:c r="S359" t="n">
        <x:v>63169</x:v>
      </x:c>
      <x:c r="T359" t="n">
        <x:v>85910</x:v>
      </x:c>
      <x:c r="U359" t="str">
        <x:v>Pending state Round-1 allotment/cutoff data</x:v>
      </x:c>
    </x:row>
    <x:row r="360">
      <x:c r="A360" t="str">
        <x:v>Maharashtra</x:v>
      </x:c>
      <x:c r="B360" t="str">
        <x:v>MH/049/G/1</x:v>
      </x:c>
      <x:c r="C360" t="str">
        <x:v>H.B.T. Medical College &amp; Dr. R.N. Cooper Municipal General Hospital, Juhu, Mumbai</x:v>
      </x:c>
      <x:c r="D360" t="str">
        <x:v>Government</x:v>
      </x:c>
      <x:c r="E360" t="n">
        <x:v>200</x:v>
      </x:c>
      <x:c r="F360" t="n">
        <x:v>0</x:v>
      </x:c>
      <x:c r="G360" t="n">
        <x:v>200</x:v>
      </x:c>
      <x:c r="H360" t="str">
        <x:v>200206</x:v>
      </x:c>
      <x:c r="I360" t="n">
        <x:v>30</x:v>
      </x:c>
      <x:c r="J360" t="n">
        <x:v>30</x:v>
      </x:c>
      <x:c r="K360" t="n">
        <x:v>170</x:v>
      </x:c>
      <x:c r="L360" s="20" t="n">
        <x:v>0.85</x:v>
      </x:c>
      <x:c r="M360" t="str">
        <x:v>High</x:v>
      </x:c>
      <x:c r="N360" t="str">
        <x:v>Approx. State/Non-MCC Pool</x:v>
      </x:c>
      <x:c r="O360" t="str">
        <x:v>Large state-counselling pool</x:v>
      </x:c>
      <x:c r="P360" t="n">
        <x:v>4098</x:v>
      </x:c>
      <x:c r="Q360" t="n">
        <x:v>6011</x:v>
      </x:c>
      <x:c r="R360" t="n">
        <x:v>6695</x:v>
      </x:c>
      <x:c r="S360" t="n">
        <x:v>39174</x:v>
      </x:c>
      <x:c r="T360" t="n">
        <x:v>68828</x:v>
      </x:c>
      <x:c r="U360" t="str">
        <x:v>Pending state Round-1 allotment/cutoff data</x:v>
      </x:c>
    </x:row>
    <x:row r="361">
      <x:c r="A361" t="str">
        <x:v>Maharashtra</x:v>
      </x:c>
      <x:c r="B361" t="str">
        <x:v>MH/051/G/1</x:v>
      </x:c>
      <x:c r="C361" t="str">
        <x:v>Indira Gandhi Medical College &amp; Hospital, Nagpur</x:v>
      </x:c>
      <x:c r="D361" t="str">
        <x:v>Government</x:v>
      </x:c>
      <x:c r="E361" t="n">
        <x:v>200</x:v>
      </x:c>
      <x:c r="F361" t="n">
        <x:v>0</x:v>
      </x:c>
      <x:c r="G361" t="n">
        <x:v>200</x:v>
      </x:c>
      <x:c r="H361" t="str">
        <x:v>200220</x:v>
      </x:c>
      <x:c r="I361" t="n">
        <x:v>30</x:v>
      </x:c>
      <x:c r="J361" t="n">
        <x:v>30</x:v>
      </x:c>
      <x:c r="K361" t="n">
        <x:v>170</x:v>
      </x:c>
      <x:c r="L361" s="20" t="n">
        <x:v>0.85</x:v>
      </x:c>
      <x:c r="M361" t="str">
        <x:v>High</x:v>
      </x:c>
      <x:c r="N361" t="str">
        <x:v>Approx. State/Non-MCC Pool</x:v>
      </x:c>
      <x:c r="O361" t="str">
        <x:v>Large state-counselling pool</x:v>
      </x:c>
      <x:c r="P361" t="n">
        <x:v>5742</x:v>
      </x:c>
      <x:c r="Q361" t="n">
        <x:v>7365</x:v>
      </x:c>
      <x:c r="R361" t="n">
        <x:v>8306</x:v>
      </x:c>
      <x:c r="S361" t="n">
        <x:v>40383</x:v>
      </x:c>
      <x:c r="T361" t="n">
        <x:v>74524</x:v>
      </x:c>
      <x:c r="U361" t="str">
        <x:v>Pending state Round-1 allotment/cutoff data</x:v>
      </x:c>
    </x:row>
    <x:row r="362">
      <x:c r="A362" t="str">
        <x:v>Maharashtra</x:v>
      </x:c>
      <x:c r="B362" t="str">
        <x:v>MH/055/G/1</x:v>
      </x:c>
      <x:c r="C362" t="str">
        <x:v>Lokmanya Tilak Municipal Medical College, Sion, Mumbai</x:v>
      </x:c>
      <x:c r="D362" t="str">
        <x:v>Government</x:v>
      </x:c>
      <x:c r="E362" t="n">
        <x:v>200</x:v>
      </x:c>
      <x:c r="F362" t="n">
        <x:v>0</x:v>
      </x:c>
      <x:c r="G362" t="n">
        <x:v>200</x:v>
      </x:c>
      <x:c r="H362" t="str">
        <x:v>200221</x:v>
      </x:c>
      <x:c r="I362" t="n">
        <x:v>30</x:v>
      </x:c>
      <x:c r="J362" t="n">
        <x:v>30</x:v>
      </x:c>
      <x:c r="K362" t="n">
        <x:v>170</x:v>
      </x:c>
      <x:c r="L362" s="20" t="n">
        <x:v>0.85</x:v>
      </x:c>
      <x:c r="M362" t="str">
        <x:v>High</x:v>
      </x:c>
      <x:c r="N362" t="str">
        <x:v>Approx. State/Non-MCC Pool</x:v>
      </x:c>
      <x:c r="O362" t="str">
        <x:v>Large state-counselling pool</x:v>
      </x:c>
      <x:c r="P362" t="n">
        <x:v>2167</x:v>
      </x:c>
      <x:c r="Q362" t="n">
        <x:v>5010</x:v>
      </x:c>
      <x:c r="R362" t="n">
        <x:v>5766</x:v>
      </x:c>
      <x:c r="S362" t="n">
        <x:v>31494</x:v>
      </x:c>
      <x:c r="T362" t="n">
        <x:v>59947</x:v>
      </x:c>
      <x:c r="U362" t="str">
        <x:v>Pending state Round-1 allotment/cutoff data</x:v>
      </x:c>
    </x:row>
    <x:row r="363">
      <x:c r="A363" t="str">
        <x:v>Maharashtra</x:v>
      </x:c>
      <x:c r="B363" t="str">
        <x:v>MH/074/G/1</x:v>
      </x:c>
      <x:c r="C363" t="str">
        <x:v>Shri Vasant Rao Naik Govt. Medical College, Yavatmal</x:v>
      </x:c>
      <x:c r="D363" t="str">
        <x:v>Government</x:v>
      </x:c>
      <x:c r="E363" t="n">
        <x:v>200</x:v>
      </x:c>
      <x:c r="F363" t="n">
        <x:v>0</x:v>
      </x:c>
      <x:c r="G363" t="n">
        <x:v>200</x:v>
      </x:c>
      <x:c r="H363" t="str">
        <x:v>200227</x:v>
      </x:c>
      <x:c r="I363" t="n">
        <x:v>30</x:v>
      </x:c>
      <x:c r="J363" t="n">
        <x:v>30</x:v>
      </x:c>
      <x:c r="K363" t="n">
        <x:v>170</x:v>
      </x:c>
      <x:c r="L363" s="20" t="n">
        <x:v>0.85</x:v>
      </x:c>
      <x:c r="M363" t="str">
        <x:v>High</x:v>
      </x:c>
      <x:c r="N363" t="str">
        <x:v>Approx. State/Non-MCC Pool</x:v>
      </x:c>
      <x:c r="O363" t="str">
        <x:v>Large state-counselling pool</x:v>
      </x:c>
      <x:c r="P363" t="n">
        <x:v>14492</x:v>
      </x:c>
      <x:c r="Q363" t="n">
        <x:v>15994</x:v>
      </x:c>
      <x:c r="R363" t="n">
        <x:v>18786</x:v>
      </x:c>
      <x:c r="S363" t="n">
        <x:v>78640</x:v>
      </x:c>
      <x:c r="T363" t="n">
        <x:v>105104</x:v>
      </x:c>
      <x:c r="U363" t="str">
        <x:v>Pending state Round-1 allotment/cutoff data</x:v>
      </x:c>
    </x:row>
    <x:row r="364">
      <x:c r="A364" t="str">
        <x:v>Maharashtra</x:v>
      </x:c>
      <x:c r="B364" t="str">
        <x:v>MH/002/G/1</x:v>
      </x:c>
      <x:c r="C364" t="str">
        <x:v>Armed Forces Medical College, Pune</x:v>
      </x:c>
      <x:c r="D364" t="str">
        <x:v>Government</x:v>
      </x:c>
      <x:c r="E364" t="n">
        <x:v>150</x:v>
      </x:c>
      <x:c r="F364" t="n">
        <x:v>0</x:v>
      </x:c>
      <x:c r="G364" t="n">
        <x:v>150</x:v>
      </x:c>
      <x:c r="H364"/>
      <x:c r="I364" t="n">
        <x:v>0</x:v>
      </x:c>
      <x:c r="J364" t="n">
        <x:v>0</x:v>
      </x:c>
      <x:c r="K364" t="n">
        <x:v>150</x:v>
      </x:c>
      <x:c r="L364" s="20" t="n">
        <x:v>1</x:v>
      </x:c>
      <x:c r="M364" t="str">
        <x:v>High</x:v>
      </x:c>
      <x:c r="N364" t="str">
        <x:v>Approx. State/Non-MCC Pool</x:v>
      </x:c>
      <x:c r="O364" t="str">
        <x:v>Moderate state-counselling pool</x:v>
      </x:c>
      <x:c r="P364"/>
      <x:c r="Q364"/>
      <x:c r="R364"/>
      <x:c r="S364"/>
      <x:c r="T364"/>
      <x:c r="U364" t="str">
        <x:v>Pending state Round-1 allotment/cutoff data</x:v>
      </x:c>
    </x:row>
    <x:row r="365">
      <x:c r="A365" t="str">
        <x:v>Maharashtra</x:v>
      </x:c>
      <x:c r="B365" t="str">
        <x:v>MH/032/G/1</x:v>
      </x:c>
      <x:c r="C365" t="str">
        <x:v>Government Medical College, Chandrapur</x:v>
      </x:c>
      <x:c r="D365" t="str">
        <x:v>Government</x:v>
      </x:c>
      <x:c r="E365" t="n">
        <x:v>150</x:v>
      </x:c>
      <x:c r="F365" t="n">
        <x:v>0</x:v>
      </x:c>
      <x:c r="G365" t="n">
        <x:v>150</x:v>
      </x:c>
      <x:c r="H365" t="str">
        <x:v>200216</x:v>
      </x:c>
      <x:c r="I365" t="n">
        <x:v>22</x:v>
      </x:c>
      <x:c r="J365" t="n">
        <x:v>22</x:v>
      </x:c>
      <x:c r="K365" t="n">
        <x:v>128</x:v>
      </x:c>
      <x:c r="L365" s="20" t="n">
        <x:v>0.8533333333333334</x:v>
      </x:c>
      <x:c r="M365" t="str">
        <x:v>High</x:v>
      </x:c>
      <x:c r="N365" t="str">
        <x:v>Approx. State/Non-MCC Pool</x:v>
      </x:c>
      <x:c r="O365" t="str">
        <x:v>Moderate state-counselling pool</x:v>
      </x:c>
      <x:c r="P365" t="n">
        <x:v>14672</x:v>
      </x:c>
      <x:c r="Q365" t="n">
        <x:v>15887</x:v>
      </x:c>
      <x:c r="R365" t="n">
        <x:v>19110</x:v>
      </x:c>
      <x:c r="S365" t="n">
        <x:v>67622</x:v>
      </x:c>
      <x:c r="T365" t="n">
        <x:v>109182</x:v>
      </x:c>
      <x:c r="U365" t="str">
        <x:v>Pending state Round-1 allotment/cutoff data</x:v>
      </x:c>
    </x:row>
    <x:row r="366">
      <x:c r="A366" t="str">
        <x:v>Maharashtra</x:v>
      </x:c>
      <x:c r="B366" t="str">
        <x:v>MH/034/G/1</x:v>
      </x:c>
      <x:c r="C366" t="str">
        <x:v>Government Medical College, Gondia</x:v>
      </x:c>
      <x:c r="D366" t="str">
        <x:v>Government</x:v>
      </x:c>
      <x:c r="E366" t="n">
        <x:v>150</x:v>
      </x:c>
      <x:c r="F366" t="n">
        <x:v>0</x:v>
      </x:c>
      <x:c r="G366" t="n">
        <x:v>150</x:v>
      </x:c>
      <x:c r="H366" t="str">
        <x:v>200209</x:v>
      </x:c>
      <x:c r="I366" t="n">
        <x:v>22</x:v>
      </x:c>
      <x:c r="J366" t="n">
        <x:v>22</x:v>
      </x:c>
      <x:c r="K366" t="n">
        <x:v>128</x:v>
      </x:c>
      <x:c r="L366" s="20" t="n">
        <x:v>0.8533333333333334</x:v>
      </x:c>
      <x:c r="M366" t="str">
        <x:v>High</x:v>
      </x:c>
      <x:c r="N366" t="str">
        <x:v>Approx. State/Non-MCC Pool</x:v>
      </x:c>
      <x:c r="O366" t="str">
        <x:v>Moderate state-counselling pool</x:v>
      </x:c>
      <x:c r="P366" t="n">
        <x:v>16531</x:v>
      </x:c>
      <x:c r="Q366" t="n">
        <x:v>16764</x:v>
      </x:c>
      <x:c r="R366" t="n">
        <x:v>19582</x:v>
      </x:c>
      <x:c r="S366" t="n">
        <x:v>81956</x:v>
      </x:c>
      <x:c r="T366" t="n">
        <x:v>111164</x:v>
      </x:c>
      <x:c r="U366" t="str">
        <x:v>Pending state Round-1 allotment/cutoff data</x:v>
      </x:c>
    </x:row>
    <x:row r="367">
      <x:c r="A367" t="str">
        <x:v>Maharashtra</x:v>
      </x:c>
      <x:c r="B367" t="str">
        <x:v>MH/036/G/1</x:v>
      </x:c>
      <x:c r="C367" t="str">
        <x:v>Government Medical College, Jalgaon</x:v>
      </x:c>
      <x:c r="D367" t="str">
        <x:v>Government</x:v>
      </x:c>
      <x:c r="E367" t="n">
        <x:v>150</x:v>
      </x:c>
      <x:c r="F367" t="n">
        <x:v>0</x:v>
      </x:c>
      <x:c r="G367" t="n">
        <x:v>150</x:v>
      </x:c>
      <x:c r="H367" t="str">
        <x:v>200440</x:v>
      </x:c>
      <x:c r="I367" t="n">
        <x:v>22</x:v>
      </x:c>
      <x:c r="J367" t="n">
        <x:v>22</x:v>
      </x:c>
      <x:c r="K367" t="n">
        <x:v>128</x:v>
      </x:c>
      <x:c r="L367" s="20" t="n">
        <x:v>0.8533333333333334</x:v>
      </x:c>
      <x:c r="M367" t="str">
        <x:v>High</x:v>
      </x:c>
      <x:c r="N367" t="str">
        <x:v>Approx. State/Non-MCC Pool</x:v>
      </x:c>
      <x:c r="O367" t="str">
        <x:v>Moderate state-counselling pool</x:v>
      </x:c>
      <x:c r="P367" t="n">
        <x:v>14712</x:v>
      </x:c>
      <x:c r="Q367" t="n">
        <x:v>15971</x:v>
      </x:c>
      <x:c r="R367" t="n">
        <x:v>18720</x:v>
      </x:c>
      <x:c r="S367" t="n">
        <x:v>81633</x:v>
      </x:c>
      <x:c r="T367" t="n">
        <x:v>110253</x:v>
      </x:c>
      <x:c r="U367" t="str">
        <x:v>Pending state Round-1 allotment/cutoff data</x:v>
      </x:c>
    </x:row>
    <x:row r="368">
      <x:c r="A368" t="str">
        <x:v>Maharashtra</x:v>
      </x:c>
      <x:c r="B368" t="str">
        <x:v>MH/080/G/1</x:v>
      </x:c>
      <x:c r="C368" t="str">
        <x:v>SRTR Medical College, Ambajogai</x:v>
      </x:c>
      <x:c r="D368" t="str">
        <x:v>Government</x:v>
      </x:c>
      <x:c r="E368" t="n">
        <x:v>150</x:v>
      </x:c>
      <x:c r="F368" t="n">
        <x:v>0</x:v>
      </x:c>
      <x:c r="G368" t="n">
        <x:v>150</x:v>
      </x:c>
      <x:c r="H368" t="str">
        <x:v>200229</x:v>
      </x:c>
      <x:c r="I368" t="n">
        <x:v>22</x:v>
      </x:c>
      <x:c r="J368" t="n">
        <x:v>22</x:v>
      </x:c>
      <x:c r="K368" t="n">
        <x:v>128</x:v>
      </x:c>
      <x:c r="L368" s="20" t="n">
        <x:v>0.8533333333333334</x:v>
      </x:c>
      <x:c r="M368" t="str">
        <x:v>High</x:v>
      </x:c>
      <x:c r="N368" t="str">
        <x:v>Approx. State/Non-MCC Pool</x:v>
      </x:c>
      <x:c r="O368" t="str">
        <x:v>Moderate state-counselling pool</x:v>
      </x:c>
      <x:c r="P368" t="n">
        <x:v>14200</x:v>
      </x:c>
      <x:c r="Q368" t="n">
        <x:v>15302</x:v>
      </x:c>
      <x:c r="R368" t="n">
        <x:v>17801</x:v>
      </x:c>
      <x:c r="S368" t="n">
        <x:v>70179</x:v>
      </x:c>
      <x:c r="T368" t="n">
        <x:v>97728</x:v>
      </x:c>
      <x:c r="U368" t="str">
        <x:v>Pending state Round-1 allotment/cutoff data</x:v>
      </x:c>
    </x:row>
    <x:row r="369">
      <x:c r="A369" t="str">
        <x:v>Maharashtra</x:v>
      </x:c>
      <x:c r="B369" t="str">
        <x:v>MH/079/G/1</x:v>
      </x:c>
      <x:c r="C369" t="str">
        <x:v>Sri Bhausaheb Hire Government Medical College, Dhule</x:v>
      </x:c>
      <x:c r="D369" t="str">
        <x:v>Government</x:v>
      </x:c>
      <x:c r="E369" t="n">
        <x:v>150</x:v>
      </x:c>
      <x:c r="F369" t="n">
        <x:v>0</x:v>
      </x:c>
      <x:c r="G369" t="n">
        <x:v>150</x:v>
      </x:c>
      <x:c r="H369" t="str">
        <x:v>200228</x:v>
      </x:c>
      <x:c r="I369" t="n">
        <x:v>22</x:v>
      </x:c>
      <x:c r="J369" t="n">
        <x:v>22</x:v>
      </x:c>
      <x:c r="K369" t="n">
        <x:v>128</x:v>
      </x:c>
      <x:c r="L369" s="20" t="n">
        <x:v>0.8533333333333334</x:v>
      </x:c>
      <x:c r="M369" t="str">
        <x:v>High</x:v>
      </x:c>
      <x:c r="N369" t="str">
        <x:v>Approx. State/Non-MCC Pool</x:v>
      </x:c>
      <x:c r="O369" t="str">
        <x:v>Moderate state-counselling pool</x:v>
      </x:c>
      <x:c r="P369" t="n">
        <x:v>12827</x:v>
      </x:c>
      <x:c r="Q369" t="n">
        <x:v>14859</x:v>
      </x:c>
      <x:c r="R369" t="n">
        <x:v>16590</x:v>
      </x:c>
      <x:c r="S369" t="n">
        <x:v>77000</x:v>
      </x:c>
      <x:c r="T369" t="n">
        <x:v>103828</x:v>
      </x:c>
      <x:c r="U369" t="str">
        <x:v>Pending state Round-1 allotment/cutoff data</x:v>
      </x:c>
    </x:row>
    <x:row r="370">
      <x:c r="A370" t="str">
        <x:v>Maharashtra</x:v>
      </x:c>
      <x:c r="B370" t="str">
        <x:v>MH/016/G/1</x:v>
      </x:c>
      <x:c r="C370" t="str">
        <x:v>Dr. Shankarrao Chavan Govt. Medical College, Nanded</x:v>
      </x:c>
      <x:c r="D370" t="str">
        <x:v>Government</x:v>
      </x:c>
      <x:c r="E370" t="n">
        <x:v>150</x:v>
      </x:c>
      <x:c r="F370" t="n">
        <x:v>0</x:v>
      </x:c>
      <x:c r="G370" t="n">
        <x:v>150</x:v>
      </x:c>
      <x:c r="H370" t="str">
        <x:v>200208</x:v>
      </x:c>
      <x:c r="I370" t="n">
        <x:v>23</x:v>
      </x:c>
      <x:c r="J370" t="n">
        <x:v>23</x:v>
      </x:c>
      <x:c r="K370" t="n">
        <x:v>127</x:v>
      </x:c>
      <x:c r="L370" s="20" t="n">
        <x:v>0.8466666666666667</x:v>
      </x:c>
      <x:c r="M370" t="str">
        <x:v>High</x:v>
      </x:c>
      <x:c r="N370" t="str">
        <x:v>Approx. State/Non-MCC Pool</x:v>
      </x:c>
      <x:c r="O370" t="str">
        <x:v>Moderate state-counselling pool</x:v>
      </x:c>
      <x:c r="P370" t="n">
        <x:v>10618</x:v>
      </x:c>
      <x:c r="Q370" t="n">
        <x:v>13790</x:v>
      </x:c>
      <x:c r="R370" t="n">
        <x:v>14543</x:v>
      </x:c>
      <x:c r="S370" t="n">
        <x:v>72759</x:v>
      </x:c>
      <x:c r="T370" t="n">
        <x:v>97544</x:v>
      </x:c>
      <x:c r="U370" t="str">
        <x:v>Pending state Round-1 allotment/cutoff data</x:v>
      </x:c>
    </x:row>
    <x:row r="371">
      <x:c r="A371" t="str">
        <x:v>Maharashtra</x:v>
      </x:c>
      <x:c r="B371" t="str">
        <x:v>MH/038/G/1</x:v>
      </x:c>
      <x:c r="C371" t="str">
        <x:v>Government Medical College, Latur</x:v>
      </x:c>
      <x:c r="D371" t="str">
        <x:v>Government</x:v>
      </x:c>
      <x:c r="E371" t="n">
        <x:v>150</x:v>
      </x:c>
      <x:c r="F371" t="n">
        <x:v>0</x:v>
      </x:c>
      <x:c r="G371" t="n">
        <x:v>150</x:v>
      </x:c>
      <x:c r="H371" t="str">
        <x:v>200211</x:v>
      </x:c>
      <x:c r="I371" t="n">
        <x:v>23</x:v>
      </x:c>
      <x:c r="J371" t="n">
        <x:v>22</x:v>
      </x:c>
      <x:c r="K371" t="n">
        <x:v>127</x:v>
      </x:c>
      <x:c r="L371" s="20" t="n">
        <x:v>0.8466666666666667</x:v>
      </x:c>
      <x:c r="M371" t="str">
        <x:v>High</x:v>
      </x:c>
      <x:c r="N371" t="str">
        <x:v>Approx. State/Non-MCC Pool</x:v>
      </x:c>
      <x:c r="O371" t="str">
        <x:v>Moderate state-counselling pool</x:v>
      </x:c>
      <x:c r="P371" t="n">
        <x:v>13635</x:v>
      </x:c>
      <x:c r="Q371" t="n">
        <x:v>15067</x:v>
      </x:c>
      <x:c r="R371" t="n">
        <x:v>15868</x:v>
      </x:c>
      <x:c r="S371" t="n">
        <x:v>75506</x:v>
      </x:c>
      <x:c r="T371" t="n">
        <x:v>109268</x:v>
      </x:c>
      <x:c r="U371" t="str">
        <x:v>Pending state Round-1 allotment/cutoff data</x:v>
      </x:c>
    </x:row>
    <x:row r="372">
      <x:c r="A372" t="str">
        <x:v>Maharashtra</x:v>
      </x:c>
      <x:c r="B372" t="str">
        <x:v>MH/069/G/1</x:v>
      </x:c>
      <x:c r="C372" t="str">
        <x:v>Rajashree Chatrapati Shahu Maharaj Government Medical College, Kolhapur</x:v>
      </x:c>
      <x:c r="D372" t="str">
        <x:v>Government</x:v>
      </x:c>
      <x:c r="E372" t="n">
        <x:v>150</x:v>
      </x:c>
      <x:c r="F372" t="n">
        <x:v>0</x:v>
      </x:c>
      <x:c r="G372" t="n">
        <x:v>150</x:v>
      </x:c>
      <x:c r="H372" t="str">
        <x:v>200225</x:v>
      </x:c>
      <x:c r="I372" t="n">
        <x:v>23</x:v>
      </x:c>
      <x:c r="J372" t="n">
        <x:v>23</x:v>
      </x:c>
      <x:c r="K372" t="n">
        <x:v>127</x:v>
      </x:c>
      <x:c r="L372" s="20" t="n">
        <x:v>0.8466666666666667</x:v>
      </x:c>
      <x:c r="M372" t="str">
        <x:v>High</x:v>
      </x:c>
      <x:c r="N372" t="str">
        <x:v>Approx. State/Non-MCC Pool</x:v>
      </x:c>
      <x:c r="O372" t="str">
        <x:v>Moderate state-counselling pool</x:v>
      </x:c>
      <x:c r="P372" t="n">
        <x:v>10189</x:v>
      </x:c>
      <x:c r="Q372" t="n">
        <x:v>12721</x:v>
      </x:c>
      <x:c r="R372" t="n">
        <x:v>14616</x:v>
      </x:c>
      <x:c r="S372" t="n">
        <x:v>55658</x:v>
      </x:c>
      <x:c r="T372" t="n">
        <x:v>82437</x:v>
      </x:c>
      <x:c r="U372" t="str">
        <x:v>Pending state Round-1 allotment/cutoff data</x:v>
      </x:c>
    </x:row>
    <x:row r="373">
      <x:c r="A373" t="str">
        <x:v>Maharashtra</x:v>
      </x:c>
      <x:c r="B373" t="str">
        <x:v>MH/083/G/1</x:v>
      </x:c>
      <x:c r="C373" t="str">
        <x:v>Topiwala National Medical College, Mumbai</x:v>
      </x:c>
      <x:c r="D373" t="str">
        <x:v>Government</x:v>
      </x:c>
      <x:c r="E373" t="n">
        <x:v>150</x:v>
      </x:c>
      <x:c r="F373" t="n">
        <x:v>0</x:v>
      </x:c>
      <x:c r="G373" t="n">
        <x:v>150</x:v>
      </x:c>
      <x:c r="H373" t="str">
        <x:v>200230</x:v>
      </x:c>
      <x:c r="I373" t="n">
        <x:v>23</x:v>
      </x:c>
      <x:c r="J373" t="n">
        <x:v>23</x:v>
      </x:c>
      <x:c r="K373" t="n">
        <x:v>127</x:v>
      </x:c>
      <x:c r="L373" s="20" t="n">
        <x:v>0.8466666666666667</x:v>
      </x:c>
      <x:c r="M373" t="str">
        <x:v>High</x:v>
      </x:c>
      <x:c r="N373" t="str">
        <x:v>Approx. State/Non-MCC Pool</x:v>
      </x:c>
      <x:c r="O373" t="str">
        <x:v>Moderate state-counselling pool</x:v>
      </x:c>
      <x:c r="P373" t="n">
        <x:v>3092</x:v>
      </x:c>
      <x:c r="Q373" t="n">
        <x:v>5676</x:v>
      </x:c>
      <x:c r="R373" t="n">
        <x:v>5586</x:v>
      </x:c>
      <x:c r="S373" t="n">
        <x:v>30661</x:v>
      </x:c>
      <x:c r="T373" t="n">
        <x:v>63463</x:v>
      </x:c>
      <x:c r="U373" t="str">
        <x:v>Pending state Round-1 allotment/cutoff data</x:v>
      </x:c>
    </x:row>
    <x:row r="374">
      <x:c r="A374" t="str">
        <x:v>Maharashtra</x:v>
      </x:c>
      <x:c r="B374" t="str">
        <x:v>MH/022/G/1</x:v>
      </x:c>
      <x:c r="C374" t="str">
        <x:v>Government Medical College &amp; Hospital, Baramati</x:v>
      </x:c>
      <x:c r="D374" t="str">
        <x:v>Government</x:v>
      </x:c>
      <x:c r="E374" t="n">
        <x:v>100</x:v>
      </x:c>
      <x:c r="F374" t="n">
        <x:v>0</x:v>
      </x:c>
      <x:c r="G374" t="n">
        <x:v>100</x:v>
      </x:c>
      <x:c r="H374" t="str">
        <x:v>200497</x:v>
      </x:c>
      <x:c r="I374" t="n">
        <x:v>15</x:v>
      </x:c>
      <x:c r="J374" t="n">
        <x:v>15</x:v>
      </x:c>
      <x:c r="K374" t="n">
        <x:v>85</x:v>
      </x:c>
      <x:c r="L374" s="20" t="n">
        <x:v>0.85</x:v>
      </x:c>
      <x:c r="M374" t="str">
        <x:v>High</x:v>
      </x:c>
      <x:c r="N374" t="str">
        <x:v>Approx. State/Non-MCC Pool</x:v>
      </x:c>
      <x:c r="O374" t="str">
        <x:v>Moderate state-counselling pool</x:v>
      </x:c>
      <x:c r="P374" t="n">
        <x:v>7206</x:v>
      </x:c>
      <x:c r="Q374" t="n">
        <x:v>11036</x:v>
      </x:c>
      <x:c r="R374" t="n">
        <x:v>12686</x:v>
      </x:c>
      <x:c r="S374" t="n">
        <x:v>56016</x:v>
      </x:c>
      <x:c r="T374" t="n">
        <x:v>64851</x:v>
      </x:c>
      <x:c r="U374" t="str">
        <x:v>Pending state Round-1 allotment/cutoff data</x:v>
      </x:c>
    </x:row>
    <x:row r="375">
      <x:c r="A375" t="str">
        <x:v>Maharashtra</x:v>
      </x:c>
      <x:c r="B375" t="str">
        <x:v>MH/026/G/1</x:v>
      </x:c>
      <x:c r="C375" t="str">
        <x:v>Government Medical College, Alibag</x:v>
      </x:c>
      <x:c r="D375" t="str">
        <x:v>Government</x:v>
      </x:c>
      <x:c r="E375" t="n">
        <x:v>100</x:v>
      </x:c>
      <x:c r="F375" t="n">
        <x:v>0</x:v>
      </x:c>
      <x:c r="G375" t="n">
        <x:v>100</x:v>
      </x:c>
      <x:c r="H375" t="str">
        <x:v>200579</x:v>
      </x:c>
      <x:c r="I375" t="n">
        <x:v>15</x:v>
      </x:c>
      <x:c r="J375" t="n">
        <x:v>15</x:v>
      </x:c>
      <x:c r="K375" t="n">
        <x:v>85</x:v>
      </x:c>
      <x:c r="L375" s="20" t="n">
        <x:v>0.85</x:v>
      </x:c>
      <x:c r="M375" t="str">
        <x:v>High</x:v>
      </x:c>
      <x:c r="N375" t="str">
        <x:v>Approx. State/Non-MCC Pool</x:v>
      </x:c>
      <x:c r="O375" t="str">
        <x:v>Moderate state-counselling pool</x:v>
      </x:c>
      <x:c r="P375" t="n">
        <x:v>13657</x:v>
      </x:c>
      <x:c r="Q375" t="n">
        <x:v>17268</x:v>
      </x:c>
      <x:c r="R375" t="n">
        <x:v>19752</x:v>
      </x:c>
      <x:c r="S375" t="n">
        <x:v>69704</x:v>
      </x:c>
      <x:c r="T375" t="n">
        <x:v>87720</x:v>
      </x:c>
      <x:c r="U375" t="str">
        <x:v>Pending state Round-1 allotment/cutoff data</x:v>
      </x:c>
    </x:row>
    <x:row r="376">
      <x:c r="A376" t="str">
        <x:v>Maharashtra</x:v>
      </x:c>
      <x:c r="B376" t="str">
        <x:v>MH/027/G/1</x:v>
      </x:c>
      <x:c r="C376" t="str">
        <x:v>Government Medical College, Ambernath</x:v>
      </x:c>
      <x:c r="D376" t="str">
        <x:v>Government</x:v>
      </x:c>
      <x:c r="E376" t="n">
        <x:v>100</x:v>
      </x:c>
      <x:c r="F376" t="n">
        <x:v>0</x:v>
      </x:c>
      <x:c r="G376" t="n">
        <x:v>100</x:v>
      </x:c>
      <x:c r="H376" t="str">
        <x:v>903357</x:v>
      </x:c>
      <x:c r="I376" t="n">
        <x:v>15</x:v>
      </x:c>
      <x:c r="J376" t="n">
        <x:v>15</x:v>
      </x:c>
      <x:c r="K376" t="n">
        <x:v>85</x:v>
      </x:c>
      <x:c r="L376" s="20" t="n">
        <x:v>0.85</x:v>
      </x:c>
      <x:c r="M376" t="str">
        <x:v>High</x:v>
      </x:c>
      <x:c r="N376" t="str">
        <x:v>Approx. State/Non-MCC Pool</x:v>
      </x:c>
      <x:c r="O376" t="str">
        <x:v>Moderate state-counselling pool</x:v>
      </x:c>
      <x:c r="P376" t="n">
        <x:v>14326</x:v>
      </x:c>
      <x:c r="Q376" t="n">
        <x:v>16384</x:v>
      </x:c>
      <x:c r="R376" t="n">
        <x:v>16736</x:v>
      </x:c>
      <x:c r="S376" t="n">
        <x:v>78382</x:v>
      </x:c>
      <x:c r="T376" t="n">
        <x:v>120581</x:v>
      </x:c>
      <x:c r="U376" t="str">
        <x:v>Pending state Round-1 allotment/cutoff data</x:v>
      </x:c>
    </x:row>
    <x:row r="377">
      <x:c r="A377" t="str">
        <x:v>Maharashtra</x:v>
      </x:c>
      <x:c r="B377" t="str">
        <x:v>MH/028/G/1</x:v>
      </x:c>
      <x:c r="C377" t="str">
        <x:v>Government Medical College, Amravati</x:v>
      </x:c>
      <x:c r="D377" t="str">
        <x:v>Government</x:v>
      </x:c>
      <x:c r="E377" t="n">
        <x:v>100</x:v>
      </x:c>
      <x:c r="F377" t="n">
        <x:v>0</x:v>
      </x:c>
      <x:c r="G377" t="n">
        <x:v>100</x:v>
      </x:c>
      <x:c r="H377" t="str">
        <x:v>903360</x:v>
      </x:c>
      <x:c r="I377" t="n">
        <x:v>15</x:v>
      </x:c>
      <x:c r="J377" t="n">
        <x:v>15</x:v>
      </x:c>
      <x:c r="K377" t="n">
        <x:v>85</x:v>
      </x:c>
      <x:c r="L377" s="20" t="n">
        <x:v>0.85</x:v>
      </x:c>
      <x:c r="M377" t="str">
        <x:v>High</x:v>
      </x:c>
      <x:c r="N377" t="str">
        <x:v>Approx. State/Non-MCC Pool</x:v>
      </x:c>
      <x:c r="O377" t="str">
        <x:v>Moderate state-counselling pool</x:v>
      </x:c>
      <x:c r="P377" t="n">
        <x:v>15094</x:v>
      </x:c>
      <x:c r="Q377" t="n">
        <x:v>16615</x:v>
      </x:c>
      <x:c r="R377" t="n">
        <x:v>17755</x:v>
      </x:c>
      <x:c r="S377" t="n">
        <x:v>65809</x:v>
      </x:c>
      <x:c r="T377" t="n">
        <x:v>114652</x:v>
      </x:c>
      <x:c r="U377" t="str">
        <x:v>Pending state Round-1 allotment/cutoff data</x:v>
      </x:c>
    </x:row>
    <x:row r="378">
      <x:c r="A378" t="str">
        <x:v>Maharashtra</x:v>
      </x:c>
      <x:c r="B378" t="str">
        <x:v>MH/030/G/1</x:v>
      </x:c>
      <x:c r="C378" t="str">
        <x:v>Government Medical College, Bhandara</x:v>
      </x:c>
      <x:c r="D378" t="str">
        <x:v>Government</x:v>
      </x:c>
      <x:c r="E378" t="n">
        <x:v>100</x:v>
      </x:c>
      <x:c r="F378" t="n">
        <x:v>0</x:v>
      </x:c>
      <x:c r="G378" t="n">
        <x:v>100</x:v>
      </x:c>
      <x:c r="H378" t="str">
        <x:v>903359</x:v>
      </x:c>
      <x:c r="I378" t="n">
        <x:v>15</x:v>
      </x:c>
      <x:c r="J378" t="n">
        <x:v>15</x:v>
      </x:c>
      <x:c r="K378" t="n">
        <x:v>85</x:v>
      </x:c>
      <x:c r="L378" s="20" t="n">
        <x:v>0.85</x:v>
      </x:c>
      <x:c r="M378" t="str">
        <x:v>High</x:v>
      </x:c>
      <x:c r="N378" t="str">
        <x:v>Approx. State/Non-MCC Pool</x:v>
      </x:c>
      <x:c r="O378" t="str">
        <x:v>Moderate state-counselling pool</x:v>
      </x:c>
      <x:c r="P378" t="n">
        <x:v>18305</x:v>
      </x:c>
      <x:c r="Q378" t="n">
        <x:v>19278</x:v>
      </x:c>
      <x:c r="R378" t="n">
        <x:v>21903</x:v>
      </x:c>
      <x:c r="S378" t="n">
        <x:v>90731</x:v>
      </x:c>
      <x:c r="T378" t="n">
        <x:v>117072</x:v>
      </x:c>
      <x:c r="U378" t="str">
        <x:v>Pending state Round-1 allotment/cutoff data</x:v>
      </x:c>
    </x:row>
    <x:row r="379">
      <x:c r="A379" t="str">
        <x:v>Maharashtra</x:v>
      </x:c>
      <x:c r="B379" t="str">
        <x:v>MH/031/G/1</x:v>
      </x:c>
      <x:c r="C379" t="str">
        <x:v>Government Medical College, Buldhana</x:v>
      </x:c>
      <x:c r="D379" t="str">
        <x:v>Government</x:v>
      </x:c>
      <x:c r="E379" t="n">
        <x:v>100</x:v>
      </x:c>
      <x:c r="F379" t="n">
        <x:v>0</x:v>
      </x:c>
      <x:c r="G379" t="n">
        <x:v>100</x:v>
      </x:c>
      <x:c r="H379" t="str">
        <x:v>903356</x:v>
      </x:c>
      <x:c r="I379" t="n">
        <x:v>15</x:v>
      </x:c>
      <x:c r="J379" t="n">
        <x:v>15</x:v>
      </x:c>
      <x:c r="K379" t="n">
        <x:v>85</x:v>
      </x:c>
      <x:c r="L379" s="20" t="n">
        <x:v>0.85</x:v>
      </x:c>
      <x:c r="M379" t="str">
        <x:v>High</x:v>
      </x:c>
      <x:c r="N379" t="str">
        <x:v>Approx. State/Non-MCC Pool</x:v>
      </x:c>
      <x:c r="O379" t="str">
        <x:v>Moderate state-counselling pool</x:v>
      </x:c>
      <x:c r="P379" t="n">
        <x:v>18198</x:v>
      </x:c>
      <x:c r="Q379" t="n">
        <x:v>18611</x:v>
      </x:c>
      <x:c r="R379" t="n">
        <x:v>21652</x:v>
      </x:c>
      <x:c r="S379" t="n">
        <x:v>84294</x:v>
      </x:c>
      <x:c r="T379" t="n">
        <x:v>117206</x:v>
      </x:c>
      <x:c r="U379" t="str">
        <x:v>Pending state Round-1 allotment/cutoff data</x:v>
      </x:c>
    </x:row>
    <x:row r="380">
      <x:c r="A380" t="str">
        <x:v>Maharashtra</x:v>
      </x:c>
      <x:c r="B380" t="str">
        <x:v>MH/033/G/1</x:v>
      </x:c>
      <x:c r="C380" t="str">
        <x:v>Government Medical College, Gadchiroli</x:v>
      </x:c>
      <x:c r="D380" t="str">
        <x:v>Government</x:v>
      </x:c>
      <x:c r="E380" t="n">
        <x:v>100</x:v>
      </x:c>
      <x:c r="F380" t="n">
        <x:v>0</x:v>
      </x:c>
      <x:c r="G380" t="n">
        <x:v>100</x:v>
      </x:c>
      <x:c r="H380" t="str">
        <x:v>903363</x:v>
      </x:c>
      <x:c r="I380" t="n">
        <x:v>15</x:v>
      </x:c>
      <x:c r="J380" t="n">
        <x:v>15</x:v>
      </x:c>
      <x:c r="K380" t="n">
        <x:v>85</x:v>
      </x:c>
      <x:c r="L380" s="20" t="n">
        <x:v>0.85</x:v>
      </x:c>
      <x:c r="M380" t="str">
        <x:v>High</x:v>
      </x:c>
      <x:c r="N380" t="str">
        <x:v>Approx. State/Non-MCC Pool</x:v>
      </x:c>
      <x:c r="O380" t="str">
        <x:v>Moderate state-counselling pool</x:v>
      </x:c>
      <x:c r="P380" t="n">
        <x:v>18084</x:v>
      </x:c>
      <x:c r="Q380" t="n">
        <x:v>19848</x:v>
      </x:c>
      <x:c r="R380" t="n">
        <x:v>22488</x:v>
      </x:c>
      <x:c r="S380" t="n">
        <x:v>94713</x:v>
      </x:c>
      <x:c r="T380" t="n">
        <x:v>123137</x:v>
      </x:c>
      <x:c r="U380" t="str">
        <x:v>Pending state Round-1 allotment/cutoff data</x:v>
      </x:c>
    </x:row>
    <x:row r="381">
      <x:c r="A381" t="str">
        <x:v>Maharashtra</x:v>
      </x:c>
      <x:c r="B381" t="str">
        <x:v>MH/035/G/1</x:v>
      </x:c>
      <x:c r="C381" t="str">
        <x:v>Government Medical College, Hingoli</x:v>
      </x:c>
      <x:c r="D381" t="str">
        <x:v>Government</x:v>
      </x:c>
      <x:c r="E381" t="n">
        <x:v>100</x:v>
      </x:c>
      <x:c r="F381" t="n">
        <x:v>0</x:v>
      </x:c>
      <x:c r="G381" t="n">
        <x:v>100</x:v>
      </x:c>
      <x:c r="H381" t="str">
        <x:v>903358</x:v>
      </x:c>
      <x:c r="I381" t="n">
        <x:v>15</x:v>
      </x:c>
      <x:c r="J381" t="n">
        <x:v>15</x:v>
      </x:c>
      <x:c r="K381" t="n">
        <x:v>85</x:v>
      </x:c>
      <x:c r="L381" s="20" t="n">
        <x:v>0.85</x:v>
      </x:c>
      <x:c r="M381" t="str">
        <x:v>High</x:v>
      </x:c>
      <x:c r="N381" t="str">
        <x:v>Approx. State/Non-MCC Pool</x:v>
      </x:c>
      <x:c r="O381" t="str">
        <x:v>Moderate state-counselling pool</x:v>
      </x:c>
      <x:c r="P381" t="n">
        <x:v>19243</x:v>
      </x:c>
      <x:c r="Q381" t="n">
        <x:v>19966</x:v>
      </x:c>
      <x:c r="R381" t="n">
        <x:v>22890</x:v>
      </x:c>
      <x:c r="S381" t="n">
        <x:v>97764</x:v>
      </x:c>
      <x:c r="T381" t="n">
        <x:v>123878</x:v>
      </x:c>
      <x:c r="U381" t="str">
        <x:v>Pending state Round-1 allotment/cutoff data</x:v>
      </x:c>
    </x:row>
    <x:row r="382">
      <x:c r="A382" t="str">
        <x:v>Maharashtra</x:v>
      </x:c>
      <x:c r="B382" t="str">
        <x:v>MH/037/G/1</x:v>
      </x:c>
      <x:c r="C382" t="str">
        <x:v>Government Medical College, Jalna</x:v>
      </x:c>
      <x:c r="D382" t="str">
        <x:v>Government</x:v>
      </x:c>
      <x:c r="E382" t="n">
        <x:v>100</x:v>
      </x:c>
      <x:c r="F382" t="n">
        <x:v>0</x:v>
      </x:c>
      <x:c r="G382" t="n">
        <x:v>100</x:v>
      </x:c>
      <x:c r="H382" t="str">
        <x:v>903364</x:v>
      </x:c>
      <x:c r="I382" t="n">
        <x:v>15</x:v>
      </x:c>
      <x:c r="J382" t="n">
        <x:v>15</x:v>
      </x:c>
      <x:c r="K382" t="n">
        <x:v>85</x:v>
      </x:c>
      <x:c r="L382" s="20" t="n">
        <x:v>0.85</x:v>
      </x:c>
      <x:c r="M382" t="str">
        <x:v>High</x:v>
      </x:c>
      <x:c r="N382" t="str">
        <x:v>Approx. State/Non-MCC Pool</x:v>
      </x:c>
      <x:c r="O382" t="str">
        <x:v>Moderate state-counselling pool</x:v>
      </x:c>
      <x:c r="P382" t="n">
        <x:v>16558</x:v>
      </x:c>
      <x:c r="Q382" t="n">
        <x:v>19560</x:v>
      </x:c>
      <x:c r="R382" t="n">
        <x:v>19862</x:v>
      </x:c>
      <x:c r="S382" t="n">
        <x:v>80786</x:v>
      </x:c>
      <x:c r="T382" t="n">
        <x:v>121540</x:v>
      </x:c>
      <x:c r="U382" t="str">
        <x:v>Pending state Round-1 allotment/cutoff data</x:v>
      </x:c>
    </x:row>
    <x:row r="383">
      <x:c r="A383" t="str">
        <x:v>Maharashtra</x:v>
      </x:c>
      <x:c r="B383" t="str">
        <x:v>MH/041/G/1</x:v>
      </x:c>
      <x:c r="C383" t="str">
        <x:v>Government Medical College, Nandurbar</x:v>
      </x:c>
      <x:c r="D383" t="str">
        <x:v>Government</x:v>
      </x:c>
      <x:c r="E383" t="n">
        <x:v>100</x:v>
      </x:c>
      <x:c r="F383" t="n">
        <x:v>0</x:v>
      </x:c>
      <x:c r="G383" t="n">
        <x:v>100</x:v>
      </x:c>
      <x:c r="H383" t="str">
        <x:v>200535</x:v>
      </x:c>
      <x:c r="I383" t="n">
        <x:v>15</x:v>
      </x:c>
      <x:c r="J383" t="n">
        <x:v>15</x:v>
      </x:c>
      <x:c r="K383" t="n">
        <x:v>85</x:v>
      </x:c>
      <x:c r="L383" s="20" t="n">
        <x:v>0.85</x:v>
      </x:c>
      <x:c r="M383" t="str">
        <x:v>High</x:v>
      </x:c>
      <x:c r="N383" t="str">
        <x:v>Approx. State/Non-MCC Pool</x:v>
      </x:c>
      <x:c r="O383" t="str">
        <x:v>Moderate state-counselling pool</x:v>
      </x:c>
      <x:c r="P383" t="n">
        <x:v>16074</x:v>
      </x:c>
      <x:c r="Q383" t="n">
        <x:v>16744</x:v>
      </x:c>
      <x:c r="R383" t="n">
        <x:v>20467</x:v>
      </x:c>
      <x:c r="S383" t="n">
        <x:v>84998</x:v>
      </x:c>
      <x:c r="T383" t="n">
        <x:v>113389</x:v>
      </x:c>
      <x:c r="U383" t="str">
        <x:v>Pending state Round-1 allotment/cutoff data</x:v>
      </x:c>
    </x:row>
    <x:row r="384">
      <x:c r="A384" t="str">
        <x:v>Maharashtra</x:v>
      </x:c>
      <x:c r="B384" t="str">
        <x:v>MH/047/G/1</x:v>
      </x:c>
      <x:c r="C384" t="str">
        <x:v>Government Medical College, Nashik</x:v>
      </x:c>
      <x:c r="D384" t="str">
        <x:v>Government</x:v>
      </x:c>
      <x:c r="E384" t="n">
        <x:v>50</x:v>
      </x:c>
      <x:c r="F384" t="n">
        <x:v>50</x:v>
      </x:c>
      <x:c r="G384" t="n">
        <x:v>100</x:v>
      </x:c>
      <x:c r="H384" t="str">
        <x:v>902836</x:v>
      </x:c>
      <x:c r="I384" t="n">
        <x:v>15</x:v>
      </x:c>
      <x:c r="J384" t="n">
        <x:v>15</x:v>
      </x:c>
      <x:c r="K384" t="n">
        <x:v>85</x:v>
      </x:c>
      <x:c r="L384" s="20" t="n">
        <x:v>0.85</x:v>
      </x:c>
      <x:c r="M384" t="str">
        <x:v>High</x:v>
      </x:c>
      <x:c r="N384" t="str">
        <x:v>Approx. State/Non-MCC Pool</x:v>
      </x:c>
      <x:c r="O384" t="str">
        <x:v>Expanded 2026 capacity + substantial state pool</x:v>
      </x:c>
      <x:c r="P384" t="n">
        <x:v>9076</x:v>
      </x:c>
      <x:c r="Q384" t="n">
        <x:v>10968</x:v>
      </x:c>
      <x:c r="R384" t="n">
        <x:v>12271</x:v>
      </x:c>
      <x:c r="S384" t="n">
        <x:v>67813</x:v>
      </x:c>
      <x:c r="T384" t="n">
        <x:v>94965</x:v>
      </x:c>
      <x:c r="U384" t="str">
        <x:v>Pending state Round-1 allotment/cutoff data</x:v>
      </x:c>
    </x:row>
    <x:row r="385">
      <x:c r="A385" t="str">
        <x:v>Maharashtra</x:v>
      </x:c>
      <x:c r="B385" t="str">
        <x:v>MH/042/G/1</x:v>
      </x:c>
      <x:c r="C385" t="str">
        <x:v>Government Medical College, Osmanabad</x:v>
      </x:c>
      <x:c r="D385" t="str">
        <x:v>Government</x:v>
      </x:c>
      <x:c r="E385" t="n">
        <x:v>100</x:v>
      </x:c>
      <x:c r="F385" t="n">
        <x:v>0</x:v>
      </x:c>
      <x:c r="G385" t="n">
        <x:v>100</x:v>
      </x:c>
      <x:c r="H385" t="str">
        <x:v>200638</x:v>
      </x:c>
      <x:c r="I385" t="n">
        <x:v>15</x:v>
      </x:c>
      <x:c r="J385" t="n">
        <x:v>15</x:v>
      </x:c>
      <x:c r="K385" t="n">
        <x:v>85</x:v>
      </x:c>
      <x:c r="L385" s="20" t="n">
        <x:v>0.85</x:v>
      </x:c>
      <x:c r="M385" t="str">
        <x:v>High</x:v>
      </x:c>
      <x:c r="N385" t="str">
        <x:v>Approx. State/Non-MCC Pool</x:v>
      </x:c>
      <x:c r="O385" t="str">
        <x:v>Moderate state-counselling pool</x:v>
      </x:c>
      <x:c r="P385" t="n">
        <x:v>17006</x:v>
      </x:c>
      <x:c r="Q385" t="n">
        <x:v>18065</x:v>
      </x:c>
      <x:c r="R385" t="n">
        <x:v>20858</x:v>
      </x:c>
      <x:c r="S385" t="n">
        <x:v>84584</x:v>
      </x:c>
      <x:c r="T385" t="n">
        <x:v>115627</x:v>
      </x:c>
      <x:c r="U385" t="str">
        <x:v>Pending state Round-1 allotment/cutoff data</x:v>
      </x:c>
    </x:row>
    <x:row r="386">
      <x:c r="A386" t="str">
        <x:v>Maharashtra</x:v>
      </x:c>
      <x:c r="B386" t="str">
        <x:v>MH/043/G/1</x:v>
      </x:c>
      <x:c r="C386" t="str">
        <x:v>Government Medical College, Parbhani</x:v>
      </x:c>
      <x:c r="D386" t="str">
        <x:v>Government</x:v>
      </x:c>
      <x:c r="E386" t="n">
        <x:v>100</x:v>
      </x:c>
      <x:c r="F386" t="n">
        <x:v>0</x:v>
      </x:c>
      <x:c r="G386" t="n">
        <x:v>100</x:v>
      </x:c>
      <x:c r="H386" t="str">
        <x:v>200679</x:v>
      </x:c>
      <x:c r="I386" t="n">
        <x:v>15</x:v>
      </x:c>
      <x:c r="J386" t="n">
        <x:v>15</x:v>
      </x:c>
      <x:c r="K386" t="n">
        <x:v>85</x:v>
      </x:c>
      <x:c r="L386" s="20" t="n">
        <x:v>0.85</x:v>
      </x:c>
      <x:c r="M386" t="str">
        <x:v>High</x:v>
      </x:c>
      <x:c r="N386" t="str">
        <x:v>Approx. State/Non-MCC Pool</x:v>
      </x:c>
      <x:c r="O386" t="str">
        <x:v>Moderate state-counselling pool</x:v>
      </x:c>
      <x:c r="P386" t="n">
        <x:v>17657</x:v>
      </x:c>
      <x:c r="Q386" t="n">
        <x:v>18162</x:v>
      </x:c>
      <x:c r="R386" t="n">
        <x:v>21360</x:v>
      </x:c>
      <x:c r="S386" t="n">
        <x:v>91559</x:v>
      </x:c>
      <x:c r="T386" t="n">
        <x:v>120054</x:v>
      </x:c>
      <x:c r="U386" t="str">
        <x:v>Pending state Round-1 allotment/cutoff data</x:v>
      </x:c>
    </x:row>
    <x:row r="387">
      <x:c r="A387" t="str">
        <x:v>Maharashtra</x:v>
      </x:c>
      <x:c r="B387" t="str">
        <x:v>MH/044/G/1</x:v>
      </x:c>
      <x:c r="C387" t="str">
        <x:v>Government Medical College, Satara</x:v>
      </x:c>
      <x:c r="D387" t="str">
        <x:v>Government</x:v>
      </x:c>
      <x:c r="E387" t="n">
        <x:v>100</x:v>
      </x:c>
      <x:c r="F387" t="n">
        <x:v>0</x:v>
      </x:c>
      <x:c r="G387" t="n">
        <x:v>100</x:v>
      </x:c>
      <x:c r="H387" t="str">
        <x:v>200576</x:v>
      </x:c>
      <x:c r="I387" t="n">
        <x:v>15</x:v>
      </x:c>
      <x:c r="J387" t="n">
        <x:v>15</x:v>
      </x:c>
      <x:c r="K387" t="n">
        <x:v>85</x:v>
      </x:c>
      <x:c r="L387" s="20" t="n">
        <x:v>0.85</x:v>
      </x:c>
      <x:c r="M387" t="str">
        <x:v>High</x:v>
      </x:c>
      <x:c r="N387" t="str">
        <x:v>Approx. State/Non-MCC Pool</x:v>
      </x:c>
      <x:c r="O387" t="str">
        <x:v>Moderate state-counselling pool</x:v>
      </x:c>
      <x:c r="P387" t="n">
        <x:v>14005</x:v>
      </x:c>
      <x:c r="Q387" t="n">
        <x:v>15175</x:v>
      </x:c>
      <x:c r="R387" t="n">
        <x:v>17988</x:v>
      </x:c>
      <x:c r="S387" t="n">
        <x:v>67143</x:v>
      </x:c>
      <x:c r="T387" t="n">
        <x:v>116386</x:v>
      </x:c>
      <x:c r="U387" t="str">
        <x:v>Pending state Round-1 allotment/cutoff data</x:v>
      </x:c>
    </x:row>
    <x:row r="388">
      <x:c r="A388" t="str">
        <x:v>Maharashtra</x:v>
      </x:c>
      <x:c r="B388" t="str">
        <x:v>MH/045/G/1</x:v>
      </x:c>
      <x:c r="C388" t="str">
        <x:v>Government Medical College, Sindhudurg</x:v>
      </x:c>
      <x:c r="D388" t="str">
        <x:v>Government</x:v>
      </x:c>
      <x:c r="E388" t="n">
        <x:v>100</x:v>
      </x:c>
      <x:c r="F388" t="n">
        <x:v>0</x:v>
      </x:c>
      <x:c r="G388" t="n">
        <x:v>100</x:v>
      </x:c>
      <x:c r="H388" t="str">
        <x:v>200587</x:v>
      </x:c>
      <x:c r="I388" t="n">
        <x:v>15</x:v>
      </x:c>
      <x:c r="J388" t="n">
        <x:v>15</x:v>
      </x:c>
      <x:c r="K388" t="n">
        <x:v>85</x:v>
      </x:c>
      <x:c r="L388" s="20" t="n">
        <x:v>0.85</x:v>
      </x:c>
      <x:c r="M388" t="str">
        <x:v>High</x:v>
      </x:c>
      <x:c r="N388" t="str">
        <x:v>Approx. State/Non-MCC Pool</x:v>
      </x:c>
      <x:c r="O388" t="str">
        <x:v>Moderate state-counselling pool</x:v>
      </x:c>
      <x:c r="P388" t="n">
        <x:v>17354</x:v>
      </x:c>
      <x:c r="Q388" t="n">
        <x:v>17738</x:v>
      </x:c>
      <x:c r="R388" t="n">
        <x:v>20500</x:v>
      </x:c>
      <x:c r="S388" t="n">
        <x:v>82634</x:v>
      </x:c>
      <x:c r="T388" t="n">
        <x:v>117297</x:v>
      </x:c>
      <x:c r="U388" t="str">
        <x:v>Pending state Round-1 allotment/cutoff data</x:v>
      </x:c>
    </x:row>
    <x:row r="389">
      <x:c r="A389" t="str">
        <x:v>Maharashtra</x:v>
      </x:c>
      <x:c r="B389" t="str">
        <x:v>MH/046/G/1</x:v>
      </x:c>
      <x:c r="C389" t="str">
        <x:v>Government Medical College, Washim</x:v>
      </x:c>
      <x:c r="D389" t="str">
        <x:v>Government</x:v>
      </x:c>
      <x:c r="E389" t="n">
        <x:v>100</x:v>
      </x:c>
      <x:c r="F389" t="n">
        <x:v>0</x:v>
      </x:c>
      <x:c r="G389" t="n">
        <x:v>100</x:v>
      </x:c>
      <x:c r="H389" t="str">
        <x:v>903361</x:v>
      </x:c>
      <x:c r="I389" t="n">
        <x:v>15</x:v>
      </x:c>
      <x:c r="J389" t="n">
        <x:v>15</x:v>
      </x:c>
      <x:c r="K389" t="n">
        <x:v>85</x:v>
      </x:c>
      <x:c r="L389" s="20" t="n">
        <x:v>0.85</x:v>
      </x:c>
      <x:c r="M389" t="str">
        <x:v>High</x:v>
      </x:c>
      <x:c r="N389" t="str">
        <x:v>Approx. State/Non-MCC Pool</x:v>
      </x:c>
      <x:c r="O389" t="str">
        <x:v>Moderate state-counselling pool</x:v>
      </x:c>
      <x:c r="P389" t="n">
        <x:v>18488</x:v>
      </x:c>
      <x:c r="Q389" t="n">
        <x:v>19936</x:v>
      </x:c>
      <x:c r="R389" t="n">
        <x:v>22617</x:v>
      </x:c>
      <x:c r="S389" t="n">
        <x:v>94342</x:v>
      </x:c>
      <x:c r="T389" t="n">
        <x:v>122976</x:v>
      </x:c>
      <x:c r="U389" t="str">
        <x:v>Pending state Round-1 allotment/cutoff data</x:v>
      </x:c>
    </x:row>
    <x:row r="390">
      <x:c r="A390" t="str">
        <x:v>Maharashtra</x:v>
      </x:c>
      <x:c r="B390" t="str">
        <x:v>MH/023/G/1</x:v>
      </x:c>
      <x:c r="C390" t="str">
        <x:v>Government Medical college and District Hospital, Ratnagiri</x:v>
      </x:c>
      <x:c r="D390" t="str">
        <x:v>Government</x:v>
      </x:c>
      <x:c r="E390" t="n">
        <x:v>100</x:v>
      </x:c>
      <x:c r="F390" t="n">
        <x:v>0</x:v>
      </x:c>
      <x:c r="G390" t="n">
        <x:v>100</x:v>
      </x:c>
      <x:c r="H390" t="str">
        <x:v>200664</x:v>
      </x:c>
      <x:c r="I390" t="n">
        <x:v>15</x:v>
      </x:c>
      <x:c r="J390" t="n">
        <x:v>15</x:v>
      </x:c>
      <x:c r="K390" t="n">
        <x:v>85</x:v>
      </x:c>
      <x:c r="L390" s="20" t="n">
        <x:v>0.85</x:v>
      </x:c>
      <x:c r="M390" t="str">
        <x:v>High</x:v>
      </x:c>
      <x:c r="N390" t="str">
        <x:v>Approx. State/Non-MCC Pool</x:v>
      </x:c>
      <x:c r="O390" t="str">
        <x:v>Moderate state-counselling pool</x:v>
      </x:c>
      <x:c r="P390" t="n">
        <x:v>15893</x:v>
      </x:c>
      <x:c r="Q390" t="n">
        <x:v>17107</x:v>
      </x:c>
      <x:c r="R390" t="n">
        <x:v>18239</x:v>
      </x:c>
      <x:c r="S390" t="n">
        <x:v>77896</x:v>
      </x:c>
      <x:c r="T390" t="n">
        <x:v>96915</x:v>
      </x:c>
      <x:c r="U390" t="str">
        <x:v>Pending state Round-1 allotment/cutoff data</x:v>
      </x:c>
    </x:row>
    <x:row r="391">
      <x:c r="A391" t="str">
        <x:v>Maharashtra</x:v>
      </x:c>
      <x:c r="B391" t="str">
        <x:v>MH/070/G/1</x:v>
      </x:c>
      <x:c r="C391" t="str">
        <x:v>Rajiv Gandhi Medical College and Chhatrapati Shivaji Maharaj Hospital, Thane</x:v>
      </x:c>
      <x:c r="D391" t="str">
        <x:v>Government</x:v>
      </x:c>
      <x:c r="E391" t="n">
        <x:v>100</x:v>
      </x:c>
      <x:c r="F391" t="n">
        <x:v>0</x:v>
      </x:c>
      <x:c r="G391" t="n">
        <x:v>100</x:v>
      </x:c>
      <x:c r="H391" t="str">
        <x:v>200224</x:v>
      </x:c>
      <x:c r="I391" t="n">
        <x:v>15</x:v>
      </x:c>
      <x:c r="J391" t="n">
        <x:v>15</x:v>
      </x:c>
      <x:c r="K391" t="n">
        <x:v>85</x:v>
      </x:c>
      <x:c r="L391" s="20" t="n">
        <x:v>0.85</x:v>
      </x:c>
      <x:c r="M391" t="str">
        <x:v>High</x:v>
      </x:c>
      <x:c r="N391" t="str">
        <x:v>Approx. State/Non-MCC Pool</x:v>
      </x:c>
      <x:c r="O391" t="str">
        <x:v>Moderate state-counselling pool</x:v>
      </x:c>
      <x:c r="P391" t="n">
        <x:v>5422</x:v>
      </x:c>
      <x:c r="Q391" t="n">
        <x:v>7828</x:v>
      </x:c>
      <x:c r="R391" t="n">
        <x:v>8099</x:v>
      </x:c>
      <x:c r="S391" t="n">
        <x:v>48582</x:v>
      </x:c>
      <x:c r="T391" t="n">
        <x:v>66081</x:v>
      </x:c>
      <x:c r="U391" t="str">
        <x:v>Pending state Round-1 allotment/cutoff data</x:v>
      </x:c>
    </x:row>
    <x:row r="392">
      <x:c r="A392" t="str">
        <x:v>Maharashtra</x:v>
      </x:c>
      <x:c r="B392" t="str">
        <x:v>MH/024/G/1</x:v>
      </x:c>
      <x:c r="C392" t="str">
        <x:v>Government Medical College L.T. Marg, Near L.T. Marg Police Station, Mumbai - 400001</x:v>
      </x:c>
      <x:c r="D392" t="str">
        <x:v>Government</x:v>
      </x:c>
      <x:c r="E392" t="n">
        <x:v>50</x:v>
      </x:c>
      <x:c r="F392" t="n">
        <x:v>0</x:v>
      </x:c>
      <x:c r="G392" t="n">
        <x:v>50</x:v>
      </x:c>
      <x:c r="H392" t="str">
        <x:v>902828</x:v>
      </x:c>
      <x:c r="I392" t="n">
        <x:v>8</x:v>
      </x:c>
      <x:c r="J392" t="n">
        <x:v>8</x:v>
      </x:c>
      <x:c r="K392" t="n">
        <x:v>42</x:v>
      </x:c>
      <x:c r="L392" s="20" t="n">
        <x:v>0.84</x:v>
      </x:c>
      <x:c r="M392" t="str">
        <x:v>High</x:v>
      </x:c>
      <x:c r="N392" t="str">
        <x:v>Approx. State/Non-MCC Pool</x:v>
      </x:c>
      <x:c r="O392" t="str">
        <x:v>Smaller state-counselling pool</x:v>
      </x:c>
      <x:c r="P392" t="n">
        <x:v>4926</x:v>
      </x:c>
      <x:c r="Q392" t="n">
        <x:v>7492</x:v>
      </x:c>
      <x:c r="R392"/>
      <x:c r="S392"/>
      <x:c r="T392"/>
      <x:c r="U392" t="str">
        <x:v>Pending state Round-1 allotment/cutoff data</x:v>
      </x:c>
    </x:row>
    <x:row r="393">
      <x:c r="A393" t="str">
        <x:v>Maharashtra</x:v>
      </x:c>
      <x:c r="B393" t="str">
        <x:v>MH/021/G/1</x:v>
      </x:c>
      <x:c r="C393" t="str">
        <x:v>ESIC MEDICAL COLLEGE AND HOSPITAL, ANDHERI</x:v>
      </x:c>
      <x:c r="D393" t="str">
        <x:v>Government</x:v>
      </x:c>
      <x:c r="E393" t="n">
        <x:v>50</x:v>
      </x:c>
      <x:c r="F393" t="n">
        <x:v>0</x:v>
      </x:c>
      <x:c r="G393" t="n">
        <x:v>50</x:v>
      </x:c>
      <x:c r="H393" t="str">
        <x:v>904357</x:v>
      </x:c>
      <x:c r="I393" t="n">
        <x:v>32</x:v>
      </x:c>
      <x:c r="J393" t="n">
        <x:v>31</x:v>
      </x:c>
      <x:c r="K393" t="n">
        <x:v>18</x:v>
      </x:c>
      <x:c r="L393" s="20" t="n">
        <x:v>0.36</x:v>
      </x:c>
      <x:c r="M393" t="str">
        <x:v>High</x:v>
      </x:c>
      <x:c r="N393" t="str">
        <x:v>Approx. State/Non-MCC Pool</x:v>
      </x:c>
      <x:c r="O393" t="str">
        <x:v>Smaller state-counselling pool</x:v>
      </x:c>
      <x:c r="P393" t="n">
        <x:v>27926</x:v>
      </x:c>
      <x:c r="Q393" t="n">
        <x:v>32119</x:v>
      </x:c>
      <x:c r="R393" t="n">
        <x:v>31083</x:v>
      </x:c>
      <x:c r="S393" t="n">
        <x:v>148300</x:v>
      </x:c>
      <x:c r="T393" t="n">
        <x:v>182042</x:v>
      </x:c>
      <x:c r="U393" t="str">
        <x:v>Pending state Round-1 allotment/cutoff data</x:v>
      </x:c>
    </x:row>
    <x:row r="394">
      <x:c r="A394" t="str">
        <x:v>Maharashtra</x:v>
      </x:c>
      <x:c r="B394" t="str">
        <x:v>MH/065/P/4</x:v>
      </x:c>
      <x:c r="C394" t="str">
        <x:v>N. K. P. Salve Instt. of Medical Sciences and Research Centre and Lata Mangeshkar Hospital, Nagpur</x:v>
      </x:c>
      <x:c r="D394" t="str">
        <x:v>Private</x:v>
      </x:c>
      <x:c r="E394" t="n">
        <x:v>250</x:v>
      </x:c>
      <x:c r="F394" t="n">
        <x:v>0</x:v>
      </x:c>
      <x:c r="G394" t="n">
        <x:v>250</x:v>
      </x:c>
      <x:c r="H394"/>
      <x:c r="I394" t="n">
        <x:v>0</x:v>
      </x:c>
      <x:c r="J394" t="n">
        <x:v>0</x:v>
      </x:c>
      <x:c r="K394" t="n">
        <x:v>250</x:v>
      </x:c>
      <x:c r="L394" s="20" t="n">
        <x:v>1</x:v>
      </x:c>
      <x:c r="M394" t="str">
        <x:v>Variable</x:v>
      </x:c>
      <x:c r="N394" t="str">
        <x:v>Approx. Non-MCC Pool</x:v>
      </x:c>
      <x:c r="O394" t="str">
        <x:v>Large non-MCC pool; quota split varies by state</x:v>
      </x:c>
      <x:c r="P394"/>
      <x:c r="Q394"/>
      <x:c r="R394"/>
      <x:c r="S394"/>
      <x:c r="T394"/>
      <x:c r="U394" t="str">
        <x:v>Pending state Round-1 allotment/cutoff data</x:v>
      </x:c>
    </x:row>
    <x:row r="395">
      <x:c r="A395" t="str">
        <x:v>Maharashtra</x:v>
      </x:c>
      <x:c r="B395" t="str">
        <x:v>MH/017/P/3</x:v>
      </x:c>
      <x:c r="C395" t="str">
        <x:v>Dr. Ulhas Patil Medical College &amp; Hospital, Jalgaon</x:v>
      </x:c>
      <x:c r="D395" t="str">
        <x:v>Private</x:v>
      </x:c>
      <x:c r="E395" t="n">
        <x:v>200</x:v>
      </x:c>
      <x:c r="F395" t="n">
        <x:v>0</x:v>
      </x:c>
      <x:c r="G395" t="n">
        <x:v>200</x:v>
      </x:c>
      <x:c r="H395"/>
      <x:c r="I395" t="n">
        <x:v>0</x:v>
      </x:c>
      <x:c r="J395" t="n">
        <x:v>0</x:v>
      </x:c>
      <x:c r="K395" t="n">
        <x:v>200</x:v>
      </x:c>
      <x:c r="L395" s="20" t="n">
        <x:v>1</x:v>
      </x:c>
      <x:c r="M395" t="str">
        <x:v>Variable</x:v>
      </x:c>
      <x:c r="N395" t="str">
        <x:v>Approx. Non-MCC Pool</x:v>
      </x:c>
      <x:c r="O395" t="str">
        <x:v>Large non-MCC pool; quota split varies by state</x:v>
      </x:c>
      <x:c r="P395"/>
      <x:c r="Q395"/>
      <x:c r="R395"/>
      <x:c r="S395"/>
      <x:c r="T395"/>
      <x:c r="U395" t="str">
        <x:v>Pending state Round-1 allotment/cutoff data</x:v>
      </x:c>
    </x:row>
    <x:row r="396">
      <x:c r="A396" t="str">
        <x:v>Maharashtra</x:v>
      </x:c>
      <x:c r="B396" t="str">
        <x:v>MH/019/P/3</x:v>
      </x:c>
      <x:c r="C396" t="str">
        <x:v>Dr. Vithalrao Vikhe Patil Foundations Medical College &amp; Hospital, Ahmednagar</x:v>
      </x:c>
      <x:c r="D396" t="str">
        <x:v>Private</x:v>
      </x:c>
      <x:c r="E396" t="n">
        <x:v>200</x:v>
      </x:c>
      <x:c r="F396" t="n">
        <x:v>0</x:v>
      </x:c>
      <x:c r="G396" t="n">
        <x:v>200</x:v>
      </x:c>
      <x:c r="H396"/>
      <x:c r="I396" t="n">
        <x:v>0</x:v>
      </x:c>
      <x:c r="J396" t="n">
        <x:v>0</x:v>
      </x:c>
      <x:c r="K396" t="n">
        <x:v>200</x:v>
      </x:c>
      <x:c r="L396" s="20" t="n">
        <x:v>1</x:v>
      </x:c>
      <x:c r="M396" t="str">
        <x:v>Variable</x:v>
      </x:c>
      <x:c r="N396" t="str">
        <x:v>Approx. Non-MCC Pool</x:v>
      </x:c>
      <x:c r="O396" t="str">
        <x:v>Large non-MCC pool; quota split varies by state</x:v>
      </x:c>
      <x:c r="P396"/>
      <x:c r="Q396"/>
      <x:c r="R396"/>
      <x:c r="S396"/>
      <x:c r="T396"/>
      <x:c r="U396" t="str">
        <x:v>Pending state Round-1 allotment/cutoff data</x:v>
      </x:c>
    </x:row>
    <x:row r="397">
      <x:c r="A397" t="str">
        <x:v>Maharashtra</x:v>
      </x:c>
      <x:c r="B397" t="str">
        <x:v>MH/003/P/3</x:v>
      </x:c>
      <x:c r="C397" t="str">
        <x:v>Ashwini Rural Medical College, Hospital &amp; Research Centre, Solapur</x:v>
      </x:c>
      <x:c r="D397" t="str">
        <x:v>Private</x:v>
      </x:c>
      <x:c r="E397" t="n">
        <x:v>150</x:v>
      </x:c>
      <x:c r="F397" t="n">
        <x:v>0</x:v>
      </x:c>
      <x:c r="G397" t="n">
        <x:v>150</x:v>
      </x:c>
      <x:c r="H397"/>
      <x:c r="I397" t="n">
        <x:v>0</x:v>
      </x:c>
      <x:c r="J397" t="n">
        <x:v>0</x:v>
      </x:c>
      <x:c r="K397" t="n">
        <x:v>150</x:v>
      </x:c>
      <x:c r="L397" s="20" t="n">
        <x:v>1</x:v>
      </x:c>
      <x:c r="M397" t="str">
        <x:v>Variable</x:v>
      </x:c>
      <x:c r="N397" t="str">
        <x:v>Approx. Non-MCC Pool</x:v>
      </x:c>
      <x:c r="O397" t="str">
        <x:v>Large non-MCC pool; quota split varies by state</x:v>
      </x:c>
      <x:c r="P397"/>
      <x:c r="Q397"/>
      <x:c r="R397"/>
      <x:c r="S397"/>
      <x:c r="T397"/>
      <x:c r="U397" t="str">
        <x:v>Pending state Round-1 allotment/cutoff data</x:v>
      </x:c>
    </x:row>
    <x:row r="398">
      <x:c r="A398" t="str">
        <x:v>Maharashtra</x:v>
      </x:c>
      <x:c r="B398" t="str">
        <x:v>MH/005/P/3</x:v>
      </x:c>
      <x:c r="C398" t="str">
        <x:v>B.K.L. Walawalkar Rural Medical College, Ratnagiri</x:v>
      </x:c>
      <x:c r="D398" t="str">
        <x:v>Private</x:v>
      </x:c>
      <x:c r="E398" t="n">
        <x:v>150</x:v>
      </x:c>
      <x:c r="F398" t="n">
        <x:v>0</x:v>
      </x:c>
      <x:c r="G398" t="n">
        <x:v>150</x:v>
      </x:c>
      <x:c r="H398"/>
      <x:c r="I398" t="n">
        <x:v>0</x:v>
      </x:c>
      <x:c r="J398" t="n">
        <x:v>0</x:v>
      </x:c>
      <x:c r="K398" t="n">
        <x:v>150</x:v>
      </x:c>
      <x:c r="L398" s="20" t="n">
        <x:v>1</x:v>
      </x:c>
      <x:c r="M398" t="str">
        <x:v>Variable</x:v>
      </x:c>
      <x:c r="N398" t="str">
        <x:v>Approx. Non-MCC Pool</x:v>
      </x:c>
      <x:c r="O398" t="str">
        <x:v>Large non-MCC pool; quota split varies by state</x:v>
      </x:c>
      <x:c r="P398"/>
      <x:c r="Q398"/>
      <x:c r="R398"/>
      <x:c r="S398"/>
      <x:c r="T398"/>
      <x:c r="U398" t="str">
        <x:v>Pending state Round-1 allotment/cutoff data</x:v>
      </x:c>
    </x:row>
    <x:row r="399">
      <x:c r="A399" t="str">
        <x:v>Maharashtra</x:v>
      </x:c>
      <x:c r="B399" t="str">
        <x:v>MH/014/P/4</x:v>
      </x:c>
      <x:c r="C399" t="str">
        <x:v>Dr. Panjabrao Alias Bhausaheb Deshmukh Memorial Medical College, Amravati</x:v>
      </x:c>
      <x:c r="D399" t="str">
        <x:v>Private</x:v>
      </x:c>
      <x:c r="E399" t="n">
        <x:v>150</x:v>
      </x:c>
      <x:c r="F399" t="n">
        <x:v>0</x:v>
      </x:c>
      <x:c r="G399" t="n">
        <x:v>150</x:v>
      </x:c>
      <x:c r="H399"/>
      <x:c r="I399" t="n">
        <x:v>0</x:v>
      </x:c>
      <x:c r="J399" t="n">
        <x:v>0</x:v>
      </x:c>
      <x:c r="K399" t="n">
        <x:v>150</x:v>
      </x:c>
      <x:c r="L399" s="20" t="n">
        <x:v>1</x:v>
      </x:c>
      <x:c r="M399" t="str">
        <x:v>Variable</x:v>
      </x:c>
      <x:c r="N399" t="str">
        <x:v>Approx. Non-MCC Pool</x:v>
      </x:c>
      <x:c r="O399" t="str">
        <x:v>Large non-MCC pool; quota split varies by state</x:v>
      </x:c>
      <x:c r="P399"/>
      <x:c r="Q399"/>
      <x:c r="R399"/>
      <x:c r="S399"/>
      <x:c r="T399"/>
      <x:c r="U399" t="str">
        <x:v>Pending state Round-1 allotment/cutoff data</x:v>
      </x:c>
    </x:row>
    <x:row r="400">
      <x:c r="A400" t="str">
        <x:v>Maharashtra</x:v>
      </x:c>
      <x:c r="B400" t="str">
        <x:v>MH/015/P/4</x:v>
      </x:c>
      <x:c r="C400" t="str">
        <x:v>Dr. Rajendra Gode Medical College, Amravati</x:v>
      </x:c>
      <x:c r="D400" t="str">
        <x:v>Private</x:v>
      </x:c>
      <x:c r="E400" t="n">
        <x:v>150</x:v>
      </x:c>
      <x:c r="F400" t="n">
        <x:v>0</x:v>
      </x:c>
      <x:c r="G400" t="n">
        <x:v>150</x:v>
      </x:c>
      <x:c r="H400"/>
      <x:c r="I400" t="n">
        <x:v>0</x:v>
      </x:c>
      <x:c r="J400" t="n">
        <x:v>0</x:v>
      </x:c>
      <x:c r="K400" t="n">
        <x:v>150</x:v>
      </x:c>
      <x:c r="L400" s="20" t="n">
        <x:v>1</x:v>
      </x:c>
      <x:c r="M400" t="str">
        <x:v>Variable</x:v>
      </x:c>
      <x:c r="N400" t="str">
        <x:v>Approx. Non-MCC Pool</x:v>
      </x:c>
      <x:c r="O400" t="str">
        <x:v>Large non-MCC pool; quota split varies by state</x:v>
      </x:c>
      <x:c r="P400"/>
      <x:c r="Q400"/>
      <x:c r="R400"/>
      <x:c r="S400"/>
      <x:c r="T400"/>
      <x:c r="U400" t="str">
        <x:v>Pending state Round-1 allotment/cutoff data</x:v>
      </x:c>
    </x:row>
    <x:row r="401">
      <x:c r="A401" t="str">
        <x:v>Maharashtra</x:v>
      </x:c>
      <x:c r="B401" t="str">
        <x:v>MH/018/P/3</x:v>
      </x:c>
      <x:c r="C401" t="str">
        <x:v>Dr. Vasantrao Pawar Med. Col. Hosp. &amp; Research Centre, Nasik (Prev. NDMVP Samaj Medical College)</x:v>
      </x:c>
      <x:c r="D401" t="str">
        <x:v>Private</x:v>
      </x:c>
      <x:c r="E401" t="n">
        <x:v>150</x:v>
      </x:c>
      <x:c r="F401" t="n">
        <x:v>0</x:v>
      </x:c>
      <x:c r="G401" t="n">
        <x:v>150</x:v>
      </x:c>
      <x:c r="H401"/>
      <x:c r="I401" t="n">
        <x:v>0</x:v>
      </x:c>
      <x:c r="J401" t="n">
        <x:v>0</x:v>
      </x:c>
      <x:c r="K401" t="n">
        <x:v>150</x:v>
      </x:c>
      <x:c r="L401" s="20" t="n">
        <x:v>1</x:v>
      </x:c>
      <x:c r="M401" t="str">
        <x:v>Variable</x:v>
      </x:c>
      <x:c r="N401" t="str">
        <x:v>Approx. Non-MCC Pool</x:v>
      </x:c>
      <x:c r="O401" t="str">
        <x:v>Large non-MCC pool; quota split varies by state</x:v>
      </x:c>
      <x:c r="P401"/>
      <x:c r="Q401"/>
      <x:c r="R401"/>
      <x:c r="S401"/>
      <x:c r="T401"/>
      <x:c r="U401" t="str">
        <x:v>Pending state Round-1 allotment/cutoff data</x:v>
      </x:c>
    </x:row>
    <x:row r="402">
      <x:c r="A402" t="str">
        <x:v>Maharashtra</x:v>
      </x:c>
      <x:c r="B402" t="str">
        <x:v>MH/050/P/3</x:v>
      </x:c>
      <x:c r="C402" t="str">
        <x:v>Indian Institute of Medical Science &amp; Research, Jalna</x:v>
      </x:c>
      <x:c r="D402" t="str">
        <x:v>Private</x:v>
      </x:c>
      <x:c r="E402" t="n">
        <x:v>150</x:v>
      </x:c>
      <x:c r="F402" t="n">
        <x:v>0</x:v>
      </x:c>
      <x:c r="G402" t="n">
        <x:v>150</x:v>
      </x:c>
      <x:c r="H402"/>
      <x:c r="I402" t="n">
        <x:v>0</x:v>
      </x:c>
      <x:c r="J402" t="n">
        <x:v>0</x:v>
      </x:c>
      <x:c r="K402" t="n">
        <x:v>150</x:v>
      </x:c>
      <x:c r="L402" s="20" t="n">
        <x:v>1</x:v>
      </x:c>
      <x:c r="M402" t="str">
        <x:v>Variable</x:v>
      </x:c>
      <x:c r="N402" t="str">
        <x:v>Approx. Non-MCC Pool</x:v>
      </x:c>
      <x:c r="O402" t="str">
        <x:v>Large non-MCC pool; quota split varies by state</x:v>
      </x:c>
      <x:c r="P402"/>
      <x:c r="Q402"/>
      <x:c r="R402"/>
      <x:c r="S402"/>
      <x:c r="T402"/>
      <x:c r="U402" t="str">
        <x:v>Pending state Round-1 allotment/cutoff data</x:v>
      </x:c>
    </x:row>
    <x:row r="403">
      <x:c r="A403" t="str">
        <x:v>Maharashtra</x:v>
      </x:c>
      <x:c r="B403" t="str">
        <x:v>MH/056/P/3</x:v>
      </x:c>
      <x:c r="C403" t="str">
        <x:v>Maharashtra Institute of Medical Education &amp; Research, Talegaon, Pune</x:v>
      </x:c>
      <x:c r="D403" t="str">
        <x:v>Private</x:v>
      </x:c>
      <x:c r="E403" t="n">
        <x:v>150</x:v>
      </x:c>
      <x:c r="F403" t="n">
        <x:v>0</x:v>
      </x:c>
      <x:c r="G403" t="n">
        <x:v>150</x:v>
      </x:c>
      <x:c r="H403"/>
      <x:c r="I403" t="n">
        <x:v>0</x:v>
      </x:c>
      <x:c r="J403" t="n">
        <x:v>0</x:v>
      </x:c>
      <x:c r="K403" t="n">
        <x:v>150</x:v>
      </x:c>
      <x:c r="L403" s="20" t="n">
        <x:v>1</x:v>
      </x:c>
      <x:c r="M403" t="str">
        <x:v>Variable</x:v>
      </x:c>
      <x:c r="N403" t="str">
        <x:v>Approx. Non-MCC Pool</x:v>
      </x:c>
      <x:c r="O403" t="str">
        <x:v>Large non-MCC pool; quota split varies by state</x:v>
      </x:c>
      <x:c r="P403"/>
      <x:c r="Q403"/>
      <x:c r="R403"/>
      <x:c r="S403"/>
      <x:c r="T403"/>
      <x:c r="U403" t="str">
        <x:v>Pending state Round-1 allotment/cutoff data</x:v>
      </x:c>
    </x:row>
    <x:row r="404">
      <x:c r="A404" t="str">
        <x:v>Maharashtra</x:v>
      </x:c>
      <x:c r="B404" t="str">
        <x:v>MH/057/P/3</x:v>
      </x:c>
      <x:c r="C404" t="str">
        <x:v>Maharashtra Institute of Medical Sciences &amp; Research, Latur</x:v>
      </x:c>
      <x:c r="D404" t="str">
        <x:v>Private</x:v>
      </x:c>
      <x:c r="E404" t="n">
        <x:v>150</x:v>
      </x:c>
      <x:c r="F404" t="n">
        <x:v>0</x:v>
      </x:c>
      <x:c r="G404" t="n">
        <x:v>150</x:v>
      </x:c>
      <x:c r="H404"/>
      <x:c r="I404" t="n">
        <x:v>0</x:v>
      </x:c>
      <x:c r="J404" t="n">
        <x:v>0</x:v>
      </x:c>
      <x:c r="K404" t="n">
        <x:v>150</x:v>
      </x:c>
      <x:c r="L404" s="20" t="n">
        <x:v>1</x:v>
      </x:c>
      <x:c r="M404" t="str">
        <x:v>Variable</x:v>
      </x:c>
      <x:c r="N404" t="str">
        <x:v>Approx. Non-MCC Pool</x:v>
      </x:c>
      <x:c r="O404" t="str">
        <x:v>Large non-MCC pool; quota split varies by state</x:v>
      </x:c>
      <x:c r="P404"/>
      <x:c r="Q404"/>
      <x:c r="R404"/>
      <x:c r="S404"/>
      <x:c r="T404"/>
      <x:c r="U404" t="str">
        <x:v>Pending state Round-1 allotment/cutoff data</x:v>
      </x:c>
    </x:row>
    <x:row r="405">
      <x:c r="A405" t="str">
        <x:v>Maharashtra</x:v>
      </x:c>
      <x:c r="B405" t="str">
        <x:v>MH/067/P/4</x:v>
      </x:c>
      <x:c r="C405" t="str">
        <x:v>Parbhani Medical College</x:v>
      </x:c>
      <x:c r="D405" t="str">
        <x:v>Private</x:v>
      </x:c>
      <x:c r="E405" t="n">
        <x:v>150</x:v>
      </x:c>
      <x:c r="F405" t="n">
        <x:v>0</x:v>
      </x:c>
      <x:c r="G405" t="n">
        <x:v>150</x:v>
      </x:c>
      <x:c r="H405"/>
      <x:c r="I405" t="n">
        <x:v>0</x:v>
      </x:c>
      <x:c r="J405" t="n">
        <x:v>0</x:v>
      </x:c>
      <x:c r="K405" t="n">
        <x:v>150</x:v>
      </x:c>
      <x:c r="L405" s="20" t="n">
        <x:v>1</x:v>
      </x:c>
      <x:c r="M405" t="str">
        <x:v>Variable</x:v>
      </x:c>
      <x:c r="N405" t="str">
        <x:v>Approx. Non-MCC Pool</x:v>
      </x:c>
      <x:c r="O405" t="str">
        <x:v>Large non-MCC pool; quota split varies by state</x:v>
      </x:c>
      <x:c r="P405"/>
      <x:c r="Q405"/>
      <x:c r="R405"/>
      <x:c r="S405"/>
      <x:c r="T405"/>
      <x:c r="U405" t="str">
        <x:v>Pending state Round-1 allotment/cutoff data</x:v>
      </x:c>
    </x:row>
    <x:row r="406">
      <x:c r="A406" t="str">
        <x:v>Maharashtra</x:v>
      </x:c>
      <x:c r="B406" t="str">
        <x:v>MH/068/P/3</x:v>
      </x:c>
      <x:c r="C406" t="str">
        <x:v>Prakash Institute of Medical Sciences &amp; Research, Sangli</x:v>
      </x:c>
      <x:c r="D406" t="str">
        <x:v>Private</x:v>
      </x:c>
      <x:c r="E406" t="n">
        <x:v>150</x:v>
      </x:c>
      <x:c r="F406" t="n">
        <x:v>0</x:v>
      </x:c>
      <x:c r="G406" t="n">
        <x:v>150</x:v>
      </x:c>
      <x:c r="H406"/>
      <x:c r="I406" t="n">
        <x:v>0</x:v>
      </x:c>
      <x:c r="J406" t="n">
        <x:v>0</x:v>
      </x:c>
      <x:c r="K406" t="n">
        <x:v>150</x:v>
      </x:c>
      <x:c r="L406" s="20" t="n">
        <x:v>1</x:v>
      </x:c>
      <x:c r="M406" t="str">
        <x:v>Variable</x:v>
      </x:c>
      <x:c r="N406" t="str">
        <x:v>Approx. Non-MCC Pool</x:v>
      </x:c>
      <x:c r="O406" t="str">
        <x:v>Large non-MCC pool; quota split varies by state</x:v>
      </x:c>
      <x:c r="P406"/>
      <x:c r="Q406"/>
      <x:c r="R406"/>
      <x:c r="S406"/>
      <x:c r="T406"/>
      <x:c r="U406" t="str">
        <x:v>Pending state Round-1 allotment/cutoff data</x:v>
      </x:c>
    </x:row>
    <x:row r="407">
      <x:c r="A407" t="str">
        <x:v>Maharashtra</x:v>
      </x:c>
      <x:c r="B407" t="str">
        <x:v>MH/071/P/3</x:v>
      </x:c>
      <x:c r="C407" t="str">
        <x:v>R K Damani Medical College ShriRamchandra Institute ofMedical Sciences, Chhatrapati Sambhajinagar</x:v>
      </x:c>
      <x:c r="D407" t="str">
        <x:v>Private</x:v>
      </x:c>
      <x:c r="E407" t="n">
        <x:v>150</x:v>
      </x:c>
      <x:c r="F407" t="n">
        <x:v>0</x:v>
      </x:c>
      <x:c r="G407" t="n">
        <x:v>150</x:v>
      </x:c>
      <x:c r="H407"/>
      <x:c r="I407" t="n">
        <x:v>0</x:v>
      </x:c>
      <x:c r="J407" t="n">
        <x:v>0</x:v>
      </x:c>
      <x:c r="K407" t="n">
        <x:v>150</x:v>
      </x:c>
      <x:c r="L407" s="20" t="n">
        <x:v>1</x:v>
      </x:c>
      <x:c r="M407" t="str">
        <x:v>Variable</x:v>
      </x:c>
      <x:c r="N407" t="str">
        <x:v>Approx. Non-MCC Pool</x:v>
      </x:c>
      <x:c r="O407" t="str">
        <x:v>Large non-MCC pool; quota split varies by state</x:v>
      </x:c>
      <x:c r="P407"/>
      <x:c r="Q407"/>
      <x:c r="R407"/>
      <x:c r="S407"/>
      <x:c r="T407"/>
      <x:c r="U407" t="str">
        <x:v>Pending state Round-1 allotment/cutoff data</x:v>
      </x:c>
    </x:row>
    <x:row r="408">
      <x:c r="A408" t="str">
        <x:v>Maharashtra</x:v>
      </x:c>
      <x:c r="B408" t="str">
        <x:v>MH/076/P/3</x:v>
      </x:c>
      <x:c r="C408" t="str">
        <x:v>SMBT Institute of Medical Sciences &amp; Research Centre, Nandihills, Nashik</x:v>
      </x:c>
      <x:c r="D408" t="str">
        <x:v>Private</x:v>
      </x:c>
      <x:c r="E408" t="n">
        <x:v>150</x:v>
      </x:c>
      <x:c r="F408" t="n">
        <x:v>0</x:v>
      </x:c>
      <x:c r="G408" t="n">
        <x:v>150</x:v>
      </x:c>
      <x:c r="H408"/>
      <x:c r="I408" t="n">
        <x:v>0</x:v>
      </x:c>
      <x:c r="J408" t="n">
        <x:v>0</x:v>
      </x:c>
      <x:c r="K408" t="n">
        <x:v>150</x:v>
      </x:c>
      <x:c r="L408" s="20" t="n">
        <x:v>1</x:v>
      </x:c>
      <x:c r="M408" t="str">
        <x:v>Variable</x:v>
      </x:c>
      <x:c r="N408" t="str">
        <x:v>Approx. Non-MCC Pool</x:v>
      </x:c>
      <x:c r="O408" t="str">
        <x:v>Large non-MCC pool; quota split varies by state</x:v>
      </x:c>
      <x:c r="P408"/>
      <x:c r="Q408"/>
      <x:c r="R408"/>
      <x:c r="S408"/>
      <x:c r="T408"/>
      <x:c r="U408" t="str">
        <x:v>Pending state Round-1 allotment/cutoff data</x:v>
      </x:c>
    </x:row>
    <x:row r="409">
      <x:c r="A409" t="str">
        <x:v>Maharashtra</x:v>
      </x:c>
      <x:c r="B409" t="str">
        <x:v>MH/078/P/4</x:v>
      </x:c>
      <x:c r="C409" t="str">
        <x:v>Smt. Kashibai Navale Medical College and General Hospital, Pune</x:v>
      </x:c>
      <x:c r="D409" t="str">
        <x:v>Private</x:v>
      </x:c>
      <x:c r="E409" t="n">
        <x:v>150</x:v>
      </x:c>
      <x:c r="F409" t="n">
        <x:v>0</x:v>
      </x:c>
      <x:c r="G409" t="n">
        <x:v>150</x:v>
      </x:c>
      <x:c r="H409"/>
      <x:c r="I409" t="n">
        <x:v>0</x:v>
      </x:c>
      <x:c r="J409" t="n">
        <x:v>0</x:v>
      </x:c>
      <x:c r="K409" t="n">
        <x:v>150</x:v>
      </x:c>
      <x:c r="L409" s="20" t="n">
        <x:v>1</x:v>
      </x:c>
      <x:c r="M409" t="str">
        <x:v>Variable</x:v>
      </x:c>
      <x:c r="N409" t="str">
        <x:v>Approx. Non-MCC Pool</x:v>
      </x:c>
      <x:c r="O409" t="str">
        <x:v>Large non-MCC pool; quota split varies by state</x:v>
      </x:c>
      <x:c r="P409"/>
      <x:c r="Q409"/>
      <x:c r="R409"/>
      <x:c r="S409"/>
      <x:c r="T409"/>
      <x:c r="U409" t="str">
        <x:v>Pending state Round-1 allotment/cutoff data</x:v>
      </x:c>
    </x:row>
    <x:row r="410">
      <x:c r="A410" t="str">
        <x:v>Maharashtra</x:v>
      </x:c>
      <x:c r="B410" t="str">
        <x:v>MH/082/P/3</x:v>
      </x:c>
      <x:c r="C410" t="str">
        <x:v>Terna Medical College, Navi Mumbai</x:v>
      </x:c>
      <x:c r="D410" t="str">
        <x:v>Private</x:v>
      </x:c>
      <x:c r="E410" t="n">
        <x:v>150</x:v>
      </x:c>
      <x:c r="F410" t="n">
        <x:v>0</x:v>
      </x:c>
      <x:c r="G410" t="n">
        <x:v>150</x:v>
      </x:c>
      <x:c r="H410"/>
      <x:c r="I410" t="n">
        <x:v>0</x:v>
      </x:c>
      <x:c r="J410" t="n">
        <x:v>0</x:v>
      </x:c>
      <x:c r="K410" t="n">
        <x:v>150</x:v>
      </x:c>
      <x:c r="L410" s="20" t="n">
        <x:v>1</x:v>
      </x:c>
      <x:c r="M410" t="str">
        <x:v>Variable</x:v>
      </x:c>
      <x:c r="N410" t="str">
        <x:v>Approx. Non-MCC Pool</x:v>
      </x:c>
      <x:c r="O410" t="str">
        <x:v>Large non-MCC pool; quota split varies by state</x:v>
      </x:c>
      <x:c r="P410"/>
      <x:c r="Q410"/>
      <x:c r="R410"/>
      <x:c r="S410"/>
      <x:c r="T410"/>
      <x:c r="U410" t="str">
        <x:v>Pending state Round-1 allotment/cutoff data</x:v>
      </x:c>
    </x:row>
    <x:row r="411">
      <x:c r="A411" t="str">
        <x:v>Maharashtra</x:v>
      </x:c>
      <x:c r="B411" t="str">
        <x:v>MH/084/P/5</x:v>
      </x:c>
      <x:c r="C411" t="str">
        <x:v>Vedantaa Institute of Medical Sciences, Palghar, Maharashtra</x:v>
      </x:c>
      <x:c r="D411" t="str">
        <x:v>Private</x:v>
      </x:c>
      <x:c r="E411" t="n">
        <x:v>150</x:v>
      </x:c>
      <x:c r="F411" t="n">
        <x:v>0</x:v>
      </x:c>
      <x:c r="G411" t="n">
        <x:v>150</x:v>
      </x:c>
      <x:c r="H411"/>
      <x:c r="I411" t="n">
        <x:v>0</x:v>
      </x:c>
      <x:c r="J411" t="n">
        <x:v>0</x:v>
      </x:c>
      <x:c r="K411" t="n">
        <x:v>150</x:v>
      </x:c>
      <x:c r="L411" s="20" t="n">
        <x:v>1</x:v>
      </x:c>
      <x:c r="M411" t="str">
        <x:v>Variable</x:v>
      </x:c>
      <x:c r="N411" t="str">
        <x:v>Approx. Non-MCC Pool</x:v>
      </x:c>
      <x:c r="O411" t="str">
        <x:v>Large non-MCC pool; quota split varies by state</x:v>
      </x:c>
      <x:c r="P411"/>
      <x:c r="Q411"/>
      <x:c r="R411"/>
      <x:c r="S411"/>
      <x:c r="T411"/>
      <x:c r="U411" t="str">
        <x:v>Pending state Round-1 allotment/cutoff data</x:v>
      </x:c>
    </x:row>
    <x:row r="412">
      <x:c r="A412" t="str">
        <x:v>Maharashtra</x:v>
      </x:c>
      <x:c r="B412" t="str">
        <x:v>MH/075/P/4</x:v>
      </x:c>
      <x:c r="C412" t="str">
        <x:v>Sindhudurg Shikshan Prasarak Mandal (SSPM) Medical College &amp; Lifetime Hospital, Padave, Sindhudurg</x:v>
      </x:c>
      <x:c r="D412" t="str">
        <x:v>Private</x:v>
      </x:c>
      <x:c r="E412" t="n">
        <x:v>149</x:v>
      </x:c>
      <x:c r="F412" t="n">
        <x:v>0</x:v>
      </x:c>
      <x:c r="G412" t="n">
        <x:v>149</x:v>
      </x:c>
      <x:c r="H412"/>
      <x:c r="I412" t="n">
        <x:v>0</x:v>
      </x:c>
      <x:c r="J412" t="n">
        <x:v>0</x:v>
      </x:c>
      <x:c r="K412" t="n">
        <x:v>149</x:v>
      </x:c>
      <x:c r="L412" s="20" t="n">
        <x:v>1</x:v>
      </x:c>
      <x:c r="M412" t="str">
        <x:v>Variable</x:v>
      </x:c>
      <x:c r="N412" t="str">
        <x:v>Approx. Non-MCC Pool</x:v>
      </x:c>
      <x:c r="O412" t="str">
        <x:v>State/management/NRI split must be verified</x:v>
      </x:c>
      <x:c r="P412"/>
      <x:c r="Q412"/>
      <x:c r="R412"/>
      <x:c r="S412"/>
      <x:c r="T412"/>
      <x:c r="U412" t="str">
        <x:v>Pending state Round-1 allotment/cutoff data</x:v>
      </x:c>
    </x:row>
    <x:row r="413">
      <x:c r="A413" t="str">
        <x:v>Maharashtra</x:v>
      </x:c>
      <x:c r="B413" t="str">
        <x:v>New Establishment</x:v>
      </x:c>
      <x:c r="C413" t="str">
        <x:v>B.S.P. Medical College and Hospital</x:v>
      </x:c>
      <x:c r="D413" t="str">
        <x:v>Private</x:v>
      </x:c>
      <x:c r="E413" t="n">
        <x:v>0</x:v>
      </x:c>
      <x:c r="F413" t="n">
        <x:v>150</x:v>
      </x:c>
      <x:c r="G413" t="n">
        <x:v>150</x:v>
      </x:c>
      <x:c r="H413" t="str">
        <x:v>904744</x:v>
      </x:c>
      <x:c r="I413" t="n">
        <x:v>15</x:v>
      </x:c>
      <x:c r="J413" t="n">
        <x:v>15</x:v>
      </x:c>
      <x:c r="K413" t="n">
        <x:v>135</x:v>
      </x:c>
      <x:c r="L413" s="20" t="n">
        <x:v>0.9</x:v>
      </x:c>
      <x:c r="M413" t="str">
        <x:v>Variable</x:v>
      </x:c>
      <x:c r="N413" t="str">
        <x:v>Approx. Non-MCC Pool</x:v>
      </x:c>
      <x:c r="O413" t="str">
        <x:v>Expanded 2026 capacity; state/management split to verify</x:v>
      </x:c>
      <x:c r="P413" t="n">
        <x:v>19127</x:v>
      </x:c>
      <x:c r="Q413" t="n">
        <x:v>22142</x:v>
      </x:c>
      <x:c r="R413" t="n">
        <x:v>21393</x:v>
      </x:c>
      <x:c r="S413" t="n">
        <x:v>82876</x:v>
      </x:c>
      <x:c r="T413" t="n">
        <x:v>72645</x:v>
      </x:c>
      <x:c r="U413" t="str">
        <x:v>Pending state Round-1 allotment/cutoff data</x:v>
      </x:c>
    </x:row>
    <x:row r="414">
      <x:c r="A414" t="str">
        <x:v>Maharashtra</x:v>
      </x:c>
      <x:c r="B414" t="str">
        <x:v>MH/001/P/3</x:v>
      </x:c>
      <x:c r="C414" t="str">
        <x:v>ACPM Medical College, Dhule</x:v>
      </x:c>
      <x:c r="D414" t="str">
        <x:v>Private</x:v>
      </x:c>
      <x:c r="E414" t="n">
        <x:v>100</x:v>
      </x:c>
      <x:c r="F414" t="n">
        <x:v>0</x:v>
      </x:c>
      <x:c r="G414" t="n">
        <x:v>100</x:v>
      </x:c>
      <x:c r="H414"/>
      <x:c r="I414" t="n">
        <x:v>0</x:v>
      </x:c>
      <x:c r="J414" t="n">
        <x:v>0</x:v>
      </x:c>
      <x:c r="K414" t="n">
        <x:v>100</x:v>
      </x:c>
      <x:c r="L414" s="20" t="n">
        <x:v>1</x:v>
      </x:c>
      <x:c r="M414" t="str">
        <x:v>Variable</x:v>
      </x:c>
      <x:c r="N414" t="str">
        <x:v>Approx. Non-MCC Pool</x:v>
      </x:c>
      <x:c r="O414" t="str">
        <x:v>State/management/NRI split must be verified</x:v>
      </x:c>
      <x:c r="P414"/>
      <x:c r="Q414"/>
      <x:c r="R414"/>
      <x:c r="S414"/>
      <x:c r="T414"/>
      <x:c r="U414" t="str">
        <x:v>Pending state Round-1 allotment/cutoff data</x:v>
      </x:c>
    </x:row>
    <x:row r="415">
      <x:c r="A415" t="str">
        <x:v>Maharashtra</x:v>
      </x:c>
      <x:c r="B415" t="str">
        <x:v>MH/008/P/3</x:v>
      </x:c>
      <x:c r="C415" t="str">
        <x:v>Bharatratna Atal Bihari Vajpayee Medical College, Pune</x:v>
      </x:c>
      <x:c r="D415" t="str">
        <x:v>Private</x:v>
      </x:c>
      <x:c r="E415" t="n">
        <x:v>100</x:v>
      </x:c>
      <x:c r="F415" t="n">
        <x:v>0</x:v>
      </x:c>
      <x:c r="G415" t="n">
        <x:v>100</x:v>
      </x:c>
      <x:c r="H415"/>
      <x:c r="I415" t="n">
        <x:v>0</x:v>
      </x:c>
      <x:c r="J415" t="n">
        <x:v>0</x:v>
      </x:c>
      <x:c r="K415" t="n">
        <x:v>100</x:v>
      </x:c>
      <x:c r="L415" s="20" t="n">
        <x:v>1</x:v>
      </x:c>
      <x:c r="M415" t="str">
        <x:v>Variable</x:v>
      </x:c>
      <x:c r="N415" t="str">
        <x:v>Approx. Non-MCC Pool</x:v>
      </x:c>
      <x:c r="O415" t="str">
        <x:v>State/management/NRI split must be verified</x:v>
      </x:c>
      <x:c r="P415"/>
      <x:c r="Q415"/>
      <x:c r="R415"/>
      <x:c r="S415"/>
      <x:c r="T415"/>
      <x:c r="U415" t="str">
        <x:v>Pending state Round-1 allotment/cutoff data</x:v>
      </x:c>
    </x:row>
    <x:row r="416">
      <x:c r="A416" t="str">
        <x:v>Maharashtra</x:v>
      </x:c>
      <x:c r="B416" t="str">
        <x:v>MH/013/P/3</x:v>
      </x:c>
      <x:c r="C416" t="str">
        <x:v>Dr. N Y Tasgaonkar Institute of Medical Science</x:v>
      </x:c>
      <x:c r="D416" t="str">
        <x:v>Private</x:v>
      </x:c>
      <x:c r="E416" t="n">
        <x:v>100</x:v>
      </x:c>
      <x:c r="F416" t="n">
        <x:v>0</x:v>
      </x:c>
      <x:c r="G416" t="n">
        <x:v>100</x:v>
      </x:c>
      <x:c r="H416"/>
      <x:c r="I416" t="n">
        <x:v>0</x:v>
      </x:c>
      <x:c r="J416" t="n">
        <x:v>0</x:v>
      </x:c>
      <x:c r="K416" t="n">
        <x:v>100</x:v>
      </x:c>
      <x:c r="L416" s="20" t="n">
        <x:v>1</x:v>
      </x:c>
      <x:c r="M416" t="str">
        <x:v>Variable</x:v>
      </x:c>
      <x:c r="N416" t="str">
        <x:v>Approx. Non-MCC Pool</x:v>
      </x:c>
      <x:c r="O416" t="str">
        <x:v>State/management/NRI split must be verified</x:v>
      </x:c>
      <x:c r="P416"/>
      <x:c r="Q416"/>
      <x:c r="R416"/>
      <x:c r="S416"/>
      <x:c r="T416"/>
      <x:c r="U416" t="str">
        <x:v>Pending state Round-1 allotment/cutoff data</x:v>
      </x:c>
    </x:row>
    <x:row r="417">
      <x:c r="A417" t="str">
        <x:v>Maharashtra</x:v>
      </x:c>
      <x:c r="B417" t="str">
        <x:v>MH/053/P/3</x:v>
      </x:c>
      <x:c r="C417" t="str">
        <x:v>KJ Somaiyya Medical College &amp; Research Centre, Mumbai</x:v>
      </x:c>
      <x:c r="D417" t="str">
        <x:v>Private</x:v>
      </x:c>
      <x:c r="E417" t="n">
        <x:v>100</x:v>
      </x:c>
      <x:c r="F417" t="n">
        <x:v>0</x:v>
      </x:c>
      <x:c r="G417" t="n">
        <x:v>100</x:v>
      </x:c>
      <x:c r="H417"/>
      <x:c r="I417" t="n">
        <x:v>0</x:v>
      </x:c>
      <x:c r="J417" t="n">
        <x:v>0</x:v>
      </x:c>
      <x:c r="K417" t="n">
        <x:v>100</x:v>
      </x:c>
      <x:c r="L417" s="20" t="n">
        <x:v>1</x:v>
      </x:c>
      <x:c r="M417" t="str">
        <x:v>Variable</x:v>
      </x:c>
      <x:c r="N417" t="str">
        <x:v>Approx. Non-MCC Pool</x:v>
      </x:c>
      <x:c r="O417" t="str">
        <x:v>State/management/NRI split must be verified</x:v>
      </x:c>
      <x:c r="P417"/>
      <x:c r="Q417"/>
      <x:c r="R417"/>
      <x:c r="S417"/>
      <x:c r="T417"/>
      <x:c r="U417" t="str">
        <x:v>Pending state Round-1 allotment/cutoff data</x:v>
      </x:c>
    </x:row>
    <x:row r="418">
      <x:c r="A418" t="str">
        <x:v>Maharashtra</x:v>
      </x:c>
      <x:c r="B418" t="str">
        <x:v>MH/077/P/3</x:v>
      </x:c>
      <x:c r="C418" t="str">
        <x:v>Smt Sakhubai Narayanrao Katkade Medical College and Research Center</x:v>
      </x:c>
      <x:c r="D418" t="str">
        <x:v>Private</x:v>
      </x:c>
      <x:c r="E418" t="n">
        <x:v>100</x:v>
      </x:c>
      <x:c r="F418" t="n">
        <x:v>0</x:v>
      </x:c>
      <x:c r="G418" t="n">
        <x:v>100</x:v>
      </x:c>
      <x:c r="H418"/>
      <x:c r="I418" t="n">
        <x:v>0</x:v>
      </x:c>
      <x:c r="J418" t="n">
        <x:v>0</x:v>
      </x:c>
      <x:c r="K418" t="n">
        <x:v>100</x:v>
      </x:c>
      <x:c r="L418" s="20" t="n">
        <x:v>1</x:v>
      </x:c>
      <x:c r="M418" t="str">
        <x:v>Variable</x:v>
      </x:c>
      <x:c r="N418" t="str">
        <x:v>Approx. Non-MCC Pool</x:v>
      </x:c>
      <x:c r="O418" t="str">
        <x:v>State/management/NRI split must be verified</x:v>
      </x:c>
      <x:c r="P418"/>
      <x:c r="Q418"/>
      <x:c r="R418"/>
      <x:c r="S418"/>
      <x:c r="T418"/>
      <x:c r="U418" t="str">
        <x:v>Pending state Round-1 allotment/cutoff data</x:v>
      </x:c>
    </x:row>
    <x:row r="419">
      <x:c r="A419" t="str">
        <x:v>Maharashtra</x:v>
      </x:c>
      <x:c r="B419" t="str">
        <x:v>New Establishment</x:v>
      </x:c>
      <x:c r="C419" t="str">
        <x:v>Mauli Medical College Hospital &amp; Research Center</x:v>
      </x:c>
      <x:c r="D419" t="str">
        <x:v>Private</x:v>
      </x:c>
      <x:c r="E419" t="n">
        <x:v>0</x:v>
      </x:c>
      <x:c r="F419" t="n">
        <x:v>100</x:v>
      </x:c>
      <x:c r="G419" t="n">
        <x:v>100</x:v>
      </x:c>
      <x:c r="H419" t="str">
        <x:v>904744</x:v>
      </x:c>
      <x:c r="I419" t="n">
        <x:v>15</x:v>
      </x:c>
      <x:c r="J419" t="n">
        <x:v>15</x:v>
      </x:c>
      <x:c r="K419" t="n">
        <x:v>85</x:v>
      </x:c>
      <x:c r="L419" s="20" t="n">
        <x:v>0.85</x:v>
      </x:c>
      <x:c r="M419" t="str">
        <x:v>Variable</x:v>
      </x:c>
      <x:c r="N419" t="str">
        <x:v>Approx. Non-MCC Pool</x:v>
      </x:c>
      <x:c r="O419" t="str">
        <x:v>Expanded 2026 capacity; state/management split to verify</x:v>
      </x:c>
      <x:c r="P419" t="n">
        <x:v>19127</x:v>
      </x:c>
      <x:c r="Q419" t="n">
        <x:v>22142</x:v>
      </x:c>
      <x:c r="R419" t="n">
        <x:v>21393</x:v>
      </x:c>
      <x:c r="S419" t="n">
        <x:v>82876</x:v>
      </x:c>
      <x:c r="T419" t="n">
        <x:v>72645</x:v>
      </x:c>
      <x:c r="U419" t="str">
        <x:v>Pending state Round-1 allotment/cutoff data</x:v>
      </x:c>
    </x:row>
    <x:row r="420">
      <x:c r="A420" t="str">
        <x:v>Maharashtra</x:v>
      </x:c>
      <x:c r="B420" t="str">
        <x:v>MH/058/P/4</x:v>
      </x:c>
      <x:c r="C420" t="str">
        <x:v>Mahatma Gandhi Institute of Medical Sciences, Sevagram, Wardha</x:v>
      </x:c>
      <x:c r="D420" t="str">
        <x:v>Private</x:v>
      </x:c>
      <x:c r="E420" t="n">
        <x:v>100</x:v>
      </x:c>
      <x:c r="F420" t="n">
        <x:v>0</x:v>
      </x:c>
      <x:c r="G420" t="n">
        <x:v>100</x:v>
      </x:c>
      <x:c r="H420" t="str">
        <x:v>200366</x:v>
      </x:c>
      <x:c r="I420" t="n">
        <x:v>46</x:v>
      </x:c>
      <x:c r="J420" t="n">
        <x:v>46</x:v>
      </x:c>
      <x:c r="K420" t="n">
        <x:v>54</x:v>
      </x:c>
      <x:c r="L420" s="20" t="n">
        <x:v>0.54</x:v>
      </x:c>
      <x:c r="M420" t="str">
        <x:v>Variable</x:v>
      </x:c>
      <x:c r="N420" t="str">
        <x:v>Approx. Non-MCC Pool</x:v>
      </x:c>
      <x:c r="O420" t="str">
        <x:v>State/management/NRI split must be verified</x:v>
      </x:c>
      <x:c r="P420" t="n">
        <x:v>9149</x:v>
      </x:c>
      <x:c r="Q420" t="n">
        <x:v>13916</x:v>
      </x:c>
      <x:c r="R420" t="n">
        <x:v>15608</x:v>
      </x:c>
      <x:c r="S420" t="n">
        <x:v>64942</x:v>
      </x:c>
      <x:c r="T420" t="n">
        <x:v>99074</x:v>
      </x:c>
      <x:c r="U420" t="str">
        <x:v>Pending state Round-1 allotment/cutoff data</x:v>
      </x:c>
    </x:row>
    <x:row r="421">
      <x:c r="A421" t="str">
        <x:v>Maharashtra</x:v>
      </x:c>
      <x:c r="B421" t="str">
        <x:v>MH/064/P/4</x:v>
      </x:c>
      <x:c r="C421" t="str">
        <x:v>MALATI MULTISPECIALITY HOSPITAL AND MEDICAL COLLEGE</x:v>
      </x:c>
      <x:c r="D421" t="str">
        <x:v>Private</x:v>
      </x:c>
      <x:c r="E421" t="n">
        <x:v>50</x:v>
      </x:c>
      <x:c r="F421" t="n">
        <x:v>0</x:v>
      </x:c>
      <x:c r="G421" t="n">
        <x:v>50</x:v>
      </x:c>
      <x:c r="H421"/>
      <x:c r="I421" t="n">
        <x:v>0</x:v>
      </x:c>
      <x:c r="J421" t="n">
        <x:v>0</x:v>
      </x:c>
      <x:c r="K421" t="n">
        <x:v>50</x:v>
      </x:c>
      <x:c r="L421" s="20" t="n">
        <x:v>1</x:v>
      </x:c>
      <x:c r="M421" t="str">
        <x:v>Variable</x:v>
      </x:c>
      <x:c r="N421" t="str">
        <x:v>Approx. Non-MCC Pool</x:v>
      </x:c>
      <x:c r="O421" t="str">
        <x:v>State/management/NRI split must be verified</x:v>
      </x:c>
      <x:c r="P421"/>
      <x:c r="Q421"/>
      <x:c r="R421"/>
      <x:c r="S421"/>
      <x:c r="T421"/>
      <x:c r="U421" t="str">
        <x:v>Pending state Round-1 allotment/cutoff data</x:v>
      </x:c>
    </x:row>
    <x:row r="422">
      <x:c r="A422" t="str">
        <x:v>Maharashtra</x:v>
      </x:c>
      <x:c r="B422" t="str">
        <x:v>MH/006/P/3</x:v>
      </x:c>
      <x:c r="C422" t="str">
        <x:v>Bharati Vidyapeeth Deemed University Medical College &amp; Hospital, Sangli</x:v>
      </x:c>
      <x:c r="D422" t="str">
        <x:v>Private</x:v>
      </x:c>
      <x:c r="E422" t="n">
        <x:v>250</x:v>
      </x:c>
      <x:c r="F422" t="n">
        <x:v>0</x:v>
      </x:c>
      <x:c r="G422" t="n">
        <x:v>250</x:v>
      </x:c>
      <x:c r="H422" t="str">
        <x:v>200355</x:v>
      </x:c>
      <x:c r="I422" t="n">
        <x:v>250</x:v>
      </x:c>
      <x:c r="J422" t="n">
        <x:v>212</x:v>
      </x:c>
      <x:c r="K422" t="n">
        <x:v>0</x:v>
      </x:c>
      <x:c r="L422" s="20" t="n">
        <x:v>0</x:v>
      </x:c>
      <x:c r="M422" t="str">
        <x:v>Variable</x:v>
      </x:c>
      <x:c r="N422" t="str">
        <x:v>Approx. Non-MCC Pool</x:v>
      </x:c>
      <x:c r="O422" t="str">
        <x:v>State/management/NRI split must be verified</x:v>
      </x:c>
      <x:c r="P422" t="n">
        <x:v>548822</x:v>
      </x:c>
      <x:c r="Q422"/>
      <x:c r="R422"/>
      <x:c r="S422"/>
      <x:c r="T422"/>
      <x:c r="U422" t="str">
        <x:v>Pending state Round-1 allotment/cutoff data</x:v>
      </x:c>
    </x:row>
    <x:row r="423">
      <x:c r="A423" t="str">
        <x:v>Maharashtra</x:v>
      </x:c>
      <x:c r="B423" t="str">
        <x:v>MH/007/P/3</x:v>
      </x:c>
      <x:c r="C423" t="str">
        <x:v>Bharati Vidyapeeth University Medical College, Pune</x:v>
      </x:c>
      <x:c r="D423" t="str">
        <x:v>Private</x:v>
      </x:c>
      <x:c r="E423" t="n">
        <x:v>250</x:v>
      </x:c>
      <x:c r="F423" t="n">
        <x:v>0</x:v>
      </x:c>
      <x:c r="G423" t="n">
        <x:v>250</x:v>
      </x:c>
      <x:c r="H423" t="str">
        <x:v>200356</x:v>
      </x:c>
      <x:c r="I423" t="n">
        <x:v>250</x:v>
      </x:c>
      <x:c r="J423" t="n">
        <x:v>213</x:v>
      </x:c>
      <x:c r="K423" t="n">
        <x:v>0</x:v>
      </x:c>
      <x:c r="L423" s="20" t="n">
        <x:v>0</x:v>
      </x:c>
      <x:c r="M423" t="str">
        <x:v>Variable</x:v>
      </x:c>
      <x:c r="N423" t="str">
        <x:v>Approx. Non-MCC Pool</x:v>
      </x:c>
      <x:c r="O423" t="str">
        <x:v>State/management/NRI split must be verified</x:v>
      </x:c>
      <x:c r="P423" t="n">
        <x:v>382506</x:v>
      </x:c>
      <x:c r="Q423"/>
      <x:c r="R423"/>
      <x:c r="S423"/>
      <x:c r="T423"/>
      <x:c r="U423" t="str">
        <x:v>Pending state Round-1 allotment/cutoff data</x:v>
      </x:c>
    </x:row>
    <x:row r="424">
      <x:c r="A424" t="str">
        <x:v>Maharashtra</x:v>
      </x:c>
      <x:c r="B424" t="str">
        <x:v>MH/020/P/3</x:v>
      </x:c>
      <x:c r="C424" t="str">
        <x:v>DY Patil University, School of Medicine</x:v>
      </x:c>
      <x:c r="D424" t="str">
        <x:v>Private</x:v>
      </x:c>
      <x:c r="E424" t="n">
        <x:v>100</x:v>
      </x:c>
      <x:c r="F424" t="n">
        <x:v>0</x:v>
      </x:c>
      <x:c r="G424" t="n">
        <x:v>100</x:v>
      </x:c>
      <x:c r="H424" t="str">
        <x:v>904369</x:v>
      </x:c>
      <x:c r="I424" t="n">
        <x:v>100</x:v>
      </x:c>
      <x:c r="J424" t="n">
        <x:v>86</x:v>
      </x:c>
      <x:c r="K424" t="n">
        <x:v>0</x:v>
      </x:c>
      <x:c r="L424" s="20" t="n">
        <x:v>0</x:v>
      </x:c>
      <x:c r="M424" t="str">
        <x:v>Variable</x:v>
      </x:c>
      <x:c r="N424" t="str">
        <x:v>Approx. Non-MCC Pool</x:v>
      </x:c>
      <x:c r="O424" t="str">
        <x:v>State/management/NRI split must be verified</x:v>
      </x:c>
      <x:c r="P424" t="n">
        <x:v>508113</x:v>
      </x:c>
      <x:c r="Q424"/>
      <x:c r="R424"/>
      <x:c r="S424"/>
      <x:c r="T424"/>
      <x:c r="U424" t="str">
        <x:v>Pending state Round-1 allotment/cutoff data</x:v>
      </x:c>
    </x:row>
    <x:row r="425">
      <x:c r="A425" t="str">
        <x:v>Maharashtra</x:v>
      </x:c>
      <x:c r="B425" t="str">
        <x:v>MH/009/P/3</x:v>
      </x:c>
      <x:c r="C425" t="str">
        <x:v>Datta Meghe Medical College, Nagpur</x:v>
      </x:c>
      <x:c r="D425" t="str">
        <x:v>Private</x:v>
      </x:c>
      <x:c r="E425" t="n">
        <x:v>250</x:v>
      </x:c>
      <x:c r="F425" t="n">
        <x:v>0</x:v>
      </x:c>
      <x:c r="G425" t="n">
        <x:v>250</x:v>
      </x:c>
      <x:c r="H425" t="str">
        <x:v>200525</x:v>
      </x:c>
      <x:c r="I425" t="n">
        <x:v>250</x:v>
      </x:c>
      <x:c r="J425" t="n">
        <x:v>213</x:v>
      </x:c>
      <x:c r="K425" t="n">
        <x:v>0</x:v>
      </x:c>
      <x:c r="L425" s="20" t="n">
        <x:v>0</x:v>
      </x:c>
      <x:c r="M425" t="str">
        <x:v>Variable</x:v>
      </x:c>
      <x:c r="N425" t="str">
        <x:v>Approx. Non-MCC Pool</x:v>
      </x:c>
      <x:c r="O425" t="str">
        <x:v>State/management/NRI split must be verified</x:v>
      </x:c>
      <x:c r="P425" t="n">
        <x:v>574993</x:v>
      </x:c>
      <x:c r="Q425"/>
      <x:c r="R425"/>
      <x:c r="S425"/>
      <x:c r="T425"/>
      <x:c r="U425" t="str">
        <x:v>Pending state Round-1 allotment/cutoff data</x:v>
      </x:c>
    </x:row>
    <x:row r="426">
      <x:c r="A426" t="str">
        <x:v>Maharashtra</x:v>
      </x:c>
      <x:c r="B426" t="str">
        <x:v>MH/011/P/3</x:v>
      </x:c>
      <x:c r="C426" t="str">
        <x:v>Dr. D Y Patil Medical College, Hospital and Research Centre, Pimpri, Pune</x:v>
      </x:c>
      <x:c r="D426" t="str">
        <x:v>Private</x:v>
      </x:c>
      <x:c r="E426" t="n">
        <x:v>250</x:v>
      </x:c>
      <x:c r="F426" t="n">
        <x:v>0</x:v>
      </x:c>
      <x:c r="G426" t="n">
        <x:v>250</x:v>
      </x:c>
      <x:c r="H426" t="str">
        <x:v>200361</x:v>
      </x:c>
      <x:c r="I426" t="n">
        <x:v>250</x:v>
      </x:c>
      <x:c r="J426" t="n">
        <x:v>214</x:v>
      </x:c>
      <x:c r="K426" t="n">
        <x:v>0</x:v>
      </x:c>
      <x:c r="L426" s="20" t="n">
        <x:v>0</x:v>
      </x:c>
      <x:c r="M426" t="str">
        <x:v>Variable</x:v>
      </x:c>
      <x:c r="N426" t="str">
        <x:v>Approx. Non-MCC Pool</x:v>
      </x:c>
      <x:c r="O426" t="str">
        <x:v>State/management/NRI split must be verified</x:v>
      </x:c>
      <x:c r="P426" t="n">
        <x:v>356161</x:v>
      </x:c>
      <x:c r="Q426"/>
      <x:c r="R426"/>
      <x:c r="S426"/>
      <x:c r="T426"/>
      <x:c r="U426" t="str">
        <x:v>Pending state Round-1 allotment/cutoff data</x:v>
      </x:c>
    </x:row>
    <x:row r="427">
      <x:c r="A427" t="str">
        <x:v>Maharashtra</x:v>
      </x:c>
      <x:c r="B427" t="str">
        <x:v>MH/012/P/1</x:v>
      </x:c>
      <x:c r="C427" t="str">
        <x:v>Dr. D Y Patil Medical College, Kolhapur</x:v>
      </x:c>
      <x:c r="D427" t="str">
        <x:v>Private</x:v>
      </x:c>
      <x:c r="E427" t="n">
        <x:v>150</x:v>
      </x:c>
      <x:c r="F427" t="n">
        <x:v>50</x:v>
      </x:c>
      <x:c r="G427" t="n">
        <x:v>200</x:v>
      </x:c>
      <x:c r="H427" t="str">
        <x:v>200363</x:v>
      </x:c>
      <x:c r="I427" t="n">
        <x:v>200</x:v>
      </x:c>
      <x:c r="J427" t="n">
        <x:v>170</x:v>
      </x:c>
      <x:c r="K427" t="n">
        <x:v>0</x:v>
      </x:c>
      <x:c r="L427" s="20" t="n">
        <x:v>0</x:v>
      </x:c>
      <x:c r="M427" t="str">
        <x:v>Variable</x:v>
      </x:c>
      <x:c r="N427" t="str">
        <x:v>Approx. Non-MCC Pool</x:v>
      </x:c>
      <x:c r="O427" t="str">
        <x:v>Expanded 2026 capacity; state/management split to verify</x:v>
      </x:c>
      <x:c r="P427" t="n">
        <x:v>370971</x:v>
      </x:c>
      <x:c r="Q427"/>
      <x:c r="R427"/>
      <x:c r="S427"/>
      <x:c r="T427"/>
      <x:c r="U427" t="str">
        <x:v>Pending state Round-1 allotment/cutoff data</x:v>
      </x:c>
    </x:row>
    <x:row r="428">
      <x:c r="A428" t="str">
        <x:v>Maharashtra</x:v>
      </x:c>
      <x:c r="B428" t="str">
        <x:v>MH/052/P/3</x:v>
      </x:c>
      <x:c r="C428" t="str">
        <x:v>Jawaharlal Nehru Medical College, Sawangi (Meghe), Wardha</x:v>
      </x:c>
      <x:c r="D428" t="str">
        <x:v>Private</x:v>
      </x:c>
      <x:c r="E428" t="n">
        <x:v>250</x:v>
      </x:c>
      <x:c r="F428" t="n">
        <x:v>0</x:v>
      </x:c>
      <x:c r="G428" t="n">
        <x:v>250</x:v>
      </x:c>
      <x:c r="H428" t="str">
        <x:v>200364</x:v>
      </x:c>
      <x:c r="I428" t="n">
        <x:v>250</x:v>
      </x:c>
      <x:c r="J428" t="n">
        <x:v>212</x:v>
      </x:c>
      <x:c r="K428" t="n">
        <x:v>0</x:v>
      </x:c>
      <x:c r="L428" s="20" t="n">
        <x:v>0</x:v>
      </x:c>
      <x:c r="M428" t="str">
        <x:v>Variable</x:v>
      </x:c>
      <x:c r="N428" t="str">
        <x:v>Approx. Non-MCC Pool</x:v>
      </x:c>
      <x:c r="O428" t="str">
        <x:v>State/management/NRI split must be verified</x:v>
      </x:c>
      <x:c r="P428" t="n">
        <x:v>574386</x:v>
      </x:c>
      <x:c r="Q428"/>
      <x:c r="R428"/>
      <x:c r="S428"/>
      <x:c r="T428"/>
      <x:c r="U428" t="str">
        <x:v>Pending state Round-1 allotment/cutoff data</x:v>
      </x:c>
    </x:row>
    <x:row r="429">
      <x:c r="A429" t="str">
        <x:v>Maharashtra</x:v>
      </x:c>
      <x:c r="B429" t="str">
        <x:v>MH/054/P/3</x:v>
      </x:c>
      <x:c r="C429" t="str">
        <x:v>Krishna Institute of Medical Sciences, Karad</x:v>
      </x:c>
      <x:c r="D429" t="str">
        <x:v>Private</x:v>
      </x:c>
      <x:c r="E429" t="n">
        <x:v>250</x:v>
      </x:c>
      <x:c r="F429" t="n">
        <x:v>0</x:v>
      </x:c>
      <x:c r="G429" t="n">
        <x:v>250</x:v>
      </x:c>
      <x:c r="H429" t="str">
        <x:v>200365</x:v>
      </x:c>
      <x:c r="I429" t="n">
        <x:v>250</x:v>
      </x:c>
      <x:c r="J429" t="n">
        <x:v>213</x:v>
      </x:c>
      <x:c r="K429" t="n">
        <x:v>0</x:v>
      </x:c>
      <x:c r="L429" s="20" t="n">
        <x:v>0</x:v>
      </x:c>
      <x:c r="M429" t="str">
        <x:v>Variable</x:v>
      </x:c>
      <x:c r="N429" t="str">
        <x:v>Approx. Non-MCC Pool</x:v>
      </x:c>
      <x:c r="O429" t="str">
        <x:v>State/management/NRI split must be verified</x:v>
      </x:c>
      <x:c r="P429" t="n">
        <x:v>464355</x:v>
      </x:c>
      <x:c r="Q429"/>
      <x:c r="R429"/>
      <x:c r="S429"/>
      <x:c r="T429"/>
      <x:c r="U429" t="str">
        <x:v>Pending state Round-1 allotment/cutoff data</x:v>
      </x:c>
    </x:row>
    <x:row r="430">
      <x:c r="A430" t="str">
        <x:v>Maharashtra</x:v>
      </x:c>
      <x:c r="B430" t="str">
        <x:v>MH/059/P/3</x:v>
      </x:c>
      <x:c r="C430" t="str">
        <x:v>Mahatma Gandhi Mission Medical College, Vashi</x:v>
      </x:c>
      <x:c r="D430" t="str">
        <x:v>Private</x:v>
      </x:c>
      <x:c r="E430" t="n">
        <x:v>100</x:v>
      </x:c>
      <x:c r="F430" t="n">
        <x:v>0</x:v>
      </x:c>
      <x:c r="G430" t="n">
        <x:v>100</x:v>
      </x:c>
      <x:c r="H430" t="str">
        <x:v>200654</x:v>
      </x:c>
      <x:c r="I430" t="n">
        <x:v>100</x:v>
      </x:c>
      <x:c r="J430" t="n">
        <x:v>88</x:v>
      </x:c>
      <x:c r="K430" t="n">
        <x:v>0</x:v>
      </x:c>
      <x:c r="L430" s="20" t="n">
        <x:v>0</x:v>
      </x:c>
      <x:c r="M430" t="str">
        <x:v>Variable</x:v>
      </x:c>
      <x:c r="N430" t="str">
        <x:v>Approx. Non-MCC Pool</x:v>
      </x:c>
      <x:c r="O430" t="str">
        <x:v>State/management/NRI split must be verified</x:v>
      </x:c>
      <x:c r="P430" t="n">
        <x:v>265746</x:v>
      </x:c>
      <x:c r="Q430"/>
      <x:c r="R430"/>
      <x:c r="S430"/>
      <x:c r="T430"/>
      <x:c r="U430" t="str">
        <x:v>Pending state Round-1 allotment/cutoff data</x:v>
      </x:c>
    </x:row>
    <x:row r="431">
      <x:c r="A431" t="str">
        <x:v>Maharashtra</x:v>
      </x:c>
      <x:c r="B431" t="str">
        <x:v>MH/060/P/3</x:v>
      </x:c>
      <x:c r="C431" t="str">
        <x:v>Mahatma Gandhi Missions Medical College, Aurangabad</x:v>
      </x:c>
      <x:c r="D431" t="str">
        <x:v>Private</x:v>
      </x:c>
      <x:c r="E431" t="n">
        <x:v>250</x:v>
      </x:c>
      <x:c r="F431" t="n">
        <x:v>0</x:v>
      </x:c>
      <x:c r="G431" t="n">
        <x:v>250</x:v>
      </x:c>
      <x:c r="H431" t="str">
        <x:v>200367</x:v>
      </x:c>
      <x:c r="I431" t="n">
        <x:v>250</x:v>
      </x:c>
      <x:c r="J431" t="n">
        <x:v>217</x:v>
      </x:c>
      <x:c r="K431" t="n">
        <x:v>0</x:v>
      </x:c>
      <x:c r="L431" s="20" t="n">
        <x:v>0</x:v>
      </x:c>
      <x:c r="M431" t="str">
        <x:v>Variable</x:v>
      </x:c>
      <x:c r="N431" t="str">
        <x:v>Approx. Non-MCC Pool</x:v>
      </x:c>
      <x:c r="O431" t="str">
        <x:v>State/management/NRI split must be verified</x:v>
      </x:c>
      <x:c r="P431" t="n">
        <x:v>266853</x:v>
      </x:c>
      <x:c r="Q431"/>
      <x:c r="R431"/>
      <x:c r="S431"/>
      <x:c r="T431"/>
      <x:c r="U431" t="str">
        <x:v>Pending state Round-1 allotment/cutoff data</x:v>
      </x:c>
    </x:row>
    <x:row r="432">
      <x:c r="A432" t="str">
        <x:v>Maharashtra</x:v>
      </x:c>
      <x:c r="B432" t="str">
        <x:v>MH/061/P/3</x:v>
      </x:c>
      <x:c r="C432" t="str">
        <x:v>Mahatma Gandhi Missions Medical College, Kamothe, Navi Mumbai</x:v>
      </x:c>
      <x:c r="D432" t="str">
        <x:v>Private</x:v>
      </x:c>
      <x:c r="E432" t="n">
        <x:v>200</x:v>
      </x:c>
      <x:c r="F432" t="n">
        <x:v>50</x:v>
      </x:c>
      <x:c r="G432" t="n">
        <x:v>250</x:v>
      </x:c>
      <x:c r="H432" t="str">
        <x:v>200368</x:v>
      </x:c>
      <x:c r="I432" t="n">
        <x:v>250</x:v>
      </x:c>
      <x:c r="J432" t="n">
        <x:v>235</x:v>
      </x:c>
      <x:c r="K432" t="n">
        <x:v>0</x:v>
      </x:c>
      <x:c r="L432" s="20" t="n">
        <x:v>0</x:v>
      </x:c>
      <x:c r="M432" t="str">
        <x:v>Variable</x:v>
      </x:c>
      <x:c r="N432" t="str">
        <x:v>Approx. Non-MCC Pool</x:v>
      </x:c>
      <x:c r="O432" t="str">
        <x:v>Expanded 2026 capacity; state/management split to verify</x:v>
      </x:c>
      <x:c r="P432" t="n">
        <x:v>216476</x:v>
      </x:c>
      <x:c r="Q432"/>
      <x:c r="R432"/>
      <x:c r="S432"/>
      <x:c r="T432"/>
      <x:c r="U432" t="str">
        <x:v>Pending state Round-1 allotment/cutoff data</x:v>
      </x:c>
    </x:row>
    <x:row r="433">
      <x:c r="A433" t="str">
        <x:v>Maharashtra</x:v>
      </x:c>
      <x:c r="B433" t="str">
        <x:v>MH/062/P/3</x:v>
      </x:c>
      <x:c r="C433" t="str">
        <x:v>Mahatma Gandhi Missions Medical College, Nerul, Navi Mumbai</x:v>
      </x:c>
      <x:c r="D433" t="str">
        <x:v>Private</x:v>
      </x:c>
      <x:c r="E433" t="n">
        <x:v>50</x:v>
      </x:c>
      <x:c r="F433" t="n">
        <x:v>0</x:v>
      </x:c>
      <x:c r="G433" t="n">
        <x:v>50</x:v>
      </x:c>
      <x:c r="H433" t="str">
        <x:v>902807</x:v>
      </x:c>
      <x:c r="I433" t="n">
        <x:v>50</x:v>
      </x:c>
      <x:c r="J433" t="n">
        <x:v>43</x:v>
      </x:c>
      <x:c r="K433" t="n">
        <x:v>0</x:v>
      </x:c>
      <x:c r="L433" s="20" t="n">
        <x:v>0</x:v>
      </x:c>
      <x:c r="M433" t="str">
        <x:v>Variable</x:v>
      </x:c>
      <x:c r="N433" t="str">
        <x:v>Approx. Non-MCC Pool</x:v>
      </x:c>
      <x:c r="O433" t="str">
        <x:v>State/management/NRI split must be verified</x:v>
      </x:c>
      <x:c r="P433" t="n">
        <x:v>336954</x:v>
      </x:c>
      <x:c r="Q433"/>
      <x:c r="R433"/>
      <x:c r="S433"/>
      <x:c r="T433"/>
      <x:c r="U433" t="str">
        <x:v>Pending state Round-1 allotment/cutoff data</x:v>
      </x:c>
    </x:row>
    <x:row r="434">
      <x:c r="A434" t="str">
        <x:v>Maharashtra</x:v>
      </x:c>
      <x:c r="B434" t="str">
        <x:v>MH/063/P/3</x:v>
      </x:c>
      <x:c r="C434" t="str">
        <x:v>Mahatma Gandhi Missions Medical College, Panvel</x:v>
      </x:c>
      <x:c r="D434" t="str">
        <x:v>Private</x:v>
      </x:c>
      <x:c r="E434" t="n">
        <x:v>100</x:v>
      </x:c>
      <x:c r="F434" t="n">
        <x:v>0</x:v>
      </x:c>
      <x:c r="G434" t="n">
        <x:v>100</x:v>
      </x:c>
      <x:c r="H434" t="str">
        <x:v>904553</x:v>
      </x:c>
      <x:c r="I434" t="n">
        <x:v>100</x:v>
      </x:c>
      <x:c r="J434" t="n">
        <x:v>85</x:v>
      </x:c>
      <x:c r="K434" t="n">
        <x:v>0</x:v>
      </x:c>
      <x:c r="L434" s="20" t="n">
        <x:v>0</x:v>
      </x:c>
      <x:c r="M434" t="str">
        <x:v>Variable</x:v>
      </x:c>
      <x:c r="N434" t="str">
        <x:v>Approx. Non-MCC Pool</x:v>
      </x:c>
      <x:c r="O434" t="str">
        <x:v>State/management/NRI split must be verified</x:v>
      </x:c>
      <x:c r="P434" t="n">
        <x:v>388755</x:v>
      </x:c>
      <x:c r="Q434"/>
      <x:c r="R434"/>
      <x:c r="S434"/>
      <x:c r="T434"/>
      <x:c r="U434" t="str">
        <x:v>Pending state Round-1 allotment/cutoff data</x:v>
      </x:c>
    </x:row>
    <x:row r="435">
      <x:c r="A435" t="str">
        <x:v>Maharashtra</x:v>
      </x:c>
      <x:c r="B435" t="str">
        <x:v>MH/066/P/3</x:v>
      </x:c>
      <x:c r="C435" t="str">
        <x:v>Padmashree Dr. D.Y.Patil Medical College, Navi Mumbai</x:v>
      </x:c>
      <x:c r="D435" t="str">
        <x:v>Private</x:v>
      </x:c>
      <x:c r="E435" t="n">
        <x:v>250</x:v>
      </x:c>
      <x:c r="F435" t="n">
        <x:v>0</x:v>
      </x:c>
      <x:c r="G435" t="n">
        <x:v>250</x:v>
      </x:c>
      <x:c r="H435" t="str">
        <x:v>904758</x:v>
      </x:c>
      <x:c r="I435" t="n">
        <x:v>250</x:v>
      </x:c>
      <x:c r="J435" t="n">
        <x:v>214</x:v>
      </x:c>
      <x:c r="K435" t="n">
        <x:v>0</x:v>
      </x:c>
      <x:c r="L435" s="20" t="n">
        <x:v>0</x:v>
      </x:c>
      <x:c r="M435" t="str">
        <x:v>Variable</x:v>
      </x:c>
      <x:c r="N435" t="str">
        <x:v>Approx. Non-MCC Pool</x:v>
      </x:c>
      <x:c r="O435" t="str">
        <x:v>State/management/NRI split must be verified</x:v>
      </x:c>
      <x:c r="P435" t="n">
        <x:v>433067</x:v>
      </x:c>
      <x:c r="Q435"/>
      <x:c r="R435"/>
      <x:c r="S435"/>
      <x:c r="T435"/>
      <x:c r="U435" t="str">
        <x:v>Pending state Round-1 allotment/cutoff data</x:v>
      </x:c>
    </x:row>
    <x:row r="436">
      <x:c r="A436" t="str">
        <x:v>Maharashtra</x:v>
      </x:c>
      <x:c r="B436" t="str">
        <x:v>MH/072/P/3</x:v>
      </x:c>
      <x:c r="C436" t="str">
        <x:v>Rural Medical College, Loni</x:v>
      </x:c>
      <x:c r="D436" t="str">
        <x:v>Private</x:v>
      </x:c>
      <x:c r="E436" t="n">
        <x:v>200</x:v>
      </x:c>
      <x:c r="F436" t="n">
        <x:v>0</x:v>
      </x:c>
      <x:c r="G436" t="n">
        <x:v>200</x:v>
      </x:c>
      <x:c r="H436" t="str">
        <x:v>200370</x:v>
      </x:c>
      <x:c r="I436" t="n">
        <x:v>200</x:v>
      </x:c>
      <x:c r="J436" t="n">
        <x:v>171</x:v>
      </x:c>
      <x:c r="K436" t="n">
        <x:v>0</x:v>
      </x:c>
      <x:c r="L436" s="20" t="n">
        <x:v>0</x:v>
      </x:c>
      <x:c r="M436" t="str">
        <x:v>Variable</x:v>
      </x:c>
      <x:c r="N436" t="str">
        <x:v>Approx. Non-MCC Pool</x:v>
      </x:c>
      <x:c r="O436" t="str">
        <x:v>State/management/NRI split must be verified</x:v>
      </x:c>
      <x:c r="P436" t="n">
        <x:v>121307</x:v>
      </x:c>
      <x:c r="Q436"/>
      <x:c r="R436"/>
      <x:c r="S436"/>
      <x:c r="T436"/>
      <x:c r="U436" t="str">
        <x:v>Pending state Round-1 allotment/cutoff data</x:v>
      </x:c>
    </x:row>
    <x:row r="437">
      <x:c r="A437" t="str">
        <x:v>Maharashtra</x:v>
      </x:c>
      <x:c r="B437" t="str">
        <x:v>MH/081/P/3</x:v>
      </x:c>
      <x:c r="C437" t="str">
        <x:v>Symbiosis Medical College for Women, Pune</x:v>
      </x:c>
      <x:c r="D437" t="str">
        <x:v>Private</x:v>
      </x:c>
      <x:c r="E437" t="n">
        <x:v>150</x:v>
      </x:c>
      <x:c r="F437" t="n">
        <x:v>0</x:v>
      </x:c>
      <x:c r="G437" t="n">
        <x:v>150</x:v>
      </x:c>
      <x:c r="H437" t="str">
        <x:v>200527</x:v>
      </x:c>
      <x:c r="I437" t="n">
        <x:v>150</x:v>
      </x:c>
      <x:c r="J437" t="n">
        <x:v>139</x:v>
      </x:c>
      <x:c r="K437" t="n">
        <x:v>0</x:v>
      </x:c>
      <x:c r="L437" s="20" t="n">
        <x:v>0</x:v>
      </x:c>
      <x:c r="M437" t="str">
        <x:v>Variable</x:v>
      </x:c>
      <x:c r="N437" t="str">
        <x:v>Approx. Non-MCC Pool</x:v>
      </x:c>
      <x:c r="O437" t="str">
        <x:v>State/management/NRI split must be verified</x:v>
      </x:c>
      <x:c r="P437" t="n">
        <x:v>99421</x:v>
      </x:c>
      <x:c r="Q437"/>
      <x:c r="R437"/>
      <x:c r="S437"/>
      <x:c r="T437"/>
      <x:c r="U437" t="str">
        <x:v>Pending state Round-1 allotment/cutoff data</x:v>
      </x:c>
    </x:row>
    <x:row r="438">
      <x:c r="A438" t="str">
        <x:v>Manipur</x:v>
      </x:c>
      <x:c r="B438" t="str">
        <x:v>MN/002/G/1</x:v>
      </x:c>
      <x:c r="C438" t="str">
        <x:v>Jawaharlal Nehru Institute of Medical Sciences, Porompet, Imphal</x:v>
      </x:c>
      <x:c r="D438" t="str">
        <x:v>Government</x:v>
      </x:c>
      <x:c r="E438" t="n">
        <x:v>150</x:v>
      </x:c>
      <x:c r="F438" t="n">
        <x:v>0</x:v>
      </x:c>
      <x:c r="G438" t="n">
        <x:v>150</x:v>
      </x:c>
      <x:c r="H438" t="str">
        <x:v>200232</x:v>
      </x:c>
      <x:c r="I438" t="n">
        <x:v>22</x:v>
      </x:c>
      <x:c r="J438" t="n">
        <x:v>22</x:v>
      </x:c>
      <x:c r="K438" t="n">
        <x:v>128</x:v>
      </x:c>
      <x:c r="L438" s="20" t="n">
        <x:v>0.8533333333333334</x:v>
      </x:c>
      <x:c r="M438" t="str">
        <x:v>High</x:v>
      </x:c>
      <x:c r="N438" t="str">
        <x:v>Approx. State/Non-MCC Pool</x:v>
      </x:c>
      <x:c r="O438" t="str">
        <x:v>Moderate state-counselling pool</x:v>
      </x:c>
      <x:c r="P438" t="n">
        <x:v>17579</x:v>
      </x:c>
      <x:c r="Q438" t="n">
        <x:v>20211</x:v>
      </x:c>
      <x:c r="R438" t="n">
        <x:v>24474</x:v>
      </x:c>
      <x:c r="S438" t="n">
        <x:v>72557</x:v>
      </x:c>
      <x:c r="T438" t="n">
        <x:v>99432</x:v>
      </x:c>
      <x:c r="U438" t="str">
        <x:v>Pending state Round-1 allotment/cutoff data</x:v>
      </x:c>
    </x:row>
    <x:row r="439">
      <x:c r="A439" t="str">
        <x:v>Manipur</x:v>
      </x:c>
      <x:c r="B439" t="str">
        <x:v>MN/003/G/1</x:v>
      </x:c>
      <x:c r="C439" t="str">
        <x:v>Regional Institute of Medical Sciences, Imphal</x:v>
      </x:c>
      <x:c r="D439" t="str">
        <x:v>Government</x:v>
      </x:c>
      <x:c r="E439" t="n">
        <x:v>125</x:v>
      </x:c>
      <x:c r="F439" t="n">
        <x:v>25</x:v>
      </x:c>
      <x:c r="G439" t="n">
        <x:v>150</x:v>
      </x:c>
      <x:c r="H439" t="str">
        <x:v>200233</x:v>
      </x:c>
      <x:c r="I439" t="n">
        <x:v>23</x:v>
      </x:c>
      <x:c r="J439" t="n">
        <x:v>23</x:v>
      </x:c>
      <x:c r="K439" t="n">
        <x:v>127</x:v>
      </x:c>
      <x:c r="L439" s="20" t="n">
        <x:v>0.8466666666666667</x:v>
      </x:c>
      <x:c r="M439" t="str">
        <x:v>High</x:v>
      </x:c>
      <x:c r="N439" t="str">
        <x:v>Approx. State/Non-MCC Pool</x:v>
      </x:c>
      <x:c r="O439" t="str">
        <x:v>Expanded 2026 capacity + substantial state pool</x:v>
      </x:c>
      <x:c r="P439" t="n">
        <x:v>13574</x:v>
      </x:c>
      <x:c r="Q439" t="n">
        <x:v>16624</x:v>
      </x:c>
      <x:c r="R439" t="n">
        <x:v>18322</x:v>
      </x:c>
      <x:c r="S439" t="n">
        <x:v>46789</x:v>
      </x:c>
      <x:c r="T439" t="n">
        <x:v>47539</x:v>
      </x:c>
      <x:c r="U439" t="str">
        <x:v>Pending state Round-1 allotment/cutoff data</x:v>
      </x:c>
    </x:row>
    <x:row r="440">
      <x:c r="A440" t="str">
        <x:v>Manipur</x:v>
      </x:c>
      <x:c r="B440" t="str">
        <x:v>MN/001/G/1</x:v>
      </x:c>
      <x:c r="C440" t="str">
        <x:v>Government Medical College, Churachandpur</x:v>
      </x:c>
      <x:c r="D440" t="str">
        <x:v>Government</x:v>
      </x:c>
      <x:c r="E440" t="n">
        <x:v>100</x:v>
      </x:c>
      <x:c r="F440" t="n">
        <x:v>0</x:v>
      </x:c>
      <x:c r="G440" t="n">
        <x:v>100</x:v>
      </x:c>
      <x:c r="H440" t="str">
        <x:v>200592</x:v>
      </x:c>
      <x:c r="I440" t="n">
        <x:v>15</x:v>
      </x:c>
      <x:c r="J440" t="n">
        <x:v>14</x:v>
      </x:c>
      <x:c r="K440" t="n">
        <x:v>85</x:v>
      </x:c>
      <x:c r="L440" s="20" t="n">
        <x:v>0.85</x:v>
      </x:c>
      <x:c r="M440" t="str">
        <x:v>High</x:v>
      </x:c>
      <x:c r="N440" t="str">
        <x:v>Approx. State/Non-MCC Pool</x:v>
      </x:c>
      <x:c r="O440" t="str">
        <x:v>Moderate state-counselling pool</x:v>
      </x:c>
      <x:c r="P440" t="n">
        <x:v>19722</x:v>
      </x:c>
      <x:c r="Q440" t="n">
        <x:v>21366</x:v>
      </x:c>
      <x:c r="R440" t="n">
        <x:v>24846</x:v>
      </x:c>
      <x:c r="S440" t="n">
        <x:v>97368</x:v>
      </x:c>
      <x:c r="T440"/>
      <x:c r="U440" t="str">
        <x:v>Pending state Round-1 allotment/cutoff data</x:v>
      </x:c>
    </x:row>
    <x:row r="441">
      <x:c r="A441" t="str">
        <x:v>Manipur</x:v>
      </x:c>
      <x:c r="B441" t="str">
        <x:v>MN/004/P/5</x:v>
      </x:c>
      <x:c r="C441" t="str">
        <x:v>Shija Academy of Health Sciences</x:v>
      </x:c>
      <x:c r="D441" t="str">
        <x:v>Private</x:v>
      </x:c>
      <x:c r="E441" t="n">
        <x:v>150</x:v>
      </x:c>
      <x:c r="F441" t="n">
        <x:v>0</x:v>
      </x:c>
      <x:c r="G441" t="n">
        <x:v>150</x:v>
      </x:c>
      <x:c r="H441"/>
      <x:c r="I441" t="n">
        <x:v>0</x:v>
      </x:c>
      <x:c r="J441" t="n">
        <x:v>0</x:v>
      </x:c>
      <x:c r="K441" t="n">
        <x:v>150</x:v>
      </x:c>
      <x:c r="L441" s="20" t="n">
        <x:v>1</x:v>
      </x:c>
      <x:c r="M441" t="str">
        <x:v>Variable</x:v>
      </x:c>
      <x:c r="N441" t="str">
        <x:v>Approx. Non-MCC Pool</x:v>
      </x:c>
      <x:c r="O441" t="str">
        <x:v>Large non-MCC pool; quota split varies by state</x:v>
      </x:c>
      <x:c r="P441"/>
      <x:c r="Q441"/>
      <x:c r="R441"/>
      <x:c r="S441"/>
      <x:c r="T441"/>
      <x:c r="U441" t="str">
        <x:v>Pending state Round-1 allotment/cutoff data</x:v>
      </x:c>
    </x:row>
    <x:row r="442">
      <x:c r="A442" t="str">
        <x:v>Meghalaya</x:v>
      </x:c>
      <x:c r="B442" t="str">
        <x:v>ML/001/G/1</x:v>
      </x:c>
      <x:c r="C442" t="str">
        <x:v>North Eastern Indira Gandhi Regional Instt. of Health and Medical Sciences, Shillong</x:v>
      </x:c>
      <x:c r="D442" t="str">
        <x:v>Government</x:v>
      </x:c>
      <x:c r="E442" t="n">
        <x:v>50</x:v>
      </x:c>
      <x:c r="F442" t="n">
        <x:v>0</x:v>
      </x:c>
      <x:c r="G442" t="n">
        <x:v>50</x:v>
      </x:c>
      <x:c r="H442" t="str">
        <x:v>200234</x:v>
      </x:c>
      <x:c r="I442" t="n">
        <x:v>8</x:v>
      </x:c>
      <x:c r="J442" t="n">
        <x:v>8</x:v>
      </x:c>
      <x:c r="K442" t="n">
        <x:v>42</x:v>
      </x:c>
      <x:c r="L442" s="20" t="n">
        <x:v>0.84</x:v>
      </x:c>
      <x:c r="M442" t="str">
        <x:v>High</x:v>
      </x:c>
      <x:c r="N442" t="str">
        <x:v>Approx. State/Non-MCC Pool</x:v>
      </x:c>
      <x:c r="O442" t="str">
        <x:v>Smaller state-counselling pool</x:v>
      </x:c>
      <x:c r="P442" t="n">
        <x:v>9682</x:v>
      </x:c>
      <x:c r="Q442"/>
      <x:c r="R442"/>
      <x:c r="S442"/>
      <x:c r="T442"/>
      <x:c r="U442" t="str">
        <x:v>Pending state Round-1 allotment/cutoff data</x:v>
      </x:c>
    </x:row>
    <x:row r="443">
      <x:c r="A443" t="str">
        <x:v>Meghalaya</x:v>
      </x:c>
      <x:c r="B443" t="str">
        <x:v>ML/003/G/5</x:v>
      </x:c>
      <x:c r="C443" t="str">
        <x:v>Shillong Medical College</x:v>
      </x:c>
      <x:c r="D443" t="str">
        <x:v>Government</x:v>
      </x:c>
      <x:c r="E443" t="n">
        <x:v>50</x:v>
      </x:c>
      <x:c r="F443" t="n">
        <x:v>0</x:v>
      </x:c>
      <x:c r="G443" t="n">
        <x:v>50</x:v>
      </x:c>
      <x:c r="H443" t="str">
        <x:v>904358</x:v>
      </x:c>
      <x:c r="I443" t="n">
        <x:v>8</x:v>
      </x:c>
      <x:c r="J443" t="n">
        <x:v>8</x:v>
      </x:c>
      <x:c r="K443" t="n">
        <x:v>42</x:v>
      </x:c>
      <x:c r="L443" s="20" t="n">
        <x:v>0.84</x:v>
      </x:c>
      <x:c r="M443" t="str">
        <x:v>High</x:v>
      </x:c>
      <x:c r="N443" t="str">
        <x:v>Approx. State/Non-MCC Pool</x:v>
      </x:c>
      <x:c r="O443" t="str">
        <x:v>Smaller state-counselling pool</x:v>
      </x:c>
      <x:c r="P443" t="n">
        <x:v>15700</x:v>
      </x:c>
      <x:c r="Q443" t="n">
        <x:v>18342</x:v>
      </x:c>
      <x:c r="R443" t="n">
        <x:v>21261</x:v>
      </x:c>
      <x:c r="S443" t="n">
        <x:v>73984</x:v>
      </x:c>
      <x:c r="T443"/>
      <x:c r="U443" t="str">
        <x:v>Pending state Round-1 allotment/cutoff data</x:v>
      </x:c>
    </x:row>
    <x:row r="444">
      <x:c r="A444" t="str">
        <x:v>Meghalaya</x:v>
      </x:c>
      <x:c r="B444" t="str">
        <x:v>ML/002/P/3</x:v>
      </x:c>
      <x:c r="C444" t="str">
        <x:v>PA Sangama International Medical College and Hospital</x:v>
      </x:c>
      <x:c r="D444" t="str">
        <x:v>Private</x:v>
      </x:c>
      <x:c r="E444" t="n">
        <x:v>150</x:v>
      </x:c>
      <x:c r="F444" t="n">
        <x:v>0</x:v>
      </x:c>
      <x:c r="G444" t="n">
        <x:v>150</x:v>
      </x:c>
      <x:c r="H444"/>
      <x:c r="I444" t="n">
        <x:v>0</x:v>
      </x:c>
      <x:c r="J444" t="n">
        <x:v>0</x:v>
      </x:c>
      <x:c r="K444" t="n">
        <x:v>150</x:v>
      </x:c>
      <x:c r="L444" s="20" t="n">
        <x:v>1</x:v>
      </x:c>
      <x:c r="M444" t="str">
        <x:v>Variable</x:v>
      </x:c>
      <x:c r="N444" t="str">
        <x:v>Approx. Non-MCC Pool</x:v>
      </x:c>
      <x:c r="O444" t="str">
        <x:v>Large non-MCC pool; quota split varies by state</x:v>
      </x:c>
      <x:c r="P444"/>
      <x:c r="Q444"/>
      <x:c r="R444"/>
      <x:c r="S444"/>
      <x:c r="T444"/>
      <x:c r="U444" t="str">
        <x:v>Pending state Round-1 allotment/cutoff data</x:v>
      </x:c>
    </x:row>
    <x:row r="445">
      <x:c r="A445" t="str">
        <x:v>Mizoram</x:v>
      </x:c>
      <x:c r="B445" t="str">
        <x:v>MZ/001/G/1</x:v>
      </x:c>
      <x:c r="C445" t="str">
        <x:v>Zoram Medical College, Mizoram</x:v>
      </x:c>
      <x:c r="D445" t="str">
        <x:v>Government</x:v>
      </x:c>
      <x:c r="E445" t="n">
        <x:v>100</x:v>
      </x:c>
      <x:c r="F445" t="n">
        <x:v>0</x:v>
      </x:c>
      <x:c r="G445" t="n">
        <x:v>100</x:v>
      </x:c>
      <x:c r="H445" t="str">
        <x:v>200427</x:v>
      </x:c>
      <x:c r="I445" t="n">
        <x:v>15</x:v>
      </x:c>
      <x:c r="J445" t="n">
        <x:v>15</x:v>
      </x:c>
      <x:c r="K445" t="n">
        <x:v>85</x:v>
      </x:c>
      <x:c r="L445" s="20" t="n">
        <x:v>0.85</x:v>
      </x:c>
      <x:c r="M445" t="str">
        <x:v>High</x:v>
      </x:c>
      <x:c r="N445" t="str">
        <x:v>Approx. State/Non-MCC Pool</x:v>
      </x:c>
      <x:c r="O445" t="str">
        <x:v>Moderate state-counselling pool</x:v>
      </x:c>
      <x:c r="P445" t="n">
        <x:v>20974</x:v>
      </x:c>
      <x:c r="Q445" t="n">
        <x:v>21992</x:v>
      </x:c>
      <x:c r="R445" t="n">
        <x:v>21368</x:v>
      </x:c>
      <x:c r="S445" t="n">
        <x:v>102590</x:v>
      </x:c>
      <x:c r="T445" t="n">
        <x:v>108403</x:v>
      </x:c>
      <x:c r="U445" t="str">
        <x:v>Pending state Round-1 allotment/cutoff data</x:v>
      </x:c>
    </x:row>
    <x:row r="446">
      <x:c r="A446" t="str">
        <x:v>Nagaland</x:v>
      </x:c>
      <x:c r="B446" t="str">
        <x:v>NL/001/G/1</x:v>
      </x:c>
      <x:c r="C446" t="str">
        <x:v>Nagaland Institute of Medical Sciences &amp; Research</x:v>
      </x:c>
      <x:c r="D446" t="str">
        <x:v>Government</x:v>
      </x:c>
      <x:c r="E446" t="n">
        <x:v>100</x:v>
      </x:c>
      <x:c r="F446" t="n">
        <x:v>0</x:v>
      </x:c>
      <x:c r="G446" t="n">
        <x:v>100</x:v>
      </x:c>
      <x:c r="H446" t="str">
        <x:v>200680</x:v>
      </x:c>
      <x:c r="I446" t="n">
        <x:v>15</x:v>
      </x:c>
      <x:c r="J446" t="n">
        <x:v>15</x:v>
      </x:c>
      <x:c r="K446" t="n">
        <x:v>85</x:v>
      </x:c>
      <x:c r="L446" s="20" t="n">
        <x:v>0.85</x:v>
      </x:c>
      <x:c r="M446" t="str">
        <x:v>High</x:v>
      </x:c>
      <x:c r="N446" t="str">
        <x:v>Approx. State/Non-MCC Pool</x:v>
      </x:c>
      <x:c r="O446" t="str">
        <x:v>Moderate state-counselling pool</x:v>
      </x:c>
      <x:c r="P446" t="n">
        <x:v>21150</x:v>
      </x:c>
      <x:c r="Q446" t="n">
        <x:v>22836</x:v>
      </x:c>
      <x:c r="R446" t="n">
        <x:v>26394</x:v>
      </x:c>
      <x:c r="S446" t="n">
        <x:v>90408</x:v>
      </x:c>
      <x:c r="T446" t="n">
        <x:v>121394</x:v>
      </x:c>
      <x:c r="U446" t="str">
        <x:v>Pending state Round-1 allotment/cutoff data</x:v>
      </x:c>
    </x:row>
    <x:row r="447">
      <x:c r="A447" t="str">
        <x:v>Odisha</x:v>
      </x:c>
      <x:c r="B447" t="str">
        <x:v>OD/019/G/1</x:v>
      </x:c>
      <x:c r="C447" t="str">
        <x:v>Veer Surendra Sai Institute of Medical Sciences and Research, Burla</x:v>
      </x:c>
      <x:c r="D447" t="str">
        <x:v>Government</x:v>
      </x:c>
      <x:c r="E447" t="n">
        <x:v>200</x:v>
      </x:c>
      <x:c r="F447" t="n">
        <x:v>50</x:v>
      </x:c>
      <x:c r="G447" t="n">
        <x:v>250</x:v>
      </x:c>
      <x:c r="H447" t="str">
        <x:v>200240</x:v>
      </x:c>
      <x:c r="I447" t="n">
        <x:v>37</x:v>
      </x:c>
      <x:c r="J447" t="n">
        <x:v>37</x:v>
      </x:c>
      <x:c r="K447" t="n">
        <x:v>213</x:v>
      </x:c>
      <x:c r="L447" s="20" t="n">
        <x:v>0.852</x:v>
      </x:c>
      <x:c r="M447" t="str">
        <x:v>High</x:v>
      </x:c>
      <x:c r="N447" t="str">
        <x:v>Approx. State/Non-MCC Pool</x:v>
      </x:c>
      <x:c r="O447" t="str">
        <x:v>Expanded 2026 capacity + substantial state pool</x:v>
      </x:c>
      <x:c r="P447" t="n">
        <x:v>4924</x:v>
      </x:c>
      <x:c r="Q447" t="n">
        <x:v>7026</x:v>
      </x:c>
      <x:c r="R447" t="n">
        <x:v>7104</x:v>
      </x:c>
      <x:c r="S447" t="n">
        <x:v>38944</x:v>
      </x:c>
      <x:c r="T447" t="n">
        <x:v>92404</x:v>
      </x:c>
      <x:c r="U447" t="str">
        <x:v>Pending state Round-1 allotment/cutoff data</x:v>
      </x:c>
    </x:row>
    <x:row r="448">
      <x:c r="A448" t="str">
        <x:v>Odisha</x:v>
      </x:c>
      <x:c r="B448" t="str">
        <x:v>OD/013/G/1</x:v>
      </x:c>
      <x:c r="C448" t="str">
        <x:v>MKCG Medical College, Berhampur</x:v>
      </x:c>
      <x:c r="D448" t="str">
        <x:v>Government</x:v>
      </x:c>
      <x:c r="E448" t="n">
        <x:v>250</x:v>
      </x:c>
      <x:c r="F448" t="n">
        <x:v>0</x:v>
      </x:c>
      <x:c r="G448" t="n">
        <x:v>250</x:v>
      </x:c>
      <x:c r="H448" t="str">
        <x:v>200235</x:v>
      </x:c>
      <x:c r="I448" t="n">
        <x:v>38</x:v>
      </x:c>
      <x:c r="J448" t="n">
        <x:v>38</x:v>
      </x:c>
      <x:c r="K448" t="n">
        <x:v>212</x:v>
      </x:c>
      <x:c r="L448" s="20" t="n">
        <x:v>0.848</x:v>
      </x:c>
      <x:c r="M448" t="str">
        <x:v>High</x:v>
      </x:c>
      <x:c r="N448" t="str">
        <x:v>Approx. State/Non-MCC Pool</x:v>
      </x:c>
      <x:c r="O448" t="str">
        <x:v>Large state-counselling pool</x:v>
      </x:c>
      <x:c r="P448" t="n">
        <x:v>4050</x:v>
      </x:c>
      <x:c r="Q448" t="n">
        <x:v>5660</x:v>
      </x:c>
      <x:c r="R448" t="n">
        <x:v>6267</x:v>
      </x:c>
      <x:c r="S448" t="n">
        <x:v>31109</x:v>
      </x:c>
      <x:c r="T448" t="n">
        <x:v>80556</x:v>
      </x:c>
      <x:c r="U448" t="str">
        <x:v>Pending state Round-1 allotment/cutoff data</x:v>
      </x:c>
    </x:row>
    <x:row r="449">
      <x:c r="A449" t="str">
        <x:v>Odisha</x:v>
      </x:c>
      <x:c r="B449" t="str">
        <x:v>OD/017/G/1</x:v>
      </x:c>
      <x:c r="C449" t="str">
        <x:v>SCB Medical College, Cuttack</x:v>
      </x:c>
      <x:c r="D449" t="str">
        <x:v>Government</x:v>
      </x:c>
      <x:c r="E449" t="n">
        <x:v>250</x:v>
      </x:c>
      <x:c r="F449" t="n">
        <x:v>0</x:v>
      </x:c>
      <x:c r="G449" t="n">
        <x:v>250</x:v>
      </x:c>
      <x:c r="H449" t="str">
        <x:v>200238</x:v>
      </x:c>
      <x:c r="I449" t="n">
        <x:v>38</x:v>
      </x:c>
      <x:c r="J449" t="n">
        <x:v>38</x:v>
      </x:c>
      <x:c r="K449" t="n">
        <x:v>212</x:v>
      </x:c>
      <x:c r="L449" s="20" t="n">
        <x:v>0.848</x:v>
      </x:c>
      <x:c r="M449" t="str">
        <x:v>High</x:v>
      </x:c>
      <x:c r="N449" t="str">
        <x:v>Approx. State/Non-MCC Pool</x:v>
      </x:c>
      <x:c r="O449" t="str">
        <x:v>Large state-counselling pool</x:v>
      </x:c>
      <x:c r="P449" t="n">
        <x:v>2170</x:v>
      </x:c>
      <x:c r="Q449" t="n">
        <x:v>3922</x:v>
      </x:c>
      <x:c r="R449" t="n">
        <x:v>5019</x:v>
      </x:c>
      <x:c r="S449" t="n">
        <x:v>26262</x:v>
      </x:c>
      <x:c r="T449" t="n">
        <x:v>51794</x:v>
      </x:c>
      <x:c r="U449" t="str">
        <x:v>Pending state Round-1 allotment/cutoff data</x:v>
      </x:c>
    </x:row>
    <x:row r="450">
      <x:c r="A450" t="str">
        <x:v>Odisha</x:v>
      </x:c>
      <x:c r="B450" t="str">
        <x:v>OD/015/G/1</x:v>
      </x:c>
      <x:c r="C450" t="str">
        <x:v>Pt. Raghunath Murmu Medical College and Hospital, Baripada, Odisha</x:v>
      </x:c>
      <x:c r="D450" t="str">
        <x:v>Government</x:v>
      </x:c>
      <x:c r="E450" t="n">
        <x:v>125</x:v>
      </x:c>
      <x:c r="F450" t="n">
        <x:v>0</x:v>
      </x:c>
      <x:c r="G450" t="n">
        <x:v>125</x:v>
      </x:c>
      <x:c r="H450" t="str">
        <x:v>200236</x:v>
      </x:c>
      <x:c r="I450" t="n">
        <x:v>19</x:v>
      </x:c>
      <x:c r="J450" t="n">
        <x:v>19</x:v>
      </x:c>
      <x:c r="K450" t="n">
        <x:v>106</x:v>
      </x:c>
      <x:c r="L450" s="20" t="n">
        <x:v>0.848</x:v>
      </x:c>
      <x:c r="M450" t="str">
        <x:v>High</x:v>
      </x:c>
      <x:c r="N450" t="str">
        <x:v>Approx. State/Non-MCC Pool</x:v>
      </x:c>
      <x:c r="O450" t="str">
        <x:v>Moderate state-counselling pool</x:v>
      </x:c>
      <x:c r="P450" t="n">
        <x:v>10007</x:v>
      </x:c>
      <x:c r="Q450" t="n">
        <x:v>12174</x:v>
      </x:c>
      <x:c r="R450" t="n">
        <x:v>15962</x:v>
      </x:c>
      <x:c r="S450" t="n">
        <x:v>56204</x:v>
      </x:c>
      <x:c r="T450" t="n">
        <x:v>119968</x:v>
      </x:c>
      <x:c r="U450" t="str">
        <x:v>Pending state Round-1 allotment/cutoff data</x:v>
      </x:c>
    </x:row>
    <x:row r="451">
      <x:c r="A451" t="str">
        <x:v>Odisha</x:v>
      </x:c>
      <x:c r="B451" t="str">
        <x:v>OD/016/G/1</x:v>
      </x:c>
      <x:c r="C451" t="str">
        <x:v>Saheed Laxman Nayak Medical College &amp; Hospital, Koraput</x:v>
      </x:c>
      <x:c r="D451" t="str">
        <x:v>Government</x:v>
      </x:c>
      <x:c r="E451" t="n">
        <x:v>125</x:v>
      </x:c>
      <x:c r="F451" t="n">
        <x:v>0</x:v>
      </x:c>
      <x:c r="G451" t="n">
        <x:v>125</x:v>
      </x:c>
      <x:c r="H451" t="str">
        <x:v>200239</x:v>
      </x:c>
      <x:c r="I451" t="n">
        <x:v>19</x:v>
      </x:c>
      <x:c r="J451" t="n">
        <x:v>19</x:v>
      </x:c>
      <x:c r="K451" t="n">
        <x:v>106</x:v>
      </x:c>
      <x:c r="L451" s="20" t="n">
        <x:v>0.848</x:v>
      </x:c>
      <x:c r="M451" t="str">
        <x:v>High</x:v>
      </x:c>
      <x:c r="N451" t="str">
        <x:v>Approx. State/Non-MCC Pool</x:v>
      </x:c>
      <x:c r="O451" t="str">
        <x:v>Moderate state-counselling pool</x:v>
      </x:c>
      <x:c r="P451" t="n">
        <x:v>12310</x:v>
      </x:c>
      <x:c r="Q451" t="n">
        <x:v>14616</x:v>
      </x:c>
      <x:c r="R451" t="n">
        <x:v>19192</x:v>
      </x:c>
      <x:c r="S451" t="n">
        <x:v>69471</x:v>
      </x:c>
      <x:c r="T451" t="n">
        <x:v>123994</x:v>
      </x:c>
      <x:c r="U451" t="str">
        <x:v>Pending state Round-1 allotment/cutoff data</x:v>
      </x:c>
    </x:row>
    <x:row r="452">
      <x:c r="A452" t="str">
        <x:v>Odisha</x:v>
      </x:c>
      <x:c r="B452" t="str">
        <x:v>OD/005/G/1</x:v>
      </x:c>
      <x:c r="C452" t="str">
        <x:v>Dharanidhar Medical College and Hospital (previously Government Medical College, Keonjhar)</x:v>
      </x:c>
      <x:c r="D452" t="str">
        <x:v>Government</x:v>
      </x:c>
      <x:c r="E452" t="n">
        <x:v>100</x:v>
      </x:c>
      <x:c r="F452" t="n">
        <x:v>0</x:v>
      </x:c>
      <x:c r="G452" t="n">
        <x:v>100</x:v>
      </x:c>
      <x:c r="H452" t="str">
        <x:v>200590</x:v>
      </x:c>
      <x:c r="I452" t="n">
        <x:v>15</x:v>
      </x:c>
      <x:c r="J452" t="n">
        <x:v>15</x:v>
      </x:c>
      <x:c r="K452" t="n">
        <x:v>85</x:v>
      </x:c>
      <x:c r="L452" s="20" t="n">
        <x:v>0.85</x:v>
      </x:c>
      <x:c r="M452" t="str">
        <x:v>High</x:v>
      </x:c>
      <x:c r="N452" t="str">
        <x:v>Approx. State/Non-MCC Pool</x:v>
      </x:c>
      <x:c r="O452" t="str">
        <x:v>Moderate state-counselling pool</x:v>
      </x:c>
      <x:c r="P452" t="n">
        <x:v>10982</x:v>
      </x:c>
      <x:c r="Q452" t="n">
        <x:v>16009</x:v>
      </x:c>
      <x:c r="R452" t="n">
        <x:v>19801</x:v>
      </x:c>
      <x:c r="S452" t="n">
        <x:v>77869</x:v>
      </x:c>
      <x:c r="T452" t="n">
        <x:v>119601</x:v>
      </x:c>
      <x:c r="U452" t="str">
        <x:v>Pending state Round-1 allotment/cutoff data</x:v>
      </x:c>
    </x:row>
    <x:row r="453">
      <x:c r="A453" t="str">
        <x:v>Odisha</x:v>
      </x:c>
      <x:c r="B453" t="str">
        <x:v>OD/003/G/1</x:v>
      </x:c>
      <x:c r="C453" t="str">
        <x:v>GOVERNMENT MEDICAL COLLEGE PHULBANI , KANDHAMAL</x:v>
      </x:c>
      <x:c r="D453" t="str">
        <x:v>Government</x:v>
      </x:c>
      <x:c r="E453" t="n">
        <x:v>100</x:v>
      </x:c>
      <x:c r="F453" t="n">
        <x:v>0</x:v>
      </x:c>
      <x:c r="G453" t="n">
        <x:v>100</x:v>
      </x:c>
      <x:c r="H453" t="str">
        <x:v>904363</x:v>
      </x:c>
      <x:c r="I453" t="n">
        <x:v>15</x:v>
      </x:c>
      <x:c r="J453" t="n">
        <x:v>15</x:v>
      </x:c>
      <x:c r="K453" t="n">
        <x:v>85</x:v>
      </x:c>
      <x:c r="L453" s="20" t="n">
        <x:v>0.85</x:v>
      </x:c>
      <x:c r="M453" t="str">
        <x:v>High</x:v>
      </x:c>
      <x:c r="N453" t="str">
        <x:v>Approx. State/Non-MCC Pool</x:v>
      </x:c>
      <x:c r="O453" t="str">
        <x:v>Moderate state-counselling pool</x:v>
      </x:c>
      <x:c r="P453" t="n">
        <x:v>15272</x:v>
      </x:c>
      <x:c r="Q453" t="n">
        <x:v>19322</x:v>
      </x:c>
      <x:c r="R453" t="n">
        <x:v>22470</x:v>
      </x:c>
      <x:c r="S453" t="n">
        <x:v>84710</x:v>
      </x:c>
      <x:c r="T453" t="n">
        <x:v>129479</x:v>
      </x:c>
      <x:c r="U453" t="str">
        <x:v>Pending state Round-1 allotment/cutoff data</x:v>
      </x:c>
    </x:row>
    <x:row r="454">
      <x:c r="A454" t="str">
        <x:v>Odisha</x:v>
      </x:c>
      <x:c r="B454" t="str">
        <x:v>OD/001/G/1</x:v>
      </x:c>
      <x:c r="C454" t="str">
        <x:v>Government Medical College &amp; Hospital (Renamed as Bhima Bhoi Medical College &amp; Hospital), Balangir</x:v>
      </x:c>
      <x:c r="D454" t="str">
        <x:v>Government</x:v>
      </x:c>
      <x:c r="E454" t="n">
        <x:v>100</x:v>
      </x:c>
      <x:c r="F454" t="n">
        <x:v>0</x:v>
      </x:c>
      <x:c r="G454" t="n">
        <x:v>100</x:v>
      </x:c>
      <x:c r="H454" t="str">
        <x:v>200428</x:v>
      </x:c>
      <x:c r="I454" t="n">
        <x:v>15</x:v>
      </x:c>
      <x:c r="J454" t="n">
        <x:v>15</x:v>
      </x:c>
      <x:c r="K454" t="n">
        <x:v>85</x:v>
      </x:c>
      <x:c r="L454" s="20" t="n">
        <x:v>0.85</x:v>
      </x:c>
      <x:c r="M454" t="str">
        <x:v>High</x:v>
      </x:c>
      <x:c r="N454" t="str">
        <x:v>Approx. State/Non-MCC Pool</x:v>
      </x:c>
      <x:c r="O454" t="str">
        <x:v>Moderate state-counselling pool</x:v>
      </x:c>
      <x:c r="P454" t="n">
        <x:v>7984</x:v>
      </x:c>
      <x:c r="Q454" t="n">
        <x:v>10438</x:v>
      </x:c>
      <x:c r="R454" t="n">
        <x:v>18840</x:v>
      </x:c>
      <x:c r="S454" t="n">
        <x:v>68557</x:v>
      </x:c>
      <x:c r="T454" t="n">
        <x:v>112343</x:v>
      </x:c>
      <x:c r="U454" t="str">
        <x:v>Pending state Round-1 allotment/cutoff data</x:v>
      </x:c>
    </x:row>
    <x:row r="455">
      <x:c r="A455" t="str">
        <x:v>Odisha</x:v>
      </x:c>
      <x:c r="B455" t="str">
        <x:v>OD/002/G/1</x:v>
      </x:c>
      <x:c r="C455" t="str">
        <x:v>Government Medical College &amp; Hospital (Renamed as Fakir Mohan Medical College &amp; Hospital), Balasore</x:v>
      </x:c>
      <x:c r="D455" t="str">
        <x:v>Government</x:v>
      </x:c>
      <x:c r="E455" t="n">
        <x:v>100</x:v>
      </x:c>
      <x:c r="F455" t="n">
        <x:v>0</x:v>
      </x:c>
      <x:c r="G455" t="n">
        <x:v>100</x:v>
      </x:c>
      <x:c r="H455" t="str">
        <x:v>200437</x:v>
      </x:c>
      <x:c r="I455" t="n">
        <x:v>15</x:v>
      </x:c>
      <x:c r="J455" t="n">
        <x:v>14</x:v>
      </x:c>
      <x:c r="K455" t="n">
        <x:v>85</x:v>
      </x:c>
      <x:c r="L455" s="20" t="n">
        <x:v>0.85</x:v>
      </x:c>
      <x:c r="M455" t="str">
        <x:v>High</x:v>
      </x:c>
      <x:c r="N455" t="str">
        <x:v>Approx. State/Non-MCC Pool</x:v>
      </x:c>
      <x:c r="O455" t="str">
        <x:v>Moderate state-counselling pool</x:v>
      </x:c>
      <x:c r="P455" t="n">
        <x:v>8733</x:v>
      </x:c>
      <x:c r="Q455" t="n">
        <x:v>9850</x:v>
      </x:c>
      <x:c r="R455" t="n">
        <x:v>13732</x:v>
      </x:c>
      <x:c r="S455" t="n">
        <x:v>50279</x:v>
      </x:c>
      <x:c r="T455" t="n">
        <x:v>105802</x:v>
      </x:c>
      <x:c r="U455" t="str">
        <x:v>Pending state Round-1 allotment/cutoff data</x:v>
      </x:c>
    </x:row>
    <x:row r="456">
      <x:c r="A456" t="str">
        <x:v>Odisha</x:v>
      </x:c>
      <x:c r="B456" t="str">
        <x:v>OD/006/G/1</x:v>
      </x:c>
      <x:c r="C456" t="str">
        <x:v>Government Medical College, Sundargarh</x:v>
      </x:c>
      <x:c r="D456" t="str">
        <x:v>Government</x:v>
      </x:c>
      <x:c r="E456" t="n">
        <x:v>100</x:v>
      </x:c>
      <x:c r="F456" t="n">
        <x:v>0</x:v>
      </x:c>
      <x:c r="G456" t="n">
        <x:v>100</x:v>
      </x:c>
      <x:c r="H456" t="str">
        <x:v>200591</x:v>
      </x:c>
      <x:c r="I456" t="n">
        <x:v>15</x:v>
      </x:c>
      <x:c r="J456" t="n">
        <x:v>15</x:v>
      </x:c>
      <x:c r="K456" t="n">
        <x:v>85</x:v>
      </x:c>
      <x:c r="L456" s="20" t="n">
        <x:v>0.85</x:v>
      </x:c>
      <x:c r="M456" t="str">
        <x:v>High</x:v>
      </x:c>
      <x:c r="N456" t="str">
        <x:v>Approx. State/Non-MCC Pool</x:v>
      </x:c>
      <x:c r="O456" t="str">
        <x:v>Moderate state-counselling pool</x:v>
      </x:c>
      <x:c r="P456" t="n">
        <x:v>13486</x:v>
      </x:c>
      <x:c r="Q456" t="n">
        <x:v>14599</x:v>
      </x:c>
      <x:c r="R456" t="n">
        <x:v>20439</x:v>
      </x:c>
      <x:c r="S456" t="n">
        <x:v>88598</x:v>
      </x:c>
      <x:c r="T456" t="n">
        <x:v>125743</x:v>
      </x:c>
      <x:c r="U456" t="str">
        <x:v>Pending state Round-1 allotment/cutoff data</x:v>
      </x:c>
    </x:row>
    <x:row r="457">
      <x:c r="A457" t="str">
        <x:v>Odisha</x:v>
      </x:c>
      <x:c r="B457" t="str">
        <x:v>OD/014/G/1</x:v>
      </x:c>
      <x:c r="C457" t="str">
        <x:v>PABITRA MOHAN PRADHAN MEDICAL COLLEGE, TALCHER</x:v>
      </x:c>
      <x:c r="D457" t="str">
        <x:v>Government</x:v>
      </x:c>
      <x:c r="E457" t="n">
        <x:v>100</x:v>
      </x:c>
      <x:c r="F457" t="n">
        <x:v>0</x:v>
      </x:c>
      <x:c r="G457" t="n">
        <x:v>100</x:v>
      </x:c>
      <x:c r="H457" t="str">
        <x:v>904364</x:v>
      </x:c>
      <x:c r="I457" t="n">
        <x:v>15</x:v>
      </x:c>
      <x:c r="J457" t="n">
        <x:v>15</x:v>
      </x:c>
      <x:c r="K457" t="n">
        <x:v>85</x:v>
      </x:c>
      <x:c r="L457" s="20" t="n">
        <x:v>0.85</x:v>
      </x:c>
      <x:c r="M457" t="str">
        <x:v>High</x:v>
      </x:c>
      <x:c r="N457" t="str">
        <x:v>Approx. State/Non-MCC Pool</x:v>
      </x:c>
      <x:c r="O457" t="str">
        <x:v>Moderate state-counselling pool</x:v>
      </x:c>
      <x:c r="P457" t="n">
        <x:v>13531</x:v>
      </x:c>
      <x:c r="Q457" t="n">
        <x:v>18522</x:v>
      </x:c>
      <x:c r="R457" t="n">
        <x:v>22013</x:v>
      </x:c>
      <x:c r="S457" t="n">
        <x:v>90598</x:v>
      </x:c>
      <x:c r="T457" t="n">
        <x:v>126555</x:v>
      </x:c>
      <x:c r="U457" t="str">
        <x:v>Pending state Round-1 allotment/cutoff data</x:v>
      </x:c>
    </x:row>
    <x:row r="458">
      <x:c r="A458" t="str">
        <x:v>Odisha</x:v>
      </x:c>
      <x:c r="B458" t="str">
        <x:v>OD/004/G/1</x:v>
      </x:c>
      <x:c r="C458" t="str">
        <x:v>Saheed Rendo Majhi Medical College and Hospital, Bhawanipatna, Kalahandi, Odisha (erstwhile Government Medical College, Bhawanipatna)</x:v>
      </x:c>
      <x:c r="D458" t="str">
        <x:v>Government</x:v>
      </x:c>
      <x:c r="E458" t="n">
        <x:v>100</x:v>
      </x:c>
      <x:c r="F458" t="n">
        <x:v>0</x:v>
      </x:c>
      <x:c r="G458" t="n">
        <x:v>100</x:v>
      </x:c>
      <x:c r="H458" t="str">
        <x:v>200675</x:v>
      </x:c>
      <x:c r="I458" t="n">
        <x:v>15</x:v>
      </x:c>
      <x:c r="J458" t="n">
        <x:v>15</x:v>
      </x:c>
      <x:c r="K458" t="n">
        <x:v>85</x:v>
      </x:c>
      <x:c r="L458" s="20" t="n">
        <x:v>0.85</x:v>
      </x:c>
      <x:c r="M458" t="str">
        <x:v>High</x:v>
      </x:c>
      <x:c r="N458" t="str">
        <x:v>Approx. State/Non-MCC Pool</x:v>
      </x:c>
      <x:c r="O458" t="str">
        <x:v>Moderate state-counselling pool</x:v>
      </x:c>
      <x:c r="P458" t="n">
        <x:v>12301</x:v>
      </x:c>
      <x:c r="Q458" t="n">
        <x:v>16820</x:v>
      </x:c>
      <x:c r="R458" t="n">
        <x:v>20575</x:v>
      </x:c>
      <x:c r="S458" t="n">
        <x:v>64803</x:v>
      </x:c>
      <x:c r="T458" t="n">
        <x:v>119973</x:v>
      </x:c>
      <x:c r="U458" t="str">
        <x:v>Pending state Round-1 allotment/cutoff data</x:v>
      </x:c>
    </x:row>
    <x:row r="459">
      <x:c r="A459" t="str">
        <x:v>Odisha</x:v>
      </x:c>
      <x:c r="B459" t="str">
        <x:v>OD/018/G/1</x:v>
      </x:c>
      <x:c r="C459" t="str">
        <x:v>Sri Jagannath Medical College &amp; Hospital, Puri</x:v>
      </x:c>
      <x:c r="D459" t="str">
        <x:v>Government</x:v>
      </x:c>
      <x:c r="E459" t="n">
        <x:v>100</x:v>
      </x:c>
      <x:c r="F459" t="n">
        <x:v>0</x:v>
      </x:c>
      <x:c r="G459" t="n">
        <x:v>100</x:v>
      </x:c>
      <x:c r="H459" t="str">
        <x:v>200565</x:v>
      </x:c>
      <x:c r="I459" t="n">
        <x:v>15</x:v>
      </x:c>
      <x:c r="J459" t="n">
        <x:v>15</x:v>
      </x:c>
      <x:c r="K459" t="n">
        <x:v>85</x:v>
      </x:c>
      <x:c r="L459" s="20" t="n">
        <x:v>0.85</x:v>
      </x:c>
      <x:c r="M459" t="str">
        <x:v>High</x:v>
      </x:c>
      <x:c r="N459" t="str">
        <x:v>Approx. State/Non-MCC Pool</x:v>
      </x:c>
      <x:c r="O459" t="str">
        <x:v>Moderate state-counselling pool</x:v>
      </x:c>
      <x:c r="P459" t="n">
        <x:v>6744</x:v>
      </x:c>
      <x:c r="Q459" t="n">
        <x:v>9334</x:v>
      </x:c>
      <x:c r="R459" t="n">
        <x:v>12176</x:v>
      </x:c>
      <x:c r="S459" t="n">
        <x:v>45016</x:v>
      </x:c>
      <x:c r="T459" t="n">
        <x:v>112712</x:v>
      </x:c>
      <x:c r="U459" t="str">
        <x:v>Pending state Round-1 allotment/cutoff data</x:v>
      </x:c>
    </x:row>
    <x:row r="460">
      <x:c r="A460" t="str">
        <x:v>Odisha</x:v>
      </x:c>
      <x:c r="B460" t="str">
        <x:v>OD/012/G/1</x:v>
      </x:c>
      <x:c r="C460" t="str">
        <x:v>Mahraja Jajati Keshari Medical College (previously Government Medical College and Hospital, Jajpur Odhisha)</x:v>
      </x:c>
      <x:c r="D460" t="str">
        <x:v>Government</x:v>
      </x:c>
      <x:c r="E460" t="n">
        <x:v>50</x:v>
      </x:c>
      <x:c r="F460" t="n">
        <x:v>0</x:v>
      </x:c>
      <x:c r="G460" t="n">
        <x:v>50</x:v>
      </x:c>
      <x:c r="H460" t="str">
        <x:v>902811</x:v>
      </x:c>
      <x:c r="I460" t="n">
        <x:v>7</x:v>
      </x:c>
      <x:c r="J460" t="n">
        <x:v>7</x:v>
      </x:c>
      <x:c r="K460" t="n">
        <x:v>43</x:v>
      </x:c>
      <x:c r="L460" s="20" t="n">
        <x:v>0.86</x:v>
      </x:c>
      <x:c r="M460" t="str">
        <x:v>High</x:v>
      </x:c>
      <x:c r="N460" t="str">
        <x:v>Approx. State/Non-MCC Pool</x:v>
      </x:c>
      <x:c r="O460" t="str">
        <x:v>Smaller state-counselling pool</x:v>
      </x:c>
      <x:c r="P460" t="n">
        <x:v>9243</x:v>
      </x:c>
      <x:c r="Q460" t="n">
        <x:v>14157</x:v>
      </x:c>
      <x:c r="R460" t="n">
        <x:v>19517</x:v>
      </x:c>
      <x:c r="S460" t="n">
        <x:v>62642</x:v>
      </x:c>
      <x:c r="T460"/>
      <x:c r="U460" t="str">
        <x:v>Pending state Round-1 allotment/cutoff data</x:v>
      </x:c>
    </x:row>
    <x:row r="461">
      <x:c r="A461" t="str">
        <x:v>Odisha</x:v>
      </x:c>
      <x:c r="B461" t="str">
        <x:v>OD/010/P/3</x:v>
      </x:c>
      <x:c r="C461" t="str">
        <x:v>Institute Of Medical Sciences &amp; SUM Hospital, Bhubaneswar</x:v>
      </x:c>
      <x:c r="D461" t="str">
        <x:v>Private</x:v>
      </x:c>
      <x:c r="E461" t="n">
        <x:v>250</x:v>
      </x:c>
      <x:c r="F461" t="n">
        <x:v>0</x:v>
      </x:c>
      <x:c r="G461" t="n">
        <x:v>250</x:v>
      </x:c>
      <x:c r="H461"/>
      <x:c r="I461" t="n">
        <x:v>0</x:v>
      </x:c>
      <x:c r="J461" t="n">
        <x:v>0</x:v>
      </x:c>
      <x:c r="K461" t="n">
        <x:v>250</x:v>
      </x:c>
      <x:c r="L461" s="20" t="n">
        <x:v>1</x:v>
      </x:c>
      <x:c r="M461" t="str">
        <x:v>Variable</x:v>
      </x:c>
      <x:c r="N461" t="str">
        <x:v>Approx. Non-MCC Pool</x:v>
      </x:c>
      <x:c r="O461" t="str">
        <x:v>Large non-MCC pool; quota split varies by state</x:v>
      </x:c>
      <x:c r="P461"/>
      <x:c r="Q461"/>
      <x:c r="R461"/>
      <x:c r="S461"/>
      <x:c r="T461"/>
      <x:c r="U461" t="str">
        <x:v>Pending state Round-1 allotment/cutoff data</x:v>
      </x:c>
    </x:row>
    <x:row r="462">
      <x:c r="A462" t="str">
        <x:v>Odisha</x:v>
      </x:c>
      <x:c r="B462" t="str">
        <x:v>OD/007/P/3</x:v>
      </x:c>
      <x:c r="C462" t="str">
        <x:v>Hi-Tech Medical College &amp; Hospital, Bhubaneswar</x:v>
      </x:c>
      <x:c r="D462" t="str">
        <x:v>Private</x:v>
      </x:c>
      <x:c r="E462" t="n">
        <x:v>150</x:v>
      </x:c>
      <x:c r="F462" t="n">
        <x:v>0</x:v>
      </x:c>
      <x:c r="G462" t="n">
        <x:v>150</x:v>
      </x:c>
      <x:c r="H462"/>
      <x:c r="I462" t="n">
        <x:v>0</x:v>
      </x:c>
      <x:c r="J462" t="n">
        <x:v>0</x:v>
      </x:c>
      <x:c r="K462" t="n">
        <x:v>150</x:v>
      </x:c>
      <x:c r="L462" s="20" t="n">
        <x:v>1</x:v>
      </x:c>
      <x:c r="M462" t="str">
        <x:v>Variable</x:v>
      </x:c>
      <x:c r="N462" t="str">
        <x:v>Approx. Non-MCC Pool</x:v>
      </x:c>
      <x:c r="O462" t="str">
        <x:v>Large non-MCC pool; quota split varies by state</x:v>
      </x:c>
      <x:c r="P462"/>
      <x:c r="Q462"/>
      <x:c r="R462"/>
      <x:c r="S462"/>
      <x:c r="T462"/>
      <x:c r="U462" t="str">
        <x:v>Pending state Round-1 allotment/cutoff data</x:v>
      </x:c>
    </x:row>
    <x:row r="463">
      <x:c r="A463" t="str">
        <x:v>Odisha</x:v>
      </x:c>
      <x:c r="B463" t="str">
        <x:v>OD/001/P/4</x:v>
      </x:c>
      <x:c r="C463" t="str">
        <x:v>DRIEMS Institute of Health Sciences and Hospital, Kairapari</x:v>
      </x:c>
      <x:c r="D463" t="str">
        <x:v>Private</x:v>
      </x:c>
      <x:c r="E463" t="n">
        <x:v>100</x:v>
      </x:c>
      <x:c r="F463" t="n">
        <x:v>0</x:v>
      </x:c>
      <x:c r="G463" t="n">
        <x:v>100</x:v>
      </x:c>
      <x:c r="H463"/>
      <x:c r="I463" t="n">
        <x:v>0</x:v>
      </x:c>
      <x:c r="J463" t="n">
        <x:v>0</x:v>
      </x:c>
      <x:c r="K463" t="n">
        <x:v>100</x:v>
      </x:c>
      <x:c r="L463" s="20" t="n">
        <x:v>1</x:v>
      </x:c>
      <x:c r="M463" t="str">
        <x:v>Variable</x:v>
      </x:c>
      <x:c r="N463" t="str">
        <x:v>Approx. Non-MCC Pool</x:v>
      </x:c>
      <x:c r="O463" t="str">
        <x:v>State/management/NRI split must be verified</x:v>
      </x:c>
      <x:c r="P463"/>
      <x:c r="Q463"/>
      <x:c r="R463"/>
      <x:c r="S463"/>
      <x:c r="T463"/>
      <x:c r="U463" t="str">
        <x:v>Pending state Round-1 allotment/cutoff data</x:v>
      </x:c>
    </x:row>
    <x:row r="464">
      <x:c r="A464" t="str">
        <x:v>Odisha</x:v>
      </x:c>
      <x:c r="B464" t="str">
        <x:v>OD/008/P/3</x:v>
      </x:c>
      <x:c r="C464" t="str">
        <x:v>Hi-Tech Medical College &amp; Hospital, Rourkela</x:v>
      </x:c>
      <x:c r="D464" t="str">
        <x:v>Private</x:v>
      </x:c>
      <x:c r="E464" t="n">
        <x:v>100</x:v>
      </x:c>
      <x:c r="F464" t="n">
        <x:v>0</x:v>
      </x:c>
      <x:c r="G464" t="n">
        <x:v>100</x:v>
      </x:c>
      <x:c r="H464"/>
      <x:c r="I464" t="n">
        <x:v>0</x:v>
      </x:c>
      <x:c r="J464" t="n">
        <x:v>0</x:v>
      </x:c>
      <x:c r="K464" t="n">
        <x:v>100</x:v>
      </x:c>
      <x:c r="L464" s="20" t="n">
        <x:v>1</x:v>
      </x:c>
      <x:c r="M464" t="str">
        <x:v>Variable</x:v>
      </x:c>
      <x:c r="N464" t="str">
        <x:v>Approx. Non-MCC Pool</x:v>
      </x:c>
      <x:c r="O464" t="str">
        <x:v>State/management/NRI split must be verified</x:v>
      </x:c>
      <x:c r="P464"/>
      <x:c r="Q464"/>
      <x:c r="R464"/>
      <x:c r="S464"/>
      <x:c r="T464"/>
      <x:c r="U464" t="str">
        <x:v>Pending state Round-1 allotment/cutoff data</x:v>
      </x:c>
    </x:row>
    <x:row r="465">
      <x:c r="A465" t="str">
        <x:v>Odisha</x:v>
      </x:c>
      <x:c r="B465" t="str">
        <x:v>OD/009/P/3</x:v>
      </x:c>
      <x:c r="C465" t="str">
        <x:v>Institute of Medical Sciences &amp; SUM Hospital, Bhubaneswar</x:v>
      </x:c>
      <x:c r="D465" t="str">
        <x:v>Private</x:v>
      </x:c>
      <x:c r="E465" t="n">
        <x:v>250</x:v>
      </x:c>
      <x:c r="F465" t="n">
        <x:v>0</x:v>
      </x:c>
      <x:c r="G465" t="n">
        <x:v>250</x:v>
      </x:c>
      <x:c r="H465" t="str">
        <x:v>200374</x:v>
      </x:c>
      <x:c r="I465" t="n">
        <x:v>250</x:v>
      </x:c>
      <x:c r="J465" t="n">
        <x:v>248</x:v>
      </x:c>
      <x:c r="K465" t="n">
        <x:v>0</x:v>
      </x:c>
      <x:c r="L465" s="20" t="n">
        <x:v>0</x:v>
      </x:c>
      <x:c r="M465" t="str">
        <x:v>Variable</x:v>
      </x:c>
      <x:c r="N465" t="str">
        <x:v>Approx. Non-MCC Pool</x:v>
      </x:c>
      <x:c r="O465" t="str">
        <x:v>State/management/NRI split must be verified</x:v>
      </x:c>
      <x:c r="P465" t="n">
        <x:v>290814</x:v>
      </x:c>
      <x:c r="Q465"/>
      <x:c r="R465"/>
      <x:c r="S465"/>
      <x:c r="T465"/>
      <x:c r="U465" t="str">
        <x:v>Pending state Round-1 allotment/cutoff data</x:v>
      </x:c>
    </x:row>
    <x:row r="466">
      <x:c r="A466" t="str">
        <x:v>Odisha</x:v>
      </x:c>
      <x:c r="B466" t="str">
        <x:v>OD/011/P/4</x:v>
      </x:c>
      <x:c r="C466" t="str">
        <x:v>Kalinga Institute of Medical Sciences, Bhubaneswar</x:v>
      </x:c>
      <x:c r="D466" t="str">
        <x:v>Private</x:v>
      </x:c>
      <x:c r="E466" t="n">
        <x:v>250</x:v>
      </x:c>
      <x:c r="F466" t="n">
        <x:v>0</x:v>
      </x:c>
      <x:c r="G466" t="n">
        <x:v>250</x:v>
      </x:c>
      <x:c r="H466" t="str">
        <x:v>200376</x:v>
      </x:c>
      <x:c r="I466" t="n">
        <x:v>250</x:v>
      </x:c>
      <x:c r="J466" t="n">
        <x:v>217</x:v>
      </x:c>
      <x:c r="K466" t="n">
        <x:v>0</x:v>
      </x:c>
      <x:c r="L466" s="20" t="n">
        <x:v>0</x:v>
      </x:c>
      <x:c r="M466" t="str">
        <x:v>Variable</x:v>
      </x:c>
      <x:c r="N466" t="str">
        <x:v>Approx. Non-MCC Pool</x:v>
      </x:c>
      <x:c r="O466" t="str">
        <x:v>State/management/NRI split must be verified</x:v>
      </x:c>
      <x:c r="P466" t="n">
        <x:v>200469</x:v>
      </x:c>
      <x:c r="Q466"/>
      <x:c r="R466"/>
      <x:c r="S466"/>
      <x:c r="T466"/>
      <x:c r="U466" t="str">
        <x:v>Pending state Round-1 allotment/cutoff data</x:v>
      </x:c>
    </x:row>
    <x:row r="467">
      <x:c r="A467" t="str">
        <x:v>Puducherry</x:v>
      </x:c>
      <x:c r="B467" t="str">
        <x:v>PY/002/G/1</x:v>
      </x:c>
      <x:c r="C467" t="str">
        <x:v>Indira Gandhi Medical College &amp; Research Institute, Puducherry</x:v>
      </x:c>
      <x:c r="D467" t="str">
        <x:v>Government</x:v>
      </x:c>
      <x:c r="E467" t="n">
        <x:v>180</x:v>
      </x:c>
      <x:c r="F467" t="n">
        <x:v>0</x:v>
      </x:c>
      <x:c r="G467" t="n">
        <x:v>180</x:v>
      </x:c>
      <x:c r="H467" t="str">
        <x:v>200241</x:v>
      </x:c>
      <x:c r="I467" t="n">
        <x:v>27</x:v>
      </x:c>
      <x:c r="J467" t="n">
        <x:v>27</x:v>
      </x:c>
      <x:c r="K467" t="n">
        <x:v>153</x:v>
      </x:c>
      <x:c r="L467" s="20" t="n">
        <x:v>0.85</x:v>
      </x:c>
      <x:c r="M467" t="str">
        <x:v>High</x:v>
      </x:c>
      <x:c r="N467" t="str">
        <x:v>Approx. State/Non-MCC Pool</x:v>
      </x:c>
      <x:c r="O467" t="str">
        <x:v>Moderate state-counselling pool</x:v>
      </x:c>
      <x:c r="P467" t="n">
        <x:v>7033</x:v>
      </x:c>
      <x:c r="Q467" t="n">
        <x:v>9500</x:v>
      </x:c>
      <x:c r="R467" t="n">
        <x:v>14900</x:v>
      </x:c>
      <x:c r="S467" t="n">
        <x:v>48512</x:v>
      </x:c>
      <x:c r="T467" t="n">
        <x:v>99526</x:v>
      </x:c>
      <x:c r="U467" t="str">
        <x:v>Pending state Round-1 allotment/cutoff data</x:v>
      </x:c>
    </x:row>
    <x:row r="468">
      <x:c r="A468" t="str">
        <x:v>Puducherry</x:v>
      </x:c>
      <x:c r="B468" t="str">
        <x:v>PY/004/P/4</x:v>
      </x:c>
      <x:c r="C468" t="str">
        <x:v>Puducherry Institute of Medical Sciences &amp; Research, Pondicherry</x:v>
      </x:c>
      <x:c r="D468" t="str">
        <x:v>Private</x:v>
      </x:c>
      <x:c r="E468" t="n">
        <x:v>150</x:v>
      </x:c>
      <x:c r="F468" t="n">
        <x:v>100</x:v>
      </x:c>
      <x:c r="G468" t="n">
        <x:v>250</x:v>
      </x:c>
      <x:c r="H468"/>
      <x:c r="I468" t="n">
        <x:v>0</x:v>
      </x:c>
      <x:c r="J468" t="n">
        <x:v>0</x:v>
      </x:c>
      <x:c r="K468" t="n">
        <x:v>250</x:v>
      </x:c>
      <x:c r="L468" s="20" t="n">
        <x:v>1</x:v>
      </x:c>
      <x:c r="M468" t="str">
        <x:v>Variable</x:v>
      </x:c>
      <x:c r="N468" t="str">
        <x:v>Approx. Non-MCC Pool</x:v>
      </x:c>
      <x:c r="O468" t="str">
        <x:v>Expanded 2026 capacity; state/management split to verify</x:v>
      </x:c>
      <x:c r="P468"/>
      <x:c r="Q468"/>
      <x:c r="R468"/>
      <x:c r="S468"/>
      <x:c r="T468"/>
      <x:c r="U468" t="str">
        <x:v>Pending state Round-1 allotment/cutoff data</x:v>
      </x:c>
    </x:row>
    <x:row r="469">
      <x:c r="A469" t="str">
        <x:v>Puducherry</x:v>
      </x:c>
      <x:c r="B469" t="str">
        <x:v>PY/006/P/3</x:v>
      </x:c>
      <x:c r="C469" t="str">
        <x:v>Sri Manakula Vinayagar Medical College &amp; Hospital, Pondicherry</x:v>
      </x:c>
      <x:c r="D469" t="str">
        <x:v>Private</x:v>
      </x:c>
      <x:c r="E469" t="n">
        <x:v>250</x:v>
      </x:c>
      <x:c r="F469" t="n">
        <x:v>0</x:v>
      </x:c>
      <x:c r="G469" t="n">
        <x:v>250</x:v>
      </x:c>
      <x:c r="H469"/>
      <x:c r="I469" t="n">
        <x:v>0</x:v>
      </x:c>
      <x:c r="J469" t="n">
        <x:v>0</x:v>
      </x:c>
      <x:c r="K469" t="n">
        <x:v>250</x:v>
      </x:c>
      <x:c r="L469" s="20" t="n">
        <x:v>1</x:v>
      </x:c>
      <x:c r="M469" t="str">
        <x:v>Variable</x:v>
      </x:c>
      <x:c r="N469" t="str">
        <x:v>Approx. Non-MCC Pool</x:v>
      </x:c>
      <x:c r="O469" t="str">
        <x:v>Large non-MCC pool; quota split varies by state</x:v>
      </x:c>
      <x:c r="P469"/>
      <x:c r="Q469"/>
      <x:c r="R469"/>
      <x:c r="S469"/>
      <x:c r="T469"/>
      <x:c r="U469" t="str">
        <x:v>Pending state Round-1 allotment/cutoff data</x:v>
      </x:c>
    </x:row>
    <x:row r="470">
      <x:c r="A470" t="str">
        <x:v>Puducherry</x:v>
      </x:c>
      <x:c r="B470" t="str">
        <x:v>PY/007/P/3</x:v>
      </x:c>
      <x:c r="C470" t="str">
        <x:v>Sri Venkateswaraa Medical College, Hospital &amp; Research Centre, Pondicherry</x:v>
      </x:c>
      <x:c r="D470" t="str">
        <x:v>Private</x:v>
      </x:c>
      <x:c r="E470" t="n">
        <x:v>250</x:v>
      </x:c>
      <x:c r="F470" t="n">
        <x:v>0</x:v>
      </x:c>
      <x:c r="G470" t="n">
        <x:v>250</x:v>
      </x:c>
      <x:c r="H470"/>
      <x:c r="I470" t="n">
        <x:v>0</x:v>
      </x:c>
      <x:c r="J470" t="n">
        <x:v>0</x:v>
      </x:c>
      <x:c r="K470" t="n">
        <x:v>250</x:v>
      </x:c>
      <x:c r="L470" s="20" t="n">
        <x:v>1</x:v>
      </x:c>
      <x:c r="M470" t="str">
        <x:v>Variable</x:v>
      </x:c>
      <x:c r="N470" t="str">
        <x:v>Approx. Non-MCC Pool</x:v>
      </x:c>
      <x:c r="O470" t="str">
        <x:v>Large non-MCC pool; quota split varies by state</x:v>
      </x:c>
      <x:c r="P470"/>
      <x:c r="Q470"/>
      <x:c r="R470"/>
      <x:c r="S470"/>
      <x:c r="T470"/>
      <x:c r="U470" t="str">
        <x:v>Pending state Round-1 allotment/cutoff data</x:v>
      </x:c>
    </x:row>
    <x:row r="471">
      <x:c r="A471" t="str">
        <x:v>Puducherry</x:v>
      </x:c>
      <x:c r="B471" t="str">
        <x:v>PY/001/P/3</x:v>
      </x:c>
      <x:c r="C471" t="str">
        <x:v>Aarupadai Veedu Medical College, Pondicherry</x:v>
      </x:c>
      <x:c r="D471" t="str">
        <x:v>Private</x:v>
      </x:c>
      <x:c r="E471" t="n">
        <x:v>150</x:v>
      </x:c>
      <x:c r="F471" t="n">
        <x:v>0</x:v>
      </x:c>
      <x:c r="G471" t="n">
        <x:v>150</x:v>
      </x:c>
      <x:c r="H471" t="str">
        <x:v>200377</x:v>
      </x:c>
      <x:c r="I471" t="n">
        <x:v>150</x:v>
      </x:c>
      <x:c r="J471" t="n">
        <x:v>150</x:v>
      </x:c>
      <x:c r="K471" t="n">
        <x:v>0</x:v>
      </x:c>
      <x:c r="L471" s="20" t="n">
        <x:v>0</x:v>
      </x:c>
      <x:c r="M471" t="str">
        <x:v>Variable</x:v>
      </x:c>
      <x:c r="N471" t="str">
        <x:v>Approx. Non-MCC Pool</x:v>
      </x:c>
      <x:c r="O471" t="str">
        <x:v>State/management/NRI split must be verified</x:v>
      </x:c>
      <x:c r="P471" t="n">
        <x:v>751312</x:v>
      </x:c>
      <x:c r="Q471"/>
      <x:c r="R471"/>
      <x:c r="S471"/>
      <x:c r="T471"/>
      <x:c r="U471" t="str">
        <x:v>Pending state Round-1 allotment/cutoff data</x:v>
      </x:c>
    </x:row>
    <x:row r="472">
      <x:c r="A472" t="str">
        <x:v>Puducherry</x:v>
      </x:c>
      <x:c r="B472" t="str">
        <x:v>PY/003/P/3</x:v>
      </x:c>
      <x:c r="C472" t="str">
        <x:v>Mahatma Gandhi Medical College &amp; Research Institute, Pondicherry</x:v>
      </x:c>
      <x:c r="D472" t="str">
        <x:v>Private</x:v>
      </x:c>
      <x:c r="E472" t="n">
        <x:v>250</x:v>
      </x:c>
      <x:c r="F472" t="n">
        <x:v>0</x:v>
      </x:c>
      <x:c r="G472" t="n">
        <x:v>250</x:v>
      </x:c>
      <x:c r="H472" t="str">
        <x:v>200379</x:v>
      </x:c>
      <x:c r="I472" t="n">
        <x:v>250</x:v>
      </x:c>
      <x:c r="J472" t="n">
        <x:v>236</x:v>
      </x:c>
      <x:c r="K472" t="n">
        <x:v>0</x:v>
      </x:c>
      <x:c r="L472" s="20" t="n">
        <x:v>0</x:v>
      </x:c>
      <x:c r="M472" t="str">
        <x:v>Variable</x:v>
      </x:c>
      <x:c r="N472" t="str">
        <x:v>Approx. Non-MCC Pool</x:v>
      </x:c>
      <x:c r="O472" t="str">
        <x:v>State/management/NRI split must be verified</x:v>
      </x:c>
      <x:c r="P472" t="n">
        <x:v>716456</x:v>
      </x:c>
      <x:c r="Q472"/>
      <x:c r="R472"/>
      <x:c r="S472"/>
      <x:c r="T472"/>
      <x:c r="U472" t="str">
        <x:v>Pending state Round-1 allotment/cutoff data</x:v>
      </x:c>
    </x:row>
    <x:row r="473">
      <x:c r="A473" t="str">
        <x:v>Puducherry</x:v>
      </x:c>
      <x:c r="B473" t="str">
        <x:v>PY/005/P/3</x:v>
      </x:c>
      <x:c r="C473" t="str">
        <x:v>Sri Lakshmi Narayana Institute of Medical Sciences, Pondicherry</x:v>
      </x:c>
      <x:c r="D473" t="str">
        <x:v>Private</x:v>
      </x:c>
      <x:c r="E473" t="n">
        <x:v>250</x:v>
      </x:c>
      <x:c r="F473" t="n">
        <x:v>0</x:v>
      </x:c>
      <x:c r="G473" t="n">
        <x:v>250</x:v>
      </x:c>
      <x:c r="H473" t="str">
        <x:v>200380</x:v>
      </x:c>
      <x:c r="I473" t="n">
        <x:v>250</x:v>
      </x:c>
      <x:c r="J473" t="n">
        <x:v>120</x:v>
      </x:c>
      <x:c r="K473" t="n">
        <x:v>0</x:v>
      </x:c>
      <x:c r="L473" s="20" t="n">
        <x:v>0</x:v>
      </x:c>
      <x:c r="M473" t="str">
        <x:v>Variable</x:v>
      </x:c>
      <x:c r="N473" t="str">
        <x:v>Approx. Non-MCC Pool</x:v>
      </x:c>
      <x:c r="O473" t="str">
        <x:v>State/management/NRI split must be verified</x:v>
      </x:c>
      <x:c r="P473" t="n">
        <x:v>973704</x:v>
      </x:c>
      <x:c r="Q473"/>
      <x:c r="R473"/>
      <x:c r="S473"/>
      <x:c r="T473"/>
      <x:c r="U473" t="str">
        <x:v>Pending state Round-1 allotment/cutoff data</x:v>
      </x:c>
    </x:row>
    <x:row r="474">
      <x:c r="A474" t="str">
        <x:v>Puducherry</x:v>
      </x:c>
      <x:c r="B474" t="str">
        <x:v>PY/008/P/3</x:v>
      </x:c>
      <x:c r="C474" t="str">
        <x:v>Vinayaka Missions Medical College, Karaikal, Pondicherry</x:v>
      </x:c>
      <x:c r="D474" t="str">
        <x:v>Private</x:v>
      </x:c>
      <x:c r="E474" t="n">
        <x:v>150</x:v>
      </x:c>
      <x:c r="F474" t="n">
        <x:v>50</x:v>
      </x:c>
      <x:c r="G474" t="n">
        <x:v>200</x:v>
      </x:c>
      <x:c r="H474" t="str">
        <x:v>200381</x:v>
      </x:c>
      <x:c r="I474" t="n">
        <x:v>200</x:v>
      </x:c>
      <x:c r="J474" t="n">
        <x:v>200</x:v>
      </x:c>
      <x:c r="K474" t="n">
        <x:v>0</x:v>
      </x:c>
      <x:c r="L474" s="20" t="n">
        <x:v>0</x:v>
      </x:c>
      <x:c r="M474" t="str">
        <x:v>Variable</x:v>
      </x:c>
      <x:c r="N474" t="str">
        <x:v>Approx. Non-MCC Pool</x:v>
      </x:c>
      <x:c r="O474" t="str">
        <x:v>Expanded 2026 capacity; state/management split to verify</x:v>
      </x:c>
      <x:c r="P474" t="n">
        <x:v>665288</x:v>
      </x:c>
      <x:c r="Q474"/>
      <x:c r="R474"/>
      <x:c r="S474"/>
      <x:c r="T474"/>
      <x:c r="U474" t="str">
        <x:v>Pending state Round-1 allotment/cutoff data</x:v>
      </x:c>
    </x:row>
    <x:row r="475">
      <x:c r="A475" t="str">
        <x:v>Punjab</x:v>
      </x:c>
      <x:c r="B475" t="str">
        <x:v>PB/008/G/1</x:v>
      </x:c>
      <x:c r="C475" t="str">
        <x:v>Government Medical College, Patiala</x:v>
      </x:c>
      <x:c r="D475" t="str">
        <x:v>Government</x:v>
      </x:c>
      <x:c r="E475" t="n">
        <x:v>250</x:v>
      </x:c>
      <x:c r="F475" t="n">
        <x:v>0</x:v>
      </x:c>
      <x:c r="G475" t="n">
        <x:v>250</x:v>
      </x:c>
      <x:c r="H475" t="str">
        <x:v>200244</x:v>
      </x:c>
      <x:c r="I475" t="n">
        <x:v>37</x:v>
      </x:c>
      <x:c r="J475" t="n">
        <x:v>37</x:v>
      </x:c>
      <x:c r="K475" t="n">
        <x:v>213</x:v>
      </x:c>
      <x:c r="L475" s="20" t="n">
        <x:v>0.852</x:v>
      </x:c>
      <x:c r="M475" t="str">
        <x:v>High</x:v>
      </x:c>
      <x:c r="N475" t="str">
        <x:v>Approx. State/Non-MCC Pool</x:v>
      </x:c>
      <x:c r="O475" t="str">
        <x:v>Large state-counselling pool</x:v>
      </x:c>
      <x:c r="P475" t="n">
        <x:v>3564</x:v>
      </x:c>
      <x:c r="Q475" t="n">
        <x:v>4945</x:v>
      </x:c>
      <x:c r="R475" t="n">
        <x:v>6332</x:v>
      </x:c>
      <x:c r="S475" t="n">
        <x:v>34632</x:v>
      </x:c>
      <x:c r="T475" t="n">
        <x:v>76931</x:v>
      </x:c>
      <x:c r="U475" t="str">
        <x:v>Pending state Round-1 allotment/cutoff data</x:v>
      </x:c>
    </x:row>
    <x:row r="476">
      <x:c r="A476" t="str">
        <x:v>Punjab</x:v>
      </x:c>
      <x:c r="B476" t="str">
        <x:v>PB/009/G/1</x:v>
      </x:c>
      <x:c r="C476" t="str">
        <x:v>Guru Govind Singh Medical College, Faridkot</x:v>
      </x:c>
      <x:c r="D476" t="str">
        <x:v>Government</x:v>
      </x:c>
      <x:c r="E476" t="n">
        <x:v>250</x:v>
      </x:c>
      <x:c r="F476" t="n">
        <x:v>0</x:v>
      </x:c>
      <x:c r="G476" t="n">
        <x:v>250</x:v>
      </x:c>
      <x:c r="H476" t="str">
        <x:v>200247</x:v>
      </x:c>
      <x:c r="I476" t="n">
        <x:v>37</x:v>
      </x:c>
      <x:c r="J476" t="n">
        <x:v>37</x:v>
      </x:c>
      <x:c r="K476" t="n">
        <x:v>213</x:v>
      </x:c>
      <x:c r="L476" s="20" t="n">
        <x:v>0.852</x:v>
      </x:c>
      <x:c r="M476" t="str">
        <x:v>High</x:v>
      </x:c>
      <x:c r="N476" t="str">
        <x:v>Approx. State/Non-MCC Pool</x:v>
      </x:c>
      <x:c r="O476" t="str">
        <x:v>Large state-counselling pool</x:v>
      </x:c>
      <x:c r="P476" t="n">
        <x:v>7193</x:v>
      </x:c>
      <x:c r="Q476" t="n">
        <x:v>10180</x:v>
      </x:c>
      <x:c r="R476" t="n">
        <x:v>11158</x:v>
      </x:c>
      <x:c r="S476" t="n">
        <x:v>45286</x:v>
      </x:c>
      <x:c r="T476" t="n">
        <x:v>80424</x:v>
      </x:c>
      <x:c r="U476" t="str">
        <x:v>Pending state Round-1 allotment/cutoff data</x:v>
      </x:c>
    </x:row>
    <x:row r="477">
      <x:c r="A477" t="str">
        <x:v>Punjab</x:v>
      </x:c>
      <x:c r="B477" t="str">
        <x:v>PB/007/G/1</x:v>
      </x:c>
      <x:c r="C477" t="str">
        <x:v>Government Medical College, Amritsar</x:v>
      </x:c>
      <x:c r="D477" t="str">
        <x:v>Government</x:v>
      </x:c>
      <x:c r="E477" t="n">
        <x:v>250</x:v>
      </x:c>
      <x:c r="F477" t="n">
        <x:v>0</x:v>
      </x:c>
      <x:c r="G477" t="n">
        <x:v>250</x:v>
      </x:c>
      <x:c r="H477" t="str">
        <x:v>200246</x:v>
      </x:c>
      <x:c r="I477" t="n">
        <x:v>38</x:v>
      </x:c>
      <x:c r="J477" t="n">
        <x:v>38</x:v>
      </x:c>
      <x:c r="K477" t="n">
        <x:v>212</x:v>
      </x:c>
      <x:c r="L477" s="20" t="n">
        <x:v>0.848</x:v>
      </x:c>
      <x:c r="M477" t="str">
        <x:v>High</x:v>
      </x:c>
      <x:c r="N477" t="str">
        <x:v>Approx. State/Non-MCC Pool</x:v>
      </x:c>
      <x:c r="O477" t="str">
        <x:v>Large state-counselling pool</x:v>
      </x:c>
      <x:c r="P477" t="n">
        <x:v>4863</x:v>
      </x:c>
      <x:c r="Q477" t="n">
        <x:v>7362</x:v>
      </x:c>
      <x:c r="R477" t="n">
        <x:v>9543</x:v>
      </x:c>
      <x:c r="S477" t="n">
        <x:v>38152</x:v>
      </x:c>
      <x:c r="T477" t="n">
        <x:v>80963</x:v>
      </x:c>
      <x:c r="U477" t="str">
        <x:v>Pending state Round-1 allotment/cutoff data</x:v>
      </x:c>
    </x:row>
    <x:row r="478">
      <x:c r="A478" t="str">
        <x:v>Punjab</x:v>
      </x:c>
      <x:c r="B478" t="str">
        <x:v>PB/004/G/1</x:v>
      </x:c>
      <x:c r="C478" t="str">
        <x:v>Dr B R Ambedkar State Institute of Medical Sciences, SAS Nagar , Mohali</x:v>
      </x:c>
      <x:c r="D478" t="str">
        <x:v>Government</x:v>
      </x:c>
      <x:c r="E478" t="n">
        <x:v>100</x:v>
      </x:c>
      <x:c r="F478" t="n">
        <x:v>0</x:v>
      </x:c>
      <x:c r="G478" t="n">
        <x:v>100</x:v>
      </x:c>
      <x:c r="H478" t="str">
        <x:v>200572</x:v>
      </x:c>
      <x:c r="I478" t="n">
        <x:v>15</x:v>
      </x:c>
      <x:c r="J478" t="n">
        <x:v>15</x:v>
      </x:c>
      <x:c r="K478" t="n">
        <x:v>85</x:v>
      </x:c>
      <x:c r="L478" s="20" t="n">
        <x:v>0.85</x:v>
      </x:c>
      <x:c r="M478" t="str">
        <x:v>High</x:v>
      </x:c>
      <x:c r="N478" t="str">
        <x:v>Approx. State/Non-MCC Pool</x:v>
      </x:c>
      <x:c r="O478" t="str">
        <x:v>Moderate state-counselling pool</x:v>
      </x:c>
      <x:c r="P478" t="n">
        <x:v>6546</x:v>
      </x:c>
      <x:c r="Q478" t="n">
        <x:v>8332</x:v>
      </x:c>
      <x:c r="R478" t="n">
        <x:v>10274</x:v>
      </x:c>
      <x:c r="S478" t="n">
        <x:v>29375</x:v>
      </x:c>
      <x:c r="T478" t="n">
        <x:v>63607</x:v>
      </x:c>
      <x:c r="U478" t="str">
        <x:v>Pending state Round-1 allotment/cutoff data</x:v>
      </x:c>
    </x:row>
    <x:row r="479">
      <x:c r="A479" t="str">
        <x:v>Punjab</x:v>
      </x:c>
      <x:c r="B479" t="str">
        <x:v>PB/005/G/1</x:v>
      </x:c>
      <x:c r="C479" t="str">
        <x:v>ESIC Medical College Ludhiana</x:v>
      </x:c>
      <x:c r="D479" t="str">
        <x:v>Government</x:v>
      </x:c>
      <x:c r="E479" t="n">
        <x:v>50</x:v>
      </x:c>
      <x:c r="F479" t="n">
        <x:v>0</x:v>
      </x:c>
      <x:c r="G479" t="n">
        <x:v>50</x:v>
      </x:c>
      <x:c r="H479" t="str">
        <x:v>904354</x:v>
      </x:c>
      <x:c r="I479" t="n">
        <x:v>32</x:v>
      </x:c>
      <x:c r="J479" t="n">
        <x:v>31</x:v>
      </x:c>
      <x:c r="K479" t="n">
        <x:v>18</x:v>
      </x:c>
      <x:c r="L479" s="20" t="n">
        <x:v>0.36</x:v>
      </x:c>
      <x:c r="M479" t="str">
        <x:v>High</x:v>
      </x:c>
      <x:c r="N479" t="str">
        <x:v>Approx. State/Non-MCC Pool</x:v>
      </x:c>
      <x:c r="O479" t="str">
        <x:v>Smaller state-counselling pool</x:v>
      </x:c>
      <x:c r="P479" t="n">
        <x:v>22373</x:v>
      </x:c>
      <x:c r="Q479" t="n">
        <x:v>27006</x:v>
      </x:c>
      <x:c r="R479" t="n">
        <x:v>38262</x:v>
      </x:c>
      <x:c r="S479" t="n">
        <x:v>113434</x:v>
      </x:c>
      <x:c r="T479" t="n">
        <x:v>179067</x:v>
      </x:c>
      <x:c r="U479" t="str">
        <x:v>Pending state Round-1 allotment/cutoff data</x:v>
      </x:c>
    </x:row>
    <x:row r="480">
      <x:c r="A480" t="str">
        <x:v>Punjab</x:v>
      </x:c>
      <x:c r="B480" t="str">
        <x:v>PB/001/P/4</x:v>
      </x:c>
      <x:c r="C480" t="str">
        <x:v>Adesh Institute of Medical Sciences &amp; Research, Bhatinda</x:v>
      </x:c>
      <x:c r="D480" t="str">
        <x:v>Private</x:v>
      </x:c>
      <x:c r="E480" t="n">
        <x:v>150</x:v>
      </x:c>
      <x:c r="F480" t="n">
        <x:v>0</x:v>
      </x:c>
      <x:c r="G480" t="n">
        <x:v>150</x:v>
      </x:c>
      <x:c r="H480"/>
      <x:c r="I480" t="n">
        <x:v>0</x:v>
      </x:c>
      <x:c r="J480" t="n">
        <x:v>0</x:v>
      </x:c>
      <x:c r="K480" t="n">
        <x:v>150</x:v>
      </x:c>
      <x:c r="L480" s="20" t="n">
        <x:v>1</x:v>
      </x:c>
      <x:c r="M480" t="str">
        <x:v>Variable</x:v>
      </x:c>
      <x:c r="N480" t="str">
        <x:v>Approx. Non-MCC Pool</x:v>
      </x:c>
      <x:c r="O480" t="str">
        <x:v>Large non-MCC pool; quota split varies by state</x:v>
      </x:c>
      <x:c r="P480"/>
      <x:c r="Q480"/>
      <x:c r="R480"/>
      <x:c r="S480"/>
      <x:c r="T480"/>
      <x:c r="U480" t="str">
        <x:v>Pending state Round-1 allotment/cutoff data</x:v>
      </x:c>
    </x:row>
    <x:row r="481">
      <x:c r="A481" t="str">
        <x:v>Punjab</x:v>
      </x:c>
      <x:c r="B481" t="str">
        <x:v>PB/003/P/3</x:v>
      </x:c>
      <x:c r="C481" t="str">
        <x:v>Dayanand Medical College &amp; Hospital, Ludhiana</x:v>
      </x:c>
      <x:c r="D481" t="str">
        <x:v>Private</x:v>
      </x:c>
      <x:c r="E481" t="n">
        <x:v>150</x:v>
      </x:c>
      <x:c r="F481" t="n">
        <x:v>0</x:v>
      </x:c>
      <x:c r="G481" t="n">
        <x:v>150</x:v>
      </x:c>
      <x:c r="H481"/>
      <x:c r="I481" t="n">
        <x:v>0</x:v>
      </x:c>
      <x:c r="J481" t="n">
        <x:v>0</x:v>
      </x:c>
      <x:c r="K481" t="n">
        <x:v>150</x:v>
      </x:c>
      <x:c r="L481" s="20" t="n">
        <x:v>1</x:v>
      </x:c>
      <x:c r="M481" t="str">
        <x:v>Variable</x:v>
      </x:c>
      <x:c r="N481" t="str">
        <x:v>Approx. Non-MCC Pool</x:v>
      </x:c>
      <x:c r="O481" t="str">
        <x:v>Large non-MCC pool; quota split varies by state</x:v>
      </x:c>
      <x:c r="P481"/>
      <x:c r="Q481"/>
      <x:c r="R481"/>
      <x:c r="S481"/>
      <x:c r="T481"/>
      <x:c r="U481" t="str">
        <x:v>Pending state Round-1 allotment/cutoff data</x:v>
      </x:c>
    </x:row>
    <x:row r="482">
      <x:c r="A482" t="str">
        <x:v>Punjab</x:v>
      </x:c>
      <x:c r="B482" t="str">
        <x:v>PB/006/P/3</x:v>
      </x:c>
      <x:c r="C482" t="str">
        <x:v>Gian Sagar Medical College &amp; Hospital, Patiala</x:v>
      </x:c>
      <x:c r="D482" t="str">
        <x:v>Private</x:v>
      </x:c>
      <x:c r="E482" t="n">
        <x:v>150</x:v>
      </x:c>
      <x:c r="F482" t="n">
        <x:v>0</x:v>
      </x:c>
      <x:c r="G482" t="n">
        <x:v>150</x:v>
      </x:c>
      <x:c r="H482"/>
      <x:c r="I482" t="n">
        <x:v>0</x:v>
      </x:c>
      <x:c r="J482" t="n">
        <x:v>0</x:v>
      </x:c>
      <x:c r="K482" t="n">
        <x:v>150</x:v>
      </x:c>
      <x:c r="L482" s="20" t="n">
        <x:v>1</x:v>
      </x:c>
      <x:c r="M482" t="str">
        <x:v>Variable</x:v>
      </x:c>
      <x:c r="N482" t="str">
        <x:v>Approx. Non-MCC Pool</x:v>
      </x:c>
      <x:c r="O482" t="str">
        <x:v>Large non-MCC pool; quota split varies by state</x:v>
      </x:c>
      <x:c r="P482"/>
      <x:c r="Q482"/>
      <x:c r="R482"/>
      <x:c r="S482"/>
      <x:c r="T482"/>
      <x:c r="U482" t="str">
        <x:v>Pending state Round-1 allotment/cutoff data</x:v>
      </x:c>
    </x:row>
    <x:row r="483">
      <x:c r="A483" t="str">
        <x:v>Punjab</x:v>
      </x:c>
      <x:c r="B483" t="str">
        <x:v>PB/010/P/4</x:v>
      </x:c>
      <x:c r="C483" t="str">
        <x:v>Punjab Institute of Medical Sciences, Jalandhar</x:v>
      </x:c>
      <x:c r="D483" t="str">
        <x:v>Private</x:v>
      </x:c>
      <x:c r="E483" t="n">
        <x:v>150</x:v>
      </x:c>
      <x:c r="F483" t="n">
        <x:v>0</x:v>
      </x:c>
      <x:c r="G483" t="n">
        <x:v>150</x:v>
      </x:c>
      <x:c r="H483"/>
      <x:c r="I483" t="n">
        <x:v>0</x:v>
      </x:c>
      <x:c r="J483" t="n">
        <x:v>0</x:v>
      </x:c>
      <x:c r="K483" t="n">
        <x:v>150</x:v>
      </x:c>
      <x:c r="L483" s="20" t="n">
        <x:v>1</x:v>
      </x:c>
      <x:c r="M483" t="str">
        <x:v>Variable</x:v>
      </x:c>
      <x:c r="N483" t="str">
        <x:v>Approx. Non-MCC Pool</x:v>
      </x:c>
      <x:c r="O483" t="str">
        <x:v>Large non-MCC pool; quota split varies by state</x:v>
      </x:c>
      <x:c r="P483"/>
      <x:c r="Q483"/>
      <x:c r="R483"/>
      <x:c r="S483"/>
      <x:c r="T483"/>
      <x:c r="U483" t="str">
        <x:v>Pending state Round-1 allotment/cutoff data</x:v>
      </x:c>
    </x:row>
    <x:row r="484">
      <x:c r="A484" t="str">
        <x:v>Punjab</x:v>
      </x:c>
      <x:c r="B484" t="str">
        <x:v>PB/012/P/3</x:v>
      </x:c>
      <x:c r="C484" t="str">
        <x:v>Sri Guru Ram Das Institute of Medical Sciences and Research, Sri Amritsar</x:v>
      </x:c>
      <x:c r="D484" t="str">
        <x:v>Private</x:v>
      </x:c>
      <x:c r="E484" t="n">
        <x:v>150</x:v>
      </x:c>
      <x:c r="F484" t="n">
        <x:v>0</x:v>
      </x:c>
      <x:c r="G484" t="n">
        <x:v>150</x:v>
      </x:c>
      <x:c r="H484"/>
      <x:c r="I484" t="n">
        <x:v>0</x:v>
      </x:c>
      <x:c r="J484" t="n">
        <x:v>0</x:v>
      </x:c>
      <x:c r="K484" t="n">
        <x:v>150</x:v>
      </x:c>
      <x:c r="L484" s="20" t="n">
        <x:v>1</x:v>
      </x:c>
      <x:c r="M484" t="str">
        <x:v>Variable</x:v>
      </x:c>
      <x:c r="N484" t="str">
        <x:v>Approx. Non-MCC Pool</x:v>
      </x:c>
      <x:c r="O484" t="str">
        <x:v>Large non-MCC pool; quota split varies by state</x:v>
      </x:c>
      <x:c r="P484"/>
      <x:c r="Q484"/>
      <x:c r="R484"/>
      <x:c r="S484"/>
      <x:c r="T484"/>
      <x:c r="U484" t="str">
        <x:v>Pending state Round-1 allotment/cutoff data</x:v>
      </x:c>
    </x:row>
    <x:row r="485">
      <x:c r="A485" t="str">
        <x:v>Punjab</x:v>
      </x:c>
      <x:c r="B485" t="str">
        <x:v>PB/002/P/4</x:v>
      </x:c>
      <x:c r="C485" t="str">
        <x:v>Christian Medical College, Ludhiana</x:v>
      </x:c>
      <x:c r="D485" t="str">
        <x:v>Private</x:v>
      </x:c>
      <x:c r="E485" t="n">
        <x:v>100</x:v>
      </x:c>
      <x:c r="F485" t="n">
        <x:v>0</x:v>
      </x:c>
      <x:c r="G485" t="n">
        <x:v>100</x:v>
      </x:c>
      <x:c r="H485"/>
      <x:c r="I485" t="n">
        <x:v>0</x:v>
      </x:c>
      <x:c r="J485" t="n">
        <x:v>0</x:v>
      </x:c>
      <x:c r="K485" t="n">
        <x:v>100</x:v>
      </x:c>
      <x:c r="L485" s="20" t="n">
        <x:v>1</x:v>
      </x:c>
      <x:c r="M485" t="str">
        <x:v>Variable</x:v>
      </x:c>
      <x:c r="N485" t="str">
        <x:v>Approx. Non-MCC Pool</x:v>
      </x:c>
      <x:c r="O485" t="str">
        <x:v>State/management/NRI split must be verified</x:v>
      </x:c>
      <x:c r="P485"/>
      <x:c r="Q485"/>
      <x:c r="R485"/>
      <x:c r="S485"/>
      <x:c r="T485"/>
      <x:c r="U485" t="str">
        <x:v>Pending state Round-1 allotment/cutoff data</x:v>
      </x:c>
    </x:row>
    <x:row r="486">
      <x:c r="A486" t="str">
        <x:v>Punjab</x:v>
      </x:c>
      <x:c r="B486" t="str">
        <x:v>PB/011/P/3</x:v>
      </x:c>
      <x:c r="C486" t="str">
        <x:v>RIMT Medical College and Hospital</x:v>
      </x:c>
      <x:c r="D486" t="str">
        <x:v>Private</x:v>
      </x:c>
      <x:c r="E486" t="n">
        <x:v>50</x:v>
      </x:c>
      <x:c r="F486" t="n">
        <x:v>50</x:v>
      </x:c>
      <x:c r="G486" t="n">
        <x:v>100</x:v>
      </x:c>
      <x:c r="H486"/>
      <x:c r="I486" t="n">
        <x:v>0</x:v>
      </x:c>
      <x:c r="J486" t="n">
        <x:v>0</x:v>
      </x:c>
      <x:c r="K486" t="n">
        <x:v>100</x:v>
      </x:c>
      <x:c r="L486" s="20" t="n">
        <x:v>1</x:v>
      </x:c>
      <x:c r="M486" t="str">
        <x:v>Variable</x:v>
      </x:c>
      <x:c r="N486" t="str">
        <x:v>Approx. Non-MCC Pool</x:v>
      </x:c>
      <x:c r="O486" t="str">
        <x:v>Expanded 2026 capacity; state/management split to verify</x:v>
      </x:c>
      <x:c r="P486"/>
      <x:c r="Q486"/>
      <x:c r="R486"/>
      <x:c r="S486"/>
      <x:c r="T486"/>
      <x:c r="U486" t="str">
        <x:v>Pending state Round-1 allotment/cutoff data</x:v>
      </x:c>
    </x:row>
    <x:row r="487">
      <x:c r="A487" t="str">
        <x:v>Rajasthan</x:v>
      </x:c>
      <x:c r="B487" t="str">
        <x:v>RJ/027/G/1</x:v>
      </x:c>
      <x:c r="C487" t="str">
        <x:v>Government Medical College, Kota</x:v>
      </x:c>
      <x:c r="D487" t="str">
        <x:v>Government</x:v>
      </x:c>
      <x:c r="E487" t="n">
        <x:v>250</x:v>
      </x:c>
      <x:c r="F487" t="n">
        <x:v>0</x:v>
      </x:c>
      <x:c r="G487" t="n">
        <x:v>250</x:v>
      </x:c>
      <x:c r="H487" t="str">
        <x:v>200250</x:v>
      </x:c>
      <x:c r="I487" t="n">
        <x:v>37</x:v>
      </x:c>
      <x:c r="J487" t="n">
        <x:v>37</x:v>
      </x:c>
      <x:c r="K487" t="n">
        <x:v>213</x:v>
      </x:c>
      <x:c r="L487" s="20" t="n">
        <x:v>0.852</x:v>
      </x:c>
      <x:c r="M487" t="str">
        <x:v>High</x:v>
      </x:c>
      <x:c r="N487" t="str">
        <x:v>Approx. State/Non-MCC Pool</x:v>
      </x:c>
      <x:c r="O487" t="str">
        <x:v>Large state-counselling pool</x:v>
      </x:c>
      <x:c r="P487" t="n">
        <x:v>4826</x:v>
      </x:c>
      <x:c r="Q487" t="n">
        <x:v>5143</x:v>
      </x:c>
      <x:c r="R487" t="n">
        <x:v>6260</x:v>
      </x:c>
      <x:c r="S487" t="n">
        <x:v>29796</x:v>
      </x:c>
      <x:c r="T487" t="n">
        <x:v>39741</x:v>
      </x:c>
      <x:c r="U487" t="str">
        <x:v>Pending state Round-1 allotment/cutoff data</x:v>
      </x:c>
    </x:row>
    <x:row r="488">
      <x:c r="A488" t="str">
        <x:v>Rajasthan</x:v>
      </x:c>
      <x:c r="B488" t="str">
        <x:v>RJ/041/G/1</x:v>
      </x:c>
      <x:c r="C488" t="str">
        <x:v>R N T Medical College, Udaipur</x:v>
      </x:c>
      <x:c r="D488" t="str">
        <x:v>Government</x:v>
      </x:c>
      <x:c r="E488" t="n">
        <x:v>250</x:v>
      </x:c>
      <x:c r="F488" t="n">
        <x:v>0</x:v>
      </x:c>
      <x:c r="G488" t="n">
        <x:v>250</x:v>
      </x:c>
      <x:c r="H488" t="str">
        <x:v>200253</x:v>
      </x:c>
      <x:c r="I488" t="n">
        <x:v>37</x:v>
      </x:c>
      <x:c r="J488" t="n">
        <x:v>37</x:v>
      </x:c>
      <x:c r="K488" t="n">
        <x:v>213</x:v>
      </x:c>
      <x:c r="L488" s="20" t="n">
        <x:v>0.852</x:v>
      </x:c>
      <x:c r="M488" t="str">
        <x:v>High</x:v>
      </x:c>
      <x:c r="N488" t="str">
        <x:v>Approx. State/Non-MCC Pool</x:v>
      </x:c>
      <x:c r="O488" t="str">
        <x:v>Large state-counselling pool</x:v>
      </x:c>
      <x:c r="P488" t="n">
        <x:v>3619</x:v>
      </x:c>
      <x:c r="Q488" t="n">
        <x:v>4213</x:v>
      </x:c>
      <x:c r="R488" t="n">
        <x:v>5197</x:v>
      </x:c>
      <x:c r="S488" t="n">
        <x:v>26735</x:v>
      </x:c>
      <x:c r="T488" t="n">
        <x:v>38665</x:v>
      </x:c>
      <x:c r="U488" t="str">
        <x:v>Pending state Round-1 allotment/cutoff data</x:v>
      </x:c>
    </x:row>
    <x:row r="489">
      <x:c r="A489" t="str">
        <x:v>Rajasthan</x:v>
      </x:c>
      <x:c r="B489" t="str">
        <x:v>RJ/045/G/1</x:v>
      </x:c>
      <x:c r="C489" t="str">
        <x:v>SMS Medical College, Jaipur</x:v>
      </x:c>
      <x:c r="D489" t="str">
        <x:v>Government</x:v>
      </x:c>
      <x:c r="E489" t="n">
        <x:v>250</x:v>
      </x:c>
      <x:c r="F489" t="n">
        <x:v>0</x:v>
      </x:c>
      <x:c r="G489" t="n">
        <x:v>250</x:v>
      </x:c>
      <x:c r="H489" t="str">
        <x:v>200256</x:v>
      </x:c>
      <x:c r="I489" t="n">
        <x:v>37</x:v>
      </x:c>
      <x:c r="J489" t="n">
        <x:v>37</x:v>
      </x:c>
      <x:c r="K489" t="n">
        <x:v>213</x:v>
      </x:c>
      <x:c r="L489" s="20" t="n">
        <x:v>0.852</x:v>
      </x:c>
      <x:c r="M489" t="str">
        <x:v>High</x:v>
      </x:c>
      <x:c r="N489" t="str">
        <x:v>Approx. State/Non-MCC Pool</x:v>
      </x:c>
      <x:c r="O489" t="str">
        <x:v>Large state-counselling pool</x:v>
      </x:c>
      <x:c r="P489" t="n">
        <x:v>938</x:v>
      </x:c>
      <x:c r="Q489" t="n">
        <x:v>1738</x:v>
      </x:c>
      <x:c r="R489" t="n">
        <x:v>2840</x:v>
      </x:c>
      <x:c r="S489" t="n">
        <x:v>14776</x:v>
      </x:c>
      <x:c r="T489" t="n">
        <x:v>8775</x:v>
      </x:c>
      <x:c r="U489" t="str">
        <x:v>Pending state Round-1 allotment/cutoff data</x:v>
      </x:c>
    </x:row>
    <x:row r="490">
      <x:c r="A490" t="str">
        <x:v>Rajasthan</x:v>
      </x:c>
      <x:c r="B490" t="str">
        <x:v>RJ/006/G/1</x:v>
      </x:c>
      <x:c r="C490" t="str">
        <x:v>Dr SN Medical College, Jodhpur</x:v>
      </x:c>
      <x:c r="D490" t="str">
        <x:v>Government</x:v>
      </x:c>
      <x:c r="E490" t="n">
        <x:v>250</x:v>
      </x:c>
      <x:c r="F490" t="n">
        <x:v>0</x:v>
      </x:c>
      <x:c r="G490" t="n">
        <x:v>250</x:v>
      </x:c>
      <x:c r="H490" t="str">
        <x:v>200249</x:v>
      </x:c>
      <x:c r="I490" t="n">
        <x:v>38</x:v>
      </x:c>
      <x:c r="J490" t="n">
        <x:v>38</x:v>
      </x:c>
      <x:c r="K490" t="n">
        <x:v>212</x:v>
      </x:c>
      <x:c r="L490" s="20" t="n">
        <x:v>0.848</x:v>
      </x:c>
      <x:c r="M490" t="str">
        <x:v>High</x:v>
      </x:c>
      <x:c r="N490" t="str">
        <x:v>Approx. State/Non-MCC Pool</x:v>
      </x:c>
      <x:c r="O490" t="str">
        <x:v>Large state-counselling pool</x:v>
      </x:c>
      <x:c r="P490" t="n">
        <x:v>3490</x:v>
      </x:c>
      <x:c r="Q490" t="n">
        <x:v>3954</x:v>
      </x:c>
      <x:c r="R490" t="n">
        <x:v>5036</x:v>
      </x:c>
      <x:c r="S490" t="n">
        <x:v>23709</x:v>
      </x:c>
      <x:c r="T490" t="n">
        <x:v>17510</x:v>
      </x:c>
      <x:c r="U490" t="str">
        <x:v>Pending state Round-1 allotment/cutoff data</x:v>
      </x:c>
    </x:row>
    <x:row r="491">
      <x:c r="A491" t="str">
        <x:v>Rajasthan</x:v>
      </x:c>
      <x:c r="B491" t="str">
        <x:v>RJ/034/G/1</x:v>
      </x:c>
      <x:c r="C491" t="str">
        <x:v>Jawaharlal Nehru Medical College, Ajmer</x:v>
      </x:c>
      <x:c r="D491" t="str">
        <x:v>Government</x:v>
      </x:c>
      <x:c r="E491" t="n">
        <x:v>250</x:v>
      </x:c>
      <x:c r="F491" t="n">
        <x:v>0</x:v>
      </x:c>
      <x:c r="G491" t="n">
        <x:v>250</x:v>
      </x:c>
      <x:c r="H491" t="str">
        <x:v>200251</x:v>
      </x:c>
      <x:c r="I491" t="n">
        <x:v>38</x:v>
      </x:c>
      <x:c r="J491" t="n">
        <x:v>38</x:v>
      </x:c>
      <x:c r="K491" t="n">
        <x:v>212</x:v>
      </x:c>
      <x:c r="L491" s="20" t="n">
        <x:v>0.848</x:v>
      </x:c>
      <x:c r="M491" t="str">
        <x:v>High</x:v>
      </x:c>
      <x:c r="N491" t="str">
        <x:v>Approx. State/Non-MCC Pool</x:v>
      </x:c>
      <x:c r="O491" t="str">
        <x:v>Large state-counselling pool</x:v>
      </x:c>
      <x:c r="P491" t="n">
        <x:v>4361</x:v>
      </x:c>
      <x:c r="Q491" t="n">
        <x:v>4716</x:v>
      </x:c>
      <x:c r="R491" t="n">
        <x:v>5472</x:v>
      </x:c>
      <x:c r="S491" t="n">
        <x:v>28399</x:v>
      </x:c>
      <x:c r="T491" t="n">
        <x:v>39471</x:v>
      </x:c>
      <x:c r="U491" t="str">
        <x:v>Pending state Round-1 allotment/cutoff data</x:v>
      </x:c>
    </x:row>
    <x:row r="492">
      <x:c r="A492" t="str">
        <x:v>Rajasthan</x:v>
      </x:c>
      <x:c r="B492" t="str">
        <x:v>RJ/043/G/1</x:v>
      </x:c>
      <x:c r="C492" t="str">
        <x:v>Sardar Patel Medical College, Bikaner</x:v>
      </x:c>
      <x:c r="D492" t="str">
        <x:v>Government</x:v>
      </x:c>
      <x:c r="E492" t="n">
        <x:v>250</x:v>
      </x:c>
      <x:c r="F492" t="n">
        <x:v>0</x:v>
      </x:c>
      <x:c r="G492" t="n">
        <x:v>250</x:v>
      </x:c>
      <x:c r="H492" t="str">
        <x:v>200257</x:v>
      </x:c>
      <x:c r="I492" t="n">
        <x:v>38</x:v>
      </x:c>
      <x:c r="J492" t="n">
        <x:v>38</x:v>
      </x:c>
      <x:c r="K492" t="n">
        <x:v>212</x:v>
      </x:c>
      <x:c r="L492" s="20" t="n">
        <x:v>0.848</x:v>
      </x:c>
      <x:c r="M492" t="str">
        <x:v>High</x:v>
      </x:c>
      <x:c r="N492" t="str">
        <x:v>Approx. State/Non-MCC Pool</x:v>
      </x:c>
      <x:c r="O492" t="str">
        <x:v>Large state-counselling pool</x:v>
      </x:c>
      <x:c r="P492" t="n">
        <x:v>2774</x:v>
      </x:c>
      <x:c r="Q492" t="n">
        <x:v>3760</x:v>
      </x:c>
      <x:c r="R492" t="n">
        <x:v>3777</x:v>
      </x:c>
      <x:c r="S492" t="n">
        <x:v>22764</x:v>
      </x:c>
      <x:c r="T492" t="n">
        <x:v>34177</x:v>
      </x:c>
      <x:c r="U492" t="str">
        <x:v>Pending state Round-1 allotment/cutoff data</x:v>
      </x:c>
    </x:row>
    <x:row r="493">
      <x:c r="A493" t="str">
        <x:v>Rajasthan</x:v>
      </x:c>
      <x:c r="B493" t="str">
        <x:v>RJ/035/G/1</x:v>
      </x:c>
      <x:c r="C493" t="str">
        <x:v>Jhalawar Medical College, Jhalawar</x:v>
      </x:c>
      <x:c r="D493" t="str">
        <x:v>Government</x:v>
      </x:c>
      <x:c r="E493" t="n">
        <x:v>200</x:v>
      </x:c>
      <x:c r="F493" t="n">
        <x:v>0</x:v>
      </x:c>
      <x:c r="G493" t="n">
        <x:v>200</x:v>
      </x:c>
      <x:c r="H493" t="str">
        <x:v>200252</x:v>
      </x:c>
      <x:c r="I493" t="n">
        <x:v>30</x:v>
      </x:c>
      <x:c r="J493" t="n">
        <x:v>30</x:v>
      </x:c>
      <x:c r="K493" t="n">
        <x:v>170</x:v>
      </x:c>
      <x:c r="L493" s="20" t="n">
        <x:v>0.85</x:v>
      </x:c>
      <x:c r="M493" t="str">
        <x:v>High</x:v>
      </x:c>
      <x:c r="N493" t="str">
        <x:v>Approx. State/Non-MCC Pool</x:v>
      </x:c>
      <x:c r="O493" t="str">
        <x:v>Large state-counselling pool</x:v>
      </x:c>
      <x:c r="P493" t="n">
        <x:v>6360</x:v>
      </x:c>
      <x:c r="Q493" t="n">
        <x:v>7194</x:v>
      </x:c>
      <x:c r="R493" t="n">
        <x:v>7232</x:v>
      </x:c>
      <x:c r="S493" t="n">
        <x:v>40168</x:v>
      </x:c>
      <x:c r="T493" t="n">
        <x:v>41348</x:v>
      </x:c>
      <x:c r="U493" t="str">
        <x:v>Pending state Round-1 allotment/cutoff data</x:v>
      </x:c>
    </x:row>
    <x:row r="494">
      <x:c r="A494" t="str">
        <x:v>Rajasthan</x:v>
      </x:c>
      <x:c r="B494" t="str">
        <x:v>RJ/015/G/1</x:v>
      </x:c>
      <x:c r="C494" t="str">
        <x:v>Government Medical College, Bharatpur, Rajasthan</x:v>
      </x:c>
      <x:c r="D494" t="str">
        <x:v>Government</x:v>
      </x:c>
      <x:c r="E494" t="n">
        <x:v>150</x:v>
      </x:c>
      <x:c r="F494" t="n">
        <x:v>0</x:v>
      </x:c>
      <x:c r="G494" t="n">
        <x:v>150</x:v>
      </x:c>
      <x:c r="H494" t="str">
        <x:v>200432</x:v>
      </x:c>
      <x:c r="I494" t="n">
        <x:v>22</x:v>
      </x:c>
      <x:c r="J494" t="n">
        <x:v>22</x:v>
      </x:c>
      <x:c r="K494" t="n">
        <x:v>128</x:v>
      </x:c>
      <x:c r="L494" s="20" t="n">
        <x:v>0.8533333333333334</x:v>
      </x:c>
      <x:c r="M494" t="str">
        <x:v>High</x:v>
      </x:c>
      <x:c r="N494" t="str">
        <x:v>Approx. State/Non-MCC Pool</x:v>
      </x:c>
      <x:c r="O494" t="str">
        <x:v>Moderate state-counselling pool</x:v>
      </x:c>
      <x:c r="P494" t="n">
        <x:v>7627</x:v>
      </x:c>
      <x:c r="Q494" t="n">
        <x:v>8536</x:v>
      </x:c>
      <x:c r="R494" t="n">
        <x:v>8688</x:v>
      </x:c>
      <x:c r="S494" t="n">
        <x:v>52472</x:v>
      </x:c>
      <x:c r="T494" t="n">
        <x:v>45737</x:v>
      </x:c>
      <x:c r="U494" t="str">
        <x:v>Pending state Round-1 allotment/cutoff data</x:v>
      </x:c>
    </x:row>
    <x:row r="495">
      <x:c r="A495" t="str">
        <x:v>Rajasthan</x:v>
      </x:c>
      <x:c r="B495" t="str">
        <x:v>RJ/016/G/1</x:v>
      </x:c>
      <x:c r="C495" t="str">
        <x:v>Government Medical College, Bhilwara, Rajasthan</x:v>
      </x:c>
      <x:c r="D495" t="str">
        <x:v>Government</x:v>
      </x:c>
      <x:c r="E495" t="n">
        <x:v>150</x:v>
      </x:c>
      <x:c r="F495" t="n">
        <x:v>0</x:v>
      </x:c>
      <x:c r="G495" t="n">
        <x:v>150</x:v>
      </x:c>
      <x:c r="H495" t="str">
        <x:v>200433</x:v>
      </x:c>
      <x:c r="I495" t="n">
        <x:v>22</x:v>
      </x:c>
      <x:c r="J495" t="n">
        <x:v>22</x:v>
      </x:c>
      <x:c r="K495" t="n">
        <x:v>128</x:v>
      </x:c>
      <x:c r="L495" s="20" t="n">
        <x:v>0.8533333333333334</x:v>
      </x:c>
      <x:c r="M495" t="str">
        <x:v>High</x:v>
      </x:c>
      <x:c r="N495" t="str">
        <x:v>Approx. State/Non-MCC Pool</x:v>
      </x:c>
      <x:c r="O495" t="str">
        <x:v>Moderate state-counselling pool</x:v>
      </x:c>
      <x:c r="P495" t="n">
        <x:v>7100</x:v>
      </x:c>
      <x:c r="Q495" t="n">
        <x:v>7610</x:v>
      </x:c>
      <x:c r="R495" t="n">
        <x:v>9187</x:v>
      </x:c>
      <x:c r="S495" t="n">
        <x:v>49100</x:v>
      </x:c>
      <x:c r="T495" t="n">
        <x:v>63356</x:v>
      </x:c>
      <x:c r="U495" t="str">
        <x:v>Pending state Round-1 allotment/cutoff data</x:v>
      </x:c>
    </x:row>
    <x:row r="496">
      <x:c r="A496" t="str">
        <x:v>Rajasthan</x:v>
      </x:c>
      <x:c r="B496" t="str">
        <x:v>RJ/022/G/1</x:v>
      </x:c>
      <x:c r="C496" t="str">
        <x:v>Government Medical College, Dungarpur</x:v>
      </x:c>
      <x:c r="D496" t="str">
        <x:v>Government</x:v>
      </x:c>
      <x:c r="E496" t="n">
        <x:v>150</x:v>
      </x:c>
      <x:c r="F496" t="n">
        <x:v>0</x:v>
      </x:c>
      <x:c r="G496" t="n">
        <x:v>150</x:v>
      </x:c>
      <x:c r="H496" t="str">
        <x:v>200429</x:v>
      </x:c>
      <x:c r="I496" t="n">
        <x:v>22</x:v>
      </x:c>
      <x:c r="J496" t="n">
        <x:v>21</x:v>
      </x:c>
      <x:c r="K496" t="n">
        <x:v>128</x:v>
      </x:c>
      <x:c r="L496" s="20" t="n">
        <x:v>0.8533333333333334</x:v>
      </x:c>
      <x:c r="M496" t="str">
        <x:v>High</x:v>
      </x:c>
      <x:c r="N496" t="str">
        <x:v>Approx. State/Non-MCC Pool</x:v>
      </x:c>
      <x:c r="O496" t="str">
        <x:v>Moderate state-counselling pool</x:v>
      </x:c>
      <x:c r="P496" t="n">
        <x:v>9819</x:v>
      </x:c>
      <x:c r="Q496" t="n">
        <x:v>11208</x:v>
      </x:c>
      <x:c r="R496" t="n">
        <x:v>11154</x:v>
      </x:c>
      <x:c r="S496" t="n">
        <x:v>56212</x:v>
      </x:c>
      <x:c r="T496" t="n">
        <x:v>76008</x:v>
      </x:c>
      <x:c r="U496" t="str">
        <x:v>Pending state Round-1 allotment/cutoff data</x:v>
      </x:c>
    </x:row>
    <x:row r="497">
      <x:c r="A497" t="str">
        <x:v>Rajasthan</x:v>
      </x:c>
      <x:c r="B497" t="str">
        <x:v>RJ/029/G/1</x:v>
      </x:c>
      <x:c r="C497" t="str">
        <x:v>Government Medical College, Pali, Rajasthan</x:v>
      </x:c>
      <x:c r="D497" t="str">
        <x:v>Government</x:v>
      </x:c>
      <x:c r="E497" t="n">
        <x:v>150</x:v>
      </x:c>
      <x:c r="F497" t="n">
        <x:v>0</x:v>
      </x:c>
      <x:c r="G497" t="n">
        <x:v>150</x:v>
      </x:c>
      <x:c r="H497" t="str">
        <x:v>200435</x:v>
      </x:c>
      <x:c r="I497" t="n">
        <x:v>22</x:v>
      </x:c>
      <x:c r="J497" t="n">
        <x:v>22</x:v>
      </x:c>
      <x:c r="K497" t="n">
        <x:v>128</x:v>
      </x:c>
      <x:c r="L497" s="20" t="n">
        <x:v>0.8533333333333334</x:v>
      </x:c>
      <x:c r="M497" t="str">
        <x:v>High</x:v>
      </x:c>
      <x:c r="N497" t="str">
        <x:v>Approx. State/Non-MCC Pool</x:v>
      </x:c>
      <x:c r="O497" t="str">
        <x:v>Moderate state-counselling pool</x:v>
      </x:c>
      <x:c r="P497" t="n">
        <x:v>6630</x:v>
      </x:c>
      <x:c r="Q497" t="n">
        <x:v>7470</x:v>
      </x:c>
      <x:c r="R497" t="n">
        <x:v>8606</x:v>
      </x:c>
      <x:c r="S497" t="n">
        <x:v>47361</x:v>
      </x:c>
      <x:c r="T497" t="n">
        <x:v>59432</x:v>
      </x:c>
      <x:c r="U497" t="str">
        <x:v>Pending state Round-1 allotment/cutoff data</x:v>
      </x:c>
    </x:row>
    <x:row r="498">
      <x:c r="A498" t="str">
        <x:v>Rajasthan</x:v>
      </x:c>
      <x:c r="B498" t="str">
        <x:v>RJ/019/G/1</x:v>
      </x:c>
      <x:c r="C498" t="str">
        <x:v>Government Medical College, Churu</x:v>
      </x:c>
      <x:c r="D498" t="str">
        <x:v>Government</x:v>
      </x:c>
      <x:c r="E498" t="n">
        <x:v>150</x:v>
      </x:c>
      <x:c r="F498" t="n">
        <x:v>0</x:v>
      </x:c>
      <x:c r="G498" t="n">
        <x:v>150</x:v>
      </x:c>
      <x:c r="H498" t="str">
        <x:v>200430</x:v>
      </x:c>
      <x:c r="I498" t="n">
        <x:v>23</x:v>
      </x:c>
      <x:c r="J498" t="n">
        <x:v>23</x:v>
      </x:c>
      <x:c r="K498" t="n">
        <x:v>127</x:v>
      </x:c>
      <x:c r="L498" s="20" t="n">
        <x:v>0.8466666666666667</x:v>
      </x:c>
      <x:c r="M498" t="str">
        <x:v>High</x:v>
      </x:c>
      <x:c r="N498" t="str">
        <x:v>Approx. State/Non-MCC Pool</x:v>
      </x:c>
      <x:c r="O498" t="str">
        <x:v>Moderate state-counselling pool</x:v>
      </x:c>
      <x:c r="P498" t="n">
        <x:v>7561</x:v>
      </x:c>
      <x:c r="Q498" t="n">
        <x:v>8710</x:v>
      </x:c>
      <x:c r="R498" t="n">
        <x:v>10430</x:v>
      </x:c>
      <x:c r="S498" t="n">
        <x:v>54634</x:v>
      </x:c>
      <x:c r="T498" t="n">
        <x:v>66475</x:v>
      </x:c>
      <x:c r="U498" t="str">
        <x:v>Pending state Round-1 allotment/cutoff data</x:v>
      </x:c>
    </x:row>
    <x:row r="499">
      <x:c r="A499" t="str">
        <x:v>Rajasthan</x:v>
      </x:c>
      <x:c r="B499" t="str">
        <x:v>RJ/042/G/1</x:v>
      </x:c>
      <x:c r="C499" t="str">
        <x:v>RUHS College of Medical Sciences, Jaipur</x:v>
      </x:c>
      <x:c r="D499" t="str">
        <x:v>Government</x:v>
      </x:c>
      <x:c r="E499" t="n">
        <x:v>150</x:v>
      </x:c>
      <x:c r="F499" t="n">
        <x:v>0</x:v>
      </x:c>
      <x:c r="G499" t="n">
        <x:v>150</x:v>
      </x:c>
      <x:c r="H499" t="str">
        <x:v>200255</x:v>
      </x:c>
      <x:c r="I499" t="n">
        <x:v>23</x:v>
      </x:c>
      <x:c r="J499" t="n">
        <x:v>23</x:v>
      </x:c>
      <x:c r="K499" t="n">
        <x:v>127</x:v>
      </x:c>
      <x:c r="L499" s="20" t="n">
        <x:v>0.8466666666666667</x:v>
      </x:c>
      <x:c r="M499" t="str">
        <x:v>High</x:v>
      </x:c>
      <x:c r="N499" t="str">
        <x:v>Approx. State/Non-MCC Pool</x:v>
      </x:c>
      <x:c r="O499" t="str">
        <x:v>Moderate state-counselling pool</x:v>
      </x:c>
      <x:c r="P499" t="n">
        <x:v>2894</x:v>
      </x:c>
      <x:c r="Q499" t="n">
        <x:v>3176</x:v>
      </x:c>
      <x:c r="R499" t="n">
        <x:v>3930</x:v>
      </x:c>
      <x:c r="S499" t="n">
        <x:v>25550</x:v>
      </x:c>
      <x:c r="T499" t="n">
        <x:v>34142</x:v>
      </x:c>
      <x:c r="U499" t="str">
        <x:v>Pending state Round-1 allotment/cutoff data</x:v>
      </x:c>
    </x:row>
    <x:row r="500">
      <x:c r="A500" t="str">
        <x:v>Rajasthan</x:v>
      </x:c>
      <x:c r="B500" t="str">
        <x:v>RJ/014/G/1</x:v>
      </x:c>
      <x:c r="C500" t="str">
        <x:v>Government Medical College, Barmer</x:v>
      </x:c>
      <x:c r="D500" t="str">
        <x:v>Government</x:v>
      </x:c>
      <x:c r="E500" t="n">
        <x:v>130</x:v>
      </x:c>
      <x:c r="F500" t="n">
        <x:v>0</x:v>
      </x:c>
      <x:c r="G500" t="n">
        <x:v>130</x:v>
      </x:c>
      <x:c r="H500" t="str">
        <x:v>200478</x:v>
      </x:c>
      <x:c r="I500" t="n">
        <x:v>20</x:v>
      </x:c>
      <x:c r="J500" t="n">
        <x:v>20</x:v>
      </x:c>
      <x:c r="K500" t="n">
        <x:v>110</x:v>
      </x:c>
      <x:c r="L500" s="20" t="n">
        <x:v>0.8461538461538461</x:v>
      </x:c>
      <x:c r="M500" t="str">
        <x:v>High</x:v>
      </x:c>
      <x:c r="N500" t="str">
        <x:v>Approx. State/Non-MCC Pool</x:v>
      </x:c>
      <x:c r="O500" t="str">
        <x:v>Moderate state-counselling pool</x:v>
      </x:c>
      <x:c r="P500" t="n">
        <x:v>8610</x:v>
      </x:c>
      <x:c r="Q500" t="n">
        <x:v>9546</x:v>
      </x:c>
      <x:c r="R500" t="n">
        <x:v>10716</x:v>
      </x:c>
      <x:c r="S500" t="n">
        <x:v>58460</x:v>
      </x:c>
      <x:c r="T500" t="n">
        <x:v>71454</x:v>
      </x:c>
      <x:c r="U500" t="str">
        <x:v>Pending state Round-1 allotment/cutoff data</x:v>
      </x:c>
    </x:row>
    <x:row r="501">
      <x:c r="A501" t="str">
        <x:v>Rajasthan</x:v>
      </x:c>
      <x:c r="B501" t="str">
        <x:v>RJ/011/G/5</x:v>
      </x:c>
      <x:c r="C501" t="str">
        <x:v>Government Medical College, Alwar</x:v>
      </x:c>
      <x:c r="D501" t="str">
        <x:v>Government</x:v>
      </x:c>
      <x:c r="E501" t="n">
        <x:v>100</x:v>
      </x:c>
      <x:c r="F501" t="n">
        <x:v>0</x:v>
      </x:c>
      <x:c r="G501" t="n">
        <x:v>100</x:v>
      </x:c>
      <x:c r="H501" t="str">
        <x:v>200670</x:v>
      </x:c>
      <x:c r="I501" t="n">
        <x:v>15</x:v>
      </x:c>
      <x:c r="J501" t="n">
        <x:v>15</x:v>
      </x:c>
      <x:c r="K501" t="n">
        <x:v>85</x:v>
      </x:c>
      <x:c r="L501" s="20" t="n">
        <x:v>0.85</x:v>
      </x:c>
      <x:c r="M501" t="str">
        <x:v>High</x:v>
      </x:c>
      <x:c r="N501" t="str">
        <x:v>Approx. State/Non-MCC Pool</x:v>
      </x:c>
      <x:c r="O501" t="str">
        <x:v>Moderate state-counselling pool</x:v>
      </x:c>
      <x:c r="P501" t="n">
        <x:v>7944</x:v>
      </x:c>
      <x:c r="Q501" t="n">
        <x:v>8540</x:v>
      </x:c>
      <x:c r="R501"/>
      <x:c r="S501" t="n">
        <x:v>48742</x:v>
      </x:c>
      <x:c r="T501" t="n">
        <x:v>57661</x:v>
      </x:c>
      <x:c r="U501" t="str">
        <x:v>Pending state Round-1 allotment/cutoff data</x:v>
      </x:c>
    </x:row>
    <x:row r="502">
      <x:c r="A502" t="str">
        <x:v>Rajasthan</x:v>
      </x:c>
      <x:c r="B502" t="str">
        <x:v>RJ/012/G/1</x:v>
      </x:c>
      <x:c r="C502" t="str">
        <x:v>Government Medical College, Banswara</x:v>
      </x:c>
      <x:c r="D502" t="str">
        <x:v>Government</x:v>
      </x:c>
      <x:c r="E502" t="n">
        <x:v>100</x:v>
      </x:c>
      <x:c r="F502" t="n">
        <x:v>0</x:v>
      </x:c>
      <x:c r="G502" t="n">
        <x:v>100</x:v>
      </x:c>
      <x:c r="H502" t="str">
        <x:v>902866</x:v>
      </x:c>
      <x:c r="I502" t="n">
        <x:v>15</x:v>
      </x:c>
      <x:c r="J502" t="n">
        <x:v>15</x:v>
      </x:c>
      <x:c r="K502" t="n">
        <x:v>85</x:v>
      </x:c>
      <x:c r="L502" s="20" t="n">
        <x:v>0.85</x:v>
      </x:c>
      <x:c r="M502" t="str">
        <x:v>High</x:v>
      </x:c>
      <x:c r="N502" t="str">
        <x:v>Approx. State/Non-MCC Pool</x:v>
      </x:c>
      <x:c r="O502" t="str">
        <x:v>Moderate state-counselling pool</x:v>
      </x:c>
      <x:c r="P502" t="n">
        <x:v>11412</x:v>
      </x:c>
      <x:c r="Q502" t="n">
        <x:v>12319</x:v>
      </x:c>
      <x:c r="R502" t="n">
        <x:v>12908</x:v>
      </x:c>
      <x:c r="S502" t="n">
        <x:v>60684</x:v>
      </x:c>
      <x:c r="T502" t="n">
        <x:v>80082</x:v>
      </x:c>
      <x:c r="U502" t="str">
        <x:v>Pending state Round-1 allotment/cutoff data</x:v>
      </x:c>
    </x:row>
    <x:row r="503">
      <x:c r="A503" t="str">
        <x:v>Rajasthan</x:v>
      </x:c>
      <x:c r="B503" t="str">
        <x:v>RJ/013/G/1</x:v>
      </x:c>
      <x:c r="C503" t="str">
        <x:v>Government Medical College, Baran</x:v>
      </x:c>
      <x:c r="D503" t="str">
        <x:v>Government</x:v>
      </x:c>
      <x:c r="E503" t="n">
        <x:v>100</x:v>
      </x:c>
      <x:c r="F503" t="n">
        <x:v>0</x:v>
      </x:c>
      <x:c r="G503" t="n">
        <x:v>100</x:v>
      </x:c>
      <x:c r="H503" t="str">
        <x:v>903349</x:v>
      </x:c>
      <x:c r="I503" t="n">
        <x:v>15</x:v>
      </x:c>
      <x:c r="J503" t="n">
        <x:v>15</x:v>
      </x:c>
      <x:c r="K503" t="n">
        <x:v>85</x:v>
      </x:c>
      <x:c r="L503" s="20" t="n">
        <x:v>0.85</x:v>
      </x:c>
      <x:c r="M503" t="str">
        <x:v>High</x:v>
      </x:c>
      <x:c r="N503" t="str">
        <x:v>Approx. State/Non-MCC Pool</x:v>
      </x:c>
      <x:c r="O503" t="str">
        <x:v>Moderate state-counselling pool</x:v>
      </x:c>
      <x:c r="P503" t="n">
        <x:v>12512</x:v>
      </x:c>
      <x:c r="Q503" t="n">
        <x:v>12980</x:v>
      </x:c>
      <x:c r="R503" t="n">
        <x:v>13697</x:v>
      </x:c>
      <x:c r="S503" t="n">
        <x:v>59462</x:v>
      </x:c>
      <x:c r="T503" t="n">
        <x:v>61782</x:v>
      </x:c>
      <x:c r="U503" t="str">
        <x:v>Pending state Round-1 allotment/cutoff data</x:v>
      </x:c>
    </x:row>
    <x:row r="504">
      <x:c r="A504" t="str">
        <x:v>Rajasthan</x:v>
      </x:c>
      <x:c r="B504" t="str">
        <x:v>RJ/017/G/1</x:v>
      </x:c>
      <x:c r="C504" t="str">
        <x:v>Government Medical College, Bundi</x:v>
      </x:c>
      <x:c r="D504" t="str">
        <x:v>Government</x:v>
      </x:c>
      <x:c r="E504" t="n">
        <x:v>100</x:v>
      </x:c>
      <x:c r="F504" t="n">
        <x:v>0</x:v>
      </x:c>
      <x:c r="G504" t="n">
        <x:v>100</x:v>
      </x:c>
      <x:c r="H504" t="str">
        <x:v>200686</x:v>
      </x:c>
      <x:c r="I504" t="n">
        <x:v>15</x:v>
      </x:c>
      <x:c r="J504" t="n">
        <x:v>15</x:v>
      </x:c>
      <x:c r="K504" t="n">
        <x:v>85</x:v>
      </x:c>
      <x:c r="L504" s="20" t="n">
        <x:v>0.85</x:v>
      </x:c>
      <x:c r="M504" t="str">
        <x:v>High</x:v>
      </x:c>
      <x:c r="N504" t="str">
        <x:v>Approx. State/Non-MCC Pool</x:v>
      </x:c>
      <x:c r="O504" t="str">
        <x:v>Moderate state-counselling pool</x:v>
      </x:c>
      <x:c r="P504" t="n">
        <x:v>10346</x:v>
      </x:c>
      <x:c r="Q504" t="n">
        <x:v>11330</x:v>
      </x:c>
      <x:c r="R504" t="n">
        <x:v>13565</x:v>
      </x:c>
      <x:c r="S504" t="n">
        <x:v>58154</x:v>
      </x:c>
      <x:c r="T504" t="n">
        <x:v>70746</x:v>
      </x:c>
      <x:c r="U504" t="str">
        <x:v>Pending state Round-1 allotment/cutoff data</x:v>
      </x:c>
    </x:row>
    <x:row r="505">
      <x:c r="A505" t="str">
        <x:v>Rajasthan</x:v>
      </x:c>
      <x:c r="B505" t="str">
        <x:v>RJ/018/G/1</x:v>
      </x:c>
      <x:c r="C505" t="str">
        <x:v>Government Medical College, Chittorgarh</x:v>
      </x:c>
      <x:c r="D505" t="str">
        <x:v>Government</x:v>
      </x:c>
      <x:c r="E505" t="n">
        <x:v>100</x:v>
      </x:c>
      <x:c r="F505" t="n">
        <x:v>0</x:v>
      </x:c>
      <x:c r="G505" t="n">
        <x:v>100</x:v>
      </x:c>
      <x:c r="H505" t="str">
        <x:v>200607</x:v>
      </x:c>
      <x:c r="I505" t="n">
        <x:v>15</x:v>
      </x:c>
      <x:c r="J505" t="n">
        <x:v>15</x:v>
      </x:c>
      <x:c r="K505" t="n">
        <x:v>85</x:v>
      </x:c>
      <x:c r="L505" s="20" t="n">
        <x:v>0.85</x:v>
      </x:c>
      <x:c r="M505" t="str">
        <x:v>High</x:v>
      </x:c>
      <x:c r="N505" t="str">
        <x:v>Approx. State/Non-MCC Pool</x:v>
      </x:c>
      <x:c r="O505" t="str">
        <x:v>Moderate state-counselling pool</x:v>
      </x:c>
      <x:c r="P505" t="n">
        <x:v>8175</x:v>
      </x:c>
      <x:c r="Q505" t="n">
        <x:v>9186</x:v>
      </x:c>
      <x:c r="R505" t="n">
        <x:v>11805</x:v>
      </x:c>
      <x:c r="S505" t="n">
        <x:v>40372</x:v>
      </x:c>
      <x:c r="T505" t="n">
        <x:v>72452</x:v>
      </x:c>
      <x:c r="U505" t="str">
        <x:v>Pending state Round-1 allotment/cutoff data</x:v>
      </x:c>
    </x:row>
    <x:row r="506">
      <x:c r="A506" t="str">
        <x:v>Rajasthan</x:v>
      </x:c>
      <x:c r="B506" t="str">
        <x:v>RJ/020/G/1</x:v>
      </x:c>
      <x:c r="C506" t="str">
        <x:v>Government Medical College, Dausa</x:v>
      </x:c>
      <x:c r="D506" t="str">
        <x:v>Government</x:v>
      </x:c>
      <x:c r="E506" t="n">
        <x:v>100</x:v>
      </x:c>
      <x:c r="F506" t="n">
        <x:v>0</x:v>
      </x:c>
      <x:c r="G506" t="n">
        <x:v>100</x:v>
      </x:c>
      <x:c r="H506" t="str">
        <x:v>200663</x:v>
      </x:c>
      <x:c r="I506" t="n">
        <x:v>15</x:v>
      </x:c>
      <x:c r="J506" t="n">
        <x:v>15</x:v>
      </x:c>
      <x:c r="K506" t="n">
        <x:v>85</x:v>
      </x:c>
      <x:c r="L506" s="20" t="n">
        <x:v>0.85</x:v>
      </x:c>
      <x:c r="M506" t="str">
        <x:v>High</x:v>
      </x:c>
      <x:c r="N506" t="str">
        <x:v>Approx. State/Non-MCC Pool</x:v>
      </x:c>
      <x:c r="O506" t="str">
        <x:v>Moderate state-counselling pool</x:v>
      </x:c>
      <x:c r="P506" t="n">
        <x:v>9619</x:v>
      </x:c>
      <x:c r="Q506" t="n">
        <x:v>10459</x:v>
      </x:c>
      <x:c r="R506" t="n">
        <x:v>11628</x:v>
      </x:c>
      <x:c r="S506" t="n">
        <x:v>52410</x:v>
      </x:c>
      <x:c r="T506" t="n">
        <x:v>53320</x:v>
      </x:c>
      <x:c r="U506" t="str">
        <x:v>Pending state Round-1 allotment/cutoff data</x:v>
      </x:c>
    </x:row>
    <x:row r="507">
      <x:c r="A507" t="str">
        <x:v>Rajasthan</x:v>
      </x:c>
      <x:c r="B507" t="str">
        <x:v>RJ/021/G/1</x:v>
      </x:c>
      <x:c r="C507" t="str">
        <x:v>Government Medical College, Dholpur</x:v>
      </x:c>
      <x:c r="D507" t="str">
        <x:v>Government</x:v>
      </x:c>
      <x:c r="E507" t="n">
        <x:v>100</x:v>
      </x:c>
      <x:c r="F507" t="n">
        <x:v>0</x:v>
      </x:c>
      <x:c r="G507" t="n">
        <x:v>100</x:v>
      </x:c>
      <x:c r="H507" t="str">
        <x:v>200603</x:v>
      </x:c>
      <x:c r="I507" t="n">
        <x:v>15</x:v>
      </x:c>
      <x:c r="J507" t="n">
        <x:v>15</x:v>
      </x:c>
      <x:c r="K507" t="n">
        <x:v>85</x:v>
      </x:c>
      <x:c r="L507" s="20" t="n">
        <x:v>0.85</x:v>
      </x:c>
      <x:c r="M507" t="str">
        <x:v>High</x:v>
      </x:c>
      <x:c r="N507" t="str">
        <x:v>Approx. State/Non-MCC Pool</x:v>
      </x:c>
      <x:c r="O507" t="str">
        <x:v>Moderate state-counselling pool</x:v>
      </x:c>
      <x:c r="P507" t="n">
        <x:v>10717</x:v>
      </x:c>
      <x:c r="Q507" t="n">
        <x:v>12054</x:v>
      </x:c>
      <x:c r="R507" t="n">
        <x:v>12306</x:v>
      </x:c>
      <x:c r="S507" t="n">
        <x:v>57263</x:v>
      </x:c>
      <x:c r="T507" t="n">
        <x:v>79688</x:v>
      </x:c>
      <x:c r="U507" t="str">
        <x:v>Pending state Round-1 allotment/cutoff data</x:v>
      </x:c>
    </x:row>
    <x:row r="508">
      <x:c r="A508" t="str">
        <x:v>Rajasthan</x:v>
      </x:c>
      <x:c r="B508" t="str">
        <x:v>RJ/023/G/1</x:v>
      </x:c>
      <x:c r="C508" t="str">
        <x:v>Government Medical College, Hanumangarh</x:v>
      </x:c>
      <x:c r="D508" t="str">
        <x:v>Government</x:v>
      </x:c>
      <x:c r="E508" t="n">
        <x:v>100</x:v>
      </x:c>
      <x:c r="F508" t="n">
        <x:v>0</x:v>
      </x:c>
      <x:c r="G508" t="n">
        <x:v>100</x:v>
      </x:c>
      <x:c r="H508" t="str">
        <x:v>200665</x:v>
      </x:c>
      <x:c r="I508" t="n">
        <x:v>15</x:v>
      </x:c>
      <x:c r="J508" t="n">
        <x:v>15</x:v>
      </x:c>
      <x:c r="K508" t="n">
        <x:v>85</x:v>
      </x:c>
      <x:c r="L508" s="20" t="n">
        <x:v>0.85</x:v>
      </x:c>
      <x:c r="M508" t="str">
        <x:v>High</x:v>
      </x:c>
      <x:c r="N508" t="str">
        <x:v>Approx. State/Non-MCC Pool</x:v>
      </x:c>
      <x:c r="O508" t="str">
        <x:v>Moderate state-counselling pool</x:v>
      </x:c>
      <x:c r="P508" t="n">
        <x:v>10337</x:v>
      </x:c>
      <x:c r="Q508" t="n">
        <x:v>11765</x:v>
      </x:c>
      <x:c r="R508" t="n">
        <x:v>11254</x:v>
      </x:c>
      <x:c r="S508" t="n">
        <x:v>64151</x:v>
      </x:c>
      <x:c r="T508" t="n">
        <x:v>80066</x:v>
      </x:c>
      <x:c r="U508" t="str">
        <x:v>Pending state Round-1 allotment/cutoff data</x:v>
      </x:c>
    </x:row>
    <x:row r="509">
      <x:c r="A509" t="str">
        <x:v>Rajasthan</x:v>
      </x:c>
      <x:c r="B509" t="str">
        <x:v>RJ/025/G/1</x:v>
      </x:c>
      <x:c r="C509" t="str">
        <x:v>Government Medical College, Jhunjhunu</x:v>
      </x:c>
      <x:c r="D509" t="str">
        <x:v>Government</x:v>
      </x:c>
      <x:c r="E509" t="n">
        <x:v>100</x:v>
      </x:c>
      <x:c r="F509" t="n">
        <x:v>0</x:v>
      </x:c>
      <x:c r="G509" t="n">
        <x:v>100</x:v>
      </x:c>
      <x:c r="H509" t="str">
        <x:v>902820</x:v>
      </x:c>
      <x:c r="I509" t="n">
        <x:v>15</x:v>
      </x:c>
      <x:c r="J509" t="n">
        <x:v>15</x:v>
      </x:c>
      <x:c r="K509" t="n">
        <x:v>85</x:v>
      </x:c>
      <x:c r="L509" s="20" t="n">
        <x:v>0.85</x:v>
      </x:c>
      <x:c r="M509" t="str">
        <x:v>High</x:v>
      </x:c>
      <x:c r="N509" t="str">
        <x:v>Approx. State/Non-MCC Pool</x:v>
      </x:c>
      <x:c r="O509" t="str">
        <x:v>Moderate state-counselling pool</x:v>
      </x:c>
      <x:c r="P509" t="n">
        <x:v>9876</x:v>
      </x:c>
      <x:c r="Q509" t="n">
        <x:v>11150</x:v>
      </x:c>
      <x:c r="R509" t="n">
        <x:v>12794</x:v>
      </x:c>
      <x:c r="S509" t="n">
        <x:v>51736</x:v>
      </x:c>
      <x:c r="T509" t="n">
        <x:v>46624</x:v>
      </x:c>
      <x:c r="U509" t="str">
        <x:v>Pending state Round-1 allotment/cutoff data</x:v>
      </x:c>
    </x:row>
    <x:row r="510">
      <x:c r="A510" t="str">
        <x:v>Rajasthan</x:v>
      </x:c>
      <x:c r="B510" t="str">
        <x:v>RJ/026/G/1</x:v>
      </x:c>
      <x:c r="C510" t="str">
        <x:v>Government Medical College, Karauli</x:v>
      </x:c>
      <x:c r="D510" t="str">
        <x:v>Government</x:v>
      </x:c>
      <x:c r="E510" t="n">
        <x:v>100</x:v>
      </x:c>
      <x:c r="F510" t="n">
        <x:v>0</x:v>
      </x:c>
      <x:c r="G510" t="n">
        <x:v>100</x:v>
      </x:c>
      <x:c r="H510" t="str">
        <x:v>200666</x:v>
      </x:c>
      <x:c r="I510" t="n">
        <x:v>15</x:v>
      </x:c>
      <x:c r="J510" t="n">
        <x:v>15</x:v>
      </x:c>
      <x:c r="K510" t="n">
        <x:v>85</x:v>
      </x:c>
      <x:c r="L510" s="20" t="n">
        <x:v>0.85</x:v>
      </x:c>
      <x:c r="M510" t="str">
        <x:v>High</x:v>
      </x:c>
      <x:c r="N510" t="str">
        <x:v>Approx. State/Non-MCC Pool</x:v>
      </x:c>
      <x:c r="O510" t="str">
        <x:v>Moderate state-counselling pool</x:v>
      </x:c>
      <x:c r="P510" t="n">
        <x:v>11783</x:v>
      </x:c>
      <x:c r="Q510" t="n">
        <x:v>12730</x:v>
      </x:c>
      <x:c r="R510" t="n">
        <x:v>13447</x:v>
      </x:c>
      <x:c r="S510" t="n">
        <x:v>62798</x:v>
      </x:c>
      <x:c r="T510" t="n">
        <x:v>78891</x:v>
      </x:c>
      <x:c r="U510" t="str">
        <x:v>Pending state Round-1 allotment/cutoff data</x:v>
      </x:c>
    </x:row>
    <x:row r="511">
      <x:c r="A511" t="str">
        <x:v>Rajasthan</x:v>
      </x:c>
      <x:c r="B511" t="str">
        <x:v>RJ/028/G/1</x:v>
      </x:c>
      <x:c r="C511" t="str">
        <x:v>Government Medical College, Nagaur</x:v>
      </x:c>
      <x:c r="D511" t="str">
        <x:v>Government</x:v>
      </x:c>
      <x:c r="E511" t="n">
        <x:v>100</x:v>
      </x:c>
      <x:c r="F511" t="n">
        <x:v>0</x:v>
      </x:c>
      <x:c r="G511" t="n">
        <x:v>100</x:v>
      </x:c>
      <x:c r="H511" t="str">
        <x:v>902864</x:v>
      </x:c>
      <x:c r="I511" t="n">
        <x:v>15</x:v>
      </x:c>
      <x:c r="J511" t="n">
        <x:v>15</x:v>
      </x:c>
      <x:c r="K511" t="n">
        <x:v>85</x:v>
      </x:c>
      <x:c r="L511" s="20" t="n">
        <x:v>0.85</x:v>
      </x:c>
      <x:c r="M511" t="str">
        <x:v>High</x:v>
      </x:c>
      <x:c r="N511" t="str">
        <x:v>Approx. State/Non-MCC Pool</x:v>
      </x:c>
      <x:c r="O511" t="str">
        <x:v>Moderate state-counselling pool</x:v>
      </x:c>
      <x:c r="P511" t="n">
        <x:v>6954</x:v>
      </x:c>
      <x:c r="Q511" t="n">
        <x:v>8689</x:v>
      </x:c>
      <x:c r="R511" t="n">
        <x:v>11686</x:v>
      </x:c>
      <x:c r="S511" t="n">
        <x:v>32556</x:v>
      </x:c>
      <x:c r="T511" t="n">
        <x:v>76306</x:v>
      </x:c>
      <x:c r="U511" t="str">
        <x:v>Pending state Round-1 allotment/cutoff data</x:v>
      </x:c>
    </x:row>
    <x:row r="512">
      <x:c r="A512" t="str">
        <x:v>Rajasthan</x:v>
      </x:c>
      <x:c r="B512" t="str">
        <x:v>RJ/001/G/1</x:v>
      </x:c>
      <x:c r="C512" t="str">
        <x:v>Government Medical College, Sawai Madhopur</x:v>
      </x:c>
      <x:c r="D512" t="str">
        <x:v>Government</x:v>
      </x:c>
      <x:c r="E512" t="n">
        <x:v>100</x:v>
      </x:c>
      <x:c r="F512" t="n">
        <x:v>0</x:v>
      </x:c>
      <x:c r="G512" t="n">
        <x:v>100</x:v>
      </x:c>
      <x:c r="H512" t="str">
        <x:v>902865</x:v>
      </x:c>
      <x:c r="I512" t="n">
        <x:v>15</x:v>
      </x:c>
      <x:c r="J512" t="n">
        <x:v>15</x:v>
      </x:c>
      <x:c r="K512" t="n">
        <x:v>85</x:v>
      </x:c>
      <x:c r="L512" s="20" t="n">
        <x:v>0.85</x:v>
      </x:c>
      <x:c r="M512" t="str">
        <x:v>High</x:v>
      </x:c>
      <x:c r="N512" t="str">
        <x:v>Approx. State/Non-MCC Pool</x:v>
      </x:c>
      <x:c r="O512" t="str">
        <x:v>Moderate state-counselling pool</x:v>
      </x:c>
      <x:c r="P512" t="n">
        <x:v>9306</x:v>
      </x:c>
      <x:c r="Q512" t="n">
        <x:v>12552</x:v>
      </x:c>
      <x:c r="R512" t="n">
        <x:v>11723</x:v>
      </x:c>
      <x:c r="S512" t="n">
        <x:v>61166</x:v>
      </x:c>
      <x:c r="T512" t="n">
        <x:v>68275</x:v>
      </x:c>
      <x:c r="U512" t="str">
        <x:v>Pending state Round-1 allotment/cutoff data</x:v>
      </x:c>
    </x:row>
    <x:row r="513">
      <x:c r="A513" t="str">
        <x:v>Rajasthan</x:v>
      </x:c>
      <x:c r="B513" t="str">
        <x:v>RJ/030/G/1</x:v>
      </x:c>
      <x:c r="C513" t="str">
        <x:v>Government Medical College, Sirohi</x:v>
      </x:c>
      <x:c r="D513" t="str">
        <x:v>Government</x:v>
      </x:c>
      <x:c r="E513" t="n">
        <x:v>100</x:v>
      </x:c>
      <x:c r="F513" t="n">
        <x:v>0</x:v>
      </x:c>
      <x:c r="G513" t="n">
        <x:v>100</x:v>
      </x:c>
      <x:c r="H513" t="str">
        <x:v>200614</x:v>
      </x:c>
      <x:c r="I513" t="n">
        <x:v>15</x:v>
      </x:c>
      <x:c r="J513" t="n">
        <x:v>15</x:v>
      </x:c>
      <x:c r="K513" t="n">
        <x:v>85</x:v>
      </x:c>
      <x:c r="L513" s="20" t="n">
        <x:v>0.85</x:v>
      </x:c>
      <x:c r="M513" t="str">
        <x:v>High</x:v>
      </x:c>
      <x:c r="N513" t="str">
        <x:v>Approx. State/Non-MCC Pool</x:v>
      </x:c>
      <x:c r="O513" t="str">
        <x:v>Moderate state-counselling pool</x:v>
      </x:c>
      <x:c r="P513" t="n">
        <x:v>9615</x:v>
      </x:c>
      <x:c r="Q513" t="n">
        <x:v>11808</x:v>
      </x:c>
      <x:c r="R513" t="n">
        <x:v>10714</x:v>
      </x:c>
      <x:c r="S513" t="n">
        <x:v>57939</x:v>
      </x:c>
      <x:c r="T513" t="n">
        <x:v>74869</x:v>
      </x:c>
      <x:c r="U513" t="str">
        <x:v>Pending state Round-1 allotment/cutoff data</x:v>
      </x:c>
    </x:row>
    <x:row r="514">
      <x:c r="A514" t="str">
        <x:v>Rajasthan</x:v>
      </x:c>
      <x:c r="B514" t="str">
        <x:v>RJ/031/G/1</x:v>
      </x:c>
      <x:c r="C514" t="str">
        <x:v>Government Medical College, Sri Ganganagar</x:v>
      </x:c>
      <x:c r="D514" t="str">
        <x:v>Government</x:v>
      </x:c>
      <x:c r="E514" t="n">
        <x:v>100</x:v>
      </x:c>
      <x:c r="F514" t="n">
        <x:v>0</x:v>
      </x:c>
      <x:c r="G514" t="n">
        <x:v>100</x:v>
      </x:c>
      <x:c r="H514" t="str">
        <x:v>200611</x:v>
      </x:c>
      <x:c r="I514" t="n">
        <x:v>15</x:v>
      </x:c>
      <x:c r="J514" t="n">
        <x:v>15</x:v>
      </x:c>
      <x:c r="K514" t="n">
        <x:v>85</x:v>
      </x:c>
      <x:c r="L514" s="20" t="n">
        <x:v>0.85</x:v>
      </x:c>
      <x:c r="M514" t="str">
        <x:v>High</x:v>
      </x:c>
      <x:c r="N514" t="str">
        <x:v>Approx. State/Non-MCC Pool</x:v>
      </x:c>
      <x:c r="O514" t="str">
        <x:v>Moderate state-counselling pool</x:v>
      </x:c>
      <x:c r="P514" t="n">
        <x:v>8867</x:v>
      </x:c>
      <x:c r="Q514" t="n">
        <x:v>9706</x:v>
      </x:c>
      <x:c r="R514" t="n">
        <x:v>12419</x:v>
      </x:c>
      <x:c r="S514" t="n">
        <x:v>59402</x:v>
      </x:c>
      <x:c r="T514" t="n">
        <x:v>79273</x:v>
      </x:c>
      <x:c r="U514" t="str">
        <x:v>Pending state Round-1 allotment/cutoff data</x:v>
      </x:c>
    </x:row>
    <x:row r="515">
      <x:c r="A515" t="str">
        <x:v>Rajasthan</x:v>
      </x:c>
      <x:c r="B515" t="str">
        <x:v>RJ/044/G/1</x:v>
      </x:c>
      <x:c r="C515" t="str">
        <x:v>Shri Kalyan Govt. Medical College, Sikar, Rajasthan</x:v>
      </x:c>
      <x:c r="D515" t="str">
        <x:v>Government</x:v>
      </x:c>
      <x:c r="E515" t="n">
        <x:v>100</x:v>
      </x:c>
      <x:c r="F515" t="n">
        <x:v>0</x:v>
      </x:c>
      <x:c r="G515" t="n">
        <x:v>100</x:v>
      </x:c>
      <x:c r="H515" t="str">
        <x:v>200533</x:v>
      </x:c>
      <x:c r="I515" t="n">
        <x:v>15</x:v>
      </x:c>
      <x:c r="J515" t="n">
        <x:v>15</x:v>
      </x:c>
      <x:c r="K515" t="n">
        <x:v>85</x:v>
      </x:c>
      <x:c r="L515" s="20" t="n">
        <x:v>0.85</x:v>
      </x:c>
      <x:c r="M515" t="str">
        <x:v>High</x:v>
      </x:c>
      <x:c r="N515" t="str">
        <x:v>Approx. State/Non-MCC Pool</x:v>
      </x:c>
      <x:c r="O515" t="str">
        <x:v>Moderate state-counselling pool</x:v>
      </x:c>
      <x:c r="P515" t="n">
        <x:v>5651</x:v>
      </x:c>
      <x:c r="Q515" t="n">
        <x:v>6093</x:v>
      </x:c>
      <x:c r="R515" t="n">
        <x:v>6931</x:v>
      </x:c>
      <x:c r="S515" t="n">
        <x:v>36624</x:v>
      </x:c>
      <x:c r="T515" t="n">
        <x:v>49740</x:v>
      </x:c>
      <x:c r="U515" t="str">
        <x:v>Pending state Round-1 allotment/cutoff data</x:v>
      </x:c>
    </x:row>
    <x:row r="516">
      <x:c r="A516" t="str">
        <x:v>Rajasthan</x:v>
      </x:c>
      <x:c r="B516" t="str">
        <x:v>RJ/007/G/1</x:v>
      </x:c>
      <x:c r="C516" t="str">
        <x:v>Employees State Insurance Corporation Medical College,Alwar</x:v>
      </x:c>
      <x:c r="D516" t="str">
        <x:v>Government</x:v>
      </x:c>
      <x:c r="E516" t="n">
        <x:v>100</x:v>
      </x:c>
      <x:c r="F516" t="n">
        <x:v>0</x:v>
      </x:c>
      <x:c r="G516" t="n">
        <x:v>100</x:v>
      </x:c>
      <x:c r="H516" t="str">
        <x:v>200575</x:v>
      </x:c>
      <x:c r="I516" t="n">
        <x:v>50</x:v>
      </x:c>
      <x:c r="J516" t="n">
        <x:v>49</x:v>
      </x:c>
      <x:c r="K516" t="n">
        <x:v>50</x:v>
      </x:c>
      <x:c r="L516" s="20" t="n">
        <x:v>0.5</x:v>
      </x:c>
      <x:c r="M516" t="str">
        <x:v>High</x:v>
      </x:c>
      <x:c r="N516" t="str">
        <x:v>Approx. State/Non-MCC Pool</x:v>
      </x:c>
      <x:c r="O516" t="str">
        <x:v>Smaller state-counselling pool</x:v>
      </x:c>
      <x:c r="P516" t="n">
        <x:v>10347</x:v>
      </x:c>
      <x:c r="Q516" t="n">
        <x:v>12914</x:v>
      </x:c>
      <x:c r="R516" t="n">
        <x:v>15541</x:v>
      </x:c>
      <x:c r="S516" t="n">
        <x:v>96303</x:v>
      </x:c>
      <x:c r="T516" t="n">
        <x:v>121155</x:v>
      </x:c>
      <x:c r="U516" t="str">
        <x:v>Pending state Round-1 allotment/cutoff data</x:v>
      </x:c>
    </x:row>
    <x:row r="517">
      <x:c r="A517" t="str">
        <x:v>Rajasthan</x:v>
      </x:c>
      <x:c r="B517" t="str">
        <x:v>RJ/024/G/5</x:v>
      </x:c>
      <x:c r="C517" t="str">
        <x:v>Government Medical College, Jaisalmer</x:v>
      </x:c>
      <x:c r="D517" t="str">
        <x:v>Government</x:v>
      </x:c>
      <x:c r="E517" t="n">
        <x:v>50</x:v>
      </x:c>
      <x:c r="F517" t="n">
        <x:v>0</x:v>
      </x:c>
      <x:c r="G517" t="n">
        <x:v>50</x:v>
      </x:c>
      <x:c r="H517" t="str">
        <x:v>904360</x:v>
      </x:c>
      <x:c r="I517" t="n">
        <x:v>7</x:v>
      </x:c>
      <x:c r="J517" t="n">
        <x:v>7</x:v>
      </x:c>
      <x:c r="K517" t="n">
        <x:v>43</x:v>
      </x:c>
      <x:c r="L517" s="20" t="n">
        <x:v>0.86</x:v>
      </x:c>
      <x:c r="M517" t="str">
        <x:v>High</x:v>
      </x:c>
      <x:c r="N517" t="str">
        <x:v>Approx. State/Non-MCC Pool</x:v>
      </x:c>
      <x:c r="O517" t="str">
        <x:v>Smaller state-counselling pool</x:v>
      </x:c>
      <x:c r="P517" t="n">
        <x:v>9952</x:v>
      </x:c>
      <x:c r="Q517" t="n">
        <x:v>11936</x:v>
      </x:c>
      <x:c r="R517"/>
      <x:c r="S517" t="n">
        <x:v>59311</x:v>
      </x:c>
      <x:c r="T517" t="n">
        <x:v>81034</x:v>
      </x:c>
      <x:c r="U517" t="str">
        <x:v>Pending state Round-1 allotment/cutoff data</x:v>
      </x:c>
    </x:row>
    <x:row r="518">
      <x:c r="A518" t="str">
        <x:v>Rajasthan</x:v>
      </x:c>
      <x:c r="B518" t="str">
        <x:v>RJ/032/G/1</x:v>
      </x:c>
      <x:c r="C518" t="str">
        <x:v>Government medical college, tonk</x:v>
      </x:c>
      <x:c r="D518" t="str">
        <x:v>Government</x:v>
      </x:c>
      <x:c r="E518" t="n">
        <x:v>50</x:v>
      </x:c>
      <x:c r="F518" t="n">
        <x:v>0</x:v>
      </x:c>
      <x:c r="G518" t="n">
        <x:v>50</x:v>
      </x:c>
      <x:c r="H518" t="str">
        <x:v>904355</x:v>
      </x:c>
      <x:c r="I518" t="n">
        <x:v>7</x:v>
      </x:c>
      <x:c r="J518" t="n">
        <x:v>7</x:v>
      </x:c>
      <x:c r="K518" t="n">
        <x:v>43</x:v>
      </x:c>
      <x:c r="L518" s="20" t="n">
        <x:v>0.86</x:v>
      </x:c>
      <x:c r="M518" t="str">
        <x:v>High</x:v>
      </x:c>
      <x:c r="N518" t="str">
        <x:v>Approx. State/Non-MCC Pool</x:v>
      </x:c>
      <x:c r="O518" t="str">
        <x:v>Smaller state-counselling pool</x:v>
      </x:c>
      <x:c r="P518" t="n">
        <x:v>12192</x:v>
      </x:c>
      <x:c r="Q518" t="n">
        <x:v>12450</x:v>
      </x:c>
      <x:c r="R518" t="n">
        <x:v>13945</x:v>
      </x:c>
      <x:c r="S518" t="n">
        <x:v>58395</x:v>
      </x:c>
      <x:c r="T518"/>
      <x:c r="U518" t="str">
        <x:v>Pending state Round-1 allotment/cutoff data</x:v>
      </x:c>
    </x:row>
    <x:row r="519">
      <x:c r="A519" t="str">
        <x:v>Rajasthan</x:v>
      </x:c>
      <x:c r="B519" t="str">
        <x:v>RJ/008/G/1</x:v>
      </x:c>
      <x:c r="C519" t="str">
        <x:v>ESIC MEDICAL COLLEGE AND HOSPITAL, JAIPUR</x:v>
      </x:c>
      <x:c r="D519" t="str">
        <x:v>Government</x:v>
      </x:c>
      <x:c r="E519" t="n">
        <x:v>50</x:v>
      </x:c>
      <x:c r="F519" t="n">
        <x:v>0</x:v>
      </x:c>
      <x:c r="G519" t="n">
        <x:v>50</x:v>
      </x:c>
      <x:c r="H519" t="str">
        <x:v>904549</x:v>
      </x:c>
      <x:c r="I519" t="n">
        <x:v>25</x:v>
      </x:c>
      <x:c r="J519" t="n">
        <x:v>23</x:v>
      </x:c>
      <x:c r="K519" t="n">
        <x:v>25</x:v>
      </x:c>
      <x:c r="L519" s="20" t="n">
        <x:v>0.5</x:v>
      </x:c>
      <x:c r="M519" t="str">
        <x:v>High</x:v>
      </x:c>
      <x:c r="N519" t="str">
        <x:v>Approx. State/Non-MCC Pool</x:v>
      </x:c>
      <x:c r="O519" t="str">
        <x:v>Smaller state-counselling pool</x:v>
      </x:c>
      <x:c r="P519" t="n">
        <x:v>10100</x:v>
      </x:c>
      <x:c r="Q519" t="n">
        <x:v>12374</x:v>
      </x:c>
      <x:c r="R519" t="n">
        <x:v>13227</x:v>
      </x:c>
      <x:c r="S519" t="n">
        <x:v>49103</x:v>
      </x:c>
      <x:c r="T519" t="n">
        <x:v>41767</x:v>
      </x:c>
      <x:c r="U519" t="str">
        <x:v>Pending state Round-1 allotment/cutoff data</x:v>
      </x:c>
    </x:row>
    <x:row r="520">
      <x:c r="A520" t="str">
        <x:v>Rajasthan</x:v>
      </x:c>
      <x:c r="B520" t="str">
        <x:v>RJ/004/P/3</x:v>
      </x:c>
      <x:c r="C520" t="str">
        <x:v>Balvir Singh Tomar Institute of Medical Sciences and Research</x:v>
      </x:c>
      <x:c r="D520" t="str">
        <x:v>Private</x:v>
      </x:c>
      <x:c r="E520" t="n">
        <x:v>150</x:v>
      </x:c>
      <x:c r="F520" t="n">
        <x:v>100</x:v>
      </x:c>
      <x:c r="G520" t="n">
        <x:v>250</x:v>
      </x:c>
      <x:c r="H520"/>
      <x:c r="I520" t="n">
        <x:v>0</x:v>
      </x:c>
      <x:c r="J520" t="n">
        <x:v>0</x:v>
      </x:c>
      <x:c r="K520" t="n">
        <x:v>250</x:v>
      </x:c>
      <x:c r="L520" s="20" t="n">
        <x:v>1</x:v>
      </x:c>
      <x:c r="M520" t="str">
        <x:v>Variable</x:v>
      </x:c>
      <x:c r="N520" t="str">
        <x:v>Approx. Non-MCC Pool</x:v>
      </x:c>
      <x:c r="O520" t="str">
        <x:v>Expanded 2026 capacity; state/management split to verify</x:v>
      </x:c>
      <x:c r="P520"/>
      <x:c r="Q520"/>
      <x:c r="R520"/>
      <x:c r="S520"/>
      <x:c r="T520"/>
      <x:c r="U520" t="str">
        <x:v>Pending state Round-1 allotment/cutoff data</x:v>
      </x:c>
    </x:row>
    <x:row r="521">
      <x:c r="A521" t="str">
        <x:v>Rajasthan</x:v>
      </x:c>
      <x:c r="B521" t="str">
        <x:v>RJ/005/P/3</x:v>
      </x:c>
      <x:c r="C521" t="str">
        <x:v>Dr S S Tantia Medical College Hospital &amp; Research Centre</x:v>
      </x:c>
      <x:c r="D521" t="str">
        <x:v>Private</x:v>
      </x:c>
      <x:c r="E521" t="n">
        <x:v>250</x:v>
      </x:c>
      <x:c r="F521" t="n">
        <x:v>0</x:v>
      </x:c>
      <x:c r="G521" t="n">
        <x:v>250</x:v>
      </x:c>
      <x:c r="H521"/>
      <x:c r="I521" t="n">
        <x:v>0</x:v>
      </x:c>
      <x:c r="J521" t="n">
        <x:v>0</x:v>
      </x:c>
      <x:c r="K521" t="n">
        <x:v>250</x:v>
      </x:c>
      <x:c r="L521" s="20" t="n">
        <x:v>1</x:v>
      </x:c>
      <x:c r="M521" t="str">
        <x:v>Variable</x:v>
      </x:c>
      <x:c r="N521" t="str">
        <x:v>Approx. Non-MCC Pool</x:v>
      </x:c>
      <x:c r="O521" t="str">
        <x:v>Large non-MCC pool; quota split varies by state</x:v>
      </x:c>
      <x:c r="P521"/>
      <x:c r="Q521"/>
      <x:c r="R521"/>
      <x:c r="S521"/>
      <x:c r="T521"/>
      <x:c r="U521" t="str">
        <x:v>Pending state Round-1 allotment/cutoff data</x:v>
      </x:c>
    </x:row>
    <x:row r="522">
      <x:c r="A522" t="str">
        <x:v>Rajasthan</x:v>
      </x:c>
      <x:c r="B522" t="str">
        <x:v>RJ/009/P/3</x:v>
      </x:c>
      <x:c r="C522" t="str">
        <x:v>GEETANJALI INSTITUTE OF MEDICAL SCIENCES</x:v>
      </x:c>
      <x:c r="D522" t="str">
        <x:v>Private</x:v>
      </x:c>
      <x:c r="E522" t="n">
        <x:v>150</x:v>
      </x:c>
      <x:c r="F522" t="n">
        <x:v>100</x:v>
      </x:c>
      <x:c r="G522" t="n">
        <x:v>250</x:v>
      </x:c>
      <x:c r="H522"/>
      <x:c r="I522" t="n">
        <x:v>0</x:v>
      </x:c>
      <x:c r="J522" t="n">
        <x:v>0</x:v>
      </x:c>
      <x:c r="K522" t="n">
        <x:v>250</x:v>
      </x:c>
      <x:c r="L522" s="20" t="n">
        <x:v>1</x:v>
      </x:c>
      <x:c r="M522" t="str">
        <x:v>Variable</x:v>
      </x:c>
      <x:c r="N522" t="str">
        <x:v>Approx. Non-MCC Pool</x:v>
      </x:c>
      <x:c r="O522" t="str">
        <x:v>Expanded 2026 capacity; state/management split to verify</x:v>
      </x:c>
      <x:c r="P522"/>
      <x:c r="Q522"/>
      <x:c r="R522"/>
      <x:c r="S522"/>
      <x:c r="T522"/>
      <x:c r="U522" t="str">
        <x:v>Pending state Round-1 allotment/cutoff data</x:v>
      </x:c>
    </x:row>
    <x:row r="523">
      <x:c r="A523" t="str">
        <x:v>Rajasthan</x:v>
      </x:c>
      <x:c r="B523" t="str">
        <x:v>RJ/010/P/3</x:v>
      </x:c>
      <x:c r="C523" t="str">
        <x:v>Geetanjali Medical College &amp; Hospital,Udaipur</x:v>
      </x:c>
      <x:c r="D523" t="str">
        <x:v>Private</x:v>
      </x:c>
      <x:c r="E523" t="n">
        <x:v>250</x:v>
      </x:c>
      <x:c r="F523" t="n">
        <x:v>0</x:v>
      </x:c>
      <x:c r="G523" t="n">
        <x:v>250</x:v>
      </x:c>
      <x:c r="H523"/>
      <x:c r="I523" t="n">
        <x:v>0</x:v>
      </x:c>
      <x:c r="J523" t="n">
        <x:v>0</x:v>
      </x:c>
      <x:c r="K523" t="n">
        <x:v>250</x:v>
      </x:c>
      <x:c r="L523" s="20" t="n">
        <x:v>1</x:v>
      </x:c>
      <x:c r="M523" t="str">
        <x:v>Variable</x:v>
      </x:c>
      <x:c r="N523" t="str">
        <x:v>Approx. Non-MCC Pool</x:v>
      </x:c>
      <x:c r="O523" t="str">
        <x:v>Large non-MCC pool; quota split varies by state</x:v>
      </x:c>
      <x:c r="P523"/>
      <x:c r="Q523"/>
      <x:c r="R523"/>
      <x:c r="S523"/>
      <x:c r="T523"/>
      <x:c r="U523" t="str">
        <x:v>Pending state Round-1 allotment/cutoff data</x:v>
      </x:c>
    </x:row>
    <x:row r="524">
      <x:c r="A524" t="str">
        <x:v>Rajasthan</x:v>
      </x:c>
      <x:c r="B524" t="str">
        <x:v>RJ/036/P/3</x:v>
      </x:c>
      <x:c r="C524" t="str">
        <x:v>JIET Medical College and Hospital</x:v>
      </x:c>
      <x:c r="D524" t="str">
        <x:v>Private</x:v>
      </x:c>
      <x:c r="E524" t="n">
        <x:v>150</x:v>
      </x:c>
      <x:c r="F524" t="n">
        <x:v>100</x:v>
      </x:c>
      <x:c r="G524" t="n">
        <x:v>250</x:v>
      </x:c>
      <x:c r="H524"/>
      <x:c r="I524" t="n">
        <x:v>0</x:v>
      </x:c>
      <x:c r="J524" t="n">
        <x:v>0</x:v>
      </x:c>
      <x:c r="K524" t="n">
        <x:v>250</x:v>
      </x:c>
      <x:c r="L524" s="20" t="n">
        <x:v>1</x:v>
      </x:c>
      <x:c r="M524" t="str">
        <x:v>Variable</x:v>
      </x:c>
      <x:c r="N524" t="str">
        <x:v>Approx. Non-MCC Pool</x:v>
      </x:c>
      <x:c r="O524" t="str">
        <x:v>Expanded 2026 capacity; state/management split to verify</x:v>
      </x:c>
      <x:c r="P524"/>
      <x:c r="Q524"/>
      <x:c r="R524"/>
      <x:c r="S524"/>
      <x:c r="T524"/>
      <x:c r="U524" t="str">
        <x:v>Pending state Round-1 allotment/cutoff data</x:v>
      </x:c>
    </x:row>
    <x:row r="525">
      <x:c r="A525" t="str">
        <x:v>Rajasthan</x:v>
      </x:c>
      <x:c r="B525" t="str">
        <x:v>RJ/033/P/4</x:v>
      </x:c>
      <x:c r="C525" t="str">
        <x:v>Jaipur National University Institute for Medical Sciences and Research Centre, Jagatpura, Jaipur</x:v>
      </x:c>
      <x:c r="D525" t="str">
        <x:v>Private</x:v>
      </x:c>
      <x:c r="E525" t="n">
        <x:v>250</x:v>
      </x:c>
      <x:c r="F525" t="n">
        <x:v>0</x:v>
      </x:c>
      <x:c r="G525" t="n">
        <x:v>250</x:v>
      </x:c>
      <x:c r="H525"/>
      <x:c r="I525" t="n">
        <x:v>0</x:v>
      </x:c>
      <x:c r="J525" t="n">
        <x:v>0</x:v>
      </x:c>
      <x:c r="K525" t="n">
        <x:v>250</x:v>
      </x:c>
      <x:c r="L525" s="20" t="n">
        <x:v>1</x:v>
      </x:c>
      <x:c r="M525" t="str">
        <x:v>Variable</x:v>
      </x:c>
      <x:c r="N525" t="str">
        <x:v>Approx. Non-MCC Pool</x:v>
      </x:c>
      <x:c r="O525" t="str">
        <x:v>Large non-MCC pool; quota split varies by state</x:v>
      </x:c>
      <x:c r="P525"/>
      <x:c r="Q525"/>
      <x:c r="R525"/>
      <x:c r="S525"/>
      <x:c r="T525"/>
      <x:c r="U525" t="str">
        <x:v>Pending state Round-1 allotment/cutoff data</x:v>
      </x:c>
    </x:row>
    <x:row r="526">
      <x:c r="A526" t="str">
        <x:v>Rajasthan</x:v>
      </x:c>
      <x:c r="B526" t="str">
        <x:v>RJ/037/P/3</x:v>
      </x:c>
      <x:c r="C526" t="str">
        <x:v>Mahatma Gandhi Medical College and Hospital, Sitapur, Jaipur</x:v>
      </x:c>
      <x:c r="D526" t="str">
        <x:v>Private</x:v>
      </x:c>
      <x:c r="E526" t="n">
        <x:v>250</x:v>
      </x:c>
      <x:c r="F526" t="n">
        <x:v>0</x:v>
      </x:c>
      <x:c r="G526" t="n">
        <x:v>250</x:v>
      </x:c>
      <x:c r="H526"/>
      <x:c r="I526" t="n">
        <x:v>0</x:v>
      </x:c>
      <x:c r="J526" t="n">
        <x:v>0</x:v>
      </x:c>
      <x:c r="K526" t="n">
        <x:v>250</x:v>
      </x:c>
      <x:c r="L526" s="20" t="n">
        <x:v>1</x:v>
      </x:c>
      <x:c r="M526" t="str">
        <x:v>Variable</x:v>
      </x:c>
      <x:c r="N526" t="str">
        <x:v>Approx. Non-MCC Pool</x:v>
      </x:c>
      <x:c r="O526" t="str">
        <x:v>Large non-MCC pool; quota split varies by state</x:v>
      </x:c>
      <x:c r="P526"/>
      <x:c r="Q526"/>
      <x:c r="R526"/>
      <x:c r="S526"/>
      <x:c r="T526"/>
      <x:c r="U526" t="str">
        <x:v>Pending state Round-1 allotment/cutoff data</x:v>
      </x:c>
    </x:row>
    <x:row r="527">
      <x:c r="A527" t="str">
        <x:v>Rajasthan</x:v>
      </x:c>
      <x:c r="B527" t="str">
        <x:v>RJ/038/P/3</x:v>
      </x:c>
      <x:c r="C527" t="str">
        <x:v>National Institute of Medical Science &amp; Research, Jaipur</x:v>
      </x:c>
      <x:c r="D527" t="str">
        <x:v>Private</x:v>
      </x:c>
      <x:c r="E527" t="n">
        <x:v>250</x:v>
      </x:c>
      <x:c r="F527" t="n">
        <x:v>0</x:v>
      </x:c>
      <x:c r="G527" t="n">
        <x:v>250</x:v>
      </x:c>
      <x:c r="H527"/>
      <x:c r="I527" t="n">
        <x:v>0</x:v>
      </x:c>
      <x:c r="J527" t="n">
        <x:v>0</x:v>
      </x:c>
      <x:c r="K527" t="n">
        <x:v>250</x:v>
      </x:c>
      <x:c r="L527" s="20" t="n">
        <x:v>1</x:v>
      </x:c>
      <x:c r="M527" t="str">
        <x:v>Variable</x:v>
      </x:c>
      <x:c r="N527" t="str">
        <x:v>Approx. Non-MCC Pool</x:v>
      </x:c>
      <x:c r="O527" t="str">
        <x:v>Large non-MCC pool; quota split varies by state</x:v>
      </x:c>
      <x:c r="P527"/>
      <x:c r="Q527"/>
      <x:c r="R527"/>
      <x:c r="S527"/>
      <x:c r="T527"/>
      <x:c r="U527" t="str">
        <x:v>Pending state Round-1 allotment/cutoff data</x:v>
      </x:c>
    </x:row>
    <x:row r="528">
      <x:c r="A528" t="str">
        <x:v>Rajasthan</x:v>
      </x:c>
      <x:c r="B528" t="str">
        <x:v>RJ/039/P/4</x:v>
      </x:c>
      <x:c r="C528" t="str">
        <x:v>Pacific Institute of Medical Sciences, Umarda, Udaipur</x:v>
      </x:c>
      <x:c r="D528" t="str">
        <x:v>Private</x:v>
      </x:c>
      <x:c r="E528" t="n">
        <x:v>250</x:v>
      </x:c>
      <x:c r="F528" t="n">
        <x:v>0</x:v>
      </x:c>
      <x:c r="G528" t="n">
        <x:v>250</x:v>
      </x:c>
      <x:c r="H528"/>
      <x:c r="I528" t="n">
        <x:v>0</x:v>
      </x:c>
      <x:c r="J528" t="n">
        <x:v>0</x:v>
      </x:c>
      <x:c r="K528" t="n">
        <x:v>250</x:v>
      </x:c>
      <x:c r="L528" s="20" t="n">
        <x:v>1</x:v>
      </x:c>
      <x:c r="M528" t="str">
        <x:v>Variable</x:v>
      </x:c>
      <x:c r="N528" t="str">
        <x:v>Approx. Non-MCC Pool</x:v>
      </x:c>
      <x:c r="O528" t="str">
        <x:v>Large non-MCC pool; quota split varies by state</x:v>
      </x:c>
      <x:c r="P528"/>
      <x:c r="Q528"/>
      <x:c r="R528"/>
      <x:c r="S528"/>
      <x:c r="T528"/>
      <x:c r="U528" t="str">
        <x:v>Pending state Round-1 allotment/cutoff data</x:v>
      </x:c>
    </x:row>
    <x:row r="529">
      <x:c r="A529" t="str">
        <x:v>Rajasthan</x:v>
      </x:c>
      <x:c r="B529" t="str">
        <x:v>RJ/002/P/4</x:v>
      </x:c>
      <x:c r="C529" t="str">
        <x:v>Ananta Institute of Medical Sciences &amp; Research Centre, Rajsamand</x:v>
      </x:c>
      <x:c r="D529" t="str">
        <x:v>Private</x:v>
      </x:c>
      <x:c r="E529" t="n">
        <x:v>150</x:v>
      </x:c>
      <x:c r="F529" t="n">
        <x:v>50</x:v>
      </x:c>
      <x:c r="G529" t="n">
        <x:v>200</x:v>
      </x:c>
      <x:c r="H529"/>
      <x:c r="I529" t="n">
        <x:v>0</x:v>
      </x:c>
      <x:c r="J529" t="n">
        <x:v>0</x:v>
      </x:c>
      <x:c r="K529" t="n">
        <x:v>200</x:v>
      </x:c>
      <x:c r="L529" s="20" t="n">
        <x:v>1</x:v>
      </x:c>
      <x:c r="M529" t="str">
        <x:v>Variable</x:v>
      </x:c>
      <x:c r="N529" t="str">
        <x:v>Approx. Non-MCC Pool</x:v>
      </x:c>
      <x:c r="O529" t="str">
        <x:v>Expanded 2026 capacity; state/management split to verify</x:v>
      </x:c>
      <x:c r="P529"/>
      <x:c r="Q529"/>
      <x:c r="R529"/>
      <x:c r="S529"/>
      <x:c r="T529"/>
      <x:c r="U529" t="str">
        <x:v>Pending state Round-1 allotment/cutoff data</x:v>
      </x:c>
    </x:row>
    <x:row r="530">
      <x:c r="A530" t="str">
        <x:v>Rajasthan</x:v>
      </x:c>
      <x:c r="B530" t="str">
        <x:v>RJ/040/P/3</x:v>
      </x:c>
      <x:c r="C530" t="str">
        <x:v>Pacific Medical College &amp; Hospital, Bhilo Ka Bedla, Udaipur</x:v>
      </x:c>
      <x:c r="D530" t="str">
        <x:v>Private</x:v>
      </x:c>
      <x:c r="E530" t="n">
        <x:v>200</x:v>
      </x:c>
      <x:c r="F530" t="n">
        <x:v>0</x:v>
      </x:c>
      <x:c r="G530" t="n">
        <x:v>200</x:v>
      </x:c>
      <x:c r="H530"/>
      <x:c r="I530" t="n">
        <x:v>0</x:v>
      </x:c>
      <x:c r="J530" t="n">
        <x:v>0</x:v>
      </x:c>
      <x:c r="K530" t="n">
        <x:v>200</x:v>
      </x:c>
      <x:c r="L530" s="20" t="n">
        <x:v>1</x:v>
      </x:c>
      <x:c r="M530" t="str">
        <x:v>Variable</x:v>
      </x:c>
      <x:c r="N530" t="str">
        <x:v>Approx. Non-MCC Pool</x:v>
      </x:c>
      <x:c r="O530" t="str">
        <x:v>Large non-MCC pool; quota split varies by state</x:v>
      </x:c>
      <x:c r="P530"/>
      <x:c r="Q530"/>
      <x:c r="R530"/>
      <x:c r="S530"/>
      <x:c r="T530"/>
      <x:c r="U530" t="str">
        <x:v>Pending state Round-1 allotment/cutoff data</x:v>
      </x:c>
    </x:row>
    <x:row r="531">
      <x:c r="A531" t="str">
        <x:v>Rajasthan</x:v>
      </x:c>
      <x:c r="B531" t="str">
        <x:v>RJ/046/P/4</x:v>
      </x:c>
      <x:c r="C531" t="str">
        <x:v>Sudha Medical College, Kota, Rajasthan</x:v>
      </x:c>
      <x:c r="D531" t="str">
        <x:v>Private</x:v>
      </x:c>
      <x:c r="E531" t="n">
        <x:v>100</x:v>
      </x:c>
      <x:c r="F531" t="n">
        <x:v>100</x:v>
      </x:c>
      <x:c r="G531" t="n">
        <x:v>200</x:v>
      </x:c>
      <x:c r="H531"/>
      <x:c r="I531" t="n">
        <x:v>0</x:v>
      </x:c>
      <x:c r="J531" t="n">
        <x:v>0</x:v>
      </x:c>
      <x:c r="K531" t="n">
        <x:v>200</x:v>
      </x:c>
      <x:c r="L531" s="20" t="n">
        <x:v>1</x:v>
      </x:c>
      <x:c r="M531" t="str">
        <x:v>Variable</x:v>
      </x:c>
      <x:c r="N531" t="str">
        <x:v>Approx. Non-MCC Pool</x:v>
      </x:c>
      <x:c r="O531" t="str">
        <x:v>Expanded 2026 capacity; state/management split to verify</x:v>
      </x:c>
      <x:c r="P531"/>
      <x:c r="Q531"/>
      <x:c r="R531"/>
      <x:c r="S531"/>
      <x:c r="T531"/>
      <x:c r="U531" t="str">
        <x:v>Pending state Round-1 allotment/cutoff data</x:v>
      </x:c>
    </x:row>
    <x:row r="532">
      <x:c r="A532" t="str">
        <x:v>Rajasthan</x:v>
      </x:c>
      <x:c r="B532" t="str">
        <x:v>RJ/001/P/5</x:v>
      </x:c>
      <x:c r="C532" t="str">
        <x:v>American International Institute of Medical Sciences, Bedwas</x:v>
      </x:c>
      <x:c r="D532" t="str">
        <x:v>Private</x:v>
      </x:c>
      <x:c r="E532" t="n">
        <x:v>150</x:v>
      </x:c>
      <x:c r="F532" t="n">
        <x:v>0</x:v>
      </x:c>
      <x:c r="G532" t="n">
        <x:v>150</x:v>
      </x:c>
      <x:c r="H532"/>
      <x:c r="I532" t="n">
        <x:v>0</x:v>
      </x:c>
      <x:c r="J532" t="n">
        <x:v>0</x:v>
      </x:c>
      <x:c r="K532" t="n">
        <x:v>150</x:v>
      </x:c>
      <x:c r="L532" s="20" t="n">
        <x:v>1</x:v>
      </x:c>
      <x:c r="M532" t="str">
        <x:v>Variable</x:v>
      </x:c>
      <x:c r="N532" t="str">
        <x:v>Approx. Non-MCC Pool</x:v>
      </x:c>
      <x:c r="O532" t="str">
        <x:v>Large non-MCC pool; quota split varies by state</x:v>
      </x:c>
      <x:c r="P532"/>
      <x:c r="Q532"/>
      <x:c r="R532"/>
      <x:c r="S532"/>
      <x:c r="T532"/>
      <x:c r="U532" t="str">
        <x:v>Pending state Round-1 allotment/cutoff data</x:v>
      </x:c>
    </x:row>
    <x:row r="533">
      <x:c r="A533" t="str">
        <x:v>Rajasthan</x:v>
      </x:c>
      <x:c r="B533" t="str">
        <x:v>RJ/003/P/3</x:v>
      </x:c>
      <x:c r="C533" t="str">
        <x:v>Arya Medical College and Hospital</x:v>
      </x:c>
      <x:c r="D533" t="str">
        <x:v>Private</x:v>
      </x:c>
      <x:c r="E533" t="n">
        <x:v>50</x:v>
      </x:c>
      <x:c r="F533" t="n">
        <x:v>100</x:v>
      </x:c>
      <x:c r="G533" t="n">
        <x:v>150</x:v>
      </x:c>
      <x:c r="H533"/>
      <x:c r="I533" t="n">
        <x:v>0</x:v>
      </x:c>
      <x:c r="J533" t="n">
        <x:v>0</x:v>
      </x:c>
      <x:c r="K533" t="n">
        <x:v>150</x:v>
      </x:c>
      <x:c r="L533" s="20" t="n">
        <x:v>1</x:v>
      </x:c>
      <x:c r="M533" t="str">
        <x:v>Variable</x:v>
      </x:c>
      <x:c r="N533" t="str">
        <x:v>Approx. Non-MCC Pool</x:v>
      </x:c>
      <x:c r="O533" t="str">
        <x:v>Expanded 2026 capacity; state/management split to verify</x:v>
      </x:c>
      <x:c r="P533"/>
      <x:c r="Q533"/>
      <x:c r="R533"/>
      <x:c r="S533"/>
      <x:c r="T533"/>
      <x:c r="U533" t="str">
        <x:v>Pending state Round-1 allotment/cutoff data</x:v>
      </x:c>
    </x:row>
    <x:row r="534">
      <x:c r="A534" t="str">
        <x:v>Rajasthan</x:v>
      </x:c>
      <x:c r="B534" t="str">
        <x:v>New Establishment</x:v>
      </x:c>
      <x:c r="C534" t="str">
        <x:v>BHARAT VIKAS INSTITUTE OF MEDICAL SCIENCES</x:v>
      </x:c>
      <x:c r="D534" t="str">
        <x:v>Private</x:v>
      </x:c>
      <x:c r="E534" t="n">
        <x:v>0</x:v>
      </x:c>
      <x:c r="F534" t="n">
        <x:v>150</x:v>
      </x:c>
      <x:c r="G534" t="n">
        <x:v>150</x:v>
      </x:c>
      <x:c r="H534" t="str">
        <x:v>904744</x:v>
      </x:c>
      <x:c r="I534" t="n">
        <x:v>15</x:v>
      </x:c>
      <x:c r="J534" t="n">
        <x:v>15</x:v>
      </x:c>
      <x:c r="K534" t="n">
        <x:v>135</x:v>
      </x:c>
      <x:c r="L534" s="20" t="n">
        <x:v>0.9</x:v>
      </x:c>
      <x:c r="M534" t="str">
        <x:v>Variable</x:v>
      </x:c>
      <x:c r="N534" t="str">
        <x:v>Approx. Non-MCC Pool</x:v>
      </x:c>
      <x:c r="O534" t="str">
        <x:v>Expanded 2026 capacity; state/management split to verify</x:v>
      </x:c>
      <x:c r="P534" t="n">
        <x:v>19127</x:v>
      </x:c>
      <x:c r="Q534" t="n">
        <x:v>22142</x:v>
      </x:c>
      <x:c r="R534" t="n">
        <x:v>21393</x:v>
      </x:c>
      <x:c r="S534" t="n">
        <x:v>82876</x:v>
      </x:c>
      <x:c r="T534" t="n">
        <x:v>72645</x:v>
      </x:c>
      <x:c r="U534" t="str">
        <x:v>Pending state Round-1 allotment/cutoff data</x:v>
      </x:c>
    </x:row>
    <x:row r="535">
      <x:c r="A535" t="str">
        <x:v>Rajasthan</x:v>
      </x:c>
      <x:c r="B535" t="str">
        <x:v>New Establishment</x:v>
      </x:c>
      <x:c r="C535" t="str">
        <x:v>Dr. B. S. Tomar Institute of Medical Sciences and Research</x:v>
      </x:c>
      <x:c r="D535" t="str">
        <x:v>Private</x:v>
      </x:c>
      <x:c r="E535" t="n">
        <x:v>0</x:v>
      </x:c>
      <x:c r="F535" t="n">
        <x:v>150</x:v>
      </x:c>
      <x:c r="G535" t="n">
        <x:v>150</x:v>
      </x:c>
      <x:c r="H535" t="str">
        <x:v>904744</x:v>
      </x:c>
      <x:c r="I535" t="n">
        <x:v>15</x:v>
      </x:c>
      <x:c r="J535" t="n">
        <x:v>15</x:v>
      </x:c>
      <x:c r="K535" t="n">
        <x:v>135</x:v>
      </x:c>
      <x:c r="L535" s="20" t="n">
        <x:v>0.9</x:v>
      </x:c>
      <x:c r="M535" t="str">
        <x:v>Variable</x:v>
      </x:c>
      <x:c r="N535" t="str">
        <x:v>Approx. Non-MCC Pool</x:v>
      </x:c>
      <x:c r="O535" t="str">
        <x:v>Expanded 2026 capacity; state/management split to verify</x:v>
      </x:c>
      <x:c r="P535" t="n">
        <x:v>19127</x:v>
      </x:c>
      <x:c r="Q535" t="n">
        <x:v>22142</x:v>
      </x:c>
      <x:c r="R535" t="n">
        <x:v>21393</x:v>
      </x:c>
      <x:c r="S535" t="n">
        <x:v>82876</x:v>
      </x:c>
      <x:c r="T535" t="n">
        <x:v>72645</x:v>
      </x:c>
      <x:c r="U535" t="str">
        <x:v>Pending state Round-1 allotment/cutoff data</x:v>
      </x:c>
    </x:row>
    <x:row r="536">
      <x:c r="A536" t="str">
        <x:v>Rajasthan</x:v>
      </x:c>
      <x:c r="B536" t="str">
        <x:v>RJ/047/P/5</x:v>
      </x:c>
      <x:c r="C536" t="str">
        <x:v>Vyas Medical College &amp; Hospital Jodhpur, Rajasthan</x:v>
      </x:c>
      <x:c r="D536" t="str">
        <x:v>Private</x:v>
      </x:c>
      <x:c r="E536" t="n">
        <x:v>100</x:v>
      </x:c>
      <x:c r="F536" t="n">
        <x:v>0</x:v>
      </x:c>
      <x:c r="G536" t="n">
        <x:v>100</x:v>
      </x:c>
      <x:c r="H536"/>
      <x:c r="I536" t="n">
        <x:v>0</x:v>
      </x:c>
      <x:c r="J536" t="n">
        <x:v>0</x:v>
      </x:c>
      <x:c r="K536" t="n">
        <x:v>100</x:v>
      </x:c>
      <x:c r="L536" s="20" t="n">
        <x:v>1</x:v>
      </x:c>
      <x:c r="M536" t="str">
        <x:v>Variable</x:v>
      </x:c>
      <x:c r="N536" t="str">
        <x:v>Approx. Non-MCC Pool</x:v>
      </x:c>
      <x:c r="O536" t="str">
        <x:v>State/management/NRI split must be verified</x:v>
      </x:c>
      <x:c r="P536"/>
      <x:c r="Q536"/>
      <x:c r="R536"/>
      <x:c r="S536"/>
      <x:c r="T536"/>
      <x:c r="U536" t="str">
        <x:v>Pending state Round-1 allotment/cutoff data</x:v>
      </x:c>
    </x:row>
    <x:row r="537">
      <x:c r="A537" t="str">
        <x:v>Rajasthan</x:v>
      </x:c>
      <x:c r="B537" t="str">
        <x:v>New Establishment</x:v>
      </x:c>
      <x:c r="C537" t="str">
        <x:v>Prince Medical College &amp; Hospital</x:v>
      </x:c>
      <x:c r="D537" t="str">
        <x:v>Private</x:v>
      </x:c>
      <x:c r="E537" t="n">
        <x:v>0</x:v>
      </x:c>
      <x:c r="F537" t="n">
        <x:v>50</x:v>
      </x:c>
      <x:c r="G537" t="n">
        <x:v>50</x:v>
      </x:c>
      <x:c r="H537" t="str">
        <x:v>904744</x:v>
      </x:c>
      <x:c r="I537" t="n">
        <x:v>15</x:v>
      </x:c>
      <x:c r="J537" t="n">
        <x:v>15</x:v>
      </x:c>
      <x:c r="K537" t="n">
        <x:v>35</x:v>
      </x:c>
      <x:c r="L537" s="20" t="n">
        <x:v>0.7</x:v>
      </x:c>
      <x:c r="M537" t="str">
        <x:v>Variable</x:v>
      </x:c>
      <x:c r="N537" t="str">
        <x:v>Approx. Non-MCC Pool</x:v>
      </x:c>
      <x:c r="O537" t="str">
        <x:v>Expanded 2026 capacity; state/management split to verify</x:v>
      </x:c>
      <x:c r="P537" t="n">
        <x:v>19127</x:v>
      </x:c>
      <x:c r="Q537" t="n">
        <x:v>22142</x:v>
      </x:c>
      <x:c r="R537" t="n">
        <x:v>21393</x:v>
      </x:c>
      <x:c r="S537" t="n">
        <x:v>82876</x:v>
      </x:c>
      <x:c r="T537" t="n">
        <x:v>72645</x:v>
      </x:c>
      <x:c r="U537" t="str">
        <x:v>Pending state Round-1 allotment/cutoff data</x:v>
      </x:c>
    </x:row>
    <x:row r="538">
      <x:c r="A538" t="str">
        <x:v>Sikkim</x:v>
      </x:c>
      <x:c r="B538" t="str">
        <x:v>New Establishment</x:v>
      </x:c>
      <x:c r="C538" t="str">
        <x:v>Sikkim Government Medical College</x:v>
      </x:c>
      <x:c r="D538" t="str">
        <x:v>Government</x:v>
      </x:c>
      <x:c r="E538" t="n">
        <x:v>0</x:v>
      </x:c>
      <x:c r="F538" t="n">
        <x:v>100</x:v>
      </x:c>
      <x:c r="G538" t="n">
        <x:v>100</x:v>
      </x:c>
      <x:c r="H538" t="str">
        <x:v>904744</x:v>
      </x:c>
      <x:c r="I538" t="n">
        <x:v>15</x:v>
      </x:c>
      <x:c r="J538" t="n">
        <x:v>15</x:v>
      </x:c>
      <x:c r="K538" t="n">
        <x:v>85</x:v>
      </x:c>
      <x:c r="L538" s="20" t="n">
        <x:v>0.85</x:v>
      </x:c>
      <x:c r="M538" t="str">
        <x:v>High</x:v>
      </x:c>
      <x:c r="N538" t="str">
        <x:v>Approx. State/Non-MCC Pool</x:v>
      </x:c>
      <x:c r="O538" t="str">
        <x:v>Expanded 2026 capacity + substantial state pool</x:v>
      </x:c>
      <x:c r="P538" t="n">
        <x:v>19127</x:v>
      </x:c>
      <x:c r="Q538" t="n">
        <x:v>22142</x:v>
      </x:c>
      <x:c r="R538" t="n">
        <x:v>21393</x:v>
      </x:c>
      <x:c r="S538" t="n">
        <x:v>82876</x:v>
      </x:c>
      <x:c r="T538" t="n">
        <x:v>72645</x:v>
      </x:c>
      <x:c r="U538" t="str">
        <x:v>Pending state Round-1 allotment/cutoff data</x:v>
      </x:c>
    </x:row>
    <x:row r="539">
      <x:c r="A539" t="str">
        <x:v>Sikkim</x:v>
      </x:c>
      <x:c r="B539" t="str">
        <x:v>SK/001/P/1</x:v>
      </x:c>
      <x:c r="C539" t="str">
        <x:v>Sikkim Manipal Institute of Medical Sciences, Gangtok</x:v>
      </x:c>
      <x:c r="D539" t="str">
        <x:v>Private</x:v>
      </x:c>
      <x:c r="E539" t="n">
        <x:v>100</x:v>
      </x:c>
      <x:c r="F539" t="n">
        <x:v>0</x:v>
      </x:c>
      <x:c r="G539" t="n">
        <x:v>100</x:v>
      </x:c>
      <x:c r="H539"/>
      <x:c r="I539" t="n">
        <x:v>0</x:v>
      </x:c>
      <x:c r="J539" t="n">
        <x:v>0</x:v>
      </x:c>
      <x:c r="K539" t="n">
        <x:v>100</x:v>
      </x:c>
      <x:c r="L539" s="20" t="n">
        <x:v>1</x:v>
      </x:c>
      <x:c r="M539" t="str">
        <x:v>Variable</x:v>
      </x:c>
      <x:c r="N539" t="str">
        <x:v>Approx. Non-MCC Pool</x:v>
      </x:c>
      <x:c r="O539" t="str">
        <x:v>State/management/NRI split must be verified</x:v>
      </x:c>
      <x:c r="P539"/>
      <x:c r="Q539"/>
      <x:c r="R539"/>
      <x:c r="S539"/>
      <x:c r="T539"/>
      <x:c r="U539" t="str">
        <x:v>Pending state Round-1 allotment/cutoff data</x:v>
      </x:c>
    </x:row>
    <x:row r="540">
      <x:c r="A540" t="str">
        <x:v>Tamil Nadu</x:v>
      </x:c>
      <x:c r="B540" t="str">
        <x:v>TN/065/G/1</x:v>
      </x:c>
      <x:c r="C540" t="str">
        <x:v>Stanley Medical College, Chennai</x:v>
      </x:c>
      <x:c r="D540" t="str">
        <x:v>Government</x:v>
      </x:c>
      <x:c r="E540" t="n">
        <x:v>250</x:v>
      </x:c>
      <x:c r="F540" t="n">
        <x:v>0</x:v>
      </x:c>
      <x:c r="G540" t="n">
        <x:v>250</x:v>
      </x:c>
      <x:c r="H540" t="str">
        <x:v>200279</x:v>
      </x:c>
      <x:c r="I540" t="n">
        <x:v>37</x:v>
      </x:c>
      <x:c r="J540" t="n">
        <x:v>37</x:v>
      </x:c>
      <x:c r="K540" t="n">
        <x:v>213</x:v>
      </x:c>
      <x:c r="L540" s="20" t="n">
        <x:v>0.852</x:v>
      </x:c>
      <x:c r="M540" t="str">
        <x:v>High</x:v>
      </x:c>
      <x:c r="N540" t="str">
        <x:v>Approx. State/Non-MCC Pool</x:v>
      </x:c>
      <x:c r="O540" t="str">
        <x:v>Large state-counselling pool</x:v>
      </x:c>
      <x:c r="P540" t="n">
        <x:v>1007</x:v>
      </x:c>
      <x:c r="Q540" t="n">
        <x:v>1319</x:v>
      </x:c>
      <x:c r="R540" t="n">
        <x:v>6056</x:v>
      </x:c>
      <x:c r="S540" t="n">
        <x:v>5404</x:v>
      </x:c>
      <x:c r="T540" t="n">
        <x:v>34803</x:v>
      </x:c>
      <x:c r="U540" t="str">
        <x:v>Pending state Round-1 allotment/cutoff data</x:v>
      </x:c>
    </x:row>
    <x:row r="541">
      <x:c r="A541" t="str">
        <x:v>Tamil Nadu</x:v>
      </x:c>
      <x:c r="B541" t="str">
        <x:v>TN/073/G/1</x:v>
      </x:c>
      <x:c r="C541" t="str">
        <x:v>Tirunelveli Medical College, Tirunelveli</x:v>
      </x:c>
      <x:c r="D541" t="str">
        <x:v>Government</x:v>
      </x:c>
      <x:c r="E541" t="n">
        <x:v>250</x:v>
      </x:c>
      <x:c r="F541" t="n">
        <x:v>0</x:v>
      </x:c>
      <x:c r="G541" t="n">
        <x:v>250</x:v>
      </x:c>
      <x:c r="H541" t="str">
        <x:v>200265</x:v>
      </x:c>
      <x:c r="I541" t="n">
        <x:v>37</x:v>
      </x:c>
      <x:c r="J541" t="n">
        <x:v>37</x:v>
      </x:c>
      <x:c r="K541" t="n">
        <x:v>213</x:v>
      </x:c>
      <x:c r="L541" s="20" t="n">
        <x:v>0.852</x:v>
      </x:c>
      <x:c r="M541" t="str">
        <x:v>High</x:v>
      </x:c>
      <x:c r="N541" t="str">
        <x:v>Approx. State/Non-MCC Pool</x:v>
      </x:c>
      <x:c r="O541" t="str">
        <x:v>Large state-counselling pool</x:v>
      </x:c>
      <x:c r="P541" t="n">
        <x:v>5383</x:v>
      </x:c>
      <x:c r="Q541" t="n">
        <x:v>6514</x:v>
      </x:c>
      <x:c r="R541" t="n">
        <x:v>21141</x:v>
      </x:c>
      <x:c r="S541" t="n">
        <x:v>39232</x:v>
      </x:c>
      <x:c r="T541" t="n">
        <x:v>106468</x:v>
      </x:c>
      <x:c r="U541" t="str">
        <x:v>Pending state Round-1 allotment/cutoff data</x:v>
      </x:c>
    </x:row>
    <x:row r="542">
      <x:c r="A542" t="str">
        <x:v>Tamil Nadu</x:v>
      </x:c>
      <x:c r="B542" t="str">
        <x:v>TN/046/G/1</x:v>
      </x:c>
      <x:c r="C542" t="str">
        <x:v>Madras Medical College, Chennai</x:v>
      </x:c>
      <x:c r="D542" t="str">
        <x:v>Government</x:v>
      </x:c>
      <x:c r="E542" t="n">
        <x:v>250</x:v>
      </x:c>
      <x:c r="F542" t="n">
        <x:v>0</x:v>
      </x:c>
      <x:c r="G542" t="n">
        <x:v>250</x:v>
      </x:c>
      <x:c r="H542" t="str">
        <x:v>200275</x:v>
      </x:c>
      <x:c r="I542" t="n">
        <x:v>38</x:v>
      </x:c>
      <x:c r="J542" t="n">
        <x:v>38</x:v>
      </x:c>
      <x:c r="K542" t="n">
        <x:v>212</x:v>
      </x:c>
      <x:c r="L542" s="20" t="n">
        <x:v>0.848</x:v>
      </x:c>
      <x:c r="M542" t="str">
        <x:v>High</x:v>
      </x:c>
      <x:c r="N542" t="str">
        <x:v>Approx. State/Non-MCC Pool</x:v>
      </x:c>
      <x:c r="O542" t="str">
        <x:v>Large state-counselling pool</x:v>
      </x:c>
      <x:c r="P542" t="n">
        <x:v>486</x:v>
      </x:c>
      <x:c r="Q542" t="n">
        <x:v>882</x:v>
      </x:c>
      <x:c r="R542" t="n">
        <x:v>4150</x:v>
      </x:c>
      <x:c r="S542" t="n">
        <x:v>4107</x:v>
      </x:c>
      <x:c r="T542" t="n">
        <x:v>18496</x:v>
      </x:c>
      <x:c r="U542" t="str">
        <x:v>Pending state Round-1 allotment/cutoff data</x:v>
      </x:c>
    </x:row>
    <x:row r="543">
      <x:c r="A543" t="str">
        <x:v>Tamil Nadu</x:v>
      </x:c>
      <x:c r="B543" t="str">
        <x:v>TN/047/G/1</x:v>
      </x:c>
      <x:c r="C543" t="str">
        <x:v>Madurai Medical College, Madurai</x:v>
      </x:c>
      <x:c r="D543" t="str">
        <x:v>Government</x:v>
      </x:c>
      <x:c r="E543" t="n">
        <x:v>250</x:v>
      </x:c>
      <x:c r="F543" t="n">
        <x:v>0</x:v>
      </x:c>
      <x:c r="G543" t="n">
        <x:v>250</x:v>
      </x:c>
      <x:c r="H543" t="str">
        <x:v>200276</x:v>
      </x:c>
      <x:c r="I543" t="n">
        <x:v>38</x:v>
      </x:c>
      <x:c r="J543" t="n">
        <x:v>38</x:v>
      </x:c>
      <x:c r="K543" t="n">
        <x:v>212</x:v>
      </x:c>
      <x:c r="L543" s="20" t="n">
        <x:v>0.848</x:v>
      </x:c>
      <x:c r="M543" t="str">
        <x:v>High</x:v>
      </x:c>
      <x:c r="N543" t="str">
        <x:v>Approx. State/Non-MCC Pool</x:v>
      </x:c>
      <x:c r="O543" t="str">
        <x:v>Large state-counselling pool</x:v>
      </x:c>
      <x:c r="P543" t="n">
        <x:v>2538</x:v>
      </x:c>
      <x:c r="Q543" t="n">
        <x:v>3479</x:v>
      </x:c>
      <x:c r="R543" t="n">
        <x:v>14903</x:v>
      </x:c>
      <x:c r="S543" t="n">
        <x:v>17844</x:v>
      </x:c>
      <x:c r="T543" t="n">
        <x:v>82007</x:v>
      </x:c>
      <x:c r="U543" t="str">
        <x:v>Pending state Round-1 allotment/cutoff data</x:v>
      </x:c>
    </x:row>
    <x:row r="544">
      <x:c r="A544" t="str">
        <x:v>Tamil Nadu</x:v>
      </x:c>
      <x:c r="B544" t="str">
        <x:v>TN/009/G/1</x:v>
      </x:c>
      <x:c r="C544" t="str">
        <x:v>Coimbatore Medical College, Coimbatore</x:v>
      </x:c>
      <x:c r="D544" t="str">
        <x:v>Government</x:v>
      </x:c>
      <x:c r="E544" t="n">
        <x:v>200</x:v>
      </x:c>
      <x:c r="F544" t="n">
        <x:v>0</x:v>
      </x:c>
      <x:c r="G544" t="n">
        <x:v>200</x:v>
      </x:c>
      <x:c r="H544" t="str">
        <x:v>200264</x:v>
      </x:c>
      <x:c r="I544" t="n">
        <x:v>35</x:v>
      </x:c>
      <x:c r="J544" t="n">
        <x:v>34</x:v>
      </x:c>
      <x:c r="K544" t="n">
        <x:v>165</x:v>
      </x:c>
      <x:c r="L544" s="20" t="n">
        <x:v>0.825</x:v>
      </x:c>
      <x:c r="M544" t="str">
        <x:v>High</x:v>
      </x:c>
      <x:c r="N544" t="str">
        <x:v>Approx. State/Non-MCC Pool</x:v>
      </x:c>
      <x:c r="O544" t="str">
        <x:v>Moderate state-counselling pool</x:v>
      </x:c>
      <x:c r="P544" t="n">
        <x:v>15980</x:v>
      </x:c>
      <x:c r="Q544" t="n">
        <x:v>21493</x:v>
      </x:c>
      <x:c r="R544" t="n">
        <x:v>38026</x:v>
      </x:c>
      <x:c r="S544" t="n">
        <x:v>91579</x:v>
      </x:c>
      <x:c r="T544" t="n">
        <x:v>208863</x:v>
      </x:c>
      <x:c r="U544" t="str">
        <x:v>Pending state Round-1 allotment/cutoff data</x:v>
      </x:c>
    </x:row>
    <x:row r="545">
      <x:c r="A545" t="str">
        <x:v>Tamil Nadu</x:v>
      </x:c>
      <x:c r="B545" t="str">
        <x:v>TN/054/G/1</x:v>
      </x:c>
      <x:c r="C545" t="str">
        <x:v>Government Medical College &amp; Hospital Cuddalore, Since- 09-05-2025 (erstwhile Rajah Muthiah Medical College, cuddalore, T.N)</x:v>
      </x:c>
      <x:c r="D545" t="str">
        <x:v>Government</x:v>
      </x:c>
      <x:c r="E545" t="n">
        <x:v>150</x:v>
      </x:c>
      <x:c r="F545" t="n">
        <x:v>0</x:v>
      </x:c>
      <x:c r="G545" t="n">
        <x:v>150</x:v>
      </x:c>
      <x:c r="H545" t="str">
        <x:v>200278</x:v>
      </x:c>
      <x:c r="I545" t="n">
        <x:v>22</x:v>
      </x:c>
      <x:c r="J545" t="n">
        <x:v>21</x:v>
      </x:c>
      <x:c r="K545" t="n">
        <x:v>128</x:v>
      </x:c>
      <x:c r="L545" s="20" t="n">
        <x:v>0.8533333333333334</x:v>
      </x:c>
      <x:c r="M545" t="str">
        <x:v>High</x:v>
      </x:c>
      <x:c r="N545" t="str">
        <x:v>Approx. State/Non-MCC Pool</x:v>
      </x:c>
      <x:c r="O545" t="str">
        <x:v>Moderate state-counselling pool</x:v>
      </x:c>
      <x:c r="P545" t="n">
        <x:v>10544</x:v>
      </x:c>
      <x:c r="Q545" t="n">
        <x:v>12326</x:v>
      </x:c>
      <x:c r="R545" t="n">
        <x:v>25238</x:v>
      </x:c>
      <x:c r="S545" t="n">
        <x:v>62563</x:v>
      </x:c>
      <x:c r="T545" t="n">
        <x:v>117554</x:v>
      </x:c>
      <x:c r="U545" t="str">
        <x:v>Pending state Round-1 allotment/cutoff data</x:v>
      </x:c>
    </x:row>
    <x:row r="546">
      <x:c r="A546" t="str">
        <x:v>Tamil Nadu</x:v>
      </x:c>
      <x:c r="B546" t="str">
        <x:v>TN/017/G/1</x:v>
      </x:c>
      <x:c r="C546" t="str">
        <x:v>Government Medical College, Ariyalur</x:v>
      </x:c>
      <x:c r="D546" t="str">
        <x:v>Government</x:v>
      </x:c>
      <x:c r="E546" t="n">
        <x:v>150</x:v>
      </x:c>
      <x:c r="F546" t="n">
        <x:v>0</x:v>
      </x:c>
      <x:c r="G546" t="n">
        <x:v>150</x:v>
      </x:c>
      <x:c r="H546" t="str">
        <x:v>200564</x:v>
      </x:c>
      <x:c r="I546" t="n">
        <x:v>22</x:v>
      </x:c>
      <x:c r="J546" t="n">
        <x:v>22</x:v>
      </x:c>
      <x:c r="K546" t="n">
        <x:v>128</x:v>
      </x:c>
      <x:c r="L546" s="20" t="n">
        <x:v>0.8533333333333334</x:v>
      </x:c>
      <x:c r="M546" t="str">
        <x:v>High</x:v>
      </x:c>
      <x:c r="N546" t="str">
        <x:v>Approx. State/Non-MCC Pool</x:v>
      </x:c>
      <x:c r="O546" t="str">
        <x:v>Moderate state-counselling pool</x:v>
      </x:c>
      <x:c r="P546" t="n">
        <x:v>13484</x:v>
      </x:c>
      <x:c r="Q546" t="n">
        <x:v>14094</x:v>
      </x:c>
      <x:c r="R546" t="n">
        <x:v>26662</x:v>
      </x:c>
      <x:c r="S546" t="n">
        <x:v>71571</x:v>
      </x:c>
      <x:c r="T546" t="n">
        <x:v>126702</x:v>
      </x:c>
      <x:c r="U546" t="str">
        <x:v>Pending state Round-1 allotment/cutoff data</x:v>
      </x:c>
    </x:row>
    <x:row r="547">
      <x:c r="A547" t="str">
        <x:v>Tamil Nadu</x:v>
      </x:c>
      <x:c r="B547" t="str">
        <x:v>TN/018/G/1</x:v>
      </x:c>
      <x:c r="C547" t="str">
        <x:v>Government Medical College, Dindigul</x:v>
      </x:c>
      <x:c r="D547" t="str">
        <x:v>Government</x:v>
      </x:c>
      <x:c r="E547" t="n">
        <x:v>150</x:v>
      </x:c>
      <x:c r="F547" t="n">
        <x:v>0</x:v>
      </x:c>
      <x:c r="G547" t="n">
        <x:v>150</x:v>
      </x:c>
      <x:c r="H547" t="str">
        <x:v>200566</x:v>
      </x:c>
      <x:c r="I547" t="n">
        <x:v>22</x:v>
      </x:c>
      <x:c r="J547" t="n">
        <x:v>22</x:v>
      </x:c>
      <x:c r="K547" t="n">
        <x:v>128</x:v>
      </x:c>
      <x:c r="L547" s="20" t="n">
        <x:v>0.8533333333333334</x:v>
      </x:c>
      <x:c r="M547" t="str">
        <x:v>High</x:v>
      </x:c>
      <x:c r="N547" t="str">
        <x:v>Approx. State/Non-MCC Pool</x:v>
      </x:c>
      <x:c r="O547" t="str">
        <x:v>Moderate state-counselling pool</x:v>
      </x:c>
      <x:c r="P547" t="n">
        <x:v>10336</x:v>
      </x:c>
      <x:c r="Q547" t="n">
        <x:v>13260</x:v>
      </x:c>
      <x:c r="R547" t="n">
        <x:v>25287</x:v>
      </x:c>
      <x:c r="S547" t="n">
        <x:v>58198</x:v>
      </x:c>
      <x:c r="T547" t="n">
        <x:v>129646</x:v>
      </x:c>
      <x:c r="U547" t="str">
        <x:v>Pending state Round-1 allotment/cutoff data</x:v>
      </x:c>
    </x:row>
    <x:row r="548">
      <x:c r="A548" t="str">
        <x:v>Tamil Nadu</x:v>
      </x:c>
      <x:c r="B548" t="str">
        <x:v>TN/019/G/1</x:v>
      </x:c>
      <x:c r="C548" t="str">
        <x:v>Government Medical College, Kallakurichi</x:v>
      </x:c>
      <x:c r="D548" t="str">
        <x:v>Government</x:v>
      </x:c>
      <x:c r="E548" t="n">
        <x:v>150</x:v>
      </x:c>
      <x:c r="F548" t="n">
        <x:v>0</x:v>
      </x:c>
      <x:c r="G548" t="n">
        <x:v>150</x:v>
      </x:c>
      <x:c r="H548" t="str">
        <x:v>200558</x:v>
      </x:c>
      <x:c r="I548" t="n">
        <x:v>22</x:v>
      </x:c>
      <x:c r="J548" t="n">
        <x:v>22</x:v>
      </x:c>
      <x:c r="K548" t="n">
        <x:v>128</x:v>
      </x:c>
      <x:c r="L548" s="20" t="n">
        <x:v>0.8533333333333334</x:v>
      </x:c>
      <x:c r="M548" t="str">
        <x:v>High</x:v>
      </x:c>
      <x:c r="N548" t="str">
        <x:v>Approx. State/Non-MCC Pool</x:v>
      </x:c>
      <x:c r="O548" t="str">
        <x:v>Moderate state-counselling pool</x:v>
      </x:c>
      <x:c r="P548" t="n">
        <x:v>13668</x:v>
      </x:c>
      <x:c r="Q548" t="n">
        <x:v>14432</x:v>
      </x:c>
      <x:c r="R548" t="n">
        <x:v>26488</x:v>
      </x:c>
      <x:c r="S548" t="n">
        <x:v>63991</x:v>
      </x:c>
      <x:c r="T548" t="n">
        <x:v>132044</x:v>
      </x:c>
      <x:c r="U548" t="str">
        <x:v>Pending state Round-1 allotment/cutoff data</x:v>
      </x:c>
    </x:row>
    <x:row r="549">
      <x:c r="A549" t="str">
        <x:v>Tamil Nadu</x:v>
      </x:c>
      <x:c r="B549" t="str">
        <x:v>TN/021/G/1</x:v>
      </x:c>
      <x:c r="C549" t="str">
        <x:v>Government Medical College, Krishnagiri</x:v>
      </x:c>
      <x:c r="D549" t="str">
        <x:v>Government</x:v>
      </x:c>
      <x:c r="E549" t="n">
        <x:v>150</x:v>
      </x:c>
      <x:c r="F549" t="n">
        <x:v>0</x:v>
      </x:c>
      <x:c r="G549" t="n">
        <x:v>150</x:v>
      </x:c>
      <x:c r="H549" t="str">
        <x:v>200562</x:v>
      </x:c>
      <x:c r="I549" t="n">
        <x:v>22</x:v>
      </x:c>
      <x:c r="J549" t="n">
        <x:v>22</x:v>
      </x:c>
      <x:c r="K549" t="n">
        <x:v>128</x:v>
      </x:c>
      <x:c r="L549" s="20" t="n">
        <x:v>0.8533333333333334</x:v>
      </x:c>
      <x:c r="M549" t="str">
        <x:v>High</x:v>
      </x:c>
      <x:c r="N549" t="str">
        <x:v>Approx. State/Non-MCC Pool</x:v>
      </x:c>
      <x:c r="O549" t="str">
        <x:v>Moderate state-counselling pool</x:v>
      </x:c>
      <x:c r="P549" t="n">
        <x:v>11550</x:v>
      </x:c>
      <x:c r="Q549" t="n">
        <x:v>13772</x:v>
      </x:c>
      <x:c r="R549" t="n">
        <x:v>25489</x:v>
      </x:c>
      <x:c r="S549" t="n">
        <x:v>60354</x:v>
      </x:c>
      <x:c r="T549" t="n">
        <x:v>125560</x:v>
      </x:c>
      <x:c r="U549" t="str">
        <x:v>Pending state Round-1 allotment/cutoff data</x:v>
      </x:c>
    </x:row>
    <x:row r="550">
      <x:c r="A550" t="str">
        <x:v>Tamil Nadu</x:v>
      </x:c>
      <x:c r="B550" t="str">
        <x:v>TN/022/G/1</x:v>
      </x:c>
      <x:c r="C550" t="str">
        <x:v>Government Medical College, Nagapattinam</x:v>
      </x:c>
      <x:c r="D550" t="str">
        <x:v>Government</x:v>
      </x:c>
      <x:c r="E550" t="n">
        <x:v>150</x:v>
      </x:c>
      <x:c r="F550" t="n">
        <x:v>0</x:v>
      </x:c>
      <x:c r="G550" t="n">
        <x:v>150</x:v>
      </x:c>
      <x:c r="H550" t="str">
        <x:v>200571</x:v>
      </x:c>
      <x:c r="I550" t="n">
        <x:v>22</x:v>
      </x:c>
      <x:c r="J550" t="n">
        <x:v>22</x:v>
      </x:c>
      <x:c r="K550" t="n">
        <x:v>128</x:v>
      </x:c>
      <x:c r="L550" s="20" t="n">
        <x:v>0.8533333333333334</x:v>
      </x:c>
      <x:c r="M550" t="str">
        <x:v>High</x:v>
      </x:c>
      <x:c r="N550" t="str">
        <x:v>Approx. State/Non-MCC Pool</x:v>
      </x:c>
      <x:c r="O550" t="str">
        <x:v>Moderate state-counselling pool</x:v>
      </x:c>
      <x:c r="P550" t="n">
        <x:v>14367</x:v>
      </x:c>
      <x:c r="Q550" t="n">
        <x:v>14910</x:v>
      </x:c>
      <x:c r="R550" t="n">
        <x:v>27175</x:v>
      </x:c>
      <x:c r="S550" t="n">
        <x:v>64280</x:v>
      </x:c>
      <x:c r="T550" t="n">
        <x:v>130780</x:v>
      </x:c>
      <x:c r="U550" t="str">
        <x:v>Pending state Round-1 allotment/cutoff data</x:v>
      </x:c>
    </x:row>
    <x:row r="551">
      <x:c r="A551" t="str">
        <x:v>Tamil Nadu</x:v>
      </x:c>
      <x:c r="B551" t="str">
        <x:v>TN/023/G/1</x:v>
      </x:c>
      <x:c r="C551" t="str">
        <x:v>Government Medical College, Namakkal</x:v>
      </x:c>
      <x:c r="D551" t="str">
        <x:v>Government</x:v>
      </x:c>
      <x:c r="E551" t="n">
        <x:v>100</x:v>
      </x:c>
      <x:c r="F551" t="n">
        <x:v>50</x:v>
      </x:c>
      <x:c r="G551" t="n">
        <x:v>150</x:v>
      </x:c>
      <x:c r="H551" t="str">
        <x:v>200557</x:v>
      </x:c>
      <x:c r="I551" t="n">
        <x:v>22</x:v>
      </x:c>
      <x:c r="J551" t="n">
        <x:v>22</x:v>
      </x:c>
      <x:c r="K551" t="n">
        <x:v>128</x:v>
      </x:c>
      <x:c r="L551" s="20" t="n">
        <x:v>0.8533333333333334</x:v>
      </x:c>
      <x:c r="M551" t="str">
        <x:v>High</x:v>
      </x:c>
      <x:c r="N551" t="str">
        <x:v>Approx. State/Non-MCC Pool</x:v>
      </x:c>
      <x:c r="O551" t="str">
        <x:v>Expanded 2026 capacity + substantial state pool</x:v>
      </x:c>
      <x:c r="P551" t="n">
        <x:v>10880</x:v>
      </x:c>
      <x:c r="Q551" t="n">
        <x:v>12705</x:v>
      </x:c>
      <x:c r="R551" t="n">
        <x:v>26514</x:v>
      </x:c>
      <x:c r="S551" t="n">
        <x:v>45124</x:v>
      </x:c>
      <x:c r="T551" t="n">
        <x:v>129985</x:v>
      </x:c>
      <x:c r="U551" t="str">
        <x:v>Pending state Round-1 allotment/cutoff data</x:v>
      </x:c>
    </x:row>
    <x:row r="552">
      <x:c r="A552" t="str">
        <x:v>Tamil Nadu</x:v>
      </x:c>
      <x:c r="B552" t="str">
        <x:v>TN/025/G/1</x:v>
      </x:c>
      <x:c r="C552" t="str">
        <x:v>Government Medical College, Pudukottai, Tamil Nadu</x:v>
      </x:c>
      <x:c r="D552" t="str">
        <x:v>Government</x:v>
      </x:c>
      <x:c r="E552" t="n">
        <x:v>150</x:v>
      </x:c>
      <x:c r="F552" t="n">
        <x:v>0</x:v>
      </x:c>
      <x:c r="G552" t="n">
        <x:v>150</x:v>
      </x:c>
      <x:c r="H552" t="str">
        <x:v>200267</x:v>
      </x:c>
      <x:c r="I552" t="n">
        <x:v>22</x:v>
      </x:c>
      <x:c r="J552" t="n">
        <x:v>22</x:v>
      </x:c>
      <x:c r="K552" t="n">
        <x:v>128</x:v>
      </x:c>
      <x:c r="L552" s="20" t="n">
        <x:v>0.8533333333333334</x:v>
      </x:c>
      <x:c r="M552" t="str">
        <x:v>High</x:v>
      </x:c>
      <x:c r="N552" t="str">
        <x:v>Approx. State/Non-MCC Pool</x:v>
      </x:c>
      <x:c r="O552" t="str">
        <x:v>Moderate state-counselling pool</x:v>
      </x:c>
      <x:c r="P552" t="n">
        <x:v>11517</x:v>
      </x:c>
      <x:c r="Q552" t="n">
        <x:v>12912</x:v>
      </x:c>
      <x:c r="R552" t="n">
        <x:v>25948</x:v>
      </x:c>
      <x:c r="S552" t="n">
        <x:v>46070</x:v>
      </x:c>
      <x:c r="T552" t="n">
        <x:v>120178</x:v>
      </x:c>
      <x:c r="U552" t="str">
        <x:v>Pending state Round-1 allotment/cutoff data</x:v>
      </x:c>
    </x:row>
    <x:row r="553">
      <x:c r="A553" t="str">
        <x:v>Tamil Nadu</x:v>
      </x:c>
      <x:c r="B553" t="str">
        <x:v>TN/027/G/1</x:v>
      </x:c>
      <x:c r="C553" t="str">
        <x:v>Government Medical College, The Nilgiris</x:v>
      </x:c>
      <x:c r="D553" t="str">
        <x:v>Government</x:v>
      </x:c>
      <x:c r="E553" t="n">
        <x:v>150</x:v>
      </x:c>
      <x:c r="F553" t="n">
        <x:v>0</x:v>
      </x:c>
      <x:c r="G553" t="n">
        <x:v>150</x:v>
      </x:c>
      <x:c r="H553" t="str">
        <x:v>200560</x:v>
      </x:c>
      <x:c r="I553" t="n">
        <x:v>22</x:v>
      </x:c>
      <x:c r="J553" t="n">
        <x:v>22</x:v>
      </x:c>
      <x:c r="K553" t="n">
        <x:v>128</x:v>
      </x:c>
      <x:c r="L553" s="20" t="n">
        <x:v>0.8533333333333334</x:v>
      </x:c>
      <x:c r="M553" t="str">
        <x:v>High</x:v>
      </x:c>
      <x:c r="N553" t="str">
        <x:v>Approx. State/Non-MCC Pool</x:v>
      </x:c>
      <x:c r="O553" t="str">
        <x:v>Moderate state-counselling pool</x:v>
      </x:c>
      <x:c r="P553" t="n">
        <x:v>10591</x:v>
      </x:c>
      <x:c r="Q553" t="n">
        <x:v>11570</x:v>
      </x:c>
      <x:c r="R553" t="n">
        <x:v>21518</x:v>
      </x:c>
      <x:c r="S553" t="n">
        <x:v>74002</x:v>
      </x:c>
      <x:c r="T553" t="n">
        <x:v>127378</x:v>
      </x:c>
      <x:c r="U553" t="str">
        <x:v>Pending state Round-1 allotment/cutoff data</x:v>
      </x:c>
    </x:row>
    <x:row r="554">
      <x:c r="A554" t="str">
        <x:v>Tamil Nadu</x:v>
      </x:c>
      <x:c r="B554" t="str">
        <x:v>TN/028/G/1</x:v>
      </x:c>
      <x:c r="C554" t="str">
        <x:v>Government Medical College, Thiruvallur</x:v>
      </x:c>
      <x:c r="D554" t="str">
        <x:v>Government</x:v>
      </x:c>
      <x:c r="E554" t="n">
        <x:v>100</x:v>
      </x:c>
      <x:c r="F554" t="n">
        <x:v>50</x:v>
      </x:c>
      <x:c r="G554" t="n">
        <x:v>150</x:v>
      </x:c>
      <x:c r="H554" t="str">
        <x:v>200559</x:v>
      </x:c>
      <x:c r="I554" t="n">
        <x:v>22</x:v>
      </x:c>
      <x:c r="J554" t="n">
        <x:v>21</x:v>
      </x:c>
      <x:c r="K554" t="n">
        <x:v>128</x:v>
      </x:c>
      <x:c r="L554" s="20" t="n">
        <x:v>0.8533333333333334</x:v>
      </x:c>
      <x:c r="M554" t="str">
        <x:v>High</x:v>
      </x:c>
      <x:c r="N554" t="str">
        <x:v>Approx. State/Non-MCC Pool</x:v>
      </x:c>
      <x:c r="O554" t="str">
        <x:v>Expanded 2026 capacity + substantial state pool</x:v>
      </x:c>
      <x:c r="P554" t="n">
        <x:v>6868</x:v>
      </x:c>
      <x:c r="Q554" t="n">
        <x:v>9409</x:v>
      </x:c>
      <x:c r="R554" t="n">
        <x:v>23930</x:v>
      </x:c>
      <x:c r="S554" t="n">
        <x:v>30901</x:v>
      </x:c>
      <x:c r="T554" t="n">
        <x:v>90559</x:v>
      </x:c>
      <x:c r="U554" t="str">
        <x:v>Pending state Round-1 allotment/cutoff data</x:v>
      </x:c>
    </x:row>
    <x:row r="555">
      <x:c r="A555" t="str">
        <x:v>Tamil Nadu</x:v>
      </x:c>
      <x:c r="B555" t="str">
        <x:v>TN/029/G/1</x:v>
      </x:c>
      <x:c r="C555" t="str">
        <x:v>Government Medical College, Tiruppur</x:v>
      </x:c>
      <x:c r="D555" t="str">
        <x:v>Government</x:v>
      </x:c>
      <x:c r="E555" t="n">
        <x:v>100</x:v>
      </x:c>
      <x:c r="F555" t="n">
        <x:v>50</x:v>
      </x:c>
      <x:c r="G555" t="n">
        <x:v>150</x:v>
      </x:c>
      <x:c r="H555" t="str">
        <x:v>200561</x:v>
      </x:c>
      <x:c r="I555" t="n">
        <x:v>22</x:v>
      </x:c>
      <x:c r="J555" t="n">
        <x:v>22</x:v>
      </x:c>
      <x:c r="K555" t="n">
        <x:v>128</x:v>
      </x:c>
      <x:c r="L555" s="20" t="n">
        <x:v>0.8533333333333334</x:v>
      </x:c>
      <x:c r="M555" t="str">
        <x:v>High</x:v>
      </x:c>
      <x:c r="N555" t="str">
        <x:v>Approx. State/Non-MCC Pool</x:v>
      </x:c>
      <x:c r="O555" t="str">
        <x:v>Expanded 2026 capacity + substantial state pool</x:v>
      </x:c>
      <x:c r="P555" t="n">
        <x:v>9117</x:v>
      </x:c>
      <x:c r="Q555" t="n">
        <x:v>10492</x:v>
      </x:c>
      <x:c r="R555" t="n">
        <x:v>22556</x:v>
      </x:c>
      <x:c r="S555" t="n">
        <x:v>49135</x:v>
      </x:c>
      <x:c r="T555" t="n">
        <x:v>114585</x:v>
      </x:c>
      <x:c r="U555" t="str">
        <x:v>Pending state Round-1 allotment/cutoff data</x:v>
      </x:c>
    </x:row>
    <x:row r="556">
      <x:c r="A556" t="str">
        <x:v>Tamil Nadu</x:v>
      </x:c>
      <x:c r="B556" t="str">
        <x:v>TN/030/G/1</x:v>
      </x:c>
      <x:c r="C556" t="str">
        <x:v>Government Medical College, Virudhunagar</x:v>
      </x:c>
      <x:c r="D556" t="str">
        <x:v>Government</x:v>
      </x:c>
      <x:c r="E556" t="n">
        <x:v>150</x:v>
      </x:c>
      <x:c r="F556" t="n">
        <x:v>0</x:v>
      </x:c>
      <x:c r="G556" t="n">
        <x:v>150</x:v>
      </x:c>
      <x:c r="H556" t="str">
        <x:v>200555</x:v>
      </x:c>
      <x:c r="I556" t="n">
        <x:v>22</x:v>
      </x:c>
      <x:c r="J556" t="n">
        <x:v>22</x:v>
      </x:c>
      <x:c r="K556" t="n">
        <x:v>128</x:v>
      </x:c>
      <x:c r="L556" s="20" t="n">
        <x:v>0.8533333333333334</x:v>
      </x:c>
      <x:c r="M556" t="str">
        <x:v>High</x:v>
      </x:c>
      <x:c r="N556" t="str">
        <x:v>Approx. State/Non-MCC Pool</x:v>
      </x:c>
      <x:c r="O556" t="str">
        <x:v>Moderate state-counselling pool</x:v>
      </x:c>
      <x:c r="P556" t="n">
        <x:v>12811</x:v>
      </x:c>
      <x:c r="Q556" t="n">
        <x:v>13576</x:v>
      </x:c>
      <x:c r="R556" t="n">
        <x:v>26405</x:v>
      </x:c>
      <x:c r="S556" t="n">
        <x:v>65773</x:v>
      </x:c>
      <x:c r="T556" t="n">
        <x:v>131146</x:v>
      </x:c>
      <x:c r="U556" t="str">
        <x:v>Pending state Round-1 allotment/cutoff data</x:v>
      </x:c>
    </x:row>
    <x:row r="557">
      <x:c r="A557" t="str">
        <x:v>Tamil Nadu</x:v>
      </x:c>
      <x:c r="B557" t="str">
        <x:v>TN/039/G/1</x:v>
      </x:c>
      <x:c r="C557" t="str">
        <x:v>KanyaKumari Government Medical College, Asaripallam</x:v>
      </x:c>
      <x:c r="D557" t="str">
        <x:v>Government</x:v>
      </x:c>
      <x:c r="E557" t="n">
        <x:v>150</x:v>
      </x:c>
      <x:c r="F557" t="n">
        <x:v>0</x:v>
      </x:c>
      <x:c r="G557" t="n">
        <x:v>150</x:v>
      </x:c>
      <x:c r="H557" t="str">
        <x:v>200274</x:v>
      </x:c>
      <x:c r="I557" t="n">
        <x:v>22</x:v>
      </x:c>
      <x:c r="J557" t="n">
        <x:v>22</x:v>
      </x:c>
      <x:c r="K557" t="n">
        <x:v>128</x:v>
      </x:c>
      <x:c r="L557" s="20" t="n">
        <x:v>0.8533333333333334</x:v>
      </x:c>
      <x:c r="M557" t="str">
        <x:v>High</x:v>
      </x:c>
      <x:c r="N557" t="str">
        <x:v>Approx. State/Non-MCC Pool</x:v>
      </x:c>
      <x:c r="O557" t="str">
        <x:v>Moderate state-counselling pool</x:v>
      </x:c>
      <x:c r="P557" t="n">
        <x:v>8104</x:v>
      </x:c>
      <x:c r="Q557" t="n">
        <x:v>8976</x:v>
      </x:c>
      <x:c r="R557" t="n">
        <x:v>22556</x:v>
      </x:c>
      <x:c r="S557" t="n">
        <x:v>52840</x:v>
      </x:c>
      <x:c r="T557" t="n">
        <x:v>124098</x:v>
      </x:c>
      <x:c r="U557" t="str">
        <x:v>Pending state Round-1 allotment/cutoff data</x:v>
      </x:c>
    </x:row>
    <x:row r="558">
      <x:c r="A558" t="str">
        <x:v>Tamil Nadu</x:v>
      </x:c>
      <x:c r="B558" t="str">
        <x:v>TN/043/G/1</x:v>
      </x:c>
      <x:c r="C558" t="str">
        <x:v>Kilpauk Medical College, Chennai</x:v>
      </x:c>
      <x:c r="D558" t="str">
        <x:v>Government</x:v>
      </x:c>
      <x:c r="E558" t="n">
        <x:v>150</x:v>
      </x:c>
      <x:c r="F558" t="n">
        <x:v>0</x:v>
      </x:c>
      <x:c r="G558" t="n">
        <x:v>150</x:v>
      </x:c>
      <x:c r="H558" t="str">
        <x:v>200263</x:v>
      </x:c>
      <x:c r="I558" t="n">
        <x:v>22</x:v>
      </x:c>
      <x:c r="J558" t="n">
        <x:v>22</x:v>
      </x:c>
      <x:c r="K558" t="n">
        <x:v>128</x:v>
      </x:c>
      <x:c r="L558" s="20" t="n">
        <x:v>0.8533333333333334</x:v>
      </x:c>
      <x:c r="M558" t="str">
        <x:v>High</x:v>
      </x:c>
      <x:c r="N558" t="str">
        <x:v>Approx. State/Non-MCC Pool</x:v>
      </x:c>
      <x:c r="O558" t="str">
        <x:v>Moderate state-counselling pool</x:v>
      </x:c>
      <x:c r="P558" t="n">
        <x:v>1636</x:v>
      </x:c>
      <x:c r="Q558" t="n">
        <x:v>2024</x:v>
      </x:c>
      <x:c r="R558" t="n">
        <x:v>11980</x:v>
      </x:c>
      <x:c r="S558" t="n">
        <x:v>9718</x:v>
      </x:c>
      <x:c r="T558" t="n">
        <x:v>59028</x:v>
      </x:c>
      <x:c r="U558" t="str">
        <x:v>Pending state Round-1 allotment/cutoff data</x:v>
      </x:c>
    </x:row>
    <x:row r="559">
      <x:c r="A559" t="str">
        <x:v>Tamil Nadu</x:v>
      </x:c>
      <x:c r="B559" t="str">
        <x:v>TN/072/G/1</x:v>
      </x:c>
      <x:c r="C559" t="str">
        <x:v>Thoothukudi Medical College, Thoothukudi</x:v>
      </x:c>
      <x:c r="D559" t="str">
        <x:v>Government</x:v>
      </x:c>
      <x:c r="E559" t="n">
        <x:v>150</x:v>
      </x:c>
      <x:c r="F559" t="n">
        <x:v>0</x:v>
      </x:c>
      <x:c r="G559" t="n">
        <x:v>150</x:v>
      </x:c>
      <x:c r="H559" t="str">
        <x:v>200284</x:v>
      </x:c>
      <x:c r="I559" t="n">
        <x:v>22</x:v>
      </x:c>
      <x:c r="J559" t="n">
        <x:v>22</x:v>
      </x:c>
      <x:c r="K559" t="n">
        <x:v>128</x:v>
      </x:c>
      <x:c r="L559" s="20" t="n">
        <x:v>0.8533333333333334</x:v>
      </x:c>
      <x:c r="M559" t="str">
        <x:v>High</x:v>
      </x:c>
      <x:c r="N559" t="str">
        <x:v>Approx. State/Non-MCC Pool</x:v>
      </x:c>
      <x:c r="O559" t="str">
        <x:v>Moderate state-counselling pool</x:v>
      </x:c>
      <x:c r="P559" t="n">
        <x:v>8520</x:v>
      </x:c>
      <x:c r="Q559" t="n">
        <x:v>10503</x:v>
      </x:c>
      <x:c r="R559" t="n">
        <x:v>23708</x:v>
      </x:c>
      <x:c r="S559" t="n">
        <x:v>53451</x:v>
      </x:c>
      <x:c r="T559" t="n">
        <x:v>121541</x:v>
      </x:c>
      <x:c r="U559" t="str">
        <x:v>Pending state Round-1 allotment/cutoff data</x:v>
      </x:c>
    </x:row>
    <x:row r="560">
      <x:c r="A560" t="str">
        <x:v>Tamil Nadu</x:v>
      </x:c>
      <x:c r="B560" t="str">
        <x:v>TN/020/G/1</x:v>
      </x:c>
      <x:c r="C560" t="str">
        <x:v>Government Medical College, Karur</x:v>
      </x:c>
      <x:c r="D560" t="str">
        <x:v>Government</x:v>
      </x:c>
      <x:c r="E560" t="n">
        <x:v>150</x:v>
      </x:c>
      <x:c r="F560" t="n">
        <x:v>0</x:v>
      </x:c>
      <x:c r="G560" t="n">
        <x:v>150</x:v>
      </x:c>
      <x:c r="H560" t="str">
        <x:v>200499</x:v>
      </x:c>
      <x:c r="I560" t="n">
        <x:v>23</x:v>
      </x:c>
      <x:c r="J560" t="n">
        <x:v>23</x:v>
      </x:c>
      <x:c r="K560" t="n">
        <x:v>127</x:v>
      </x:c>
      <x:c r="L560" s="20" t="n">
        <x:v>0.8466666666666667</x:v>
      </x:c>
      <x:c r="M560" t="str">
        <x:v>High</x:v>
      </x:c>
      <x:c r="N560" t="str">
        <x:v>Approx. State/Non-MCC Pool</x:v>
      </x:c>
      <x:c r="O560" t="str">
        <x:v>Moderate state-counselling pool</x:v>
      </x:c>
      <x:c r="P560" t="n">
        <x:v>10848</x:v>
      </x:c>
      <x:c r="Q560" t="n">
        <x:v>11905</x:v>
      </x:c>
      <x:c r="R560" t="n">
        <x:v>25498</x:v>
      </x:c>
      <x:c r="S560" t="n">
        <x:v>56064</x:v>
      </x:c>
      <x:c r="T560" t="n">
        <x:v>126817</x:v>
      </x:c>
      <x:c r="U560" t="str">
        <x:v>Pending state Round-1 allotment/cutoff data</x:v>
      </x:c>
    </x:row>
    <x:row r="561">
      <x:c r="A561" t="str">
        <x:v>Tamil Nadu</x:v>
      </x:c>
      <x:c r="B561" t="str">
        <x:v>TN/038/G/1</x:v>
      </x:c>
      <x:c r="C561" t="str">
        <x:v>K A P Viswanathan Government Medical College, Trichy</x:v>
      </x:c>
      <x:c r="D561" t="str">
        <x:v>Government</x:v>
      </x:c>
      <x:c r="E561" t="n">
        <x:v>150</x:v>
      </x:c>
      <x:c r="F561" t="n">
        <x:v>0</x:v>
      </x:c>
      <x:c r="G561" t="n">
        <x:v>150</x:v>
      </x:c>
      <x:c r="H561" t="str">
        <x:v>200273</x:v>
      </x:c>
      <x:c r="I561" t="n">
        <x:v>23</x:v>
      </x:c>
      <x:c r="J561" t="n">
        <x:v>23</x:v>
      </x:c>
      <x:c r="K561" t="n">
        <x:v>127</x:v>
      </x:c>
      <x:c r="L561" s="20" t="n">
        <x:v>0.8466666666666667</x:v>
      </x:c>
      <x:c r="M561" t="str">
        <x:v>High</x:v>
      </x:c>
      <x:c r="N561" t="str">
        <x:v>Approx. State/Non-MCC Pool</x:v>
      </x:c>
      <x:c r="O561" t="str">
        <x:v>Moderate state-counselling pool</x:v>
      </x:c>
      <x:c r="P561" t="n">
        <x:v>6031</x:v>
      </x:c>
      <x:c r="Q561" t="n">
        <x:v>6714</x:v>
      </x:c>
      <x:c r="R561" t="n">
        <x:v>20778</x:v>
      </x:c>
      <x:c r="S561" t="n">
        <x:v>37154</x:v>
      </x:c>
      <x:c r="T561" t="n">
        <x:v>116307</x:v>
      </x:c>
      <x:c r="U561" t="str">
        <x:v>Pending state Round-1 allotment/cutoff data</x:v>
      </x:c>
    </x:row>
    <x:row r="562">
      <x:c r="A562" t="str">
        <x:v>Tamil Nadu</x:v>
      </x:c>
      <x:c r="B562" t="str">
        <x:v>TN/069/G/1</x:v>
      </x:c>
      <x:c r="C562" t="str">
        <x:v>Thanjavur Medical College, Thanjavur</x:v>
      </x:c>
      <x:c r="D562" t="str">
        <x:v>Government</x:v>
      </x:c>
      <x:c r="E562" t="n">
        <x:v>150</x:v>
      </x:c>
      <x:c r="F562" t="n">
        <x:v>0</x:v>
      </x:c>
      <x:c r="G562" t="n">
        <x:v>150</x:v>
      </x:c>
      <x:c r="H562" t="str">
        <x:v>200281</x:v>
      </x:c>
      <x:c r="I562" t="n">
        <x:v>23</x:v>
      </x:c>
      <x:c r="J562" t="n">
        <x:v>23</x:v>
      </x:c>
      <x:c r="K562" t="n">
        <x:v>127</x:v>
      </x:c>
      <x:c r="L562" s="20" t="n">
        <x:v>0.8466666666666667</x:v>
      </x:c>
      <x:c r="M562" t="str">
        <x:v>High</x:v>
      </x:c>
      <x:c r="N562" t="str">
        <x:v>Approx. State/Non-MCC Pool</x:v>
      </x:c>
      <x:c r="O562" t="str">
        <x:v>Moderate state-counselling pool</x:v>
      </x:c>
      <x:c r="P562" t="n">
        <x:v>4284</x:v>
      </x:c>
      <x:c r="Q562" t="n">
        <x:v>5344</x:v>
      </x:c>
      <x:c r="R562" t="n">
        <x:v>16570</x:v>
      </x:c>
      <x:c r="S562" t="n">
        <x:v>23836</x:v>
      </x:c>
      <x:c r="T562" t="n">
        <x:v>111152</x:v>
      </x:c>
      <x:c r="U562" t="str">
        <x:v>Pending state Round-1 allotment/cutoff data</x:v>
      </x:c>
    </x:row>
    <x:row r="563">
      <x:c r="A563" t="str">
        <x:v>Tamil Nadu</x:v>
      </x:c>
      <x:c r="B563" t="str">
        <x:v>TN/016/G/1</x:v>
      </x:c>
      <x:c r="C563" t="str">
        <x:v>Government Medical College &amp; ESIC Hospital, Coimbatore, Tamil Nadu.</x:v>
      </x:c>
      <x:c r="D563" t="str">
        <x:v>Government</x:v>
      </x:c>
      <x:c r="E563" t="n">
        <x:v>100</x:v>
      </x:c>
      <x:c r="F563" t="n">
        <x:v>0</x:v>
      </x:c>
      <x:c r="G563" t="n">
        <x:v>100</x:v>
      </x:c>
      <x:c r="H563"/>
      <x:c r="I563" t="n">
        <x:v>0</x:v>
      </x:c>
      <x:c r="J563" t="n">
        <x:v>0</x:v>
      </x:c>
      <x:c r="K563" t="n">
        <x:v>100</x:v>
      </x:c>
      <x:c r="L563" s="20" t="n">
        <x:v>1</x:v>
      </x:c>
      <x:c r="M563" t="str">
        <x:v>High</x:v>
      </x:c>
      <x:c r="N563" t="str">
        <x:v>Approx. State/Non-MCC Pool</x:v>
      </x:c>
      <x:c r="O563" t="str">
        <x:v>Moderate state-counselling pool</x:v>
      </x:c>
      <x:c r="P563"/>
      <x:c r="Q563"/>
      <x:c r="R563"/>
      <x:c r="S563"/>
      <x:c r="T563"/>
      <x:c r="U563" t="str">
        <x:v>Pending state Round-1 allotment/cutoff data</x:v>
      </x:c>
    </x:row>
    <x:row r="564">
      <x:c r="A564" t="str">
        <x:v>Tamil Nadu</x:v>
      </x:c>
      <x:c r="B564" t="str">
        <x:v>TN/012/G/1</x:v>
      </x:c>
      <x:c r="C564" t="str">
        <x:v>ESIC Medical College &amp; PGIMSR, K.K Nagar, Chennai</x:v>
      </x:c>
      <x:c r="D564" t="str">
        <x:v>Government</x:v>
      </x:c>
      <x:c r="E564" t="n">
        <x:v>149</x:v>
      </x:c>
      <x:c r="F564" t="n">
        <x:v>0</x:v>
      </x:c>
      <x:c r="G564" t="n">
        <x:v>149</x:v>
      </x:c>
      <x:c r="H564" t="str">
        <x:v>200415</x:v>
      </x:c>
      <x:c r="I564" t="n">
        <x:v>52</x:v>
      </x:c>
      <x:c r="J564" t="n">
        <x:v>51</x:v>
      </x:c>
      <x:c r="K564" t="n">
        <x:v>97</x:v>
      </x:c>
      <x:c r="L564" s="20" t="n">
        <x:v>0.6510067114093959</x:v>
      </x:c>
      <x:c r="M564" t="str">
        <x:v>High</x:v>
      </x:c>
      <x:c r="N564" t="str">
        <x:v>Approx. State/Non-MCC Pool</x:v>
      </x:c>
      <x:c r="O564" t="str">
        <x:v>Moderate state-counselling pool</x:v>
      </x:c>
      <x:c r="P564" t="n">
        <x:v>13111</x:v>
      </x:c>
      <x:c r="Q564" t="n">
        <x:v>22432</x:v>
      </x:c>
      <x:c r="R564" t="n">
        <x:v>33216</x:v>
      </x:c>
      <x:c r="S564" t="n">
        <x:v>106756</x:v>
      </x:c>
      <x:c r="T564" t="n">
        <x:v>203836</x:v>
      </x:c>
      <x:c r="U564" t="str">
        <x:v>Pending state Round-1 allotment/cutoff data</x:v>
      </x:c>
    </x:row>
    <x:row r="565">
      <x:c r="A565" t="str">
        <x:v>Tamil Nadu</x:v>
      </x:c>
      <x:c r="B565" t="str">
        <x:v>TN/014/G/1</x:v>
      </x:c>
      <x:c r="C565" t="str">
        <x:v>Government Dharmapuri Medical College, Dharmapuri</x:v>
      </x:c>
      <x:c r="D565" t="str">
        <x:v>Government</x:v>
      </x:c>
      <x:c r="E565" t="n">
        <x:v>100</x:v>
      </x:c>
      <x:c r="F565" t="n">
        <x:v>0</x:v>
      </x:c>
      <x:c r="G565" t="n">
        <x:v>100</x:v>
      </x:c>
      <x:c r="H565" t="str">
        <x:v>200262</x:v>
      </x:c>
      <x:c r="I565" t="n">
        <x:v>15</x:v>
      </x:c>
      <x:c r="J565" t="n">
        <x:v>15</x:v>
      </x:c>
      <x:c r="K565" t="n">
        <x:v>85</x:v>
      </x:c>
      <x:c r="L565" s="20" t="n">
        <x:v>0.85</x:v>
      </x:c>
      <x:c r="M565" t="str">
        <x:v>High</x:v>
      </x:c>
      <x:c r="N565" t="str">
        <x:v>Approx. State/Non-MCC Pool</x:v>
      </x:c>
      <x:c r="O565" t="str">
        <x:v>Moderate state-counselling pool</x:v>
      </x:c>
      <x:c r="P565" t="n">
        <x:v>7111</x:v>
      </x:c>
      <x:c r="Q565" t="n">
        <x:v>10886</x:v>
      </x:c>
      <x:c r="R565" t="n">
        <x:v>24000</x:v>
      </x:c>
      <x:c r="S565" t="n">
        <x:v>47307</x:v>
      </x:c>
      <x:c r="T565" t="n">
        <x:v>108496</x:v>
      </x:c>
      <x:c r="U565" t="str">
        <x:v>Pending state Round-1 allotment/cutoff data</x:v>
      </x:c>
    </x:row>
    <x:row r="566">
      <x:c r="A566" t="str">
        <x:v>Tamil Nadu</x:v>
      </x:c>
      <x:c r="B566" t="str">
        <x:v>TN/015/G/1</x:v>
      </x:c>
      <x:c r="C566" t="str">
        <x:v>Government Erode Medical College &amp; Hospital, Perundurai (Formerly IRT Perundurai Medical College)</x:v>
      </x:c>
      <x:c r="D566" t="str">
        <x:v>Government</x:v>
      </x:c>
      <x:c r="E566" t="n">
        <x:v>100</x:v>
      </x:c>
      <x:c r="F566" t="n">
        <x:v>0</x:v>
      </x:c>
      <x:c r="G566" t="n">
        <x:v>100</x:v>
      </x:c>
      <x:c r="H566" t="str">
        <x:v>200272</x:v>
      </x:c>
      <x:c r="I566" t="n">
        <x:v>15</x:v>
      </x:c>
      <x:c r="J566" t="n">
        <x:v>15</x:v>
      </x:c>
      <x:c r="K566" t="n">
        <x:v>85</x:v>
      </x:c>
      <x:c r="L566" s="20" t="n">
        <x:v>0.85</x:v>
      </x:c>
      <x:c r="M566" t="str">
        <x:v>High</x:v>
      </x:c>
      <x:c r="N566" t="str">
        <x:v>Approx. State/Non-MCC Pool</x:v>
      </x:c>
      <x:c r="O566" t="str">
        <x:v>Moderate state-counselling pool</x:v>
      </x:c>
      <x:c r="P566" t="n">
        <x:v>8990</x:v>
      </x:c>
      <x:c r="Q566" t="n">
        <x:v>9796</x:v>
      </x:c>
      <x:c r="R566" t="n">
        <x:v>21181</x:v>
      </x:c>
      <x:c r="S566" t="n">
        <x:v>44526</x:v>
      </x:c>
      <x:c r="T566" t="n">
        <x:v>100550</x:v>
      </x:c>
      <x:c r="U566" t="str">
        <x:v>Pending state Round-1 allotment/cutoff data</x:v>
      </x:c>
    </x:row>
    <x:row r="567">
      <x:c r="A567" t="str">
        <x:v>Tamil Nadu</x:v>
      </x:c>
      <x:c r="B567" t="str">
        <x:v>TN/024/G/1</x:v>
      </x:c>
      <x:c r="C567" t="str">
        <x:v>Government Medical College, Omandurar</x:v>
      </x:c>
      <x:c r="D567" t="str">
        <x:v>Government</x:v>
      </x:c>
      <x:c r="E567" t="n">
        <x:v>100</x:v>
      </x:c>
      <x:c r="F567" t="n">
        <x:v>0</x:v>
      </x:c>
      <x:c r="G567" t="n">
        <x:v>100</x:v>
      </x:c>
      <x:c r="H567" t="str">
        <x:v>200569</x:v>
      </x:c>
      <x:c r="I567" t="n">
        <x:v>15</x:v>
      </x:c>
      <x:c r="J567" t="n">
        <x:v>15</x:v>
      </x:c>
      <x:c r="K567" t="n">
        <x:v>85</x:v>
      </x:c>
      <x:c r="L567" s="20" t="n">
        <x:v>0.85</x:v>
      </x:c>
      <x:c r="M567" t="str">
        <x:v>High</x:v>
      </x:c>
      <x:c r="N567" t="str">
        <x:v>Approx. State/Non-MCC Pool</x:v>
      </x:c>
      <x:c r="O567" t="str">
        <x:v>Moderate state-counselling pool</x:v>
      </x:c>
      <x:c r="P567" t="n">
        <x:v>2202</x:v>
      </x:c>
      <x:c r="Q567" t="n">
        <x:v>2608</x:v>
      </x:c>
      <x:c r="R567" t="n">
        <x:v>14053</x:v>
      </x:c>
      <x:c r="S567" t="n">
        <x:v>17874</x:v>
      </x:c>
      <x:c r="T567" t="n">
        <x:v>79875</x:v>
      </x:c>
      <x:c r="U567" t="str">
        <x:v>Pending state Round-1 allotment/cutoff data</x:v>
      </x:c>
    </x:row>
    <x:row r="568">
      <x:c r="A568" t="str">
        <x:v>Tamil Nadu</x:v>
      </x:c>
      <x:c r="B568" t="str">
        <x:v>TN/026/G/1</x:v>
      </x:c>
      <x:c r="C568" t="str">
        <x:v>Government Medical College, Ramanathapuram</x:v>
      </x:c>
      <x:c r="D568" t="str">
        <x:v>Government</x:v>
      </x:c>
      <x:c r="E568" t="n">
        <x:v>100</x:v>
      </x:c>
      <x:c r="F568" t="n">
        <x:v>0</x:v>
      </x:c>
      <x:c r="G568" t="n">
        <x:v>100</x:v>
      </x:c>
      <x:c r="H568" t="str">
        <x:v>200567</x:v>
      </x:c>
      <x:c r="I568" t="n">
        <x:v>15</x:v>
      </x:c>
      <x:c r="J568" t="n">
        <x:v>15</x:v>
      </x:c>
      <x:c r="K568" t="n">
        <x:v>85</x:v>
      </x:c>
      <x:c r="L568" s="20" t="n">
        <x:v>0.85</x:v>
      </x:c>
      <x:c r="M568" t="str">
        <x:v>High</x:v>
      </x:c>
      <x:c r="N568" t="str">
        <x:v>Approx. State/Non-MCC Pool</x:v>
      </x:c>
      <x:c r="O568" t="str">
        <x:v>Moderate state-counselling pool</x:v>
      </x:c>
      <x:c r="P568" t="n">
        <x:v>13911</x:v>
      </x:c>
      <x:c r="Q568" t="n">
        <x:v>14700</x:v>
      </x:c>
      <x:c r="R568" t="n">
        <x:v>27118</x:v>
      </x:c>
      <x:c r="S568" t="n">
        <x:v>62662</x:v>
      </x:c>
      <x:c r="T568" t="n">
        <x:v>118110</x:v>
      </x:c>
      <x:c r="U568" t="str">
        <x:v>Pending state Round-1 allotment/cutoff data</x:v>
      </x:c>
    </x:row>
    <x:row r="569">
      <x:c r="A569" t="str">
        <x:v>Tamil Nadu</x:v>
      </x:c>
      <x:c r="B569" t="str">
        <x:v>TN/031/G/1</x:v>
      </x:c>
      <x:c r="C569" t="str">
        <x:v>Government Sivagangai Medical College, Sivaganga</x:v>
      </x:c>
      <x:c r="D569" t="str">
        <x:v>Government</x:v>
      </x:c>
      <x:c r="E569" t="n">
        <x:v>100</x:v>
      </x:c>
      <x:c r="F569" t="n">
        <x:v>0</x:v>
      </x:c>
      <x:c r="G569" t="n">
        <x:v>100</x:v>
      </x:c>
      <x:c r="H569" t="str">
        <x:v>200268</x:v>
      </x:c>
      <x:c r="I569" t="n">
        <x:v>15</x:v>
      </x:c>
      <x:c r="J569" t="n">
        <x:v>15</x:v>
      </x:c>
      <x:c r="K569" t="n">
        <x:v>85</x:v>
      </x:c>
      <x:c r="L569" s="20" t="n">
        <x:v>0.85</x:v>
      </x:c>
      <x:c r="M569" t="str">
        <x:v>High</x:v>
      </x:c>
      <x:c r="N569" t="str">
        <x:v>Approx. State/Non-MCC Pool</x:v>
      </x:c>
      <x:c r="O569" t="str">
        <x:v>Moderate state-counselling pool</x:v>
      </x:c>
      <x:c r="P569" t="n">
        <x:v>12244</x:v>
      </x:c>
      <x:c r="Q569" t="n">
        <x:v>13323</x:v>
      </x:c>
      <x:c r="R569" t="n">
        <x:v>24193</x:v>
      </x:c>
      <x:c r="S569" t="n">
        <x:v>67986</x:v>
      </x:c>
      <x:c r="T569" t="n">
        <x:v>128706</x:v>
      </x:c>
      <x:c r="U569" t="str">
        <x:v>Pending state Round-1 allotment/cutoff data</x:v>
      </x:c>
    </x:row>
    <x:row r="570">
      <x:c r="A570" t="str">
        <x:v>Tamil Nadu</x:v>
      </x:c>
      <x:c r="B570" t="str">
        <x:v>TN/032/G/1</x:v>
      </x:c>
      <x:c r="C570" t="str">
        <x:v>Government Thiruvannamalai Medical College, Thiruvannamalai</x:v>
      </x:c>
      <x:c r="D570" t="str">
        <x:v>Government</x:v>
      </x:c>
      <x:c r="E570" t="n">
        <x:v>100</x:v>
      </x:c>
      <x:c r="F570" t="n">
        <x:v>0</x:v>
      </x:c>
      <x:c r="G570" t="n">
        <x:v>100</x:v>
      </x:c>
      <x:c r="H570" t="str">
        <x:v>200283</x:v>
      </x:c>
      <x:c r="I570" t="n">
        <x:v>15</x:v>
      </x:c>
      <x:c r="J570" t="n">
        <x:v>15</x:v>
      </x:c>
      <x:c r="K570" t="n">
        <x:v>85</x:v>
      </x:c>
      <x:c r="L570" s="20" t="n">
        <x:v>0.85</x:v>
      </x:c>
      <x:c r="M570" t="str">
        <x:v>High</x:v>
      </x:c>
      <x:c r="N570" t="str">
        <x:v>Approx. State/Non-MCC Pool</x:v>
      </x:c>
      <x:c r="O570" t="str">
        <x:v>Moderate state-counselling pool</x:v>
      </x:c>
      <x:c r="P570" t="n">
        <x:v>8358</x:v>
      </x:c>
      <x:c r="Q570" t="n">
        <x:v>11022</x:v>
      </x:c>
      <x:c r="R570" t="n">
        <x:v>23810</x:v>
      </x:c>
      <x:c r="S570" t="n">
        <x:v>44569</x:v>
      </x:c>
      <x:c r="T570" t="n">
        <x:v>98131</x:v>
      </x:c>
      <x:c r="U570" t="str">
        <x:v>Pending state Round-1 allotment/cutoff data</x:v>
      </x:c>
    </x:row>
    <x:row r="571">
      <x:c r="A571" t="str">
        <x:v>Tamil Nadu</x:v>
      </x:c>
      <x:c r="B571" t="str">
        <x:v>TN/033/G/1</x:v>
      </x:c>
      <x:c r="C571" t="str">
        <x:v>Government Vellore Medical College, Vellore</x:v>
      </x:c>
      <x:c r="D571" t="str">
        <x:v>Government</x:v>
      </x:c>
      <x:c r="E571" t="n">
        <x:v>100</x:v>
      </x:c>
      <x:c r="F571" t="n">
        <x:v>0</x:v>
      </x:c>
      <x:c r="G571" t="n">
        <x:v>100</x:v>
      </x:c>
      <x:c r="H571" t="str">
        <x:v>200269</x:v>
      </x:c>
      <x:c r="I571" t="n">
        <x:v>15</x:v>
      </x:c>
      <x:c r="J571" t="n">
        <x:v>15</x:v>
      </x:c>
      <x:c r="K571" t="n">
        <x:v>85</x:v>
      </x:c>
      <x:c r="L571" s="20" t="n">
        <x:v>0.85</x:v>
      </x:c>
      <x:c r="M571" t="str">
        <x:v>High</x:v>
      </x:c>
      <x:c r="N571" t="str">
        <x:v>Approx. State/Non-MCC Pool</x:v>
      </x:c>
      <x:c r="O571" t="str">
        <x:v>Moderate state-counselling pool</x:v>
      </x:c>
      <x:c r="P571" t="n">
        <x:v>4766</x:v>
      </x:c>
      <x:c r="Q571" t="n">
        <x:v>7199</x:v>
      </x:c>
      <x:c r="R571" t="n">
        <x:v>15233</x:v>
      </x:c>
      <x:c r="S571" t="n">
        <x:v>33050</x:v>
      </x:c>
      <x:c r="T571" t="n">
        <x:v>84174</x:v>
      </x:c>
      <x:c r="U571" t="str">
        <x:v>Pending state Round-1 allotment/cutoff data</x:v>
      </x:c>
    </x:row>
    <x:row r="572">
      <x:c r="A572" t="str">
        <x:v>Tamil Nadu</x:v>
      </x:c>
      <x:c r="B572" t="str">
        <x:v>TN/034/G/1</x:v>
      </x:c>
      <x:c r="C572" t="str">
        <x:v>Government Villupuram Medical College, Villupuram</x:v>
      </x:c>
      <x:c r="D572" t="str">
        <x:v>Government</x:v>
      </x:c>
      <x:c r="E572" t="n">
        <x:v>100</x:v>
      </x:c>
      <x:c r="F572" t="n">
        <x:v>0</x:v>
      </x:c>
      <x:c r="G572" t="n">
        <x:v>100</x:v>
      </x:c>
      <x:c r="H572" t="str">
        <x:v>200271</x:v>
      </x:c>
      <x:c r="I572" t="n">
        <x:v>15</x:v>
      </x:c>
      <x:c r="J572" t="n">
        <x:v>15</x:v>
      </x:c>
      <x:c r="K572" t="n">
        <x:v>85</x:v>
      </x:c>
      <x:c r="L572" s="20" t="n">
        <x:v>0.85</x:v>
      </x:c>
      <x:c r="M572" t="str">
        <x:v>High</x:v>
      </x:c>
      <x:c r="N572" t="str">
        <x:v>Approx. State/Non-MCC Pool</x:v>
      </x:c>
      <x:c r="O572" t="str">
        <x:v>Moderate state-counselling pool</x:v>
      </x:c>
      <x:c r="P572" t="n">
        <x:v>8602</x:v>
      </x:c>
      <x:c r="Q572" t="n">
        <x:v>10856</x:v>
      </x:c>
      <x:c r="R572" t="n">
        <x:v>24872</x:v>
      </x:c>
      <x:c r="S572" t="n">
        <x:v>41298</x:v>
      </x:c>
      <x:c r="T572" t="n">
        <x:v>116316</x:v>
      </x:c>
      <x:c r="U572" t="str">
        <x:v>Pending state Round-1 allotment/cutoff data</x:v>
      </x:c>
    </x:row>
    <x:row r="573">
      <x:c r="A573" t="str">
        <x:v>Tamil Nadu</x:v>
      </x:c>
      <x:c r="B573" t="str">
        <x:v>TN/035/G/1</x:v>
      </x:c>
      <x:c r="C573" t="str">
        <x:v>Govt. Mohan Kumaramangalam Medical College, Salem</x:v>
      </x:c>
      <x:c r="D573" t="str">
        <x:v>Government</x:v>
      </x:c>
      <x:c r="E573" t="n">
        <x:v>100</x:v>
      </x:c>
      <x:c r="F573" t="n">
        <x:v>0</x:v>
      </x:c>
      <x:c r="G573" t="n">
        <x:v>100</x:v>
      </x:c>
      <x:c r="H573" t="str">
        <x:v>200266</x:v>
      </x:c>
      <x:c r="I573" t="n">
        <x:v>15</x:v>
      </x:c>
      <x:c r="J573" t="n">
        <x:v>15</x:v>
      </x:c>
      <x:c r="K573" t="n">
        <x:v>85</x:v>
      </x:c>
      <x:c r="L573" s="20" t="n">
        <x:v>0.85</x:v>
      </x:c>
      <x:c r="M573" t="str">
        <x:v>High</x:v>
      </x:c>
      <x:c r="N573" t="str">
        <x:v>Approx. State/Non-MCC Pool</x:v>
      </x:c>
      <x:c r="O573" t="str">
        <x:v>Moderate state-counselling pool</x:v>
      </x:c>
      <x:c r="P573" t="n">
        <x:v>2655</x:v>
      </x:c>
      <x:c r="Q573" t="n">
        <x:v>5564</x:v>
      </x:c>
      <x:c r="R573" t="n">
        <x:v>19686</x:v>
      </x:c>
      <x:c r="S573" t="n">
        <x:v>29424</x:v>
      </x:c>
      <x:c r="T573" t="n">
        <x:v>101427</x:v>
      </x:c>
      <x:c r="U573" t="str">
        <x:v>Pending state Round-1 allotment/cutoff data</x:v>
      </x:c>
    </x:row>
    <x:row r="574">
      <x:c r="A574" t="str">
        <x:v>Tamil Nadu</x:v>
      </x:c>
      <x:c r="B574" t="str">
        <x:v>TN/070/G/1</x:v>
      </x:c>
      <x:c r="C574" t="str">
        <x:v>Theni Government Medical College, Theni</x:v>
      </x:c>
      <x:c r="D574" t="str">
        <x:v>Government</x:v>
      </x:c>
      <x:c r="E574" t="n">
        <x:v>100</x:v>
      </x:c>
      <x:c r="F574" t="n">
        <x:v>0</x:v>
      </x:c>
      <x:c r="G574" t="n">
        <x:v>100</x:v>
      </x:c>
      <x:c r="H574" t="str">
        <x:v>200282</x:v>
      </x:c>
      <x:c r="I574" t="n">
        <x:v>15</x:v>
      </x:c>
      <x:c r="J574" t="n">
        <x:v>15</x:v>
      </x:c>
      <x:c r="K574" t="n">
        <x:v>85</x:v>
      </x:c>
      <x:c r="L574" s="20" t="n">
        <x:v>0.85</x:v>
      </x:c>
      <x:c r="M574" t="str">
        <x:v>High</x:v>
      </x:c>
      <x:c r="N574" t="str">
        <x:v>Approx. State/Non-MCC Pool</x:v>
      </x:c>
      <x:c r="O574" t="str">
        <x:v>Moderate state-counselling pool</x:v>
      </x:c>
      <x:c r="P574" t="n">
        <x:v>7314</x:v>
      </x:c>
      <x:c r="Q574" t="n">
        <x:v>8299</x:v>
      </x:c>
      <x:c r="R574" t="n">
        <x:v>20907</x:v>
      </x:c>
      <x:c r="S574" t="n">
        <x:v>39310</x:v>
      </x:c>
      <x:c r="T574" t="n">
        <x:v>119985</x:v>
      </x:c>
      <x:c r="U574" t="str">
        <x:v>Pending state Round-1 allotment/cutoff data</x:v>
      </x:c>
    </x:row>
    <x:row r="575">
      <x:c r="A575" t="str">
        <x:v>Tamil Nadu</x:v>
      </x:c>
      <x:c r="B575" t="str">
        <x:v>TN/071/G/1</x:v>
      </x:c>
      <x:c r="C575" t="str">
        <x:v>Thiruvarur Govt. Medical College, Thiruvarur</x:v>
      </x:c>
      <x:c r="D575" t="str">
        <x:v>Government</x:v>
      </x:c>
      <x:c r="E575" t="n">
        <x:v>100</x:v>
      </x:c>
      <x:c r="F575" t="n">
        <x:v>0</x:v>
      </x:c>
      <x:c r="G575" t="n">
        <x:v>100</x:v>
      </x:c>
      <x:c r="H575" t="str">
        <x:v>200270</x:v>
      </x:c>
      <x:c r="I575" t="n">
        <x:v>15</x:v>
      </x:c>
      <x:c r="J575" t="n">
        <x:v>15</x:v>
      </x:c>
      <x:c r="K575" t="n">
        <x:v>85</x:v>
      </x:c>
      <x:c r="L575" s="20" t="n">
        <x:v>0.85</x:v>
      </x:c>
      <x:c r="M575" t="str">
        <x:v>High</x:v>
      </x:c>
      <x:c r="N575" t="str">
        <x:v>Approx. State/Non-MCC Pool</x:v>
      </x:c>
      <x:c r="O575" t="str">
        <x:v>Moderate state-counselling pool</x:v>
      </x:c>
      <x:c r="P575" t="n">
        <x:v>9856</x:v>
      </x:c>
      <x:c r="Q575" t="n">
        <x:v>11831</x:v>
      </x:c>
      <x:c r="R575" t="n">
        <x:v>26235</x:v>
      </x:c>
      <x:c r="S575" t="n">
        <x:v>63348</x:v>
      </x:c>
      <x:c r="T575" t="n">
        <x:v>125075</x:v>
      </x:c>
      <x:c r="U575" t="str">
        <x:v>Pending state Round-1 allotment/cutoff data</x:v>
      </x:c>
    </x:row>
    <x:row r="576">
      <x:c r="A576" t="str">
        <x:v>Tamil Nadu</x:v>
      </x:c>
      <x:c r="B576" t="str">
        <x:v>TN/006/G/1</x:v>
      </x:c>
      <x:c r="C576" t="str">
        <x:v>Chengalpattu Medical College, Chengalpattu</x:v>
      </x:c>
      <x:c r="D576" t="str">
        <x:v>Government</x:v>
      </x:c>
      <x:c r="E576" t="n">
        <x:v>100</x:v>
      </x:c>
      <x:c r="F576" t="n">
        <x:v>0</x:v>
      </x:c>
      <x:c r="G576" t="n">
        <x:v>100</x:v>
      </x:c>
      <x:c r="H576" t="str">
        <x:v>200399</x:v>
      </x:c>
      <x:c r="I576" t="n">
        <x:v>250</x:v>
      </x:c>
      <x:c r="J576" t="n">
        <x:v>248</x:v>
      </x:c>
      <x:c r="K576" t="n">
        <x:v>0</x:v>
      </x:c>
      <x:c r="L576" s="20" t="n">
        <x:v>0</x:v>
      </x:c>
      <x:c r="M576" t="str">
        <x:v>High</x:v>
      </x:c>
      <x:c r="N576" t="str">
        <x:v>Approx. State/Non-MCC Pool</x:v>
      </x:c>
      <x:c r="O576" t="str">
        <x:v>Smaller state-counselling pool</x:v>
      </x:c>
      <x:c r="P576" t="n">
        <x:v>609461</x:v>
      </x:c>
      <x:c r="Q576"/>
      <x:c r="R576"/>
      <x:c r="S576"/>
      <x:c r="T576"/>
      <x:c r="U576" t="str">
        <x:v>Pending state Round-1 allotment/cutoff data</x:v>
      </x:c>
    </x:row>
    <x:row r="577">
      <x:c r="A577" t="str">
        <x:v>Tamil Nadu</x:v>
      </x:c>
      <x:c r="B577" t="str">
        <x:v>TN/011/P/3</x:v>
      </x:c>
      <x:c r="C577" t="str">
        <x:v>Dhanalakshmi Srinivasan Medical College and Hospital, Perambalur</x:v>
      </x:c>
      <x:c r="D577" t="str">
        <x:v>Private</x:v>
      </x:c>
      <x:c r="E577" t="n">
        <x:v>250</x:v>
      </x:c>
      <x:c r="F577" t="n">
        <x:v>0</x:v>
      </x:c>
      <x:c r="G577" t="n">
        <x:v>250</x:v>
      </x:c>
      <x:c r="H577"/>
      <x:c r="I577" t="n">
        <x:v>0</x:v>
      </x:c>
      <x:c r="J577" t="n">
        <x:v>0</x:v>
      </x:c>
      <x:c r="K577" t="n">
        <x:v>250</x:v>
      </x:c>
      <x:c r="L577" s="20" t="n">
        <x:v>1</x:v>
      </x:c>
      <x:c r="M577" t="str">
        <x:v>Variable</x:v>
      </x:c>
      <x:c r="N577" t="str">
        <x:v>Approx. Non-MCC Pool</x:v>
      </x:c>
      <x:c r="O577" t="str">
        <x:v>Large non-MCC pool; quota split varies by state</x:v>
      </x:c>
      <x:c r="P577"/>
      <x:c r="Q577"/>
      <x:c r="R577"/>
      <x:c r="S577"/>
      <x:c r="T577"/>
      <x:c r="U577" t="str">
        <x:v>Pending state Round-1 allotment/cutoff data</x:v>
      </x:c>
    </x:row>
    <x:row r="578">
      <x:c r="A578" t="str">
        <x:v>Tamil Nadu</x:v>
      </x:c>
      <x:c r="B578" t="str">
        <x:v>TN/036/P/3</x:v>
      </x:c>
      <x:c r="C578" t="str">
        <x:v>Indira Medical College &amp; Hospitals, Thiruvallur</x:v>
      </x:c>
      <x:c r="D578" t="str">
        <x:v>Private</x:v>
      </x:c>
      <x:c r="E578" t="n">
        <x:v>150</x:v>
      </x:c>
      <x:c r="F578" t="n">
        <x:v>100</x:v>
      </x:c>
      <x:c r="G578" t="n">
        <x:v>250</x:v>
      </x:c>
      <x:c r="H578"/>
      <x:c r="I578" t="n">
        <x:v>0</x:v>
      </x:c>
      <x:c r="J578" t="n">
        <x:v>0</x:v>
      </x:c>
      <x:c r="K578" t="n">
        <x:v>250</x:v>
      </x:c>
      <x:c r="L578" s="20" t="n">
        <x:v>1</x:v>
      </x:c>
      <x:c r="M578" t="str">
        <x:v>Variable</x:v>
      </x:c>
      <x:c r="N578" t="str">
        <x:v>Approx. Non-MCC Pool</x:v>
      </x:c>
      <x:c r="O578" t="str">
        <x:v>Expanded 2026 capacity; state/management split to verify</x:v>
      </x:c>
      <x:c r="P578"/>
      <x:c r="Q578"/>
      <x:c r="R578"/>
      <x:c r="S578"/>
      <x:c r="T578"/>
      <x:c r="U578" t="str">
        <x:v>Pending state Round-1 allotment/cutoff data</x:v>
      </x:c>
    </x:row>
    <x:row r="579">
      <x:c r="A579" t="str">
        <x:v>Tamil Nadu</x:v>
      </x:c>
      <x:c r="B579" t="str">
        <x:v>TN/052/P/3</x:v>
      </x:c>
      <x:c r="C579" t="str">
        <x:v>PSG Institute of Medical Sciences, Coimbatore</x:v>
      </x:c>
      <x:c r="D579" t="str">
        <x:v>Private</x:v>
      </x:c>
      <x:c r="E579" t="n">
        <x:v>250</x:v>
      </x:c>
      <x:c r="F579" t="n">
        <x:v>0</x:v>
      </x:c>
      <x:c r="G579" t="n">
        <x:v>250</x:v>
      </x:c>
      <x:c r="H579"/>
      <x:c r="I579" t="n">
        <x:v>0</x:v>
      </x:c>
      <x:c r="J579" t="n">
        <x:v>0</x:v>
      </x:c>
      <x:c r="K579" t="n">
        <x:v>250</x:v>
      </x:c>
      <x:c r="L579" s="20" t="n">
        <x:v>1</x:v>
      </x:c>
      <x:c r="M579" t="str">
        <x:v>Variable</x:v>
      </x:c>
      <x:c r="N579" t="str">
        <x:v>Approx. Non-MCC Pool</x:v>
      </x:c>
      <x:c r="O579" t="str">
        <x:v>Large non-MCC pool; quota split varies by state</x:v>
      </x:c>
      <x:c r="P579"/>
      <x:c r="Q579"/>
      <x:c r="R579"/>
      <x:c r="S579"/>
      <x:c r="T579"/>
      <x:c r="U579" t="str">
        <x:v>Pending state Round-1 allotment/cutoff data</x:v>
      </x:c>
    </x:row>
    <x:row r="580">
      <x:c r="A580" t="str">
        <x:v>Tamil Nadu</x:v>
      </x:c>
      <x:c r="B580" t="str">
        <x:v>TN/053/P/3</x:v>
      </x:c>
      <x:c r="C580" t="str">
        <x:v>PSP Medical College Hospital and Research Institute, Chennai</x:v>
      </x:c>
      <x:c r="D580" t="str">
        <x:v>Private</x:v>
      </x:c>
      <x:c r="E580" t="n">
        <x:v>150</x:v>
      </x:c>
      <x:c r="F580" t="n">
        <x:v>100</x:v>
      </x:c>
      <x:c r="G580" t="n">
        <x:v>250</x:v>
      </x:c>
      <x:c r="H580"/>
      <x:c r="I580" t="n">
        <x:v>0</x:v>
      </x:c>
      <x:c r="J580" t="n">
        <x:v>0</x:v>
      </x:c>
      <x:c r="K580" t="n">
        <x:v>250</x:v>
      </x:c>
      <x:c r="L580" s="20" t="n">
        <x:v>1</x:v>
      </x:c>
      <x:c r="M580" t="str">
        <x:v>Variable</x:v>
      </x:c>
      <x:c r="N580" t="str">
        <x:v>Approx. Non-MCC Pool</x:v>
      </x:c>
      <x:c r="O580" t="str">
        <x:v>Expanded 2026 capacity; state/management split to verify</x:v>
      </x:c>
      <x:c r="P580"/>
      <x:c r="Q580"/>
      <x:c r="R580"/>
      <x:c r="S580"/>
      <x:c r="T580"/>
      <x:c r="U580" t="str">
        <x:v>Pending state Round-1 allotment/cutoff data</x:v>
      </x:c>
    </x:row>
    <x:row r="581">
      <x:c r="A581" t="str">
        <x:v>Tamil Nadu</x:v>
      </x:c>
      <x:c r="B581" t="str">
        <x:v>TN/002/P/3</x:v>
      </x:c>
      <x:c r="C581" t="str">
        <x:v>Rajalakshmi Medical College Hospital and Research Institute</x:v>
      </x:c>
      <x:c r="D581" t="str">
        <x:v>Private</x:v>
      </x:c>
      <x:c r="E581" t="n">
        <x:v>200</x:v>
      </x:c>
      <x:c r="F581" t="n">
        <x:v>50</x:v>
      </x:c>
      <x:c r="G581" t="n">
        <x:v>250</x:v>
      </x:c>
      <x:c r="H581"/>
      <x:c r="I581" t="n">
        <x:v>0</x:v>
      </x:c>
      <x:c r="J581" t="n">
        <x:v>0</x:v>
      </x:c>
      <x:c r="K581" t="n">
        <x:v>250</x:v>
      </x:c>
      <x:c r="L581" s="20" t="n">
        <x:v>1</x:v>
      </x:c>
      <x:c r="M581" t="str">
        <x:v>Variable</x:v>
      </x:c>
      <x:c r="N581" t="str">
        <x:v>Approx. Non-MCC Pool</x:v>
      </x:c>
      <x:c r="O581" t="str">
        <x:v>Expanded 2026 capacity; state/management split to verify</x:v>
      </x:c>
      <x:c r="P581"/>
      <x:c r="Q581"/>
      <x:c r="R581"/>
      <x:c r="S581"/>
      <x:c r="T581"/>
      <x:c r="U581" t="str">
        <x:v>Pending state Round-1 allotment/cutoff data</x:v>
      </x:c>
    </x:row>
    <x:row r="582">
      <x:c r="A582" t="str">
        <x:v>Tamil Nadu</x:v>
      </x:c>
      <x:c r="B582" t="str">
        <x:v>TN/063/P/3</x:v>
      </x:c>
      <x:c r="C582" t="str">
        <x:v>SRM Medical College Hospital &amp; Research Centre, Kancheepuram</x:v>
      </x:c>
      <x:c r="D582" t="str">
        <x:v>Private</x:v>
      </x:c>
      <x:c r="E582" t="n">
        <x:v>250</x:v>
      </x:c>
      <x:c r="F582" t="n">
        <x:v>0</x:v>
      </x:c>
      <x:c r="G582" t="n">
        <x:v>250</x:v>
      </x:c>
      <x:c r="H582"/>
      <x:c r="I582" t="n">
        <x:v>0</x:v>
      </x:c>
      <x:c r="J582" t="n">
        <x:v>0</x:v>
      </x:c>
      <x:c r="K582" t="n">
        <x:v>250</x:v>
      </x:c>
      <x:c r="L582" s="20" t="n">
        <x:v>1</x:v>
      </x:c>
      <x:c r="M582" t="str">
        <x:v>Variable</x:v>
      </x:c>
      <x:c r="N582" t="str">
        <x:v>Approx. Non-MCC Pool</x:v>
      </x:c>
      <x:c r="O582" t="str">
        <x:v>Large non-MCC pool; quota split varies by state</x:v>
      </x:c>
      <x:c r="P582"/>
      <x:c r="Q582"/>
      <x:c r="R582"/>
      <x:c r="S582"/>
      <x:c r="T582"/>
      <x:c r="U582" t="str">
        <x:v>Pending state Round-1 allotment/cutoff data</x:v>
      </x:c>
    </x:row>
    <x:row r="583">
      <x:c r="A583" t="str">
        <x:v>Tamil Nadu</x:v>
      </x:c>
      <x:c r="B583" t="str">
        <x:v>TN/061/P/3</x:v>
      </x:c>
      <x:c r="C583" t="str">
        <x:v>Sri Venkateswaraa Medical College Hospital and Research Institute, Chennai</x:v>
      </x:c>
      <x:c r="D583" t="str">
        <x:v>Private</x:v>
      </x:c>
      <x:c r="E583" t="n">
        <x:v>250</x:v>
      </x:c>
      <x:c r="F583" t="n">
        <x:v>0</x:v>
      </x:c>
      <x:c r="G583" t="n">
        <x:v>250</x:v>
      </x:c>
      <x:c r="H583"/>
      <x:c r="I583" t="n">
        <x:v>0</x:v>
      </x:c>
      <x:c r="J583" t="n">
        <x:v>0</x:v>
      </x:c>
      <x:c r="K583" t="n">
        <x:v>250</x:v>
      </x:c>
      <x:c r="L583" s="20" t="n">
        <x:v>1</x:v>
      </x:c>
      <x:c r="M583" t="str">
        <x:v>Variable</x:v>
      </x:c>
      <x:c r="N583" t="str">
        <x:v>Approx. Non-MCC Pool</x:v>
      </x:c>
      <x:c r="O583" t="str">
        <x:v>Large non-MCC pool; quota split varies by state</x:v>
      </x:c>
      <x:c r="P583"/>
      <x:c r="Q583"/>
      <x:c r="R583"/>
      <x:c r="S583"/>
      <x:c r="T583"/>
      <x:c r="U583" t="str">
        <x:v>Pending state Round-1 allotment/cutoff data</x:v>
      </x:c>
    </x:row>
    <x:row r="584">
      <x:c r="A584" t="str">
        <x:v>Tamil Nadu</x:v>
      </x:c>
      <x:c r="B584" t="str">
        <x:v>TN/066/P/3</x:v>
      </x:c>
      <x:c r="C584" t="str">
        <x:v>Swamy Vivekanandha Medical College Hospital And Research Institute</x:v>
      </x:c>
      <x:c r="D584" t="str">
        <x:v>Private</x:v>
      </x:c>
      <x:c r="E584" t="n">
        <x:v>200</x:v>
      </x:c>
      <x:c r="F584" t="n">
        <x:v>50</x:v>
      </x:c>
      <x:c r="G584" t="n">
        <x:v>250</x:v>
      </x:c>
      <x:c r="H584"/>
      <x:c r="I584" t="n">
        <x:v>0</x:v>
      </x:c>
      <x:c r="J584" t="n">
        <x:v>0</x:v>
      </x:c>
      <x:c r="K584" t="n">
        <x:v>250</x:v>
      </x:c>
      <x:c r="L584" s="20" t="n">
        <x:v>1</x:v>
      </x:c>
      <x:c r="M584" t="str">
        <x:v>Variable</x:v>
      </x:c>
      <x:c r="N584" t="str">
        <x:v>Approx. Non-MCC Pool</x:v>
      </x:c>
      <x:c r="O584" t="str">
        <x:v>Expanded 2026 capacity; state/management split to verify</x:v>
      </x:c>
      <x:c r="P584"/>
      <x:c r="Q584"/>
      <x:c r="R584"/>
      <x:c r="S584"/>
      <x:c r="T584"/>
      <x:c r="U584" t="str">
        <x:v>Pending state Round-1 allotment/cutoff data</x:v>
      </x:c>
    </x:row>
    <x:row r="585">
      <x:c r="A585" t="str">
        <x:v>Tamil Nadu</x:v>
      </x:c>
      <x:c r="B585" t="str">
        <x:v>TN/067/P/3</x:v>
      </x:c>
      <x:c r="C585" t="str">
        <x:v>Tagore Medical College and Hospital, Chennai</x:v>
      </x:c>
      <x:c r="D585" t="str">
        <x:v>Private</x:v>
      </x:c>
      <x:c r="E585" t="n">
        <x:v>250</x:v>
      </x:c>
      <x:c r="F585" t="n">
        <x:v>0</x:v>
      </x:c>
      <x:c r="G585" t="n">
        <x:v>250</x:v>
      </x:c>
      <x:c r="H585"/>
      <x:c r="I585" t="n">
        <x:v>0</x:v>
      </x:c>
      <x:c r="J585" t="n">
        <x:v>0</x:v>
      </x:c>
      <x:c r="K585" t="n">
        <x:v>250</x:v>
      </x:c>
      <x:c r="L585" s="20" t="n">
        <x:v>1</x:v>
      </x:c>
      <x:c r="M585" t="str">
        <x:v>Variable</x:v>
      </x:c>
      <x:c r="N585" t="str">
        <x:v>Approx. Non-MCC Pool</x:v>
      </x:c>
      <x:c r="O585" t="str">
        <x:v>Large non-MCC pool; quota split varies by state</x:v>
      </x:c>
      <x:c r="P585"/>
      <x:c r="Q585"/>
      <x:c r="R585"/>
      <x:c r="S585"/>
      <x:c r="T585"/>
      <x:c r="U585" t="str">
        <x:v>Pending state Round-1 allotment/cutoff data</x:v>
      </x:c>
    </x:row>
    <x:row r="586">
      <x:c r="A586" t="str">
        <x:v>Tamil Nadu</x:v>
      </x:c>
      <x:c r="B586" t="str">
        <x:v>TN/074/P/3</x:v>
      </x:c>
      <x:c r="C586" t="str">
        <x:v>Trichy SRM Medical College Hospital &amp; Research Centre, Trichy</x:v>
      </x:c>
      <x:c r="D586" t="str">
        <x:v>Private</x:v>
      </x:c>
      <x:c r="E586" t="n">
        <x:v>250</x:v>
      </x:c>
      <x:c r="F586" t="n">
        <x:v>0</x:v>
      </x:c>
      <x:c r="G586" t="n">
        <x:v>250</x:v>
      </x:c>
      <x:c r="H586"/>
      <x:c r="I586" t="n">
        <x:v>0</x:v>
      </x:c>
      <x:c r="J586" t="n">
        <x:v>0</x:v>
      </x:c>
      <x:c r="K586" t="n">
        <x:v>250</x:v>
      </x:c>
      <x:c r="L586" s="20" t="n">
        <x:v>1</x:v>
      </x:c>
      <x:c r="M586" t="str">
        <x:v>Variable</x:v>
      </x:c>
      <x:c r="N586" t="str">
        <x:v>Approx. Non-MCC Pool</x:v>
      </x:c>
      <x:c r="O586" t="str">
        <x:v>Large non-MCC pool; quota split varies by state</x:v>
      </x:c>
      <x:c r="P586"/>
      <x:c r="Q586"/>
      <x:c r="R586"/>
      <x:c r="S586"/>
      <x:c r="T586"/>
      <x:c r="U586" t="str">
        <x:v>Pending state Round-1 allotment/cutoff data</x:v>
      </x:c>
    </x:row>
    <x:row r="587">
      <x:c r="A587" t="str">
        <x:v>Tamil Nadu</x:v>
      </x:c>
      <x:c r="B587" t="str">
        <x:v>TN/004/P/3</x:v>
      </x:c>
      <x:c r="C587" t="str">
        <x:v>Arunai Medical College And Hospital</x:v>
      </x:c>
      <x:c r="D587" t="str">
        <x:v>Private</x:v>
      </x:c>
      <x:c r="E587" t="n">
        <x:v>200</x:v>
      </x:c>
      <x:c r="F587" t="n">
        <x:v>0</x:v>
      </x:c>
      <x:c r="G587" t="n">
        <x:v>200</x:v>
      </x:c>
      <x:c r="H587"/>
      <x:c r="I587" t="n">
        <x:v>0</x:v>
      </x:c>
      <x:c r="J587" t="n">
        <x:v>0</x:v>
      </x:c>
      <x:c r="K587" t="n">
        <x:v>200</x:v>
      </x:c>
      <x:c r="L587" s="20" t="n">
        <x:v>1</x:v>
      </x:c>
      <x:c r="M587" t="str">
        <x:v>Variable</x:v>
      </x:c>
      <x:c r="N587" t="str">
        <x:v>Approx. Non-MCC Pool</x:v>
      </x:c>
      <x:c r="O587" t="str">
        <x:v>Large non-MCC pool; quota split varies by state</x:v>
      </x:c>
      <x:c r="P587"/>
      <x:c r="Q587"/>
      <x:c r="R587"/>
      <x:c r="S587"/>
      <x:c r="T587"/>
      <x:c r="U587" t="str">
        <x:v>Pending state Round-1 allotment/cutoff data</x:v>
      </x:c>
    </x:row>
    <x:row r="588">
      <x:c r="A588" t="str">
        <x:v>Tamil Nadu</x:v>
      </x:c>
      <x:c r="B588" t="str">
        <x:v>TN/049/P/3</x:v>
      </x:c>
      <x:c r="C588" t="str">
        <x:v>Melmaruvathur Adiparasakthi Instt. Medical Sciences and Research</x:v>
      </x:c>
      <x:c r="D588" t="str">
        <x:v>Private</x:v>
      </x:c>
      <x:c r="E588" t="n">
        <x:v>150</x:v>
      </x:c>
      <x:c r="F588" t="n">
        <x:v>50</x:v>
      </x:c>
      <x:c r="G588" t="n">
        <x:v>200</x:v>
      </x:c>
      <x:c r="H588"/>
      <x:c r="I588" t="n">
        <x:v>0</x:v>
      </x:c>
      <x:c r="J588" t="n">
        <x:v>0</x:v>
      </x:c>
      <x:c r="K588" t="n">
        <x:v>200</x:v>
      </x:c>
      <x:c r="L588" s="20" t="n">
        <x:v>1</x:v>
      </x:c>
      <x:c r="M588" t="str">
        <x:v>Variable</x:v>
      </x:c>
      <x:c r="N588" t="str">
        <x:v>Approx. Non-MCC Pool</x:v>
      </x:c>
      <x:c r="O588" t="str">
        <x:v>Expanded 2026 capacity; state/management split to verify</x:v>
      </x:c>
      <x:c r="P588"/>
      <x:c r="Q588"/>
      <x:c r="R588"/>
      <x:c r="S588"/>
      <x:c r="T588"/>
      <x:c r="U588" t="str">
        <x:v>Pending state Round-1 allotment/cutoff data</x:v>
      </x:c>
    </x:row>
    <x:row r="589">
      <x:c r="A589" t="str">
        <x:v>Tamil Nadu</x:v>
      </x:c>
      <x:c r="B589" t="str">
        <x:v>TN/051/P/3</x:v>
      </x:c>
      <x:c r="C589" t="str">
        <x:v>Panimalar Medical College Hospital &amp; Research Institute, Chennai,Tamil Nadu</x:v>
      </x:c>
      <x:c r="D589" t="str">
        <x:v>Private</x:v>
      </x:c>
      <x:c r="E589" t="n">
        <x:v>200</x:v>
      </x:c>
      <x:c r="F589" t="n">
        <x:v>0</x:v>
      </x:c>
      <x:c r="G589" t="n">
        <x:v>200</x:v>
      </x:c>
      <x:c r="H589"/>
      <x:c r="I589" t="n">
        <x:v>0</x:v>
      </x:c>
      <x:c r="J589" t="n">
        <x:v>0</x:v>
      </x:c>
      <x:c r="K589" t="n">
        <x:v>200</x:v>
      </x:c>
      <x:c r="L589" s="20" t="n">
        <x:v>1</x:v>
      </x:c>
      <x:c r="M589" t="str">
        <x:v>Variable</x:v>
      </x:c>
      <x:c r="N589" t="str">
        <x:v>Approx. Non-MCC Pool</x:v>
      </x:c>
      <x:c r="O589" t="str">
        <x:v>Large non-MCC pool; quota split varies by state</x:v>
      </x:c>
      <x:c r="P589"/>
      <x:c r="Q589"/>
      <x:c r="R589"/>
      <x:c r="S589"/>
      <x:c r="T589"/>
      <x:c r="U589" t="str">
        <x:v>Pending state Round-1 allotment/cutoff data</x:v>
      </x:c>
    </x:row>
    <x:row r="590">
      <x:c r="A590" t="str">
        <x:v>Tamil Nadu</x:v>
      </x:c>
      <x:c r="B590" t="str">
        <x:v>TN/068/P/5</x:v>
      </x:c>
      <x:c r="C590" t="str">
        <x:v>TAKSHASHILA MEDICAL COLLEGE</x:v>
      </x:c>
      <x:c r="D590" t="str">
        <x:v>Private</x:v>
      </x:c>
      <x:c r="E590" t="n">
        <x:v>100</x:v>
      </x:c>
      <x:c r="F590" t="n">
        <x:v>100</x:v>
      </x:c>
      <x:c r="G590" t="n">
        <x:v>200</x:v>
      </x:c>
      <x:c r="H590"/>
      <x:c r="I590" t="n">
        <x:v>0</x:v>
      </x:c>
      <x:c r="J590" t="n">
        <x:v>0</x:v>
      </x:c>
      <x:c r="K590" t="n">
        <x:v>200</x:v>
      </x:c>
      <x:c r="L590" s="20" t="n">
        <x:v>1</x:v>
      </x:c>
      <x:c r="M590" t="str">
        <x:v>Variable</x:v>
      </x:c>
      <x:c r="N590" t="str">
        <x:v>Approx. Non-MCC Pool</x:v>
      </x:c>
      <x:c r="O590" t="str">
        <x:v>Expanded 2026 capacity; state/management split to verify</x:v>
      </x:c>
      <x:c r="P590"/>
      <x:c r="Q590"/>
      <x:c r="R590"/>
      <x:c r="S590"/>
      <x:c r="T590"/>
      <x:c r="U590" t="str">
        <x:v>Pending state Round-1 allotment/cutoff data</x:v>
      </x:c>
    </x:row>
    <x:row r="591">
      <x:c r="A591" t="str">
        <x:v>Tamil Nadu</x:v>
      </x:c>
      <x:c r="B591" t="str">
        <x:v>TN/003/P/3</x:v>
      </x:c>
      <x:c r="C591" t="str">
        <x:v>Annapoorna Medical College &amp; Hospital, Salem</x:v>
      </x:c>
      <x:c r="D591" t="str">
        <x:v>Private</x:v>
      </x:c>
      <x:c r="E591" t="n">
        <x:v>150</x:v>
      </x:c>
      <x:c r="F591" t="n">
        <x:v>0</x:v>
      </x:c>
      <x:c r="G591" t="n">
        <x:v>150</x:v>
      </x:c>
      <x:c r="H591"/>
      <x:c r="I591" t="n">
        <x:v>0</x:v>
      </x:c>
      <x:c r="J591" t="n">
        <x:v>0</x:v>
      </x:c>
      <x:c r="K591" t="n">
        <x:v>150</x:v>
      </x:c>
      <x:c r="L591" s="20" t="n">
        <x:v>1</x:v>
      </x:c>
      <x:c r="M591" t="str">
        <x:v>Variable</x:v>
      </x:c>
      <x:c r="N591" t="str">
        <x:v>Approx. Non-MCC Pool</x:v>
      </x:c>
      <x:c r="O591" t="str">
        <x:v>Large non-MCC pool; quota split varies by state</x:v>
      </x:c>
      <x:c r="P591"/>
      <x:c r="Q591"/>
      <x:c r="R591"/>
      <x:c r="S591"/>
      <x:c r="T591"/>
      <x:c r="U591" t="str">
        <x:v>Pending state Round-1 allotment/cutoff data</x:v>
      </x:c>
    </x:row>
    <x:row r="592">
      <x:c r="A592" t="str">
        <x:v>Tamil Nadu</x:v>
      </x:c>
      <x:c r="B592" t="str">
        <x:v>TN/044/P/5</x:v>
      </x:c>
      <x:c r="C592" t="str">
        <x:v>KMCH Institute of Health Sciences and Research, Coimbatore</x:v>
      </x:c>
      <x:c r="D592" t="str">
        <x:v>Private</x:v>
      </x:c>
      <x:c r="E592" t="n">
        <x:v>150</x:v>
      </x:c>
      <x:c r="F592" t="n">
        <x:v>0</x:v>
      </x:c>
      <x:c r="G592" t="n">
        <x:v>150</x:v>
      </x:c>
      <x:c r="H592"/>
      <x:c r="I592" t="n">
        <x:v>0</x:v>
      </x:c>
      <x:c r="J592" t="n">
        <x:v>0</x:v>
      </x:c>
      <x:c r="K592" t="n">
        <x:v>150</x:v>
      </x:c>
      <x:c r="L592" s="20" t="n">
        <x:v>1</x:v>
      </x:c>
      <x:c r="M592" t="str">
        <x:v>Variable</x:v>
      </x:c>
      <x:c r="N592" t="str">
        <x:v>Approx. Non-MCC Pool</x:v>
      </x:c>
      <x:c r="O592" t="str">
        <x:v>Large non-MCC pool; quota split varies by state</x:v>
      </x:c>
      <x:c r="P592"/>
      <x:c r="Q592"/>
      <x:c r="R592"/>
      <x:c r="S592"/>
      <x:c r="T592"/>
      <x:c r="U592" t="str">
        <x:v>Pending state Round-1 allotment/cutoff data</x:v>
      </x:c>
    </x:row>
    <x:row r="593">
      <x:c r="A593" t="str">
        <x:v>Tamil Nadu</x:v>
      </x:c>
      <x:c r="B593" t="str">
        <x:v>TN/040/P/3</x:v>
      </x:c>
      <x:c r="C593" t="str">
        <x:v>Kanyakumari Medical Mission Research Centre, Kanyakumari District</x:v>
      </x:c>
      <x:c r="D593" t="str">
        <x:v>Private</x:v>
      </x:c>
      <x:c r="E593" t="n">
        <x:v>100</x:v>
      </x:c>
      <x:c r="F593" t="n">
        <x:v>50</x:v>
      </x:c>
      <x:c r="G593" t="n">
        <x:v>150</x:v>
      </x:c>
      <x:c r="H593"/>
      <x:c r="I593" t="n">
        <x:v>0</x:v>
      </x:c>
      <x:c r="J593" t="n">
        <x:v>0</x:v>
      </x:c>
      <x:c r="K593" t="n">
        <x:v>150</x:v>
      </x:c>
      <x:c r="L593" s="20" t="n">
        <x:v>1</x:v>
      </x:c>
      <x:c r="M593" t="str">
        <x:v>Variable</x:v>
      </x:c>
      <x:c r="N593" t="str">
        <x:v>Approx. Non-MCC Pool</x:v>
      </x:c>
      <x:c r="O593" t="str">
        <x:v>Expanded 2026 capacity; state/management split to verify</x:v>
      </x:c>
      <x:c r="P593"/>
      <x:c r="Q593"/>
      <x:c r="R593"/>
      <x:c r="S593"/>
      <x:c r="T593"/>
      <x:c r="U593" t="str">
        <x:v>Pending state Round-1 allotment/cutoff data</x:v>
      </x:c>
    </x:row>
    <x:row r="594">
      <x:c r="A594" t="str">
        <x:v>Tamil Nadu</x:v>
      </x:c>
      <x:c r="B594" t="str">
        <x:v>TN/041/P/3</x:v>
      </x:c>
      <x:c r="C594" t="str">
        <x:v>Karpaga Vinayaga Institute of Medical Sciences, Maduranthagam</x:v>
      </x:c>
      <x:c r="D594" t="str">
        <x:v>Private</x:v>
      </x:c>
      <x:c r="E594" t="n">
        <x:v>150</x:v>
      </x:c>
      <x:c r="F594" t="n">
        <x:v>0</x:v>
      </x:c>
      <x:c r="G594" t="n">
        <x:v>150</x:v>
      </x:c>
      <x:c r="H594"/>
      <x:c r="I594" t="n">
        <x:v>0</x:v>
      </x:c>
      <x:c r="J594" t="n">
        <x:v>0</x:v>
      </x:c>
      <x:c r="K594" t="n">
        <x:v>150</x:v>
      </x:c>
      <x:c r="L594" s="20" t="n">
        <x:v>1</x:v>
      </x:c>
      <x:c r="M594" t="str">
        <x:v>Variable</x:v>
      </x:c>
      <x:c r="N594" t="str">
        <x:v>Approx. Non-MCC Pool</x:v>
      </x:c>
      <x:c r="O594" t="str">
        <x:v>Large non-MCC pool; quota split varies by state</x:v>
      </x:c>
      <x:c r="P594"/>
      <x:c r="Q594"/>
      <x:c r="R594"/>
      <x:c r="S594"/>
      <x:c r="T594"/>
      <x:c r="U594" t="str">
        <x:v>Pending state Round-1 allotment/cutoff data</x:v>
      </x:c>
    </x:row>
    <x:row r="595">
      <x:c r="A595" t="str">
        <x:v>Tamil Nadu</x:v>
      </x:c>
      <x:c r="B595" t="str">
        <x:v>TN/042/P/3</x:v>
      </x:c>
      <x:c r="C595" t="str">
        <x:v>Karpagam Faculty of Medical Sciences &amp; Research, Coimbatore</x:v>
      </x:c>
      <x:c r="D595" t="str">
        <x:v>Private</x:v>
      </x:c>
      <x:c r="E595" t="n">
        <x:v>150</x:v>
      </x:c>
      <x:c r="F595" t="n">
        <x:v>0</x:v>
      </x:c>
      <x:c r="G595" t="n">
        <x:v>150</x:v>
      </x:c>
      <x:c r="H595"/>
      <x:c r="I595" t="n">
        <x:v>0</x:v>
      </x:c>
      <x:c r="J595" t="n">
        <x:v>0</x:v>
      </x:c>
      <x:c r="K595" t="n">
        <x:v>150</x:v>
      </x:c>
      <x:c r="L595" s="20" t="n">
        <x:v>1</x:v>
      </x:c>
      <x:c r="M595" t="str">
        <x:v>Variable</x:v>
      </x:c>
      <x:c r="N595" t="str">
        <x:v>Approx. Non-MCC Pool</x:v>
      </x:c>
      <x:c r="O595" t="str">
        <x:v>Large non-MCC pool; quota split varies by state</x:v>
      </x:c>
      <x:c r="P595"/>
      <x:c r="Q595"/>
      <x:c r="R595"/>
      <x:c r="S595"/>
      <x:c r="T595"/>
      <x:c r="U595" t="str">
        <x:v>Pending state Round-1 allotment/cutoff data</x:v>
      </x:c>
    </x:row>
    <x:row r="596">
      <x:c r="A596" t="str">
        <x:v>Tamil Nadu</x:v>
      </x:c>
      <x:c r="B596" t="str">
        <x:v>TN/045/P/3</x:v>
      </x:c>
      <x:c r="C596" t="str">
        <x:v>Madha Medical College and Hospital, Thandalam, Chennai</x:v>
      </x:c>
      <x:c r="D596" t="str">
        <x:v>Private</x:v>
      </x:c>
      <x:c r="E596" t="n">
        <x:v>150</x:v>
      </x:c>
      <x:c r="F596" t="n">
        <x:v>0</x:v>
      </x:c>
      <x:c r="G596" t="n">
        <x:v>150</x:v>
      </x:c>
      <x:c r="H596"/>
      <x:c r="I596" t="n">
        <x:v>0</x:v>
      </x:c>
      <x:c r="J596" t="n">
        <x:v>0</x:v>
      </x:c>
      <x:c r="K596" t="n">
        <x:v>150</x:v>
      </x:c>
      <x:c r="L596" s="20" t="n">
        <x:v>1</x:v>
      </x:c>
      <x:c r="M596" t="str">
        <x:v>Variable</x:v>
      </x:c>
      <x:c r="N596" t="str">
        <x:v>Approx. Non-MCC Pool</x:v>
      </x:c>
      <x:c r="O596" t="str">
        <x:v>Large non-MCC pool; quota split varies by state</x:v>
      </x:c>
      <x:c r="P596"/>
      <x:c r="Q596"/>
      <x:c r="R596"/>
      <x:c r="S596"/>
      <x:c r="T596"/>
      <x:c r="U596" t="str">
        <x:v>Pending state Round-1 allotment/cutoff data</x:v>
      </x:c>
    </x:row>
    <x:row r="597">
      <x:c r="A597" t="str">
        <x:v>Tamil Nadu</x:v>
      </x:c>
      <x:c r="B597" t="str">
        <x:v>TN/050/P/3</x:v>
      </x:c>
      <x:c r="C597" t="str">
        <x:v>Nandha Medical College &amp; Hospital Erode</x:v>
      </x:c>
      <x:c r="D597" t="str">
        <x:v>Private</x:v>
      </x:c>
      <x:c r="E597" t="n">
        <x:v>150</x:v>
      </x:c>
      <x:c r="F597" t="n">
        <x:v>0</x:v>
      </x:c>
      <x:c r="G597" t="n">
        <x:v>150</x:v>
      </x:c>
      <x:c r="H597"/>
      <x:c r="I597" t="n">
        <x:v>0</x:v>
      </x:c>
      <x:c r="J597" t="n">
        <x:v>0</x:v>
      </x:c>
      <x:c r="K597" t="n">
        <x:v>150</x:v>
      </x:c>
      <x:c r="L597" s="20" t="n">
        <x:v>1</x:v>
      </x:c>
      <x:c r="M597" t="str">
        <x:v>Variable</x:v>
      </x:c>
      <x:c r="N597" t="str">
        <x:v>Approx. Non-MCC Pool</x:v>
      </x:c>
      <x:c r="O597" t="str">
        <x:v>Large non-MCC pool; quota split varies by state</x:v>
      </x:c>
      <x:c r="P597"/>
      <x:c r="Q597"/>
      <x:c r="R597"/>
      <x:c r="S597"/>
      <x:c r="T597"/>
      <x:c r="U597" t="str">
        <x:v>Pending state Round-1 allotment/cutoff data</x:v>
      </x:c>
    </x:row>
    <x:row r="598">
      <x:c r="A598" t="str">
        <x:v>Tamil Nadu</x:v>
      </x:c>
      <x:c r="B598" t="str">
        <x:v>TN/058/P/3</x:v>
      </x:c>
      <x:c r="C598" t="str">
        <x:v>Sree Mookambika Institute of Medical Sciences, Kanyakumari</x:v>
      </x:c>
      <x:c r="D598" t="str">
        <x:v>Private</x:v>
      </x:c>
      <x:c r="E598" t="n">
        <x:v>150</x:v>
      </x:c>
      <x:c r="F598" t="n">
        <x:v>0</x:v>
      </x:c>
      <x:c r="G598" t="n">
        <x:v>150</x:v>
      </x:c>
      <x:c r="H598"/>
      <x:c r="I598" t="n">
        <x:v>0</x:v>
      </x:c>
      <x:c r="J598" t="n">
        <x:v>0</x:v>
      </x:c>
      <x:c r="K598" t="n">
        <x:v>150</x:v>
      </x:c>
      <x:c r="L598" s="20" t="n">
        <x:v>1</x:v>
      </x:c>
      <x:c r="M598" t="str">
        <x:v>Variable</x:v>
      </x:c>
      <x:c r="N598" t="str">
        <x:v>Approx. Non-MCC Pool</x:v>
      </x:c>
      <x:c r="O598" t="str">
        <x:v>Large non-MCC pool; quota split varies by state</x:v>
      </x:c>
      <x:c r="P598"/>
      <x:c r="Q598"/>
      <x:c r="R598"/>
      <x:c r="S598"/>
      <x:c r="T598"/>
      <x:c r="U598" t="str">
        <x:v>Pending state Round-1 allotment/cutoff data</x:v>
      </x:c>
    </x:row>
    <x:row r="599">
      <x:c r="A599" t="str">
        <x:v>Tamil Nadu</x:v>
      </x:c>
      <x:c r="B599" t="str">
        <x:v>TN/059/P/3</x:v>
      </x:c>
      <x:c r="C599" t="str">
        <x:v>Sri Muthukumaran Medical College,Chennai</x:v>
      </x:c>
      <x:c r="D599" t="str">
        <x:v>Private</x:v>
      </x:c>
      <x:c r="E599" t="n">
        <x:v>150</x:v>
      </x:c>
      <x:c r="F599" t="n">
        <x:v>0</x:v>
      </x:c>
      <x:c r="G599" t="n">
        <x:v>150</x:v>
      </x:c>
      <x:c r="H599"/>
      <x:c r="I599" t="n">
        <x:v>0</x:v>
      </x:c>
      <x:c r="J599" t="n">
        <x:v>0</x:v>
      </x:c>
      <x:c r="K599" t="n">
        <x:v>150</x:v>
      </x:c>
      <x:c r="L599" s="20" t="n">
        <x:v>1</x:v>
      </x:c>
      <x:c r="M599" t="str">
        <x:v>Variable</x:v>
      </x:c>
      <x:c r="N599" t="str">
        <x:v>Approx. Non-MCC Pool</x:v>
      </x:c>
      <x:c r="O599" t="str">
        <x:v>Large non-MCC pool; quota split varies by state</x:v>
      </x:c>
      <x:c r="P599"/>
      <x:c r="Q599"/>
      <x:c r="R599"/>
      <x:c r="S599"/>
      <x:c r="T599"/>
      <x:c r="U599" t="str">
        <x:v>Pending state Round-1 allotment/cutoff data</x:v>
      </x:c>
    </x:row>
    <x:row r="600">
      <x:c r="A600" t="str">
        <x:v>Tamil Nadu</x:v>
      </x:c>
      <x:c r="B600" t="str">
        <x:v>TN/075/P/3</x:v>
      </x:c>
      <x:c r="C600" t="str">
        <x:v>Velammal Medical College Hospital and Research Institute, Madurai</x:v>
      </x:c>
      <x:c r="D600" t="str">
        <x:v>Private</x:v>
      </x:c>
      <x:c r="E600" t="n">
        <x:v>150</x:v>
      </x:c>
      <x:c r="F600" t="n">
        <x:v>0</x:v>
      </x:c>
      <x:c r="G600" t="n">
        <x:v>150</x:v>
      </x:c>
      <x:c r="H600"/>
      <x:c r="I600" t="n">
        <x:v>0</x:v>
      </x:c>
      <x:c r="J600" t="n">
        <x:v>0</x:v>
      </x:c>
      <x:c r="K600" t="n">
        <x:v>150</x:v>
      </x:c>
      <x:c r="L600" s="20" t="n">
        <x:v>1</x:v>
      </x:c>
      <x:c r="M600" t="str">
        <x:v>Variable</x:v>
      </x:c>
      <x:c r="N600" t="str">
        <x:v>Approx. Non-MCC Pool</x:v>
      </x:c>
      <x:c r="O600" t="str">
        <x:v>Large non-MCC pool; quota split varies by state</x:v>
      </x:c>
      <x:c r="P600"/>
      <x:c r="Q600"/>
      <x:c r="R600"/>
      <x:c r="S600"/>
      <x:c r="T600"/>
      <x:c r="U600" t="str">
        <x:v>Pending state Round-1 allotment/cutoff data</x:v>
      </x:c>
    </x:row>
    <x:row r="601">
      <x:c r="A601" t="str">
        <x:v>Tamil Nadu</x:v>
      </x:c>
      <x:c r="B601" t="str">
        <x:v>New Establishment</x:v>
      </x:c>
      <x:c r="C601" t="str">
        <x:v>APS MEDICAL COLLEGE HOSPITAL AND RESEARCH INSTITUTE</x:v>
      </x:c>
      <x:c r="D601" t="str">
        <x:v>Private</x:v>
      </x:c>
      <x:c r="E601" t="n">
        <x:v>0</x:v>
      </x:c>
      <x:c r="F601" t="n">
        <x:v>150</x:v>
      </x:c>
      <x:c r="G601" t="n">
        <x:v>150</x:v>
      </x:c>
      <x:c r="H601" t="str">
        <x:v>904744</x:v>
      </x:c>
      <x:c r="I601" t="n">
        <x:v>15</x:v>
      </x:c>
      <x:c r="J601" t="n">
        <x:v>15</x:v>
      </x:c>
      <x:c r="K601" t="n">
        <x:v>135</x:v>
      </x:c>
      <x:c r="L601" s="20" t="n">
        <x:v>0.9</x:v>
      </x:c>
      <x:c r="M601" t="str">
        <x:v>Variable</x:v>
      </x:c>
      <x:c r="N601" t="str">
        <x:v>Approx. Non-MCC Pool</x:v>
      </x:c>
      <x:c r="O601" t="str">
        <x:v>Expanded 2026 capacity; state/management split to verify</x:v>
      </x:c>
      <x:c r="P601" t="n">
        <x:v>19127</x:v>
      </x:c>
      <x:c r="Q601" t="n">
        <x:v>22142</x:v>
      </x:c>
      <x:c r="R601" t="n">
        <x:v>21393</x:v>
      </x:c>
      <x:c r="S601" t="n">
        <x:v>82876</x:v>
      </x:c>
      <x:c r="T601" t="n">
        <x:v>72645</x:v>
      </x:c>
      <x:c r="U601" t="str">
        <x:v>Pending state Round-1 allotment/cutoff data</x:v>
      </x:c>
    </x:row>
    <x:row r="602">
      <x:c r="A602" t="str">
        <x:v>Tamil Nadu</x:v>
      </x:c>
      <x:c r="B602" t="str">
        <x:v>TN/008/P/4</x:v>
      </x:c>
      <x:c r="C602" t="str">
        <x:v>Christian Medical College, Vellore</x:v>
      </x:c>
      <x:c r="D602" t="str">
        <x:v>Private</x:v>
      </x:c>
      <x:c r="E602" t="n">
        <x:v>100</x:v>
      </x:c>
      <x:c r="F602" t="n">
        <x:v>0</x:v>
      </x:c>
      <x:c r="G602" t="n">
        <x:v>100</x:v>
      </x:c>
      <x:c r="H602"/>
      <x:c r="I602" t="n">
        <x:v>0</x:v>
      </x:c>
      <x:c r="J602" t="n">
        <x:v>0</x:v>
      </x:c>
      <x:c r="K602" t="n">
        <x:v>100</x:v>
      </x:c>
      <x:c r="L602" s="20" t="n">
        <x:v>1</x:v>
      </x:c>
      <x:c r="M602" t="str">
        <x:v>Variable</x:v>
      </x:c>
      <x:c r="N602" t="str">
        <x:v>Approx. Non-MCC Pool</x:v>
      </x:c>
      <x:c r="O602" t="str">
        <x:v>State/management/NRI split must be verified</x:v>
      </x:c>
      <x:c r="P602"/>
      <x:c r="Q602"/>
      <x:c r="R602"/>
      <x:c r="S602"/>
      <x:c r="T602"/>
      <x:c r="U602" t="str">
        <x:v>Pending state Round-1 allotment/cutoff data</x:v>
      </x:c>
    </x:row>
    <x:row r="603">
      <x:c r="A603" t="str">
        <x:v>Tamil Nadu</x:v>
      </x:c>
      <x:c r="B603" t="str">
        <x:v>TN/001/P/3</x:v>
      </x:c>
      <x:c r="C603" t="str">
        <x:v>ACS Medical College and Hospital, Chennai</x:v>
      </x:c>
      <x:c r="D603" t="str">
        <x:v>Private</x:v>
      </x:c>
      <x:c r="E603" t="n">
        <x:v>250</x:v>
      </x:c>
      <x:c r="F603" t="n">
        <x:v>0</x:v>
      </x:c>
      <x:c r="G603" t="n">
        <x:v>250</x:v>
      </x:c>
      <x:c r="H603" t="str">
        <x:v>200383</x:v>
      </x:c>
      <x:c r="I603" t="n">
        <x:v>250</x:v>
      </x:c>
      <x:c r="J603" t="n">
        <x:v>212</x:v>
      </x:c>
      <x:c r="K603" t="n">
        <x:v>0</x:v>
      </x:c>
      <x:c r="L603" s="20" t="n">
        <x:v>0</x:v>
      </x:c>
      <x:c r="M603" t="str">
        <x:v>Variable</x:v>
      </x:c>
      <x:c r="N603" t="str">
        <x:v>Approx. Non-MCC Pool</x:v>
      </x:c>
      <x:c r="O603" t="str">
        <x:v>State/management/NRI split must be verified</x:v>
      </x:c>
      <x:c r="P603" t="n">
        <x:v>781850</x:v>
      </x:c>
      <x:c r="Q603"/>
      <x:c r="R603"/>
      <x:c r="S603"/>
      <x:c r="T603"/>
      <x:c r="U603" t="str">
        <x:v>Pending state Round-1 allotment/cutoff data</x:v>
      </x:c>
    </x:row>
    <x:row r="604">
      <x:c r="A604" t="str">
        <x:v>Tamil Nadu</x:v>
      </x:c>
      <x:c r="B604" t="str">
        <x:v>TN/005/P/3</x:v>
      </x:c>
      <x:c r="C604" t="str">
        <x:v>Bhaarat Medical College &amp; Hospital</x:v>
      </x:c>
      <x:c r="D604" t="str">
        <x:v>Private</x:v>
      </x:c>
      <x:c r="E604" t="n">
        <x:v>250</x:v>
      </x:c>
      <x:c r="F604" t="n">
        <x:v>0</x:v>
      </x:c>
      <x:c r="G604" t="n">
        <x:v>250</x:v>
      </x:c>
      <x:c r="H604" t="str">
        <x:v>200532</x:v>
      </x:c>
      <x:c r="I604" t="n">
        <x:v>250</x:v>
      </x:c>
      <x:c r="J604" t="n">
        <x:v>245</x:v>
      </x:c>
      <x:c r="K604" t="n">
        <x:v>0</x:v>
      </x:c>
      <x:c r="L604" s="20" t="n">
        <x:v>0</x:v>
      </x:c>
      <x:c r="M604" t="str">
        <x:v>Variable</x:v>
      </x:c>
      <x:c r="N604" t="str">
        <x:v>Approx. Non-MCC Pool</x:v>
      </x:c>
      <x:c r="O604" t="str">
        <x:v>State/management/NRI split must be verified</x:v>
      </x:c>
      <x:c r="P604" t="n">
        <x:v>998956</x:v>
      </x:c>
      <x:c r="Q604"/>
      <x:c r="R604"/>
      <x:c r="S604"/>
      <x:c r="T604"/>
      <x:c r="U604" t="str">
        <x:v>Pending state Round-1 allotment/cutoff data</x:v>
      </x:c>
    </x:row>
    <x:row r="605">
      <x:c r="A605" t="str">
        <x:v>Tamil Nadu</x:v>
      </x:c>
      <x:c r="B605" t="str">
        <x:v>TN/007/P/3</x:v>
      </x:c>
      <x:c r="C605" t="str">
        <x:v>Chettinad Hospital &amp; Research Institute, Kanchipuram</x:v>
      </x:c>
      <x:c r="D605" t="str">
        <x:v>Private</x:v>
      </x:c>
      <x:c r="E605" t="n">
        <x:v>250</x:v>
      </x:c>
      <x:c r="F605" t="n">
        <x:v>0</x:v>
      </x:c>
      <x:c r="G605" t="n">
        <x:v>250</x:v>
      </x:c>
      <x:c r="H605" t="str">
        <x:v>200384</x:v>
      </x:c>
      <x:c r="I605" t="n">
        <x:v>250</x:v>
      </x:c>
      <x:c r="J605" t="n">
        <x:v>250</x:v>
      </x:c>
      <x:c r="K605" t="n">
        <x:v>0</x:v>
      </x:c>
      <x:c r="L605" s="20" t="n">
        <x:v>0</x:v>
      </x:c>
      <x:c r="M605" t="str">
        <x:v>Variable</x:v>
      </x:c>
      <x:c r="N605" t="str">
        <x:v>Approx. Non-MCC Pool</x:v>
      </x:c>
      <x:c r="O605" t="str">
        <x:v>State/management/NRI split must be verified</x:v>
      </x:c>
      <x:c r="P605" t="n">
        <x:v>604104</x:v>
      </x:c>
      <x:c r="Q605"/>
      <x:c r="R605"/>
      <x:c r="S605"/>
      <x:c r="T605"/>
      <x:c r="U605" t="str">
        <x:v>Pending state Round-1 allotment/cutoff data</x:v>
      </x:c>
    </x:row>
    <x:row r="606">
      <x:c r="A606" t="str">
        <x:v>Tamil Nadu</x:v>
      </x:c>
      <x:c r="B606" t="str">
        <x:v>TN/010/P/3</x:v>
      </x:c>
      <x:c r="C606" t="str">
        <x:v>Dhanalakshmi Srinivasan Institute of Medical Sciences and Hospital - Thuraiyur Road, Perambalur</x:v>
      </x:c>
      <x:c r="D606" t="str">
        <x:v>Private</x:v>
      </x:c>
      <x:c r="E606" t="n">
        <x:v>150</x:v>
      </x:c>
      <x:c r="F606" t="n">
        <x:v>50</x:v>
      </x:c>
      <x:c r="G606" t="n">
        <x:v>200</x:v>
      </x:c>
      <x:c r="H606" t="str">
        <x:v>904745</x:v>
      </x:c>
      <x:c r="I606" t="n">
        <x:v>200</x:v>
      </x:c>
      <x:c r="J606" t="n">
        <x:v>175</x:v>
      </x:c>
      <x:c r="K606" t="n">
        <x:v>0</x:v>
      </x:c>
      <x:c r="L606" s="20" t="n">
        <x:v>0</x:v>
      </x:c>
      <x:c r="M606" t="str">
        <x:v>Variable</x:v>
      </x:c>
      <x:c r="N606" t="str">
        <x:v>Approx. Non-MCC Pool</x:v>
      </x:c>
      <x:c r="O606" t="str">
        <x:v>Expanded 2026 capacity; state/management split to verify</x:v>
      </x:c>
      <x:c r="P606" t="n">
        <x:v>873084</x:v>
      </x:c>
      <x:c r="Q606"/>
      <x:c r="R606"/>
      <x:c r="S606"/>
      <x:c r="T606"/>
      <x:c r="U606" t="str">
        <x:v>Pending state Round-1 allotment/cutoff data</x:v>
      </x:c>
    </x:row>
    <x:row r="607">
      <x:c r="A607" t="str">
        <x:v>Tamil Nadu</x:v>
      </x:c>
      <x:c r="B607" t="str">
        <x:v>TN/013/P/3</x:v>
      </x:c>
      <x:c r="C607" t="str">
        <x:v>Faculty of Medicine , Sri Lalithambigai Medical College and Hospital</x:v>
      </x:c>
      <x:c r="D607" t="str">
        <x:v>Private</x:v>
      </x:c>
      <x:c r="E607" t="n">
        <x:v>200</x:v>
      </x:c>
      <x:c r="F607" t="n">
        <x:v>50</x:v>
      </x:c>
      <x:c r="G607" t="n">
        <x:v>250</x:v>
      </x:c>
      <x:c r="H607" t="str">
        <x:v>200540</x:v>
      </x:c>
      <x:c r="I607" t="n">
        <x:v>250</x:v>
      </x:c>
      <x:c r="J607" t="n">
        <x:v>213</x:v>
      </x:c>
      <x:c r="K607" t="n">
        <x:v>0</x:v>
      </x:c>
      <x:c r="L607" s="20" t="n">
        <x:v>0</x:v>
      </x:c>
      <x:c r="M607" t="str">
        <x:v>Variable</x:v>
      </x:c>
      <x:c r="N607" t="str">
        <x:v>Approx. Non-MCC Pool</x:v>
      </x:c>
      <x:c r="O607" t="str">
        <x:v>Expanded 2026 capacity; state/management split to verify</x:v>
      </x:c>
      <x:c r="P607" t="n">
        <x:v>449255</x:v>
      </x:c>
      <x:c r="Q607"/>
      <x:c r="R607"/>
      <x:c r="S607"/>
      <x:c r="T607"/>
      <x:c r="U607" t="str">
        <x:v>Pending state Round-1 allotment/cutoff data</x:v>
      </x:c>
    </x:row>
    <x:row r="608">
      <x:c r="A608" t="str">
        <x:v>Tamil Nadu</x:v>
      </x:c>
      <x:c r="B608" t="str">
        <x:v>TN/037/P/4</x:v>
      </x:c>
      <x:c r="C608" t="str">
        <x:v>J R Medical College and Hospital Villupuram District, Tamilnadu</x:v>
      </x:c>
      <x:c r="D608" t="str">
        <x:v>Private</x:v>
      </x:c>
      <x:c r="E608" t="n">
        <x:v>200</x:v>
      </x:c>
      <x:c r="F608" t="n">
        <x:v>0</x:v>
      </x:c>
      <x:c r="G608" t="n">
        <x:v>200</x:v>
      </x:c>
      <x:c r="H608" t="str">
        <x:v>902804</x:v>
      </x:c>
      <x:c r="I608" t="n">
        <x:v>200</x:v>
      </x:c>
      <x:c r="J608" t="n">
        <x:v>77</x:v>
      </x:c>
      <x:c r="K608" t="n">
        <x:v>0</x:v>
      </x:c>
      <x:c r="L608" s="20" t="n">
        <x:v>0</x:v>
      </x:c>
      <x:c r="M608" t="str">
        <x:v>Variable</x:v>
      </x:c>
      <x:c r="N608" t="str">
        <x:v>Approx. Non-MCC Pool</x:v>
      </x:c>
      <x:c r="O608" t="str">
        <x:v>State/management/NRI split must be verified</x:v>
      </x:c>
      <x:c r="P608" t="n">
        <x:v>967140</x:v>
      </x:c>
      <x:c r="Q608"/>
      <x:c r="R608"/>
      <x:c r="S608"/>
      <x:c r="T608"/>
      <x:c r="U608" t="str">
        <x:v>Pending state Round-1 allotment/cutoff data</x:v>
      </x:c>
    </x:row>
    <x:row r="609">
      <x:c r="A609" t="str">
        <x:v>Tamil Nadu</x:v>
      </x:c>
      <x:c r="B609" t="str">
        <x:v>TN/048/P/3</x:v>
      </x:c>
      <x:c r="C609" t="str">
        <x:v>Meenakshi Medical College and Research Institute, Enathur</x:v>
      </x:c>
      <x:c r="D609" t="str">
        <x:v>Private</x:v>
      </x:c>
      <x:c r="E609" t="n">
        <x:v>250</x:v>
      </x:c>
      <x:c r="F609" t="n">
        <x:v>0</x:v>
      </x:c>
      <x:c r="G609" t="n">
        <x:v>250</x:v>
      </x:c>
      <x:c r="H609" t="str">
        <x:v>200386</x:v>
      </x:c>
      <x:c r="I609" t="n">
        <x:v>250</x:v>
      </x:c>
      <x:c r="J609" t="n">
        <x:v>250</x:v>
      </x:c>
      <x:c r="K609" t="n">
        <x:v>0</x:v>
      </x:c>
      <x:c r="L609" s="20" t="n">
        <x:v>0</x:v>
      </x:c>
      <x:c r="M609" t="str">
        <x:v>Variable</x:v>
      </x:c>
      <x:c r="N609" t="str">
        <x:v>Approx. Non-MCC Pool</x:v>
      </x:c>
      <x:c r="O609" t="str">
        <x:v>State/management/NRI split must be verified</x:v>
      </x:c>
      <x:c r="P609" t="n">
        <x:v>798969</x:v>
      </x:c>
      <x:c r="Q609"/>
      <x:c r="R609"/>
      <x:c r="S609"/>
      <x:c r="T609"/>
      <x:c r="U609" t="str">
        <x:v>Pending state Round-1 allotment/cutoff data</x:v>
      </x:c>
    </x:row>
    <x:row r="610">
      <x:c r="A610" t="str">
        <x:v>Tamil Nadu</x:v>
      </x:c>
      <x:c r="B610" t="str">
        <x:v>TN/064/P/3</x:v>
      </x:c>
      <x:c r="C610" t="str">
        <x:v>ST Peters Medical College, Hospital &amp; Research Institute</x:v>
      </x:c>
      <x:c r="D610" t="str">
        <x:v>Private</x:v>
      </x:c>
      <x:c r="E610" t="n">
        <x:v>250</x:v>
      </x:c>
      <x:c r="F610" t="n">
        <x:v>0</x:v>
      </x:c>
      <x:c r="G610" t="n">
        <x:v>250</x:v>
      </x:c>
      <x:c r="H610" t="str">
        <x:v>904746</x:v>
      </x:c>
      <x:c r="I610" t="n">
        <x:v>250</x:v>
      </x:c>
      <x:c r="J610" t="n">
        <x:v>230</x:v>
      </x:c>
      <x:c r="K610" t="n">
        <x:v>0</x:v>
      </x:c>
      <x:c r="L610" s="20" t="n">
        <x:v>0</x:v>
      </x:c>
      <x:c r="M610" t="str">
        <x:v>Variable</x:v>
      </x:c>
      <x:c r="N610" t="str">
        <x:v>Approx. Non-MCC Pool</x:v>
      </x:c>
      <x:c r="O610" t="str">
        <x:v>State/management/NRI split must be verified</x:v>
      </x:c>
      <x:c r="P610" t="n">
        <x:v>703545</x:v>
      </x:c>
      <x:c r="Q610"/>
      <x:c r="R610"/>
      <x:c r="S610"/>
      <x:c r="T610"/>
      <x:c r="U610" t="str">
        <x:v>Pending state Round-1 allotment/cutoff data</x:v>
      </x:c>
    </x:row>
    <x:row r="611">
      <x:c r="A611" t="str">
        <x:v>Tamil Nadu</x:v>
      </x:c>
      <x:c r="B611" t="str">
        <x:v>TN/055/P/3</x:v>
      </x:c>
      <x:c r="C611" t="str">
        <x:v>Saveetha Medical College and Hospital, Kanchipuram</x:v>
      </x:c>
      <x:c r="D611" t="str">
        <x:v>Private</x:v>
      </x:c>
      <x:c r="E611" t="n">
        <x:v>250</x:v>
      </x:c>
      <x:c r="F611" t="n">
        <x:v>0</x:v>
      </x:c>
      <x:c r="G611" t="n">
        <x:v>250</x:v>
      </x:c>
      <x:c r="H611" t="str">
        <x:v>200389</x:v>
      </x:c>
      <x:c r="I611" t="n">
        <x:v>250</x:v>
      </x:c>
      <x:c r="J611" t="n">
        <x:v>250</x:v>
      </x:c>
      <x:c r="K611" t="n">
        <x:v>0</x:v>
      </x:c>
      <x:c r="L611" s="20" t="n">
        <x:v>0</x:v>
      </x:c>
      <x:c r="M611" t="str">
        <x:v>Variable</x:v>
      </x:c>
      <x:c r="N611" t="str">
        <x:v>Approx. Non-MCC Pool</x:v>
      </x:c>
      <x:c r="O611" t="str">
        <x:v>State/management/NRI split must be verified</x:v>
      </x:c>
      <x:c r="P611" t="n">
        <x:v>454062</x:v>
      </x:c>
      <x:c r="Q611"/>
      <x:c r="R611"/>
      <x:c r="S611"/>
      <x:c r="T611"/>
      <x:c r="U611" t="str">
        <x:v>Pending state Round-1 allotment/cutoff data</x:v>
      </x:c>
    </x:row>
    <x:row r="612">
      <x:c r="A612" t="str">
        <x:v>Tamil Nadu</x:v>
      </x:c>
      <x:c r="B612" t="str">
        <x:v>TN/056/P/3</x:v>
      </x:c>
      <x:c r="C612" t="str">
        <x:v>Shri Sathya Sai Medical College and Research Institute, Kancheepuram</x:v>
      </x:c>
      <x:c r="D612" t="str">
        <x:v>Private</x:v>
      </x:c>
      <x:c r="E612" t="n">
        <x:v>250</x:v>
      </x:c>
      <x:c r="F612" t="n">
        <x:v>0</x:v>
      </x:c>
      <x:c r="G612" t="n">
        <x:v>250</x:v>
      </x:c>
      <x:c r="H612" t="str">
        <x:v>200390</x:v>
      </x:c>
      <x:c r="I612" t="n">
        <x:v>250</x:v>
      </x:c>
      <x:c r="J612" t="n">
        <x:v>237</x:v>
      </x:c>
      <x:c r="K612" t="n">
        <x:v>0</x:v>
      </x:c>
      <x:c r="L612" s="20" t="n">
        <x:v>0</x:v>
      </x:c>
      <x:c r="M612" t="str">
        <x:v>Variable</x:v>
      </x:c>
      <x:c r="N612" t="str">
        <x:v>Approx. Non-MCC Pool</x:v>
      </x:c>
      <x:c r="O612" t="str">
        <x:v>State/management/NRI split must be verified</x:v>
      </x:c>
      <x:c r="P612" t="n">
        <x:v>1038620</x:v>
      </x:c>
      <x:c r="Q612"/>
      <x:c r="R612"/>
      <x:c r="S612"/>
      <x:c r="T612"/>
      <x:c r="U612" t="str">
        <x:v>Pending state Round-1 allotment/cutoff data</x:v>
      </x:c>
    </x:row>
    <x:row r="613">
      <x:c r="A613" t="str">
        <x:v>Tamil Nadu</x:v>
      </x:c>
      <x:c r="B613" t="str">
        <x:v>TN/057/P/3</x:v>
      </x:c>
      <x:c r="C613" t="str">
        <x:v>Sree Balaji Medical College and Hospital, Chennai</x:v>
      </x:c>
      <x:c r="D613" t="str">
        <x:v>Private</x:v>
      </x:c>
      <x:c r="E613" t="n">
        <x:v>250</x:v>
      </x:c>
      <x:c r="F613" t="n">
        <x:v>0</x:v>
      </x:c>
      <x:c r="G613" t="n">
        <x:v>250</x:v>
      </x:c>
      <x:c r="H613" t="str">
        <x:v>200393</x:v>
      </x:c>
      <x:c r="I613" t="n">
        <x:v>250</x:v>
      </x:c>
      <x:c r="J613" t="n">
        <x:v>245</x:v>
      </x:c>
      <x:c r="K613" t="n">
        <x:v>0</x:v>
      </x:c>
      <x:c r="L613" s="20" t="n">
        <x:v>0</x:v>
      </x:c>
      <x:c r="M613" t="str">
        <x:v>Variable</x:v>
      </x:c>
      <x:c r="N613" t="str">
        <x:v>Approx. Non-MCC Pool</x:v>
      </x:c>
      <x:c r="O613" t="str">
        <x:v>State/management/NRI split must be verified</x:v>
      </x:c>
      <x:c r="P613" t="n">
        <x:v>822917</x:v>
      </x:c>
      <x:c r="Q613"/>
      <x:c r="R613"/>
      <x:c r="S613"/>
      <x:c r="T613"/>
      <x:c r="U613" t="str">
        <x:v>Pending state Round-1 allotment/cutoff data</x:v>
      </x:c>
    </x:row>
    <x:row r="614">
      <x:c r="A614" t="str">
        <x:v>Tamil Nadu</x:v>
      </x:c>
      <x:c r="B614" t="str">
        <x:v>TN/060/P/3</x:v>
      </x:c>
      <x:c r="C614" t="str">
        <x:v>Sri Ramachandra Medical College &amp; Research Institute, Chennai</x:v>
      </x:c>
      <x:c r="D614" t="str">
        <x:v>Private</x:v>
      </x:c>
      <x:c r="E614" t="n">
        <x:v>250</x:v>
      </x:c>
      <x:c r="F614" t="n">
        <x:v>0</x:v>
      </x:c>
      <x:c r="G614" t="n">
        <x:v>250</x:v>
      </x:c>
      <x:c r="H614" t="str">
        <x:v>200396</x:v>
      </x:c>
      <x:c r="I614" t="n">
        <x:v>250</x:v>
      </x:c>
      <x:c r="J614" t="n">
        <x:v>232</x:v>
      </x:c>
      <x:c r="K614" t="n">
        <x:v>0</x:v>
      </x:c>
      <x:c r="L614" s="20" t="n">
        <x:v>0</x:v>
      </x:c>
      <x:c r="M614" t="str">
        <x:v>Variable</x:v>
      </x:c>
      <x:c r="N614" t="str">
        <x:v>Approx. Non-MCC Pool</x:v>
      </x:c>
      <x:c r="O614" t="str">
        <x:v>State/management/NRI split must be verified</x:v>
      </x:c>
      <x:c r="P614" t="n">
        <x:v>276133</x:v>
      </x:c>
      <x:c r="Q614"/>
      <x:c r="R614"/>
      <x:c r="S614"/>
      <x:c r="T614"/>
      <x:c r="U614" t="str">
        <x:v>Pending state Round-1 allotment/cutoff data</x:v>
      </x:c>
    </x:row>
    <x:row r="615">
      <x:c r="A615" t="str">
        <x:v>Tamil Nadu</x:v>
      </x:c>
      <x:c r="B615" t="str">
        <x:v>TN/062/P/3</x:v>
      </x:c>
      <x:c r="C615" t="str">
        <x:v>Srinivasan Medical College and Hospital</x:v>
      </x:c>
      <x:c r="D615" t="str">
        <x:v>Private</x:v>
      </x:c>
      <x:c r="E615" t="n">
        <x:v>250</x:v>
      </x:c>
      <x:c r="F615" t="n">
        <x:v>0</x:v>
      </x:c>
      <x:c r="G615" t="n">
        <x:v>250</x:v>
      </x:c>
      <x:c r="H615" t="str">
        <x:v>904747</x:v>
      </x:c>
      <x:c r="I615" t="n">
        <x:v>250</x:v>
      </x:c>
      <x:c r="J615" t="n">
        <x:v>178</x:v>
      </x:c>
      <x:c r="K615" t="n">
        <x:v>0</x:v>
      </x:c>
      <x:c r="L615" s="20" t="n">
        <x:v>0</x:v>
      </x:c>
      <x:c r="M615" t="str">
        <x:v>Variable</x:v>
      </x:c>
      <x:c r="N615" t="str">
        <x:v>Approx. Non-MCC Pool</x:v>
      </x:c>
      <x:c r="O615" t="str">
        <x:v>State/management/NRI split must be verified</x:v>
      </x:c>
      <x:c r="P615" t="n">
        <x:v>990368</x:v>
      </x:c>
      <x:c r="Q615"/>
      <x:c r="R615"/>
      <x:c r="S615"/>
      <x:c r="T615"/>
      <x:c r="U615" t="str">
        <x:v>Pending state Round-1 allotment/cutoff data</x:v>
      </x:c>
    </x:row>
    <x:row r="616">
      <x:c r="A616" t="str">
        <x:v>Tamil Nadu</x:v>
      </x:c>
      <x:c r="B616" t="str">
        <x:v>TN/076/P/3</x:v>
      </x:c>
      <x:c r="C616" t="str">
        <x:v>VELS Medical College &amp; Hospital</x:v>
      </x:c>
      <x:c r="D616" t="str">
        <x:v>Private</x:v>
      </x:c>
      <x:c r="E616" t="n">
        <x:v>250</x:v>
      </x:c>
      <x:c r="F616" t="n">
        <x:v>0</x:v>
      </x:c>
      <x:c r="G616" t="n">
        <x:v>250</x:v>
      </x:c>
      <x:c r="H616" t="str">
        <x:v>200537</x:v>
      </x:c>
      <x:c r="I616" t="n">
        <x:v>250</x:v>
      </x:c>
      <x:c r="J616" t="n">
        <x:v>212</x:v>
      </x:c>
      <x:c r="K616" t="n">
        <x:v>0</x:v>
      </x:c>
      <x:c r="L616" s="20" t="n">
        <x:v>0</x:v>
      </x:c>
      <x:c r="M616" t="str">
        <x:v>Variable</x:v>
      </x:c>
      <x:c r="N616" t="str">
        <x:v>Approx. Non-MCC Pool</x:v>
      </x:c>
      <x:c r="O616" t="str">
        <x:v>State/management/NRI split must be verified</x:v>
      </x:c>
      <x:c r="P616" t="n">
        <x:v>746453</x:v>
      </x:c>
      <x:c r="Q616"/>
      <x:c r="R616"/>
      <x:c r="S616"/>
      <x:c r="T616"/>
      <x:c r="U616" t="str">
        <x:v>Pending state Round-1 allotment/cutoff data</x:v>
      </x:c>
    </x:row>
    <x:row r="617">
      <x:c r="A617" t="str">
        <x:v>Tamil Nadu</x:v>
      </x:c>
      <x:c r="B617" t="str">
        <x:v>TN/077/P/3</x:v>
      </x:c>
      <x:c r="C617" t="str">
        <x:v>Vinayaka Missions Kirupananda Variyar Medical College, Salem</x:v>
      </x:c>
      <x:c r="D617" t="str">
        <x:v>Private</x:v>
      </x:c>
      <x:c r="E617" t="n">
        <x:v>150</x:v>
      </x:c>
      <x:c r="F617" t="n">
        <x:v>50</x:v>
      </x:c>
      <x:c r="G617" t="n">
        <x:v>200</x:v>
      </x:c>
      <x:c r="H617" t="str">
        <x:v>200401</x:v>
      </x:c>
      <x:c r="I617" t="n">
        <x:v>200</x:v>
      </x:c>
      <x:c r="J617" t="n">
        <x:v>200</x:v>
      </x:c>
      <x:c r="K617" t="n">
        <x:v>0</x:v>
      </x:c>
      <x:c r="L617" s="20" t="n">
        <x:v>0</x:v>
      </x:c>
      <x:c r="M617" t="str">
        <x:v>Variable</x:v>
      </x:c>
      <x:c r="N617" t="str">
        <x:v>Approx. Non-MCC Pool</x:v>
      </x:c>
      <x:c r="O617" t="str">
        <x:v>Expanded 2026 capacity; state/management split to verify</x:v>
      </x:c>
      <x:c r="P617" t="n">
        <x:v>748735</x:v>
      </x:c>
      <x:c r="Q617"/>
      <x:c r="R617"/>
      <x:c r="S617"/>
      <x:c r="T617"/>
      <x:c r="U617" t="str">
        <x:v>Pending state Round-1 allotment/cutoff data</x:v>
      </x:c>
    </x:row>
    <x:row r="618">
      <x:c r="A618" t="str">
        <x:v>Telangana</x:v>
      </x:c>
      <x:c r="B618" t="str">
        <x:v>TS/013/G/1</x:v>
      </x:c>
      <x:c r="C618" t="str">
        <x:v>Gandhi Medical College, Secunderabad</x:v>
      </x:c>
      <x:c r="D618" t="str">
        <x:v>Government</x:v>
      </x:c>
      <x:c r="E618" t="n">
        <x:v>250</x:v>
      </x:c>
      <x:c r="F618" t="n">
        <x:v>0</x:v>
      </x:c>
      <x:c r="G618" t="n">
        <x:v>250</x:v>
      </x:c>
      <x:c r="H618" t="str">
        <x:v>200445</x:v>
      </x:c>
      <x:c r="I618" t="n">
        <x:v>30</x:v>
      </x:c>
      <x:c r="J618" t="n">
        <x:v>30</x:v>
      </x:c>
      <x:c r="K618" t="n">
        <x:v>220</x:v>
      </x:c>
      <x:c r="L618" s="20" t="n">
        <x:v>0.88</x:v>
      </x:c>
      <x:c r="M618" t="str">
        <x:v>High</x:v>
      </x:c>
      <x:c r="N618" t="str">
        <x:v>Approx. State/Non-MCC Pool</x:v>
      </x:c>
      <x:c r="O618" t="str">
        <x:v>Large state-counselling pool</x:v>
      </x:c>
      <x:c r="P618" t="n">
        <x:v>2401</x:v>
      </x:c>
      <x:c r="Q618" t="n">
        <x:v>3614</x:v>
      </x:c>
      <x:c r="R618" t="n">
        <x:v>4537</x:v>
      </x:c>
      <x:c r="S618" t="n">
        <x:v>23657</x:v>
      </x:c>
      <x:c r="T618" t="n">
        <x:v>34644</x:v>
      </x:c>
      <x:c r="U618" t="str">
        <x:v>Pending state Round-1 allotment/cutoff data</x:v>
      </x:c>
    </x:row>
    <x:row r="619">
      <x:c r="A619" t="str">
        <x:v>Telangana</x:v>
      </x:c>
      <x:c r="B619" t="str">
        <x:v>TS/044/G/1</x:v>
      </x:c>
      <x:c r="C619" t="str">
        <x:v>Kakatiya Medical College, Warangal</x:v>
      </x:c>
      <x:c r="D619" t="str">
        <x:v>Government</x:v>
      </x:c>
      <x:c r="E619" t="n">
        <x:v>250</x:v>
      </x:c>
      <x:c r="F619" t="n">
        <x:v>0</x:v>
      </x:c>
      <x:c r="G619" t="n">
        <x:v>250</x:v>
      </x:c>
      <x:c r="H619" t="str">
        <x:v>200453</x:v>
      </x:c>
      <x:c r="I619" t="n">
        <x:v>30</x:v>
      </x:c>
      <x:c r="J619" t="n">
        <x:v>30</x:v>
      </x:c>
      <x:c r="K619" t="n">
        <x:v>220</x:v>
      </x:c>
      <x:c r="L619" s="20" t="n">
        <x:v>0.88</x:v>
      </x:c>
      <x:c r="M619" t="str">
        <x:v>High</x:v>
      </x:c>
      <x:c r="N619" t="str">
        <x:v>Approx. State/Non-MCC Pool</x:v>
      </x:c>
      <x:c r="O619" t="str">
        <x:v>Large state-counselling pool</x:v>
      </x:c>
      <x:c r="P619" t="n">
        <x:v>7104</x:v>
      </x:c>
      <x:c r="Q619" t="n">
        <x:v>11484</x:v>
      </x:c>
      <x:c r="R619" t="n">
        <x:v>13137</x:v>
      </x:c>
      <x:c r="S619" t="n">
        <x:v>48491</x:v>
      </x:c>
      <x:c r="T619" t="n">
        <x:v>51478</x:v>
      </x:c>
      <x:c r="U619" t="str">
        <x:v>Pending state Round-1 allotment/cutoff data</x:v>
      </x:c>
    </x:row>
    <x:row r="620">
      <x:c r="A620" t="str">
        <x:v>Telangana</x:v>
      </x:c>
      <x:c r="B620" t="str">
        <x:v>TS/057/G/1</x:v>
      </x:c>
      <x:c r="C620" t="str">
        <x:v>Osmania Medical College, Hyderabad</x:v>
      </x:c>
      <x:c r="D620" t="str">
        <x:v>Government</x:v>
      </x:c>
      <x:c r="E620" t="n">
        <x:v>250</x:v>
      </x:c>
      <x:c r="F620" t="n">
        <x:v>0</x:v>
      </x:c>
      <x:c r="G620" t="n">
        <x:v>250</x:v>
      </x:c>
      <x:c r="H620" t="str">
        <x:v>200454</x:v>
      </x:c>
      <x:c r="I620" t="n">
        <x:v>37</x:v>
      </x:c>
      <x:c r="J620" t="n">
        <x:v>37</x:v>
      </x:c>
      <x:c r="K620" t="n">
        <x:v>213</x:v>
      </x:c>
      <x:c r="L620" s="20" t="n">
        <x:v>0.852</x:v>
      </x:c>
      <x:c r="M620" t="str">
        <x:v>High</x:v>
      </x:c>
      <x:c r="N620" t="str">
        <x:v>Approx. State/Non-MCC Pool</x:v>
      </x:c>
      <x:c r="O620" t="str">
        <x:v>Large state-counselling pool</x:v>
      </x:c>
      <x:c r="P620" t="n">
        <x:v>3415</x:v>
      </x:c>
      <x:c r="Q620" t="n">
        <x:v>4950</x:v>
      </x:c>
      <x:c r="R620" t="n">
        <x:v>4640</x:v>
      </x:c>
      <x:c r="S620" t="n">
        <x:v>32322</x:v>
      </x:c>
      <x:c r="T620" t="n">
        <x:v>36188</x:v>
      </x:c>
      <x:c r="U620" t="str">
        <x:v>Pending state Round-1 allotment/cutoff data</x:v>
      </x:c>
    </x:row>
    <x:row r="621">
      <x:c r="A621" t="str">
        <x:v>Telangana</x:v>
      </x:c>
      <x:c r="B621" t="str">
        <x:v>TS/041/G/1</x:v>
      </x:c>
      <x:c r="C621" t="str">
        <x:v>Government Medical College, Siddipet</x:v>
      </x:c>
      <x:c r="D621" t="str">
        <x:v>Government</x:v>
      </x:c>
      <x:c r="E621" t="n">
        <x:v>175</x:v>
      </x:c>
      <x:c r="F621" t="n">
        <x:v>25</x:v>
      </x:c>
      <x:c r="G621" t="n">
        <x:v>200</x:v>
      </x:c>
      <x:c r="H621" t="str">
        <x:v>200458</x:v>
      </x:c>
      <x:c r="I621" t="n">
        <x:v>26</x:v>
      </x:c>
      <x:c r="J621" t="n">
        <x:v>26</x:v>
      </x:c>
      <x:c r="K621" t="n">
        <x:v>174</x:v>
      </x:c>
      <x:c r="L621" s="20" t="n">
        <x:v>0.87</x:v>
      </x:c>
      <x:c r="M621" t="str">
        <x:v>High</x:v>
      </x:c>
      <x:c r="N621" t="str">
        <x:v>Approx. State/Non-MCC Pool</x:v>
      </x:c>
      <x:c r="O621" t="str">
        <x:v>Expanded 2026 capacity + substantial state pool</x:v>
      </x:c>
      <x:c r="P621" t="n">
        <x:v>17617</x:v>
      </x:c>
      <x:c r="Q621" t="n">
        <x:v>19424</x:v>
      </x:c>
      <x:c r="R621" t="n">
        <x:v>23084</x:v>
      </x:c>
      <x:c r="S621" t="n">
        <x:v>82228</x:v>
      </x:c>
      <x:c r="T621" t="n">
        <x:v>92562</x:v>
      </x:c>
      <x:c r="U621" t="str">
        <x:v>Pending state Round-1 allotment/cutoff data</x:v>
      </x:c>
    </x:row>
    <x:row r="622">
      <x:c r="A622" t="str">
        <x:v>Telangana</x:v>
      </x:c>
      <x:c r="B622" t="str">
        <x:v>TS/027/G/1</x:v>
      </x:c>
      <x:c r="C622" t="str">
        <x:v>Government Medical College, Mahabubnagar</x:v>
      </x:c>
      <x:c r="D622" t="str">
        <x:v>Government</x:v>
      </x:c>
      <x:c r="E622" t="n">
        <x:v>175</x:v>
      </x:c>
      <x:c r="F622" t="n">
        <x:v>25</x:v>
      </x:c>
      <x:c r="G622" t="n">
        <x:v>200</x:v>
      </x:c>
      <x:c r="H622" t="str">
        <x:v>200457</x:v>
      </x:c>
      <x:c r="I622" t="n">
        <x:v>30</x:v>
      </x:c>
      <x:c r="J622" t="n">
        <x:v>30</x:v>
      </x:c>
      <x:c r="K622" t="n">
        <x:v>170</x:v>
      </x:c>
      <x:c r="L622" s="20" t="n">
        <x:v>0.85</x:v>
      </x:c>
      <x:c r="M622" t="str">
        <x:v>High</x:v>
      </x:c>
      <x:c r="N622" t="str">
        <x:v>Approx. State/Non-MCC Pool</x:v>
      </x:c>
      <x:c r="O622" t="str">
        <x:v>Expanded 2026 capacity + substantial state pool</x:v>
      </x:c>
      <x:c r="P622" t="n">
        <x:v>16753</x:v>
      </x:c>
      <x:c r="Q622" t="n">
        <x:v>19410</x:v>
      </x:c>
      <x:c r="R622" t="n">
        <x:v>20157</x:v>
      </x:c>
      <x:c r="S622" t="n">
        <x:v>88401</x:v>
      </x:c>
      <x:c r="T622" t="n">
        <x:v>77342</x:v>
      </x:c>
      <x:c r="U622" t="str">
        <x:v>Pending state Round-1 allotment/cutoff data</x:v>
      </x:c>
    </x:row>
    <x:row r="623">
      <x:c r="A623" t="str">
        <x:v>Telangana</x:v>
      </x:c>
      <x:c r="B623" t="str">
        <x:v>TS/020/G/1</x:v>
      </x:c>
      <x:c r="C623" t="str">
        <x:v>Government Medical College, Jagtial</x:v>
      </x:c>
      <x:c r="D623" t="str">
        <x:v>Government</x:v>
      </x:c>
      <x:c r="E623" t="n">
        <x:v>150</x:v>
      </x:c>
      <x:c r="F623" t="n">
        <x:v>0</x:v>
      </x:c>
      <x:c r="G623" t="n">
        <x:v>150</x:v>
      </x:c>
      <x:c r="H623" t="str">
        <x:v>200650</x:v>
      </x:c>
      <x:c r="I623" t="n">
        <x:v>15</x:v>
      </x:c>
      <x:c r="J623" t="n">
        <x:v>15</x:v>
      </x:c>
      <x:c r="K623" t="n">
        <x:v>135</x:v>
      </x:c>
      <x:c r="L623" s="20" t="n">
        <x:v>0.9</x:v>
      </x:c>
      <x:c r="M623" t="str">
        <x:v>High</x:v>
      </x:c>
      <x:c r="N623" t="str">
        <x:v>Approx. State/Non-MCC Pool</x:v>
      </x:c>
      <x:c r="O623" t="str">
        <x:v>Moderate state-counselling pool</x:v>
      </x:c>
      <x:c r="P623" t="n">
        <x:v>18688</x:v>
      </x:c>
      <x:c r="Q623" t="n">
        <x:v>19526</x:v>
      </x:c>
      <x:c r="R623" t="n">
        <x:v>23018</x:v>
      </x:c>
      <x:c r="S623" t="n">
        <x:v>97418</x:v>
      </x:c>
      <x:c r="T623" t="n">
        <x:v>120126</x:v>
      </x:c>
      <x:c r="U623" t="str">
        <x:v>Pending state Round-1 allotment/cutoff data</x:v>
      </x:c>
    </x:row>
    <x:row r="624">
      <x:c r="A624" t="str">
        <x:v>Telangana</x:v>
      </x:c>
      <x:c r="B624" t="str">
        <x:v>TS/036/G/1</x:v>
      </x:c>
      <x:c r="C624" t="str">
        <x:v>Government Medical College, Nizamabad</x:v>
      </x:c>
      <x:c r="D624" t="str">
        <x:v>Government</x:v>
      </x:c>
      <x:c r="E624" t="n">
        <x:v>120</x:v>
      </x:c>
      <x:c r="F624" t="n">
        <x:v>30</x:v>
      </x:c>
      <x:c r="G624" t="n">
        <x:v>150</x:v>
      </x:c>
      <x:c r="H624" t="str">
        <x:v>200456</x:v>
      </x:c>
      <x:c r="I624" t="n">
        <x:v>19</x:v>
      </x:c>
      <x:c r="J624" t="n">
        <x:v>19</x:v>
      </x:c>
      <x:c r="K624" t="n">
        <x:v>131</x:v>
      </x:c>
      <x:c r="L624" s="20" t="n">
        <x:v>0.8733333333333333</x:v>
      </x:c>
      <x:c r="M624" t="str">
        <x:v>High</x:v>
      </x:c>
      <x:c r="N624" t="str">
        <x:v>Approx. State/Non-MCC Pool</x:v>
      </x:c>
      <x:c r="O624" t="str">
        <x:v>Expanded 2026 capacity + substantial state pool</x:v>
      </x:c>
      <x:c r="P624" t="n">
        <x:v>12180</x:v>
      </x:c>
      <x:c r="Q624" t="n">
        <x:v>16004</x:v>
      </x:c>
      <x:c r="R624" t="n">
        <x:v>16350</x:v>
      </x:c>
      <x:c r="S624" t="n">
        <x:v>68878</x:v>
      </x:c>
      <x:c r="T624"/>
      <x:c r="U624" t="str">
        <x:v>Pending state Round-1 allotment/cutoff data</x:v>
      </x:c>
    </x:row>
    <x:row r="625">
      <x:c r="A625" t="str">
        <x:v>Telangana</x:v>
      </x:c>
      <x:c r="B625" t="str">
        <x:v>TS/061/G/1</x:v>
      </x:c>
      <x:c r="C625" t="str">
        <x:v>Rajiv Gandhi Institute of Medical Sciences, adilabad</x:v>
      </x:c>
      <x:c r="D625" t="str">
        <x:v>Government</x:v>
      </x:c>
      <x:c r="E625" t="n">
        <x:v>120</x:v>
      </x:c>
      <x:c r="F625" t="n">
        <x:v>30</x:v>
      </x:c>
      <x:c r="G625" t="n">
        <x:v>150</x:v>
      </x:c>
      <x:c r="H625" t="str">
        <x:v>200455</x:v>
      </x:c>
      <x:c r="I625" t="n">
        <x:v>19</x:v>
      </x:c>
      <x:c r="J625" t="n">
        <x:v>19</x:v>
      </x:c>
      <x:c r="K625" t="n">
        <x:v>131</x:v>
      </x:c>
      <x:c r="L625" s="20" t="n">
        <x:v>0.8733333333333333</x:v>
      </x:c>
      <x:c r="M625" t="str">
        <x:v>High</x:v>
      </x:c>
      <x:c r="N625" t="str">
        <x:v>Approx. State/Non-MCC Pool</x:v>
      </x:c>
      <x:c r="O625" t="str">
        <x:v>Expanded 2026 capacity + substantial state pool</x:v>
      </x:c>
      <x:c r="P625" t="n">
        <x:v>14610</x:v>
      </x:c>
      <x:c r="Q625" t="n">
        <x:v>17160</x:v>
      </x:c>
      <x:c r="R625" t="n">
        <x:v>17696</x:v>
      </x:c>
      <x:c r="S625" t="n">
        <x:v>74586</x:v>
      </x:c>
      <x:c r="T625" t="n">
        <x:v>63365</x:v>
      </x:c>
      <x:c r="U625" t="str">
        <x:v>Pending state Round-1 allotment/cutoff data</x:v>
      </x:c>
    </x:row>
    <x:row r="626">
      <x:c r="A626" t="str">
        <x:v>Telangana</x:v>
      </x:c>
      <x:c r="B626" t="str">
        <x:v>TS/019/G/1</x:v>
      </x:c>
      <x:c r="C626" t="str">
        <x:v>Government Medical College, Bhadradri Kothagudem</x:v>
      </x:c>
      <x:c r="D626" t="str">
        <x:v>Government</x:v>
      </x:c>
      <x:c r="E626" t="n">
        <x:v>150</x:v>
      </x:c>
      <x:c r="F626" t="n">
        <x:v>0</x:v>
      </x:c>
      <x:c r="G626" t="n">
        <x:v>150</x:v>
      </x:c>
      <x:c r="H626" t="str">
        <x:v>200598</x:v>
      </x:c>
      <x:c r="I626" t="n">
        <x:v>22</x:v>
      </x:c>
      <x:c r="J626" t="n">
        <x:v>22</x:v>
      </x:c>
      <x:c r="K626" t="n">
        <x:v>128</x:v>
      </x:c>
      <x:c r="L626" s="20" t="n">
        <x:v>0.8533333333333334</x:v>
      </x:c>
      <x:c r="M626" t="str">
        <x:v>High</x:v>
      </x:c>
      <x:c r="N626" t="str">
        <x:v>Approx. State/Non-MCC Pool</x:v>
      </x:c>
      <x:c r="O626" t="str">
        <x:v>Moderate state-counselling pool</x:v>
      </x:c>
      <x:c r="P626" t="n">
        <x:v>21386</x:v>
      </x:c>
      <x:c r="Q626" t="n">
        <x:v>22200</x:v>
      </x:c>
      <x:c r="R626" t="n">
        <x:v>25037</x:v>
      </x:c>
      <x:c r="S626" t="n">
        <x:v>102219</x:v>
      </x:c>
      <x:c r="T626" t="n">
        <x:v>126433</x:v>
      </x:c>
      <x:c r="U626" t="str">
        <x:v>Pending state Round-1 allotment/cutoff data</x:v>
      </x:c>
    </x:row>
    <x:row r="627">
      <x:c r="A627" t="str">
        <x:v>Telangana</x:v>
      </x:c>
      <x:c r="B627" t="str">
        <x:v>TS/026/G/1</x:v>
      </x:c>
      <x:c r="C627" t="str">
        <x:v>Government Medical College, Mahabubabad</x:v>
      </x:c>
      <x:c r="D627" t="str">
        <x:v>Government</x:v>
      </x:c>
      <x:c r="E627" t="n">
        <x:v>150</x:v>
      </x:c>
      <x:c r="F627" t="n">
        <x:v>0</x:v>
      </x:c>
      <x:c r="G627" t="n">
        <x:v>150</x:v>
      </x:c>
      <x:c r="H627" t="str">
        <x:v>200594</x:v>
      </x:c>
      <x:c r="I627" t="n">
        <x:v>22</x:v>
      </x:c>
      <x:c r="J627" t="n">
        <x:v>22</x:v>
      </x:c>
      <x:c r="K627" t="n">
        <x:v>128</x:v>
      </x:c>
      <x:c r="L627" s="20" t="n">
        <x:v>0.8533333333333334</x:v>
      </x:c>
      <x:c r="M627" t="str">
        <x:v>High</x:v>
      </x:c>
      <x:c r="N627" t="str">
        <x:v>Approx. State/Non-MCC Pool</x:v>
      </x:c>
      <x:c r="O627" t="str">
        <x:v>Moderate state-counselling pool</x:v>
      </x:c>
      <x:c r="P627" t="n">
        <x:v>20432</x:v>
      </x:c>
      <x:c r="Q627" t="n">
        <x:v>21484</x:v>
      </x:c>
      <x:c r="R627" t="n">
        <x:v>26138</x:v>
      </x:c>
      <x:c r="S627" t="n">
        <x:v>99278</x:v>
      </x:c>
      <x:c r="T627" t="n">
        <x:v>125778</x:v>
      </x:c>
      <x:c r="U627" t="str">
        <x:v>Pending state Round-1 allotment/cutoff data</x:v>
      </x:c>
    </x:row>
    <x:row r="628">
      <x:c r="A628" t="str">
        <x:v>Telangana</x:v>
      </x:c>
      <x:c r="B628" t="str">
        <x:v>TS/031/G/1</x:v>
      </x:c>
      <x:c r="C628" t="str">
        <x:v>Government Medical College, Nagarkurnool</x:v>
      </x:c>
      <x:c r="D628" t="str">
        <x:v>Government</x:v>
      </x:c>
      <x:c r="E628" t="n">
        <x:v>150</x:v>
      </x:c>
      <x:c r="F628" t="n">
        <x:v>0</x:v>
      </x:c>
      <x:c r="G628" t="n">
        <x:v>150</x:v>
      </x:c>
      <x:c r="H628" t="str">
        <x:v>200595</x:v>
      </x:c>
      <x:c r="I628" t="n">
        <x:v>22</x:v>
      </x:c>
      <x:c r="J628" t="n">
        <x:v>22</x:v>
      </x:c>
      <x:c r="K628" t="n">
        <x:v>128</x:v>
      </x:c>
      <x:c r="L628" s="20" t="n">
        <x:v>0.8533333333333334</x:v>
      </x:c>
      <x:c r="M628" t="str">
        <x:v>High</x:v>
      </x:c>
      <x:c r="N628" t="str">
        <x:v>Approx. State/Non-MCC Pool</x:v>
      </x:c>
      <x:c r="O628" t="str">
        <x:v>Moderate state-counselling pool</x:v>
      </x:c>
      <x:c r="P628" t="n">
        <x:v>17888</x:v>
      </x:c>
      <x:c r="Q628" t="n">
        <x:v>20772</x:v>
      </x:c>
      <x:c r="R628" t="n">
        <x:v>22795</x:v>
      </x:c>
      <x:c r="S628" t="n">
        <x:v>98774</x:v>
      </x:c>
      <x:c r="T628" t="n">
        <x:v>115162</x:v>
      </x:c>
      <x:c r="U628" t="str">
        <x:v>Pending state Round-1 allotment/cutoff data</x:v>
      </x:c>
    </x:row>
    <x:row r="629">
      <x:c r="A629" t="str">
        <x:v>Telangana</x:v>
      </x:c>
      <x:c r="B629" t="str">
        <x:v>TS/032/G/1</x:v>
      </x:c>
      <x:c r="C629" t="str">
        <x:v>Government Medical College, Nalgonda</x:v>
      </x:c>
      <x:c r="D629" t="str">
        <x:v>Government</x:v>
      </x:c>
      <x:c r="E629" t="n">
        <x:v>150</x:v>
      </x:c>
      <x:c r="F629" t="n">
        <x:v>0</x:v>
      </x:c>
      <x:c r="G629" t="n">
        <x:v>150</x:v>
      </x:c>
      <x:c r="H629" t="str">
        <x:v>200482</x:v>
      </x:c>
      <x:c r="I629" t="n">
        <x:v>22</x:v>
      </x:c>
      <x:c r="J629" t="n">
        <x:v>22</x:v>
      </x:c>
      <x:c r="K629" t="n">
        <x:v>128</x:v>
      </x:c>
      <x:c r="L629" s="20" t="n">
        <x:v>0.8533333333333334</x:v>
      </x:c>
      <x:c r="M629" t="str">
        <x:v>High</x:v>
      </x:c>
      <x:c r="N629" t="str">
        <x:v>Approx. State/Non-MCC Pool</x:v>
      </x:c>
      <x:c r="O629" t="str">
        <x:v>Moderate state-counselling pool</x:v>
      </x:c>
      <x:c r="P629" t="n">
        <x:v>18870</x:v>
      </x:c>
      <x:c r="Q629" t="n">
        <x:v>20496</x:v>
      </x:c>
      <x:c r="R629" t="n">
        <x:v>23782</x:v>
      </x:c>
      <x:c r="S629" t="n">
        <x:v>93236</x:v>
      </x:c>
      <x:c r="T629" t="n">
        <x:v>106416</x:v>
      </x:c>
      <x:c r="U629" t="str">
        <x:v>Pending state Round-1 allotment/cutoff data</x:v>
      </x:c>
    </x:row>
    <x:row r="630">
      <x:c r="A630" t="str">
        <x:v>Telangana</x:v>
      </x:c>
      <x:c r="B630" t="str">
        <x:v>TS/039/G/1</x:v>
      </x:c>
      <x:c r="C630" t="str">
        <x:v>Government Medical College, Ramagundam</x:v>
      </x:c>
      <x:c r="D630" t="str">
        <x:v>Government</x:v>
      </x:c>
      <x:c r="E630" t="n">
        <x:v>150</x:v>
      </x:c>
      <x:c r="F630" t="n">
        <x:v>0</x:v>
      </x:c>
      <x:c r="G630" t="n">
        <x:v>150</x:v>
      </x:c>
      <x:c r="H630" t="str">
        <x:v>200616</x:v>
      </x:c>
      <x:c r="I630" t="n">
        <x:v>22</x:v>
      </x:c>
      <x:c r="J630" t="n">
        <x:v>22</x:v>
      </x:c>
      <x:c r="K630" t="n">
        <x:v>128</x:v>
      </x:c>
      <x:c r="L630" s="20" t="n">
        <x:v>0.8533333333333334</x:v>
      </x:c>
      <x:c r="M630" t="str">
        <x:v>High</x:v>
      </x:c>
      <x:c r="N630" t="str">
        <x:v>Approx. State/Non-MCC Pool</x:v>
      </x:c>
      <x:c r="O630" t="str">
        <x:v>Moderate state-counselling pool</x:v>
      </x:c>
      <x:c r="P630" t="n">
        <x:v>20525</x:v>
      </x:c>
      <x:c r="Q630" t="n">
        <x:v>21936</x:v>
      </x:c>
      <x:c r="R630" t="n">
        <x:v>26016</x:v>
      </x:c>
      <x:c r="S630" t="n">
        <x:v>102360</x:v>
      </x:c>
      <x:c r="T630" t="n">
        <x:v>123735</x:v>
      </x:c>
      <x:c r="U630" t="str">
        <x:v>Pending state Round-1 allotment/cutoff data</x:v>
      </x:c>
    </x:row>
    <x:row r="631">
      <x:c r="A631" t="str">
        <x:v>Telangana</x:v>
      </x:c>
      <x:c r="B631" t="str">
        <x:v>TS/040/G/1</x:v>
      </x:c>
      <x:c r="C631" t="str">
        <x:v>Government Medical College, Sangareddy</x:v>
      </x:c>
      <x:c r="D631" t="str">
        <x:v>Government</x:v>
      </x:c>
      <x:c r="E631" t="n">
        <x:v>150</x:v>
      </x:c>
      <x:c r="F631" t="n">
        <x:v>0</x:v>
      </x:c>
      <x:c r="G631" t="n">
        <x:v>150</x:v>
      </x:c>
      <x:c r="H631" t="str">
        <x:v>200597</x:v>
      </x:c>
      <x:c r="I631" t="n">
        <x:v>22</x:v>
      </x:c>
      <x:c r="J631" t="n">
        <x:v>22</x:v>
      </x:c>
      <x:c r="K631" t="n">
        <x:v>128</x:v>
      </x:c>
      <x:c r="L631" s="20" t="n">
        <x:v>0.8533333333333334</x:v>
      </x:c>
      <x:c r="M631" t="str">
        <x:v>High</x:v>
      </x:c>
      <x:c r="N631" t="str">
        <x:v>Approx. State/Non-MCC Pool</x:v>
      </x:c>
      <x:c r="O631" t="str">
        <x:v>Moderate state-counselling pool</x:v>
      </x:c>
      <x:c r="P631" t="n">
        <x:v>18783</x:v>
      </x:c>
      <x:c r="Q631" t="n">
        <x:v>20715</x:v>
      </x:c>
      <x:c r="R631" t="n">
        <x:v>23706</x:v>
      </x:c>
      <x:c r="S631" t="n">
        <x:v>88104</x:v>
      </x:c>
      <x:c r="T631" t="n">
        <x:v>94656</x:v>
      </x:c>
      <x:c r="U631" t="str">
        <x:v>Pending state Round-1 allotment/cutoff data</x:v>
      </x:c>
    </x:row>
    <x:row r="632">
      <x:c r="A632" t="str">
        <x:v>Telangana</x:v>
      </x:c>
      <x:c r="B632" t="str">
        <x:v>TS/042/G/1</x:v>
      </x:c>
      <x:c r="C632" t="str">
        <x:v>Government Medical College, Suryapet</x:v>
      </x:c>
      <x:c r="D632" t="str">
        <x:v>Government</x:v>
      </x:c>
      <x:c r="E632" t="n">
        <x:v>150</x:v>
      </x:c>
      <x:c r="F632" t="n">
        <x:v>0</x:v>
      </x:c>
      <x:c r="G632" t="n">
        <x:v>150</x:v>
      </x:c>
      <x:c r="H632" t="str">
        <x:v>200481</x:v>
      </x:c>
      <x:c r="I632" t="n">
        <x:v>22</x:v>
      </x:c>
      <x:c r="J632" t="n">
        <x:v>22</x:v>
      </x:c>
      <x:c r="K632" t="n">
        <x:v>128</x:v>
      </x:c>
      <x:c r="L632" s="20" t="n">
        <x:v>0.8533333333333334</x:v>
      </x:c>
      <x:c r="M632" t="str">
        <x:v>High</x:v>
      </x:c>
      <x:c r="N632" t="str">
        <x:v>Approx. State/Non-MCC Pool</x:v>
      </x:c>
      <x:c r="O632" t="str">
        <x:v>Moderate state-counselling pool</x:v>
      </x:c>
      <x:c r="P632" t="n">
        <x:v>18583</x:v>
      </x:c>
      <x:c r="Q632" t="n">
        <x:v>19975</x:v>
      </x:c>
      <x:c r="R632" t="n">
        <x:v>22464</x:v>
      </x:c>
      <x:c r="S632" t="n">
        <x:v>94945</x:v>
      </x:c>
      <x:c r="T632" t="n">
        <x:v>101692</x:v>
      </x:c>
      <x:c r="U632" t="str">
        <x:v>Pending state Round-1 allotment/cutoff data</x:v>
      </x:c>
    </x:row>
    <x:row r="633">
      <x:c r="A633" t="str">
        <x:v>Telangana</x:v>
      </x:c>
      <x:c r="B633" t="str">
        <x:v>TS/043/G/1</x:v>
      </x:c>
      <x:c r="C633" t="str">
        <x:v>Government Medical College, Wanaparthy</x:v>
      </x:c>
      <x:c r="D633" t="str">
        <x:v>Government</x:v>
      </x:c>
      <x:c r="E633" t="n">
        <x:v>150</x:v>
      </x:c>
      <x:c r="F633" t="n">
        <x:v>0</x:v>
      </x:c>
      <x:c r="G633" t="n">
        <x:v>150</x:v>
      </x:c>
      <x:c r="H633" t="str">
        <x:v>200600</x:v>
      </x:c>
      <x:c r="I633" t="n">
        <x:v>22</x:v>
      </x:c>
      <x:c r="J633" t="n">
        <x:v>22</x:v>
      </x:c>
      <x:c r="K633" t="n">
        <x:v>128</x:v>
      </x:c>
      <x:c r="L633" s="20" t="n">
        <x:v>0.8533333333333334</x:v>
      </x:c>
      <x:c r="M633" t="str">
        <x:v>High</x:v>
      </x:c>
      <x:c r="N633" t="str">
        <x:v>Approx. State/Non-MCC Pool</x:v>
      </x:c>
      <x:c r="O633" t="str">
        <x:v>Moderate state-counselling pool</x:v>
      </x:c>
      <x:c r="P633" t="n">
        <x:v>21184</x:v>
      </x:c>
      <x:c r="Q633" t="n">
        <x:v>22618</x:v>
      </x:c>
      <x:c r="R633" t="n">
        <x:v>25951</x:v>
      </x:c>
      <x:c r="S633" t="n">
        <x:v>99668</x:v>
      </x:c>
      <x:c r="T633" t="n">
        <x:v>120300</x:v>
      </x:c>
      <x:c r="U633" t="str">
        <x:v>Pending state Round-1 allotment/cutoff data</x:v>
      </x:c>
    </x:row>
    <x:row r="634">
      <x:c r="A634" t="str">
        <x:v>Telangana</x:v>
      </x:c>
      <x:c r="B634" t="str">
        <x:v>TS/024/G/1</x:v>
      </x:c>
      <x:c r="C634" t="str">
        <x:v>Government Medical College, Karimnagar</x:v>
      </x:c>
      <x:c r="D634" t="str">
        <x:v>Government</x:v>
      </x:c>
      <x:c r="E634" t="n">
        <x:v>100</x:v>
      </x:c>
      <x:c r="F634" t="n">
        <x:v>0</x:v>
      </x:c>
      <x:c r="G634" t="n">
        <x:v>100</x:v>
      </x:c>
      <x:c r="H634"/>
      <x:c r="I634" t="n">
        <x:v>0</x:v>
      </x:c>
      <x:c r="J634" t="n">
        <x:v>0</x:v>
      </x:c>
      <x:c r="K634" t="n">
        <x:v>100</x:v>
      </x:c>
      <x:c r="L634" s="20" t="n">
        <x:v>1</x:v>
      </x:c>
      <x:c r="M634" t="str">
        <x:v>High</x:v>
      </x:c>
      <x:c r="N634" t="str">
        <x:v>Approx. State/Non-MCC Pool</x:v>
      </x:c>
      <x:c r="O634" t="str">
        <x:v>Moderate state-counselling pool</x:v>
      </x:c>
      <x:c r="P634"/>
      <x:c r="Q634"/>
      <x:c r="R634"/>
      <x:c r="S634"/>
      <x:c r="T634"/>
      <x:c r="U634" t="str">
        <x:v>Pending state Round-1 allotment/cutoff data</x:v>
      </x:c>
    </x:row>
    <x:row r="635">
      <x:c r="A635" t="str">
        <x:v>Telangana</x:v>
      </x:c>
      <x:c r="B635" t="str">
        <x:v>TS/014/G/1</x:v>
      </x:c>
      <x:c r="C635" t="str">
        <x:v>GOVERNMENT MEDICAL COLLEGE JANGAON</x:v>
      </x:c>
      <x:c r="D635" t="str">
        <x:v>Government</x:v>
      </x:c>
      <x:c r="E635" t="n">
        <x:v>100</x:v>
      </x:c>
      <x:c r="F635" t="n">
        <x:v>0</x:v>
      </x:c>
      <x:c r="G635" t="n">
        <x:v>100</x:v>
      </x:c>
      <x:c r="H635" t="str">
        <x:v>200660</x:v>
      </x:c>
      <x:c r="I635" t="n">
        <x:v>15</x:v>
      </x:c>
      <x:c r="J635" t="n">
        <x:v>15</x:v>
      </x:c>
      <x:c r="K635" t="n">
        <x:v>85</x:v>
      </x:c>
      <x:c r="L635" s="20" t="n">
        <x:v>0.85</x:v>
      </x:c>
      <x:c r="M635" t="str">
        <x:v>High</x:v>
      </x:c>
      <x:c r="N635" t="str">
        <x:v>Approx. State/Non-MCC Pool</x:v>
      </x:c>
      <x:c r="O635" t="str">
        <x:v>Moderate state-counselling pool</x:v>
      </x:c>
      <x:c r="P635" t="n">
        <x:v>18886</x:v>
      </x:c>
      <x:c r="Q635" t="n">
        <x:v>19791</x:v>
      </x:c>
      <x:c r="R635" t="n">
        <x:v>20973</x:v>
      </x:c>
      <x:c r="S635" t="n">
        <x:v>89588</x:v>
      </x:c>
      <x:c r="T635" t="n">
        <x:v>117779</x:v>
      </x:c>
      <x:c r="U635" t="str">
        <x:v>Pending state Round-1 allotment/cutoff data</x:v>
      </x:c>
    </x:row>
    <x:row r="636">
      <x:c r="A636" t="str">
        <x:v>Telangana</x:v>
      </x:c>
      <x:c r="B636" t="str">
        <x:v>TS/015/G/1</x:v>
      </x:c>
      <x:c r="C636" t="str">
        <x:v>GOVERNMENT MEDICAL COLLEGE KHAMMAM</x:v>
      </x:c>
      <x:c r="D636" t="str">
        <x:v>Government</x:v>
      </x:c>
      <x:c r="E636" t="n">
        <x:v>100</x:v>
      </x:c>
      <x:c r="F636" t="n">
        <x:v>0</x:v>
      </x:c>
      <x:c r="G636" t="n">
        <x:v>100</x:v>
      </x:c>
      <x:c r="H636" t="str">
        <x:v>200661</x:v>
      </x:c>
      <x:c r="I636" t="n">
        <x:v>15</x:v>
      </x:c>
      <x:c r="J636" t="n">
        <x:v>15</x:v>
      </x:c>
      <x:c r="K636" t="n">
        <x:v>85</x:v>
      </x:c>
      <x:c r="L636" s="20" t="n">
        <x:v>0.85</x:v>
      </x:c>
      <x:c r="M636" t="str">
        <x:v>High</x:v>
      </x:c>
      <x:c r="N636" t="str">
        <x:v>Approx. State/Non-MCC Pool</x:v>
      </x:c>
      <x:c r="O636" t="str">
        <x:v>Moderate state-counselling pool</x:v>
      </x:c>
      <x:c r="P636" t="n">
        <x:v>19594</x:v>
      </x:c>
      <x:c r="Q636" t="n">
        <x:v>20631</x:v>
      </x:c>
      <x:c r="R636" t="n">
        <x:v>25139</x:v>
      </x:c>
      <x:c r="S636" t="n">
        <x:v>97832</x:v>
      </x:c>
      <x:c r="T636" t="n">
        <x:v>125993</x:v>
      </x:c>
      <x:c r="U636" t="str">
        <x:v>Pending state Round-1 allotment/cutoff data</x:v>
      </x:c>
    </x:row>
    <x:row r="637">
      <x:c r="A637" t="str">
        <x:v>Telangana</x:v>
      </x:c>
      <x:c r="B637" t="str">
        <x:v>TS/016/G/1</x:v>
      </x:c>
      <x:c r="C637" t="str">
        <x:v>GOVERNMENT MEDICAL COLLEGE KUMURAM BHEEM ASIFAFABAD</x:v>
      </x:c>
      <x:c r="D637" t="str">
        <x:v>Government</x:v>
      </x:c>
      <x:c r="E637" t="n">
        <x:v>100</x:v>
      </x:c>
      <x:c r="F637" t="n">
        <x:v>0</x:v>
      </x:c>
      <x:c r="G637" t="n">
        <x:v>100</x:v>
      </x:c>
      <x:c r="H637" t="str">
        <x:v>200647</x:v>
      </x:c>
      <x:c r="I637" t="n">
        <x:v>15</x:v>
      </x:c>
      <x:c r="J637" t="n">
        <x:v>15</x:v>
      </x:c>
      <x:c r="K637" t="n">
        <x:v>85</x:v>
      </x:c>
      <x:c r="L637" s="20" t="n">
        <x:v>0.85</x:v>
      </x:c>
      <x:c r="M637" t="str">
        <x:v>High</x:v>
      </x:c>
      <x:c r="N637" t="str">
        <x:v>Approx. State/Non-MCC Pool</x:v>
      </x:c>
      <x:c r="O637" t="str">
        <x:v>Moderate state-counselling pool</x:v>
      </x:c>
      <x:c r="P637" t="n">
        <x:v>20746</x:v>
      </x:c>
      <x:c r="Q637" t="n">
        <x:v>22454</x:v>
      </x:c>
      <x:c r="R637" t="n">
        <x:v>25568</x:v>
      </x:c>
      <x:c r="S637" t="n">
        <x:v>98154</x:v>
      </x:c>
      <x:c r="T637" t="n">
        <x:v>125232</x:v>
      </x:c>
      <x:c r="U637" t="str">
        <x:v>Pending state Round-1 allotment/cutoff data</x:v>
      </x:c>
    </x:row>
    <x:row r="638">
      <x:c r="A638" t="str">
        <x:v>Telangana</x:v>
      </x:c>
      <x:c r="B638" t="str">
        <x:v>TS/021/G/1</x:v>
      </x:c>
      <x:c r="C638" t="str">
        <x:v>Government Medical College, Jayashankar Bhupalpally</x:v>
      </x:c>
      <x:c r="D638" t="str">
        <x:v>Government</x:v>
      </x:c>
      <x:c r="E638" t="n">
        <x:v>100</x:v>
      </x:c>
      <x:c r="F638" t="n">
        <x:v>0</x:v>
      </x:c>
      <x:c r="G638" t="n">
        <x:v>100</x:v>
      </x:c>
      <x:c r="H638" t="str">
        <x:v>200659</x:v>
      </x:c>
      <x:c r="I638" t="n">
        <x:v>15</x:v>
      </x:c>
      <x:c r="J638" t="n">
        <x:v>15</x:v>
      </x:c>
      <x:c r="K638" t="n">
        <x:v>85</x:v>
      </x:c>
      <x:c r="L638" s="20" t="n">
        <x:v>0.85</x:v>
      </x:c>
      <x:c r="M638" t="str">
        <x:v>High</x:v>
      </x:c>
      <x:c r="N638" t="str">
        <x:v>Approx. State/Non-MCC Pool</x:v>
      </x:c>
      <x:c r="O638" t="str">
        <x:v>Moderate state-counselling pool</x:v>
      </x:c>
      <x:c r="P638" t="n">
        <x:v>22208</x:v>
      </x:c>
      <x:c r="Q638" t="n">
        <x:v>22772</x:v>
      </x:c>
      <x:c r="R638" t="n">
        <x:v>26668</x:v>
      </x:c>
      <x:c r="S638" t="n">
        <x:v>102242</x:v>
      </x:c>
      <x:c r="T638" t="n">
        <x:v>127127</x:v>
      </x:c>
      <x:c r="U638" t="str">
        <x:v>Pending state Round-1 allotment/cutoff data</x:v>
      </x:c>
    </x:row>
    <x:row r="639">
      <x:c r="A639" t="str">
        <x:v>Telangana</x:v>
      </x:c>
      <x:c r="B639" t="str">
        <x:v>TS/023/G/1</x:v>
      </x:c>
      <x:c r="C639" t="str">
        <x:v>Government Medical College, Kamareddy</x:v>
      </x:c>
      <x:c r="D639" t="str">
        <x:v>Government</x:v>
      </x:c>
      <x:c r="E639" t="n">
        <x:v>100</x:v>
      </x:c>
      <x:c r="F639" t="n">
        <x:v>0</x:v>
      </x:c>
      <x:c r="G639" t="n">
        <x:v>100</x:v>
      </x:c>
      <x:c r="H639" t="str">
        <x:v>200651</x:v>
      </x:c>
      <x:c r="I639" t="n">
        <x:v>15</x:v>
      </x:c>
      <x:c r="J639" t="n">
        <x:v>15</x:v>
      </x:c>
      <x:c r="K639" t="n">
        <x:v>85</x:v>
      </x:c>
      <x:c r="L639" s="20" t="n">
        <x:v>0.85</x:v>
      </x:c>
      <x:c r="M639" t="str">
        <x:v>High</x:v>
      </x:c>
      <x:c r="N639" t="str">
        <x:v>Approx. State/Non-MCC Pool</x:v>
      </x:c>
      <x:c r="O639" t="str">
        <x:v>Moderate state-counselling pool</x:v>
      </x:c>
      <x:c r="P639" t="n">
        <x:v>22009</x:v>
      </x:c>
      <x:c r="Q639" t="n">
        <x:v>22400</x:v>
      </x:c>
      <x:c r="R639" t="n">
        <x:v>26646</x:v>
      </x:c>
      <x:c r="S639" t="n">
        <x:v>91203</x:v>
      </x:c>
      <x:c r="T639" t="n">
        <x:v>122713</x:v>
      </x:c>
      <x:c r="U639" t="str">
        <x:v>Pending state Round-1 allotment/cutoff data</x:v>
      </x:c>
    </x:row>
    <x:row r="640">
      <x:c r="A640" t="str">
        <x:v>Telangana</x:v>
      </x:c>
      <x:c r="B640" t="str">
        <x:v>TS/029/G/1</x:v>
      </x:c>
      <x:c r="C640" t="str">
        <x:v>Government Medical College, Mancherial</x:v>
      </x:c>
      <x:c r="D640" t="str">
        <x:v>Government</x:v>
      </x:c>
      <x:c r="E640" t="n">
        <x:v>100</x:v>
      </x:c>
      <x:c r="F640" t="n">
        <x:v>0</x:v>
      </x:c>
      <x:c r="G640" t="n">
        <x:v>100</x:v>
      </x:c>
      <x:c r="H640" t="str">
        <x:v>200643</x:v>
      </x:c>
      <x:c r="I640" t="n">
        <x:v>15</x:v>
      </x:c>
      <x:c r="J640" t="n">
        <x:v>15</x:v>
      </x:c>
      <x:c r="K640" t="n">
        <x:v>85</x:v>
      </x:c>
      <x:c r="L640" s="20" t="n">
        <x:v>0.85</x:v>
      </x:c>
      <x:c r="M640" t="str">
        <x:v>High</x:v>
      </x:c>
      <x:c r="N640" t="str">
        <x:v>Approx. State/Non-MCC Pool</x:v>
      </x:c>
      <x:c r="O640" t="str">
        <x:v>Moderate state-counselling pool</x:v>
      </x:c>
      <x:c r="P640" t="n">
        <x:v>20586</x:v>
      </x:c>
      <x:c r="Q640" t="n">
        <x:v>22072</x:v>
      </x:c>
      <x:c r="R640" t="n">
        <x:v>24287</x:v>
      </x:c>
      <x:c r="S640" t="n">
        <x:v>78422</x:v>
      </x:c>
      <x:c r="T640" t="n">
        <x:v>121442</x:v>
      </x:c>
      <x:c r="U640" t="str">
        <x:v>Pending state Round-1 allotment/cutoff data</x:v>
      </x:c>
    </x:row>
    <x:row r="641">
      <x:c r="A641" t="str">
        <x:v>Telangana</x:v>
      </x:c>
      <x:c r="B641" t="str">
        <x:v>TS/035/G/1</x:v>
      </x:c>
      <x:c r="C641" t="str">
        <x:v>Government Medical College, Nirmal</x:v>
      </x:c>
      <x:c r="D641" t="str">
        <x:v>Government</x:v>
      </x:c>
      <x:c r="E641" t="n">
        <x:v>100</x:v>
      </x:c>
      <x:c r="F641" t="n">
        <x:v>0</x:v>
      </x:c>
      <x:c r="G641" t="n">
        <x:v>100</x:v>
      </x:c>
      <x:c r="H641" t="str">
        <x:v>200653</x:v>
      </x:c>
      <x:c r="I641" t="n">
        <x:v>15</x:v>
      </x:c>
      <x:c r="J641" t="n">
        <x:v>15</x:v>
      </x:c>
      <x:c r="K641" t="n">
        <x:v>85</x:v>
      </x:c>
      <x:c r="L641" s="20" t="n">
        <x:v>0.85</x:v>
      </x:c>
      <x:c r="M641" t="str">
        <x:v>High</x:v>
      </x:c>
      <x:c r="N641" t="str">
        <x:v>Approx. State/Non-MCC Pool</x:v>
      </x:c>
      <x:c r="O641" t="str">
        <x:v>Moderate state-counselling pool</x:v>
      </x:c>
      <x:c r="P641" t="n">
        <x:v>16526</x:v>
      </x:c>
      <x:c r="Q641" t="n">
        <x:v>20738</x:v>
      </x:c>
      <x:c r="R641" t="n">
        <x:v>26636</x:v>
      </x:c>
      <x:c r="S641" t="n">
        <x:v>95168</x:v>
      </x:c>
      <x:c r="T641" t="n">
        <x:v>119538</x:v>
      </x:c>
      <x:c r="U641" t="str">
        <x:v>Pending state Round-1 allotment/cutoff data</x:v>
      </x:c>
    </x:row>
    <x:row r="642">
      <x:c r="A642" t="str">
        <x:v>Telangana</x:v>
      </x:c>
      <x:c r="B642" t="str">
        <x:v>TS/038/G/1</x:v>
      </x:c>
      <x:c r="C642" t="str">
        <x:v>Government Medical College, Rajanna Sircilla</x:v>
      </x:c>
      <x:c r="D642" t="str">
        <x:v>Government</x:v>
      </x:c>
      <x:c r="E642" t="n">
        <x:v>100</x:v>
      </x:c>
      <x:c r="F642" t="n">
        <x:v>0</x:v>
      </x:c>
      <x:c r="G642" t="n">
        <x:v>100</x:v>
      </x:c>
      <x:c r="H642" t="str">
        <x:v>200656</x:v>
      </x:c>
      <x:c r="I642" t="n">
        <x:v>15</x:v>
      </x:c>
      <x:c r="J642" t="n">
        <x:v>15</x:v>
      </x:c>
      <x:c r="K642" t="n">
        <x:v>85</x:v>
      </x:c>
      <x:c r="L642" s="20" t="n">
        <x:v>0.85</x:v>
      </x:c>
      <x:c r="M642" t="str">
        <x:v>High</x:v>
      </x:c>
      <x:c r="N642" t="str">
        <x:v>Approx. State/Non-MCC Pool</x:v>
      </x:c>
      <x:c r="O642" t="str">
        <x:v>Moderate state-counselling pool</x:v>
      </x:c>
      <x:c r="P642" t="n">
        <x:v>20950</x:v>
      </x:c>
      <x:c r="Q642" t="n">
        <x:v>21744</x:v>
      </x:c>
      <x:c r="R642" t="n">
        <x:v>25422</x:v>
      </x:c>
      <x:c r="S642" t="n">
        <x:v>103349</x:v>
      </x:c>
      <x:c r="T642" t="n">
        <x:v>124325</x:v>
      </x:c>
      <x:c r="U642" t="str">
        <x:v>Pending state Round-1 allotment/cutoff data</x:v>
      </x:c>
    </x:row>
    <x:row r="643">
      <x:c r="A643" t="str">
        <x:v>Telangana</x:v>
      </x:c>
      <x:c r="B643" t="str">
        <x:v>TS/018/G/1</x:v>
      </x:c>
      <x:c r="C643" t="str">
        <x:v>Government Medical College, Vikarabad, Telangana</x:v>
      </x:c>
      <x:c r="D643" t="str">
        <x:v>Government</x:v>
      </x:c>
      <x:c r="E643" t="n">
        <x:v>100</x:v>
      </x:c>
      <x:c r="F643" t="n">
        <x:v>0</x:v>
      </x:c>
      <x:c r="G643" t="n">
        <x:v>100</x:v>
      </x:c>
      <x:c r="H643" t="str">
        <x:v>200648</x:v>
      </x:c>
      <x:c r="I643" t="n">
        <x:v>15</x:v>
      </x:c>
      <x:c r="J643" t="n">
        <x:v>15</x:v>
      </x:c>
      <x:c r="K643" t="n">
        <x:v>85</x:v>
      </x:c>
      <x:c r="L643" s="20" t="n">
        <x:v>0.85</x:v>
      </x:c>
      <x:c r="M643" t="str">
        <x:v>High</x:v>
      </x:c>
      <x:c r="N643" t="str">
        <x:v>Approx. State/Non-MCC Pool</x:v>
      </x:c>
      <x:c r="O643" t="str">
        <x:v>Moderate state-counselling pool</x:v>
      </x:c>
      <x:c r="P643" t="n">
        <x:v>20792</x:v>
      </x:c>
      <x:c r="Q643" t="n">
        <x:v>22536</x:v>
      </x:c>
      <x:c r="R643" t="n">
        <x:v>25891</x:v>
      </x:c>
      <x:c r="S643" t="n">
        <x:v>98410</x:v>
      </x:c>
      <x:c r="T643" t="n">
        <x:v>109260</x:v>
      </x:c>
      <x:c r="U643" t="str">
        <x:v>Pending state Round-1 allotment/cutoff data</x:v>
      </x:c>
    </x:row>
    <x:row r="644">
      <x:c r="A644" t="str">
        <x:v>Telangana</x:v>
      </x:c>
      <x:c r="B644" t="str">
        <x:v>TS/011/G/1</x:v>
      </x:c>
      <x:c r="C644" t="str">
        <x:v>Employees State Insurance Coporation Medical College, Sanath Nagar, Hyderabad</x:v>
      </x:c>
      <x:c r="D644" t="str">
        <x:v>Government</x:v>
      </x:c>
      <x:c r="E644" t="n">
        <x:v>150</x:v>
      </x:c>
      <x:c r="F644" t="n">
        <x:v>0</x:v>
      </x:c>
      <x:c r="G644" t="n">
        <x:v>150</x:v>
      </x:c>
      <x:c r="H644" t="str">
        <x:v>200418</x:v>
      </x:c>
      <x:c r="I644" t="n">
        <x:v>75</x:v>
      </x:c>
      <x:c r="J644" t="n">
        <x:v>74</x:v>
      </x:c>
      <x:c r="K644" t="n">
        <x:v>75</x:v>
      </x:c>
      <x:c r="L644" s="20" t="n">
        <x:v>0.5</x:v>
      </x:c>
      <x:c r="M644" t="str">
        <x:v>High</x:v>
      </x:c>
      <x:c r="N644" t="str">
        <x:v>Approx. State/Non-MCC Pool</x:v>
      </x:c>
      <x:c r="O644" t="str">
        <x:v>Smaller state-counselling pool</x:v>
      </x:c>
      <x:c r="P644" t="n">
        <x:v>21273</x:v>
      </x:c>
      <x:c r="Q644" t="n">
        <x:v>27017</x:v>
      </x:c>
      <x:c r="R644" t="n">
        <x:v>25909</x:v>
      </x:c>
      <x:c r="S644" t="n">
        <x:v>107810</x:v>
      </x:c>
      <x:c r="T644" t="n">
        <x:v>183654</x:v>
      </x:c>
      <x:c r="U644" t="str">
        <x:v>Pending state Round-1 allotment/cutoff data</x:v>
      </x:c>
    </x:row>
    <x:row r="645">
      <x:c r="A645" t="str">
        <x:v>Telangana</x:v>
      </x:c>
      <x:c r="B645" t="str">
        <x:v>TS/025/G/1</x:v>
      </x:c>
      <x:c r="C645" t="str">
        <x:v>GOVERNMENT MEDICAL COLLEGE, KODANGAL</x:v>
      </x:c>
      <x:c r="D645" t="str">
        <x:v>Government</x:v>
      </x:c>
      <x:c r="E645" t="n">
        <x:v>50</x:v>
      </x:c>
      <x:c r="F645" t="n">
        <x:v>0</x:v>
      </x:c>
      <x:c r="G645" t="n">
        <x:v>50</x:v>
      </x:c>
      <x:c r="H645" t="str">
        <x:v>904356</x:v>
      </x:c>
      <x:c r="I645" t="n">
        <x:v>7</x:v>
      </x:c>
      <x:c r="J645" t="n">
        <x:v>7</x:v>
      </x:c>
      <x:c r="K645" t="n">
        <x:v>43</x:v>
      </x:c>
      <x:c r="L645" s="20" t="n">
        <x:v>0.86</x:v>
      </x:c>
      <x:c r="M645" t="str">
        <x:v>High</x:v>
      </x:c>
      <x:c r="N645" t="str">
        <x:v>Approx. State/Non-MCC Pool</x:v>
      </x:c>
      <x:c r="O645" t="str">
        <x:v>Smaller state-counselling pool</x:v>
      </x:c>
      <x:c r="P645" t="n">
        <x:v>21985</x:v>
      </x:c>
      <x:c r="Q645" t="n">
        <x:v>22344</x:v>
      </x:c>
      <x:c r="R645" t="n">
        <x:v>26848</x:v>
      </x:c>
      <x:c r="S645" t="n">
        <x:v>67198</x:v>
      </x:c>
      <x:c r="T645"/>
      <x:c r="U645" t="str">
        <x:v>Pending state Round-1 allotment/cutoff data</x:v>
      </x:c>
    </x:row>
    <x:row r="646">
      <x:c r="A646" t="str">
        <x:v>Telangana</x:v>
      </x:c>
      <x:c r="B646" t="str">
        <x:v>TS/017/G/1</x:v>
      </x:c>
      <x:c r="C646" t="str">
        <x:v>Government Medical College Medak</x:v>
      </x:c>
      <x:c r="D646" t="str">
        <x:v>Government</x:v>
      </x:c>
      <x:c r="E646" t="n">
        <x:v>50</x:v>
      </x:c>
      <x:c r="F646" t="n">
        <x:v>0</x:v>
      </x:c>
      <x:c r="G646" t="n">
        <x:v>50</x:v>
      </x:c>
      <x:c r="H646" t="str">
        <x:v>903351</x:v>
      </x:c>
      <x:c r="I646" t="n">
        <x:v>7</x:v>
      </x:c>
      <x:c r="J646" t="n">
        <x:v>7</x:v>
      </x:c>
      <x:c r="K646" t="n">
        <x:v>43</x:v>
      </x:c>
      <x:c r="L646" s="20" t="n">
        <x:v>0.86</x:v>
      </x:c>
      <x:c r="M646" t="str">
        <x:v>High</x:v>
      </x:c>
      <x:c r="N646" t="str">
        <x:v>Approx. State/Non-MCC Pool</x:v>
      </x:c>
      <x:c r="O646" t="str">
        <x:v>Smaller state-counselling pool</x:v>
      </x:c>
      <x:c r="P646" t="n">
        <x:v>21490</x:v>
      </x:c>
      <x:c r="Q646" t="n">
        <x:v>21942</x:v>
      </x:c>
      <x:c r="R646"/>
      <x:c r="S646" t="n">
        <x:v>101660</x:v>
      </x:c>
      <x:c r="T646"/>
      <x:c r="U646" t="str">
        <x:v>Pending state Round-1 allotment/cutoff data</x:v>
      </x:c>
    </x:row>
    <x:row r="647">
      <x:c r="A647" t="str">
        <x:v>Telangana</x:v>
      </x:c>
      <x:c r="B647" t="str">
        <x:v>TS/022/G/1</x:v>
      </x:c>
      <x:c r="C647" t="str">
        <x:v>Government Medical College, Jogulumba Gadwal</x:v>
      </x:c>
      <x:c r="D647" t="str">
        <x:v>Government</x:v>
      </x:c>
      <x:c r="E647" t="n">
        <x:v>50</x:v>
      </x:c>
      <x:c r="F647" t="n">
        <x:v>0</x:v>
      </x:c>
      <x:c r="G647" t="n">
        <x:v>50</x:v>
      </x:c>
      <x:c r="H647" t="str">
        <x:v>902818</x:v>
      </x:c>
      <x:c r="I647" t="n">
        <x:v>7</x:v>
      </x:c>
      <x:c r="J647" t="n">
        <x:v>7</x:v>
      </x:c>
      <x:c r="K647" t="n">
        <x:v>43</x:v>
      </x:c>
      <x:c r="L647" s="20" t="n">
        <x:v>0.86</x:v>
      </x:c>
      <x:c r="M647" t="str">
        <x:v>High</x:v>
      </x:c>
      <x:c r="N647" t="str">
        <x:v>Approx. State/Non-MCC Pool</x:v>
      </x:c>
      <x:c r="O647" t="str">
        <x:v>Smaller state-counselling pool</x:v>
      </x:c>
      <x:c r="P647" t="n">
        <x:v>19270</x:v>
      </x:c>
      <x:c r="Q647" t="n">
        <x:v>20712</x:v>
      </x:c>
      <x:c r="R647"/>
      <x:c r="S647" t="n">
        <x:v>102383</x:v>
      </x:c>
      <x:c r="T647"/>
      <x:c r="U647" t="str">
        <x:v>Pending state Round-1 allotment/cutoff data</x:v>
      </x:c>
    </x:row>
    <x:row r="648">
      <x:c r="A648" t="str">
        <x:v>Telangana</x:v>
      </x:c>
      <x:c r="B648" t="str">
        <x:v>TS/028/G/1</x:v>
      </x:c>
      <x:c r="C648" t="str">
        <x:v>Government Medical College, Maheshwaram</x:v>
      </x:c>
      <x:c r="D648" t="str">
        <x:v>Government</x:v>
      </x:c>
      <x:c r="E648" t="n">
        <x:v>50</x:v>
      </x:c>
      <x:c r="F648" t="n">
        <x:v>0</x:v>
      </x:c>
      <x:c r="G648" t="n">
        <x:v>50</x:v>
      </x:c>
      <x:c r="H648" t="str">
        <x:v>903350</x:v>
      </x:c>
      <x:c r="I648" t="n">
        <x:v>7</x:v>
      </x:c>
      <x:c r="J648" t="n">
        <x:v>7</x:v>
      </x:c>
      <x:c r="K648" t="n">
        <x:v>43</x:v>
      </x:c>
      <x:c r="L648" s="20" t="n">
        <x:v>0.86</x:v>
      </x:c>
      <x:c r="M648" t="str">
        <x:v>High</x:v>
      </x:c>
      <x:c r="N648" t="str">
        <x:v>Approx. State/Non-MCC Pool</x:v>
      </x:c>
      <x:c r="O648" t="str">
        <x:v>Smaller state-counselling pool</x:v>
      </x:c>
      <x:c r="P648" t="n">
        <x:v>19732</x:v>
      </x:c>
      <x:c r="Q648" t="n">
        <x:v>21742</x:v>
      </x:c>
      <x:c r="R648" t="n">
        <x:v>25283</x:v>
      </x:c>
      <x:c r="S648" t="n">
        <x:v>98101</x:v>
      </x:c>
      <x:c r="T648"/>
      <x:c r="U648" t="str">
        <x:v>Pending state Round-1 allotment/cutoff data</x:v>
      </x:c>
    </x:row>
    <x:row r="649">
      <x:c r="A649" t="str">
        <x:v>Telangana</x:v>
      </x:c>
      <x:c r="B649" t="str">
        <x:v>TS/030/G/1</x:v>
      </x:c>
      <x:c r="C649" t="str">
        <x:v>Government Medical College, Mulugu</x:v>
      </x:c>
      <x:c r="D649" t="str">
        <x:v>Government</x:v>
      </x:c>
      <x:c r="E649" t="n">
        <x:v>50</x:v>
      </x:c>
      <x:c r="F649" t="n">
        <x:v>0</x:v>
      </x:c>
      <x:c r="G649" t="n">
        <x:v>50</x:v>
      </x:c>
      <x:c r="H649" t="str">
        <x:v>902819</x:v>
      </x:c>
      <x:c r="I649" t="n">
        <x:v>7</x:v>
      </x:c>
      <x:c r="J649" t="n">
        <x:v>7</x:v>
      </x:c>
      <x:c r="K649" t="n">
        <x:v>43</x:v>
      </x:c>
      <x:c r="L649" s="20" t="n">
        <x:v>0.86</x:v>
      </x:c>
      <x:c r="M649" t="str">
        <x:v>High</x:v>
      </x:c>
      <x:c r="N649" t="str">
        <x:v>Approx. State/Non-MCC Pool</x:v>
      </x:c>
      <x:c r="O649" t="str">
        <x:v>Smaller state-counselling pool</x:v>
      </x:c>
      <x:c r="P649" t="n">
        <x:v>20340</x:v>
      </x:c>
      <x:c r="Q649" t="n">
        <x:v>22007</x:v>
      </x:c>
      <x:c r="R649" t="n">
        <x:v>26213</x:v>
      </x:c>
      <x:c r="S649" t="n">
        <x:v>102880</x:v>
      </x:c>
      <x:c r="T649"/>
      <x:c r="U649" t="str">
        <x:v>Pending state Round-1 allotment/cutoff data</x:v>
      </x:c>
    </x:row>
    <x:row r="650">
      <x:c r="A650" t="str">
        <x:v>Telangana</x:v>
      </x:c>
      <x:c r="B650" t="str">
        <x:v>TS/033/G/1</x:v>
      </x:c>
      <x:c r="C650" t="str">
        <x:v>Government Medical College, Narayanpet</x:v>
      </x:c>
      <x:c r="D650" t="str">
        <x:v>Government</x:v>
      </x:c>
      <x:c r="E650" t="n">
        <x:v>50</x:v>
      </x:c>
      <x:c r="F650" t="n">
        <x:v>0</x:v>
      </x:c>
      <x:c r="G650" t="n">
        <x:v>50</x:v>
      </x:c>
      <x:c r="H650" t="str">
        <x:v>902821</x:v>
      </x:c>
      <x:c r="I650" t="n">
        <x:v>7</x:v>
      </x:c>
      <x:c r="J650" t="n">
        <x:v>7</x:v>
      </x:c>
      <x:c r="K650" t="n">
        <x:v>43</x:v>
      </x:c>
      <x:c r="L650" s="20" t="n">
        <x:v>0.86</x:v>
      </x:c>
      <x:c r="M650" t="str">
        <x:v>High</x:v>
      </x:c>
      <x:c r="N650" t="str">
        <x:v>Approx. State/Non-MCC Pool</x:v>
      </x:c>
      <x:c r="O650" t="str">
        <x:v>Smaller state-counselling pool</x:v>
      </x:c>
      <x:c r="P650" t="n">
        <x:v>19315</x:v>
      </x:c>
      <x:c r="Q650" t="n">
        <x:v>21170</x:v>
      </x:c>
      <x:c r="R650" t="n">
        <x:v>25317</x:v>
      </x:c>
      <x:c r="S650" t="n">
        <x:v>89056</x:v>
      </x:c>
      <x:c r="T650" t="n">
        <x:v>120465</x:v>
      </x:c>
      <x:c r="U650" t="str">
        <x:v>Pending state Round-1 allotment/cutoff data</x:v>
      </x:c>
    </x:row>
    <x:row r="651">
      <x:c r="A651" t="str">
        <x:v>Telangana</x:v>
      </x:c>
      <x:c r="B651" t="str">
        <x:v>TS/034/G/1</x:v>
      </x:c>
      <x:c r="C651" t="str">
        <x:v>Government Medical College, Narsampet</x:v>
      </x:c>
      <x:c r="D651" t="str">
        <x:v>Government</x:v>
      </x:c>
      <x:c r="E651" t="n">
        <x:v>50</x:v>
      </x:c>
      <x:c r="F651" t="n">
        <x:v>0</x:v>
      </x:c>
      <x:c r="G651" t="n">
        <x:v>50</x:v>
      </x:c>
      <x:c r="H651" t="str">
        <x:v>902817</x:v>
      </x:c>
      <x:c r="I651" t="n">
        <x:v>7</x:v>
      </x:c>
      <x:c r="J651" t="n">
        <x:v>7</x:v>
      </x:c>
      <x:c r="K651" t="n">
        <x:v>43</x:v>
      </x:c>
      <x:c r="L651" s="20" t="n">
        <x:v>0.86</x:v>
      </x:c>
      <x:c r="M651" t="str">
        <x:v>High</x:v>
      </x:c>
      <x:c r="N651" t="str">
        <x:v>Approx. State/Non-MCC Pool</x:v>
      </x:c>
      <x:c r="O651" t="str">
        <x:v>Smaller state-counselling pool</x:v>
      </x:c>
      <x:c r="P651" t="n">
        <x:v>21091</x:v>
      </x:c>
      <x:c r="Q651" t="n">
        <x:v>21701</x:v>
      </x:c>
      <x:c r="R651" t="n">
        <x:v>26348</x:v>
      </x:c>
      <x:c r="S651" t="n">
        <x:v>103391</x:v>
      </x:c>
      <x:c r="T651"/>
      <x:c r="U651" t="str">
        <x:v>Pending state Round-1 allotment/cutoff data</x:v>
      </x:c>
    </x:row>
    <x:row r="652">
      <x:c r="A652" t="str">
        <x:v>Telangana</x:v>
      </x:c>
      <x:c r="B652" t="str">
        <x:v>TS/003/G/1</x:v>
      </x:c>
      <x:c r="C652" t="str">
        <x:v>Government Medical College, Yadadri</x:v>
      </x:c>
      <x:c r="D652" t="str">
        <x:v>Government</x:v>
      </x:c>
      <x:c r="E652" t="n">
        <x:v>50</x:v>
      </x:c>
      <x:c r="F652" t="n">
        <x:v>0</x:v>
      </x:c>
      <x:c r="G652" t="n">
        <x:v>50</x:v>
      </x:c>
      <x:c r="H652" t="str">
        <x:v>903353</x:v>
      </x:c>
      <x:c r="I652" t="n">
        <x:v>7</x:v>
      </x:c>
      <x:c r="J652" t="n">
        <x:v>7</x:v>
      </x:c>
      <x:c r="K652" t="n">
        <x:v>43</x:v>
      </x:c>
      <x:c r="L652" s="20" t="n">
        <x:v>0.86</x:v>
      </x:c>
      <x:c r="M652" t="str">
        <x:v>High</x:v>
      </x:c>
      <x:c r="N652" t="str">
        <x:v>Approx. State/Non-MCC Pool</x:v>
      </x:c>
      <x:c r="O652" t="str">
        <x:v>Smaller state-counselling pool</x:v>
      </x:c>
      <x:c r="P652" t="n">
        <x:v>17975</x:v>
      </x:c>
      <x:c r="Q652" t="n">
        <x:v>21894</x:v>
      </x:c>
      <x:c r="R652" t="n">
        <x:v>26507</x:v>
      </x:c>
      <x:c r="S652" t="n">
        <x:v>93484</x:v>
      </x:c>
      <x:c r="T652" t="n">
        <x:v>127392</x:v>
      </x:c>
      <x:c r="U652" t="str">
        <x:v>Pending state Round-1 allotment/cutoff data</x:v>
      </x:c>
    </x:row>
    <x:row r="653">
      <x:c r="A653" t="str">
        <x:v>Telangana</x:v>
      </x:c>
      <x:c r="B653" t="str">
        <x:v>TS/037/G/1</x:v>
      </x:c>
      <x:c r="C653" t="str">
        <x:v>Government medical College, Quthbullapur</x:v>
      </x:c>
      <x:c r="D653" t="str">
        <x:v>Government</x:v>
      </x:c>
      <x:c r="E653" t="n">
        <x:v>50</x:v>
      </x:c>
      <x:c r="F653" t="n">
        <x:v>0</x:v>
      </x:c>
      <x:c r="G653" t="n">
        <x:v>50</x:v>
      </x:c>
      <x:c r="H653" t="str">
        <x:v>903352</x:v>
      </x:c>
      <x:c r="I653" t="n">
        <x:v>7</x:v>
      </x:c>
      <x:c r="J653" t="n">
        <x:v>7</x:v>
      </x:c>
      <x:c r="K653" t="n">
        <x:v>43</x:v>
      </x:c>
      <x:c r="L653" s="20" t="n">
        <x:v>0.86</x:v>
      </x:c>
      <x:c r="M653" t="str">
        <x:v>High</x:v>
      </x:c>
      <x:c r="N653" t="str">
        <x:v>Approx. State/Non-MCC Pool</x:v>
      </x:c>
      <x:c r="O653" t="str">
        <x:v>Smaller state-counselling pool</x:v>
      </x:c>
      <x:c r="P653" t="n">
        <x:v>17464</x:v>
      </x:c>
      <x:c r="Q653" t="n">
        <x:v>18550</x:v>
      </x:c>
      <x:c r="R653" t="n">
        <x:v>25133</x:v>
      </x:c>
      <x:c r="S653" t="n">
        <x:v>92123</x:v>
      </x:c>
      <x:c r="T653" t="n">
        <x:v>102347</x:v>
      </x:c>
      <x:c r="U653" t="str">
        <x:v>Pending state Round-1 allotment/cutoff data</x:v>
      </x:c>
    </x:row>
    <x:row r="654">
      <x:c r="A654" t="str">
        <x:v>Telangana</x:v>
      </x:c>
      <x:c r="B654" t="str">
        <x:v>TS/007/P/4</x:v>
      </x:c>
      <x:c r="C654" t="str">
        <x:v>CMR Institute of Medical Science</x:v>
      </x:c>
      <x:c r="D654" t="str">
        <x:v>Private</x:v>
      </x:c>
      <x:c r="E654" t="n">
        <x:v>250</x:v>
      </x:c>
      <x:c r="F654" t="n">
        <x:v>0</x:v>
      </x:c>
      <x:c r="G654" t="n">
        <x:v>250</x:v>
      </x:c>
      <x:c r="H654"/>
      <x:c r="I654" t="n">
        <x:v>0</x:v>
      </x:c>
      <x:c r="J654" t="n">
        <x:v>0</x:v>
      </x:c>
      <x:c r="K654" t="n">
        <x:v>250</x:v>
      </x:c>
      <x:c r="L654" s="20" t="n">
        <x:v>1</x:v>
      </x:c>
      <x:c r="M654" t="str">
        <x:v>Variable</x:v>
      </x:c>
      <x:c r="N654" t="str">
        <x:v>Approx. Non-MCC Pool</x:v>
      </x:c>
      <x:c r="O654" t="str">
        <x:v>Large non-MCC pool; quota split varies by state</x:v>
      </x:c>
      <x:c r="P654"/>
      <x:c r="Q654"/>
      <x:c r="R654"/>
      <x:c r="S654"/>
      <x:c r="T654"/>
      <x:c r="U654" t="str">
        <x:v>Pending state Round-1 allotment/cutoff data</x:v>
      </x:c>
    </x:row>
    <x:row r="655">
      <x:c r="A655" t="str">
        <x:v>Telangana</x:v>
      </x:c>
      <x:c r="B655" t="str">
        <x:v>TS/054/P/3</x:v>
      </x:c>
      <x:c r="C655" t="str">
        <x:v>MNR Medical College &amp; Hospital, Sangareddy</x:v>
      </x:c>
      <x:c r="D655" t="str">
        <x:v>Private</x:v>
      </x:c>
      <x:c r="E655" t="n">
        <x:v>150</x:v>
      </x:c>
      <x:c r="F655" t="n">
        <x:v>100</x:v>
      </x:c>
      <x:c r="G655" t="n">
        <x:v>250</x:v>
      </x:c>
      <x:c r="H655"/>
      <x:c r="I655" t="n">
        <x:v>0</x:v>
      </x:c>
      <x:c r="J655" t="n">
        <x:v>0</x:v>
      </x:c>
      <x:c r="K655" t="n">
        <x:v>250</x:v>
      </x:c>
      <x:c r="L655" s="20" t="n">
        <x:v>1</x:v>
      </x:c>
      <x:c r="M655" t="str">
        <x:v>Variable</x:v>
      </x:c>
      <x:c r="N655" t="str">
        <x:v>Approx. Non-MCC Pool</x:v>
      </x:c>
      <x:c r="O655" t="str">
        <x:v>Expanded 2026 capacity; state/management split to verify</x:v>
      </x:c>
      <x:c r="P655"/>
      <x:c r="Q655"/>
      <x:c r="R655"/>
      <x:c r="S655"/>
      <x:c r="T655"/>
      <x:c r="U655" t="str">
        <x:v>Pending state Round-1 allotment/cutoff data</x:v>
      </x:c>
    </x:row>
    <x:row r="656">
      <x:c r="A656" t="str">
        <x:v>Telangana</x:v>
      </x:c>
      <x:c r="B656" t="str">
        <x:v>TS/048/P/4</x:v>
      </x:c>
      <x:c r="C656" t="str">
        <x:v>Maheshwara Medical College, Chitkul, Patancheru, Medak</x:v>
      </x:c>
      <x:c r="D656" t="str">
        <x:v>Private</x:v>
      </x:c>
      <x:c r="E656" t="n">
        <x:v>150</x:v>
      </x:c>
      <x:c r="F656" t="n">
        <x:v>100</x:v>
      </x:c>
      <x:c r="G656" t="n">
        <x:v>250</x:v>
      </x:c>
      <x:c r="H656"/>
      <x:c r="I656" t="n">
        <x:v>0</x:v>
      </x:c>
      <x:c r="J656" t="n">
        <x:v>0</x:v>
      </x:c>
      <x:c r="K656" t="n">
        <x:v>250</x:v>
      </x:c>
      <x:c r="L656" s="20" t="n">
        <x:v>1</x:v>
      </x:c>
      <x:c r="M656" t="str">
        <x:v>Variable</x:v>
      </x:c>
      <x:c r="N656" t="str">
        <x:v>Approx. Non-MCC Pool</x:v>
      </x:c>
      <x:c r="O656" t="str">
        <x:v>Expanded 2026 capacity; state/management split to verify</x:v>
      </x:c>
      <x:c r="P656"/>
      <x:c r="Q656"/>
      <x:c r="R656"/>
      <x:c r="S656"/>
      <x:c r="T656"/>
      <x:c r="U656" t="str">
        <x:v>Pending state Round-1 allotment/cutoff data</x:v>
      </x:c>
    </x:row>
    <x:row r="657">
      <x:c r="A657" t="str">
        <x:v>Telangana</x:v>
      </x:c>
      <x:c r="B657" t="str">
        <x:v>TS/056/P/4</x:v>
      </x:c>
      <x:c r="C657" t="str">
        <x:v>Nova Institute of Medical Sciences and Research Centre</x:v>
      </x:c>
      <x:c r="D657" t="str">
        <x:v>Private</x:v>
      </x:c>
      <x:c r="E657" t="n">
        <x:v>250</x:v>
      </x:c>
      <x:c r="F657" t="n">
        <x:v>0</x:v>
      </x:c>
      <x:c r="G657" t="n">
        <x:v>250</x:v>
      </x:c>
      <x:c r="H657"/>
      <x:c r="I657" t="n">
        <x:v>0</x:v>
      </x:c>
      <x:c r="J657" t="n">
        <x:v>0</x:v>
      </x:c>
      <x:c r="K657" t="n">
        <x:v>250</x:v>
      </x:c>
      <x:c r="L657" s="20" t="n">
        <x:v>1</x:v>
      </x:c>
      <x:c r="M657" t="str">
        <x:v>Variable</x:v>
      </x:c>
      <x:c r="N657" t="str">
        <x:v>Approx. Non-MCC Pool</x:v>
      </x:c>
      <x:c r="O657" t="str">
        <x:v>Large non-MCC pool; quota split varies by state</x:v>
      </x:c>
      <x:c r="P657"/>
      <x:c r="Q657"/>
      <x:c r="R657"/>
      <x:c r="S657"/>
      <x:c r="T657"/>
      <x:c r="U657" t="str">
        <x:v>Pending state Round-1 allotment/cutoff data</x:v>
      </x:c>
    </x:row>
    <x:row r="658">
      <x:c r="A658" t="str">
        <x:v>Telangana</x:v>
      </x:c>
      <x:c r="B658" t="str">
        <x:v>TS/058/P/4</x:v>
      </x:c>
      <x:c r="C658" t="str">
        <x:v>Prathima Institute Of Medical Sciences, Karimnagar</x:v>
      </x:c>
      <x:c r="D658" t="str">
        <x:v>Private</x:v>
      </x:c>
      <x:c r="E658" t="n">
        <x:v>250</x:v>
      </x:c>
      <x:c r="F658" t="n">
        <x:v>0</x:v>
      </x:c>
      <x:c r="G658" t="n">
        <x:v>250</x:v>
      </x:c>
      <x:c r="H658"/>
      <x:c r="I658" t="n">
        <x:v>0</x:v>
      </x:c>
      <x:c r="J658" t="n">
        <x:v>0</x:v>
      </x:c>
      <x:c r="K658" t="n">
        <x:v>250</x:v>
      </x:c>
      <x:c r="L658" s="20" t="n">
        <x:v>1</x:v>
      </x:c>
      <x:c r="M658" t="str">
        <x:v>Variable</x:v>
      </x:c>
      <x:c r="N658" t="str">
        <x:v>Approx. Non-MCC Pool</x:v>
      </x:c>
      <x:c r="O658" t="str">
        <x:v>Large non-MCC pool; quota split varies by state</x:v>
      </x:c>
      <x:c r="P658"/>
      <x:c r="Q658"/>
      <x:c r="R658"/>
      <x:c r="S658"/>
      <x:c r="T658"/>
      <x:c r="U658" t="str">
        <x:v>Pending state Round-1 allotment/cutoff data</x:v>
      </x:c>
    </x:row>
    <x:row r="659">
      <x:c r="A659" t="str">
        <x:v>Telangana</x:v>
      </x:c>
      <x:c r="B659" t="str">
        <x:v>TS/060/P/3</x:v>
      </x:c>
      <x:c r="C659" t="str">
        <x:v>R.V.M. Institute of Medical Sciences and Research Centre, Siddipet</x:v>
      </x:c>
      <x:c r="D659" t="str">
        <x:v>Private</x:v>
      </x:c>
      <x:c r="E659" t="n">
        <x:v>250</x:v>
      </x:c>
      <x:c r="F659" t="n">
        <x:v>0</x:v>
      </x:c>
      <x:c r="G659" t="n">
        <x:v>250</x:v>
      </x:c>
      <x:c r="H659"/>
      <x:c r="I659" t="n">
        <x:v>0</x:v>
      </x:c>
      <x:c r="J659" t="n">
        <x:v>0</x:v>
      </x:c>
      <x:c r="K659" t="n">
        <x:v>250</x:v>
      </x:c>
      <x:c r="L659" s="20" t="n">
        <x:v>1</x:v>
      </x:c>
      <x:c r="M659" t="str">
        <x:v>Variable</x:v>
      </x:c>
      <x:c r="N659" t="str">
        <x:v>Approx. Non-MCC Pool</x:v>
      </x:c>
      <x:c r="O659" t="str">
        <x:v>Large non-MCC pool; quota split varies by state</x:v>
      </x:c>
      <x:c r="P659"/>
      <x:c r="Q659"/>
      <x:c r="R659"/>
      <x:c r="S659"/>
      <x:c r="T659"/>
      <x:c r="U659" t="str">
        <x:v>Pending state Round-1 allotment/cutoff data</x:v>
      </x:c>
    </x:row>
    <x:row r="660">
      <x:c r="A660" t="str">
        <x:v>Telangana</x:v>
      </x:c>
      <x:c r="B660" t="str">
        <x:v>TS/063/P/4</x:v>
      </x:c>
      <x:c r="C660" t="str">
        <x:v>Shadan Institute of Medical Sciences,Research Centre and Teaching Hospital, Peerancheru</x:v>
      </x:c>
      <x:c r="D660" t="str">
        <x:v>Private</x:v>
      </x:c>
      <x:c r="E660" t="n">
        <x:v>150</x:v>
      </x:c>
      <x:c r="F660" t="n">
        <x:v>100</x:v>
      </x:c>
      <x:c r="G660" t="n">
        <x:v>250</x:v>
      </x:c>
      <x:c r="H660"/>
      <x:c r="I660" t="n">
        <x:v>0</x:v>
      </x:c>
      <x:c r="J660" t="n">
        <x:v>0</x:v>
      </x:c>
      <x:c r="K660" t="n">
        <x:v>250</x:v>
      </x:c>
      <x:c r="L660" s="20" t="n">
        <x:v>1</x:v>
      </x:c>
      <x:c r="M660" t="str">
        <x:v>Variable</x:v>
      </x:c>
      <x:c r="N660" t="str">
        <x:v>Approx. Non-MCC Pool</x:v>
      </x:c>
      <x:c r="O660" t="str">
        <x:v>Expanded 2026 capacity; state/management split to verify</x:v>
      </x:c>
      <x:c r="P660"/>
      <x:c r="Q660"/>
      <x:c r="R660"/>
      <x:c r="S660"/>
      <x:c r="T660"/>
      <x:c r="U660" t="str">
        <x:v>Pending state Round-1 allotment/cutoff data</x:v>
      </x:c>
    </x:row>
    <x:row r="661">
      <x:c r="A661" t="str">
        <x:v>Telangana</x:v>
      </x:c>
      <x:c r="B661" t="str">
        <x:v>TS/005/P/4</x:v>
      </x:c>
      <x:c r="C661" t="str">
        <x:v>Bhaskar Medical College, Yenkapally</x:v>
      </x:c>
      <x:c r="D661" t="str">
        <x:v>Private</x:v>
      </x:c>
      <x:c r="E661" t="n">
        <x:v>150</x:v>
      </x:c>
      <x:c r="F661" t="n">
        <x:v>50</x:v>
      </x:c>
      <x:c r="G661" t="n">
        <x:v>200</x:v>
      </x:c>
      <x:c r="H661"/>
      <x:c r="I661" t="n">
        <x:v>0</x:v>
      </x:c>
      <x:c r="J661" t="n">
        <x:v>0</x:v>
      </x:c>
      <x:c r="K661" t="n">
        <x:v>200</x:v>
      </x:c>
      <x:c r="L661" s="20" t="n">
        <x:v>1</x:v>
      </x:c>
      <x:c r="M661" t="str">
        <x:v>Variable</x:v>
      </x:c>
      <x:c r="N661" t="str">
        <x:v>Approx. Non-MCC Pool</x:v>
      </x:c>
      <x:c r="O661" t="str">
        <x:v>Expanded 2026 capacity; state/management split to verify</x:v>
      </x:c>
      <x:c r="P661"/>
      <x:c r="Q661"/>
      <x:c r="R661"/>
      <x:c r="S661"/>
      <x:c r="T661"/>
      <x:c r="U661" t="str">
        <x:v>Pending state Round-1 allotment/cutoff data</x:v>
      </x:c>
    </x:row>
    <x:row r="662">
      <x:c r="A662" t="str">
        <x:v>Telangana</x:v>
      </x:c>
      <x:c r="B662" t="str">
        <x:v>TS/006/P/4</x:v>
      </x:c>
      <x:c r="C662" t="str">
        <x:v>Chalmeda Anand Rao Institute Of Medical Sciences, Karimnagar</x:v>
      </x:c>
      <x:c r="D662" t="str">
        <x:v>Private</x:v>
      </x:c>
      <x:c r="E662" t="n">
        <x:v>200</x:v>
      </x:c>
      <x:c r="F662" t="n">
        <x:v>0</x:v>
      </x:c>
      <x:c r="G662" t="n">
        <x:v>200</x:v>
      </x:c>
      <x:c r="H662"/>
      <x:c r="I662" t="n">
        <x:v>0</x:v>
      </x:c>
      <x:c r="J662" t="n">
        <x:v>0</x:v>
      </x:c>
      <x:c r="K662" t="n">
        <x:v>200</x:v>
      </x:c>
      <x:c r="L662" s="20" t="n">
        <x:v>1</x:v>
      </x:c>
      <x:c r="M662" t="str">
        <x:v>Variable</x:v>
      </x:c>
      <x:c r="N662" t="str">
        <x:v>Approx. Non-MCC Pool</x:v>
      </x:c>
      <x:c r="O662" t="str">
        <x:v>Large non-MCC pool; quota split varies by state</x:v>
      </x:c>
      <x:c r="P662"/>
      <x:c r="Q662"/>
      <x:c r="R662"/>
      <x:c r="S662"/>
      <x:c r="T662"/>
      <x:c r="U662" t="str">
        <x:v>Pending state Round-1 allotment/cutoff data</x:v>
      </x:c>
    </x:row>
    <x:row r="663">
      <x:c r="A663" t="str">
        <x:v>Telangana</x:v>
      </x:c>
      <x:c r="B663" t="str">
        <x:v>TS/009/P/4</x:v>
      </x:c>
      <x:c r="C663" t="str">
        <x:v>Dr. Patnam Mahender Reddy Institute of Medical Sciences, Chevella, Rangareddy</x:v>
      </x:c>
      <x:c r="D663" t="str">
        <x:v>Private</x:v>
      </x:c>
      <x:c r="E663" t="n">
        <x:v>200</x:v>
      </x:c>
      <x:c r="F663" t="n">
        <x:v>0</x:v>
      </x:c>
      <x:c r="G663" t="n">
        <x:v>200</x:v>
      </x:c>
      <x:c r="H663"/>
      <x:c r="I663" t="n">
        <x:v>0</x:v>
      </x:c>
      <x:c r="J663" t="n">
        <x:v>0</x:v>
      </x:c>
      <x:c r="K663" t="n">
        <x:v>200</x:v>
      </x:c>
      <x:c r="L663" s="20" t="n">
        <x:v>1</x:v>
      </x:c>
      <x:c r="M663" t="str">
        <x:v>Variable</x:v>
      </x:c>
      <x:c r="N663" t="str">
        <x:v>Approx. Non-MCC Pool</x:v>
      </x:c>
      <x:c r="O663" t="str">
        <x:v>Large non-MCC pool; quota split varies by state</x:v>
      </x:c>
      <x:c r="P663"/>
      <x:c r="Q663"/>
      <x:c r="R663"/>
      <x:c r="S663"/>
      <x:c r="T663"/>
      <x:c r="U663" t="str">
        <x:v>Pending state Round-1 allotment/cutoff data</x:v>
      </x:c>
    </x:row>
    <x:row r="664">
      <x:c r="A664" t="str">
        <x:v>Telangana</x:v>
      </x:c>
      <x:c r="B664" t="str">
        <x:v>TS/046/P/4</x:v>
      </x:c>
      <x:c r="C664" t="str">
        <x:v>Kamineni Institute of Medical Sciences, Narketpally</x:v>
      </x:c>
      <x:c r="D664" t="str">
        <x:v>Private</x:v>
      </x:c>
      <x:c r="E664" t="n">
        <x:v>200</x:v>
      </x:c>
      <x:c r="F664" t="n">
        <x:v>0</x:v>
      </x:c>
      <x:c r="G664" t="n">
        <x:v>200</x:v>
      </x:c>
      <x:c r="H664"/>
      <x:c r="I664" t="n">
        <x:v>0</x:v>
      </x:c>
      <x:c r="J664" t="n">
        <x:v>0</x:v>
      </x:c>
      <x:c r="K664" t="n">
        <x:v>200</x:v>
      </x:c>
      <x:c r="L664" s="20" t="n">
        <x:v>1</x:v>
      </x:c>
      <x:c r="M664" t="str">
        <x:v>Variable</x:v>
      </x:c>
      <x:c r="N664" t="str">
        <x:v>Approx. Non-MCC Pool</x:v>
      </x:c>
      <x:c r="O664" t="str">
        <x:v>Large non-MCC pool; quota split varies by state</x:v>
      </x:c>
      <x:c r="P664"/>
      <x:c r="Q664"/>
      <x:c r="R664"/>
      <x:c r="S664"/>
      <x:c r="T664"/>
      <x:c r="U664" t="str">
        <x:v>Pending state Round-1 allotment/cutoff data</x:v>
      </x:c>
    </x:row>
    <x:row r="665">
      <x:c r="A665" t="str">
        <x:v>Telangana</x:v>
      </x:c>
      <x:c r="B665" t="str">
        <x:v>TS/047/P/3</x:v>
      </x:c>
      <x:c r="C665" t="str">
        <x:v>Mahavir Institute of Medical Sciences, Vikarabad, Telengana</x:v>
      </x:c>
      <x:c r="D665" t="str">
        <x:v>Private</x:v>
      </x:c>
      <x:c r="E665" t="n">
        <x:v>200</x:v>
      </x:c>
      <x:c r="F665" t="n">
        <x:v>0</x:v>
      </x:c>
      <x:c r="G665" t="n">
        <x:v>200</x:v>
      </x:c>
      <x:c r="H665"/>
      <x:c r="I665" t="n">
        <x:v>0</x:v>
      </x:c>
      <x:c r="J665" t="n">
        <x:v>0</x:v>
      </x:c>
      <x:c r="K665" t="n">
        <x:v>200</x:v>
      </x:c>
      <x:c r="L665" s="20" t="n">
        <x:v>1</x:v>
      </x:c>
      <x:c r="M665" t="str">
        <x:v>Variable</x:v>
      </x:c>
      <x:c r="N665" t="str">
        <x:v>Approx. Non-MCC Pool</x:v>
      </x:c>
      <x:c r="O665" t="str">
        <x:v>Large non-MCC pool; quota split varies by state</x:v>
      </x:c>
      <x:c r="P665"/>
      <x:c r="Q665"/>
      <x:c r="R665"/>
      <x:c r="S665"/>
      <x:c r="T665"/>
      <x:c r="U665" t="str">
        <x:v>Pending state Round-1 allotment/cutoff data</x:v>
      </x:c>
    </x:row>
    <x:row r="666">
      <x:c r="A666" t="str">
        <x:v>Telangana</x:v>
      </x:c>
      <x:c r="B666" t="str">
        <x:v>TS/051/P/4</x:v>
      </x:c>
      <x:c r="C666" t="str">
        <x:v>Mamata Academy of Medical Sciences, Bachupally</x:v>
      </x:c>
      <x:c r="D666" t="str">
        <x:v>Private</x:v>
      </x:c>
      <x:c r="E666" t="n">
        <x:v>150</x:v>
      </x:c>
      <x:c r="F666" t="n">
        <x:v>50</x:v>
      </x:c>
      <x:c r="G666" t="n">
        <x:v>200</x:v>
      </x:c>
      <x:c r="H666"/>
      <x:c r="I666" t="n">
        <x:v>0</x:v>
      </x:c>
      <x:c r="J666" t="n">
        <x:v>0</x:v>
      </x:c>
      <x:c r="K666" t="n">
        <x:v>200</x:v>
      </x:c>
      <x:c r="L666" s="20" t="n">
        <x:v>1</x:v>
      </x:c>
      <x:c r="M666" t="str">
        <x:v>Variable</x:v>
      </x:c>
      <x:c r="N666" t="str">
        <x:v>Approx. Non-MCC Pool</x:v>
      </x:c>
      <x:c r="O666" t="str">
        <x:v>Expanded 2026 capacity; state/management split to verify</x:v>
      </x:c>
      <x:c r="P666"/>
      <x:c r="Q666"/>
      <x:c r="R666"/>
      <x:c r="S666"/>
      <x:c r="T666"/>
      <x:c r="U666" t="str">
        <x:v>Pending state Round-1 allotment/cutoff data</x:v>
      </x:c>
    </x:row>
    <x:row r="667">
      <x:c r="A667" t="str">
        <x:v>Telangana</x:v>
      </x:c>
      <x:c r="B667" t="str">
        <x:v>TS/052/P/4</x:v>
      </x:c>
      <x:c r="C667" t="str">
        <x:v>Mamata Medical College, Khammam</x:v>
      </x:c>
      <x:c r="D667" t="str">
        <x:v>Private</x:v>
      </x:c>
      <x:c r="E667" t="n">
        <x:v>200</x:v>
      </x:c>
      <x:c r="F667" t="n">
        <x:v>0</x:v>
      </x:c>
      <x:c r="G667" t="n">
        <x:v>200</x:v>
      </x:c>
      <x:c r="H667"/>
      <x:c r="I667" t="n">
        <x:v>0</x:v>
      </x:c>
      <x:c r="J667" t="n">
        <x:v>0</x:v>
      </x:c>
      <x:c r="K667" t="n">
        <x:v>200</x:v>
      </x:c>
      <x:c r="L667" s="20" t="n">
        <x:v>1</x:v>
      </x:c>
      <x:c r="M667" t="str">
        <x:v>Variable</x:v>
      </x:c>
      <x:c r="N667" t="str">
        <x:v>Approx. Non-MCC Pool</x:v>
      </x:c>
      <x:c r="O667" t="str">
        <x:v>Large non-MCC pool; quota split varies by state</x:v>
      </x:c>
      <x:c r="P667"/>
      <x:c r="Q667"/>
      <x:c r="R667"/>
      <x:c r="S667"/>
      <x:c r="T667"/>
      <x:c r="U667" t="str">
        <x:v>Pending state Round-1 allotment/cutoff data</x:v>
      </x:c>
    </x:row>
    <x:row r="668">
      <x:c r="A668" t="str">
        <x:v>Telangana</x:v>
      </x:c>
      <x:c r="B668" t="str">
        <x:v>TS/055/P/3</x:v>
      </x:c>
      <x:c r="C668" t="str">
        <x:v>NEELIMA INSTITUTE OF MEDICAL SCIENCES</x:v>
      </x:c>
      <x:c r="D668" t="str">
        <x:v>Private</x:v>
      </x:c>
      <x:c r="E668" t="n">
        <x:v>200</x:v>
      </x:c>
      <x:c r="F668" t="n">
        <x:v>0</x:v>
      </x:c>
      <x:c r="G668" t="n">
        <x:v>200</x:v>
      </x:c>
      <x:c r="H668"/>
      <x:c r="I668" t="n">
        <x:v>0</x:v>
      </x:c>
      <x:c r="J668" t="n">
        <x:v>0</x:v>
      </x:c>
      <x:c r="K668" t="n">
        <x:v>200</x:v>
      </x:c>
      <x:c r="L668" s="20" t="n">
        <x:v>1</x:v>
      </x:c>
      <x:c r="M668" t="str">
        <x:v>Variable</x:v>
      </x:c>
      <x:c r="N668" t="str">
        <x:v>Approx. Non-MCC Pool</x:v>
      </x:c>
      <x:c r="O668" t="str">
        <x:v>Large non-MCC pool; quota split varies by state</x:v>
      </x:c>
      <x:c r="P668"/>
      <x:c r="Q668"/>
      <x:c r="R668"/>
      <x:c r="S668"/>
      <x:c r="T668"/>
      <x:c r="U668" t="str">
        <x:v>Pending state Round-1 allotment/cutoff data</x:v>
      </x:c>
    </x:row>
    <x:row r="669">
      <x:c r="A669" t="str">
        <x:v>Telangana</x:v>
      </x:c>
      <x:c r="B669" t="str">
        <x:v>TS/062/P/4</x:v>
      </x:c>
      <x:c r="C669" t="str">
        <x:v>S V S Medical College, Mehboobnagar</x:v>
      </x:c>
      <x:c r="D669" t="str">
        <x:v>Private</x:v>
      </x:c>
      <x:c r="E669" t="n">
        <x:v>150</x:v>
      </x:c>
      <x:c r="F669" t="n">
        <x:v>50</x:v>
      </x:c>
      <x:c r="G669" t="n">
        <x:v>200</x:v>
      </x:c>
      <x:c r="H669"/>
      <x:c r="I669" t="n">
        <x:v>0</x:v>
      </x:c>
      <x:c r="J669" t="n">
        <x:v>0</x:v>
      </x:c>
      <x:c r="K669" t="n">
        <x:v>200</x:v>
      </x:c>
      <x:c r="L669" s="20" t="n">
        <x:v>1</x:v>
      </x:c>
      <x:c r="M669" t="str">
        <x:v>Variable</x:v>
      </x:c>
      <x:c r="N669" t="str">
        <x:v>Approx. Non-MCC Pool</x:v>
      </x:c>
      <x:c r="O669" t="str">
        <x:v>Expanded 2026 capacity; state/management split to verify</x:v>
      </x:c>
      <x:c r="P669"/>
      <x:c r="Q669"/>
      <x:c r="R669"/>
      <x:c r="S669"/>
      <x:c r="T669"/>
      <x:c r="U669" t="str">
        <x:v>Pending state Round-1 allotment/cutoff data</x:v>
      </x:c>
    </x:row>
    <x:row r="670">
      <x:c r="A670" t="str">
        <x:v>Telangana</x:v>
      </x:c>
      <x:c r="B670" t="str">
        <x:v>TS/064/P/4</x:v>
      </x:c>
      <x:c r="C670" t="str">
        <x:v>Surabhi Institute of Medical Sciences, Siddipet, Telangana</x:v>
      </x:c>
      <x:c r="D670" t="str">
        <x:v>Private</x:v>
      </x:c>
      <x:c r="E670" t="n">
        <x:v>200</x:v>
      </x:c>
      <x:c r="F670" t="n">
        <x:v>0</x:v>
      </x:c>
      <x:c r="G670" t="n">
        <x:v>200</x:v>
      </x:c>
      <x:c r="H670"/>
      <x:c r="I670" t="n">
        <x:v>0</x:v>
      </x:c>
      <x:c r="J670" t="n">
        <x:v>0</x:v>
      </x:c>
      <x:c r="K670" t="n">
        <x:v>200</x:v>
      </x:c>
      <x:c r="L670" s="20" t="n">
        <x:v>1</x:v>
      </x:c>
      <x:c r="M670" t="str">
        <x:v>Variable</x:v>
      </x:c>
      <x:c r="N670" t="str">
        <x:v>Approx. Non-MCC Pool</x:v>
      </x:c>
      <x:c r="O670" t="str">
        <x:v>Large non-MCC pool; quota split varies by state</x:v>
      </x:c>
      <x:c r="P670"/>
      <x:c r="Q670"/>
      <x:c r="R670"/>
      <x:c r="S670"/>
      <x:c r="T670"/>
      <x:c r="U670" t="str">
        <x:v>Pending state Round-1 allotment/cutoff data</x:v>
      </x:c>
    </x:row>
    <x:row r="671">
      <x:c r="A671" t="str">
        <x:v>Telangana</x:v>
      </x:c>
      <x:c r="B671" t="str">
        <x:v>TS/001/P/4</x:v>
      </x:c>
      <x:c r="C671" t="str">
        <x:v>Apollo Institute of Medical Sciences and Research, Hyderabad</x:v>
      </x:c>
      <x:c r="D671" t="str">
        <x:v>Private</x:v>
      </x:c>
      <x:c r="E671" t="n">
        <x:v>150</x:v>
      </x:c>
      <x:c r="F671" t="n">
        <x:v>0</x:v>
      </x:c>
      <x:c r="G671" t="n">
        <x:v>150</x:v>
      </x:c>
      <x:c r="H671"/>
      <x:c r="I671" t="n">
        <x:v>0</x:v>
      </x:c>
      <x:c r="J671" t="n">
        <x:v>0</x:v>
      </x:c>
      <x:c r="K671" t="n">
        <x:v>150</x:v>
      </x:c>
      <x:c r="L671" s="20" t="n">
        <x:v>1</x:v>
      </x:c>
      <x:c r="M671" t="str">
        <x:v>Variable</x:v>
      </x:c>
      <x:c r="N671" t="str">
        <x:v>Approx. Non-MCC Pool</x:v>
      </x:c>
      <x:c r="O671" t="str">
        <x:v>Large non-MCC pool; quota split varies by state</x:v>
      </x:c>
      <x:c r="P671"/>
      <x:c r="Q671"/>
      <x:c r="R671"/>
      <x:c r="S671"/>
      <x:c r="T671"/>
      <x:c r="U671" t="str">
        <x:v>Pending state Round-1 allotment/cutoff data</x:v>
      </x:c>
    </x:row>
    <x:row r="672">
      <x:c r="A672" t="str">
        <x:v>Telangana</x:v>
      </x:c>
      <x:c r="B672" t="str">
        <x:v>TS/002/P/4</x:v>
      </x:c>
      <x:c r="C672" t="str">
        <x:v>Arundathi Institute of Medical Sciences, Medchal</x:v>
      </x:c>
      <x:c r="D672" t="str">
        <x:v>Private</x:v>
      </x:c>
      <x:c r="E672" t="n">
        <x:v>150</x:v>
      </x:c>
      <x:c r="F672" t="n">
        <x:v>0</x:v>
      </x:c>
      <x:c r="G672" t="n">
        <x:v>150</x:v>
      </x:c>
      <x:c r="H672"/>
      <x:c r="I672" t="n">
        <x:v>0</x:v>
      </x:c>
      <x:c r="J672" t="n">
        <x:v>0</x:v>
      </x:c>
      <x:c r="K672" t="n">
        <x:v>150</x:v>
      </x:c>
      <x:c r="L672" s="20" t="n">
        <x:v>1</x:v>
      </x:c>
      <x:c r="M672" t="str">
        <x:v>Variable</x:v>
      </x:c>
      <x:c r="N672" t="str">
        <x:v>Approx. Non-MCC Pool</x:v>
      </x:c>
      <x:c r="O672" t="str">
        <x:v>Large non-MCC pool; quota split varies by state</x:v>
      </x:c>
      <x:c r="P672"/>
      <x:c r="Q672"/>
      <x:c r="R672"/>
      <x:c r="S672"/>
      <x:c r="T672"/>
      <x:c r="U672" t="str">
        <x:v>Pending state Round-1 allotment/cutoff data</x:v>
      </x:c>
    </x:row>
    <x:row r="673">
      <x:c r="A673" t="str">
        <x:v>Telangana</x:v>
      </x:c>
      <x:c r="B673" t="str">
        <x:v>TS/004/P/4</x:v>
      </x:c>
      <x:c r="C673" t="str">
        <x:v>Ayaan Institute of Medical Sciences, Teaching Hospital &amp; Research Centre, Kanaka Mamidi, R.R. Dist</x:v>
      </x:c>
      <x:c r="D673" t="str">
        <x:v>Private</x:v>
      </x:c>
      <x:c r="E673" t="n">
        <x:v>150</x:v>
      </x:c>
      <x:c r="F673" t="n">
        <x:v>0</x:v>
      </x:c>
      <x:c r="G673" t="n">
        <x:v>150</x:v>
      </x:c>
      <x:c r="H673"/>
      <x:c r="I673" t="n">
        <x:v>0</x:v>
      </x:c>
      <x:c r="J673" t="n">
        <x:v>0</x:v>
      </x:c>
      <x:c r="K673" t="n">
        <x:v>150</x:v>
      </x:c>
      <x:c r="L673" s="20" t="n">
        <x:v>1</x:v>
      </x:c>
      <x:c r="M673" t="str">
        <x:v>Variable</x:v>
      </x:c>
      <x:c r="N673" t="str">
        <x:v>Approx. Non-MCC Pool</x:v>
      </x:c>
      <x:c r="O673" t="str">
        <x:v>Large non-MCC pool; quota split varies by state</x:v>
      </x:c>
      <x:c r="P673"/>
      <x:c r="Q673"/>
      <x:c r="R673"/>
      <x:c r="S673"/>
      <x:c r="T673"/>
      <x:c r="U673" t="str">
        <x:v>Pending state Round-1 allotment/cutoff data</x:v>
      </x:c>
    </x:row>
    <x:row r="674">
      <x:c r="A674" t="str">
        <x:v>Telangana</x:v>
      </x:c>
      <x:c r="B674" t="str">
        <x:v>TS/008/P/3</x:v>
      </x:c>
      <x:c r="C674" t="str">
        <x:v>Deccan College of Medical Sciences</x:v>
      </x:c>
      <x:c r="D674" t="str">
        <x:v>Private</x:v>
      </x:c>
      <x:c r="E674" t="n">
        <x:v>150</x:v>
      </x:c>
      <x:c r="F674" t="n">
        <x:v>0</x:v>
      </x:c>
      <x:c r="G674" t="n">
        <x:v>150</x:v>
      </x:c>
      <x:c r="H674"/>
      <x:c r="I674" t="n">
        <x:v>0</x:v>
      </x:c>
      <x:c r="J674" t="n">
        <x:v>0</x:v>
      </x:c>
      <x:c r="K674" t="n">
        <x:v>150</x:v>
      </x:c>
      <x:c r="L674" s="20" t="n">
        <x:v>1</x:v>
      </x:c>
      <x:c r="M674" t="str">
        <x:v>Variable</x:v>
      </x:c>
      <x:c r="N674" t="str">
        <x:v>Approx. Non-MCC Pool</x:v>
      </x:c>
      <x:c r="O674" t="str">
        <x:v>Large non-MCC pool; quota split varies by state</x:v>
      </x:c>
      <x:c r="P674"/>
      <x:c r="Q674"/>
      <x:c r="R674"/>
      <x:c r="S674"/>
      <x:c r="T674"/>
      <x:c r="U674" t="str">
        <x:v>Pending state Round-1 allotment/cutoff data</x:v>
      </x:c>
    </x:row>
    <x:row r="675">
      <x:c r="A675" t="str">
        <x:v>Telangana</x:v>
      </x:c>
      <x:c r="B675" t="str">
        <x:v>TS/012/P/3</x:v>
      </x:c>
      <x:c r="C675" t="str">
        <x:v>Father Colombo Institute of Medical Sciences, Warangal</x:v>
      </x:c>
      <x:c r="D675" t="str">
        <x:v>Private</x:v>
      </x:c>
      <x:c r="E675" t="n">
        <x:v>150</x:v>
      </x:c>
      <x:c r="F675" t="n">
        <x:v>0</x:v>
      </x:c>
      <x:c r="G675" t="n">
        <x:v>150</x:v>
      </x:c>
      <x:c r="H675"/>
      <x:c r="I675" t="n">
        <x:v>0</x:v>
      </x:c>
      <x:c r="J675" t="n">
        <x:v>0</x:v>
      </x:c>
      <x:c r="K675" t="n">
        <x:v>150</x:v>
      </x:c>
      <x:c r="L675" s="20" t="n">
        <x:v>1</x:v>
      </x:c>
      <x:c r="M675" t="str">
        <x:v>Variable</x:v>
      </x:c>
      <x:c r="N675" t="str">
        <x:v>Approx. Non-MCC Pool</x:v>
      </x:c>
      <x:c r="O675" t="str">
        <x:v>Large non-MCC pool; quota split varies by state</x:v>
      </x:c>
      <x:c r="P675"/>
      <x:c r="Q675"/>
      <x:c r="R675"/>
      <x:c r="S675"/>
      <x:c r="T675"/>
      <x:c r="U675" t="str">
        <x:v>Pending state Round-1 allotment/cutoff data</x:v>
      </x:c>
    </x:row>
    <x:row r="676">
      <x:c r="A676" t="str">
        <x:v>Telangana</x:v>
      </x:c>
      <x:c r="B676" t="str">
        <x:v>TS/045/P/4</x:v>
      </x:c>
      <x:c r="C676" t="str">
        <x:v>Kamineni Academy of Medical Sciences &amp; Research Center, Hyderabad</x:v>
      </x:c>
      <x:c r="D676" t="str">
        <x:v>Private</x:v>
      </x:c>
      <x:c r="E676" t="n">
        <x:v>150</x:v>
      </x:c>
      <x:c r="F676" t="n">
        <x:v>0</x:v>
      </x:c>
      <x:c r="G676" t="n">
        <x:v>150</x:v>
      </x:c>
      <x:c r="H676"/>
      <x:c r="I676" t="n">
        <x:v>0</x:v>
      </x:c>
      <x:c r="J676" t="n">
        <x:v>0</x:v>
      </x:c>
      <x:c r="K676" t="n">
        <x:v>150</x:v>
      </x:c>
      <x:c r="L676" s="20" t="n">
        <x:v>1</x:v>
      </x:c>
      <x:c r="M676" t="str">
        <x:v>Variable</x:v>
      </x:c>
      <x:c r="N676" t="str">
        <x:v>Approx. Non-MCC Pool</x:v>
      </x:c>
      <x:c r="O676" t="str">
        <x:v>Large non-MCC pool; quota split varies by state</x:v>
      </x:c>
      <x:c r="P676"/>
      <x:c r="Q676"/>
      <x:c r="R676"/>
      <x:c r="S676"/>
      <x:c r="T676"/>
      <x:c r="U676" t="str">
        <x:v>Pending state Round-1 allotment/cutoff data</x:v>
      </x:c>
    </x:row>
    <x:row r="677">
      <x:c r="A677" t="str">
        <x:v>Telangana</x:v>
      </x:c>
      <x:c r="B677" t="str">
        <x:v>TS/053/P/5</x:v>
      </x:c>
      <x:c r="C677" t="str">
        <x:v>Mediciti Institute Of Medical Sciences, Ghanpur</x:v>
      </x:c>
      <x:c r="D677" t="str">
        <x:v>Private</x:v>
      </x:c>
      <x:c r="E677" t="n">
        <x:v>150</x:v>
      </x:c>
      <x:c r="F677" t="n">
        <x:v>0</x:v>
      </x:c>
      <x:c r="G677" t="n">
        <x:v>150</x:v>
      </x:c>
      <x:c r="H677"/>
      <x:c r="I677" t="n">
        <x:v>0</x:v>
      </x:c>
      <x:c r="J677" t="n">
        <x:v>0</x:v>
      </x:c>
      <x:c r="K677" t="n">
        <x:v>150</x:v>
      </x:c>
      <x:c r="L677" s="20" t="n">
        <x:v>1</x:v>
      </x:c>
      <x:c r="M677" t="str">
        <x:v>Variable</x:v>
      </x:c>
      <x:c r="N677" t="str">
        <x:v>Approx. Non-MCC Pool</x:v>
      </x:c>
      <x:c r="O677" t="str">
        <x:v>Large non-MCC pool; quota split varies by state</x:v>
      </x:c>
      <x:c r="P677"/>
      <x:c r="Q677"/>
      <x:c r="R677"/>
      <x:c r="S677"/>
      <x:c r="T677"/>
      <x:c r="U677" t="str">
        <x:v>Pending state Round-1 allotment/cutoff data</x:v>
      </x:c>
    </x:row>
    <x:row r="678">
      <x:c r="A678" t="str">
        <x:v>Telangana</x:v>
      </x:c>
      <x:c r="B678" t="str">
        <x:v>TS/059/P/3</x:v>
      </x:c>
      <x:c r="C678" t="str">
        <x:v>Prathima Relief Institute of Medical Sciences, Warangal</x:v>
      </x:c>
      <x:c r="D678" t="str">
        <x:v>Private</x:v>
      </x:c>
      <x:c r="E678" t="n">
        <x:v>150</x:v>
      </x:c>
      <x:c r="F678" t="n">
        <x:v>0</x:v>
      </x:c>
      <x:c r="G678" t="n">
        <x:v>150</x:v>
      </x:c>
      <x:c r="H678"/>
      <x:c r="I678" t="n">
        <x:v>0</x:v>
      </x:c>
      <x:c r="J678" t="n">
        <x:v>0</x:v>
      </x:c>
      <x:c r="K678" t="n">
        <x:v>150</x:v>
      </x:c>
      <x:c r="L678" s="20" t="n">
        <x:v>1</x:v>
      </x:c>
      <x:c r="M678" t="str">
        <x:v>Variable</x:v>
      </x:c>
      <x:c r="N678" t="str">
        <x:v>Approx. Non-MCC Pool</x:v>
      </x:c>
      <x:c r="O678" t="str">
        <x:v>Large non-MCC pool; quota split varies by state</x:v>
      </x:c>
      <x:c r="P678"/>
      <x:c r="Q678"/>
      <x:c r="R678"/>
      <x:c r="S678"/>
      <x:c r="T678"/>
      <x:c r="U678" t="str">
        <x:v>Pending state Round-1 allotment/cutoff data</x:v>
      </x:c>
    </x:row>
    <x:row r="679">
      <x:c r="A679" t="str">
        <x:v>Telangana</x:v>
      </x:c>
      <x:c r="B679" t="str">
        <x:v>TS/065/P/4</x:v>
      </x:c>
      <x:c r="C679" t="str">
        <x:v>TRR Institute of Medical Sciences, patancheru</x:v>
      </x:c>
      <x:c r="D679" t="str">
        <x:v>Private</x:v>
      </x:c>
      <x:c r="E679" t="n">
        <x:v>150</x:v>
      </x:c>
      <x:c r="F679" t="n">
        <x:v>0</x:v>
      </x:c>
      <x:c r="G679" t="n">
        <x:v>150</x:v>
      </x:c>
      <x:c r="H679"/>
      <x:c r="I679" t="n">
        <x:v>0</x:v>
      </x:c>
      <x:c r="J679" t="n">
        <x:v>0</x:v>
      </x:c>
      <x:c r="K679" t="n">
        <x:v>150</x:v>
      </x:c>
      <x:c r="L679" s="20" t="n">
        <x:v>1</x:v>
      </x:c>
      <x:c r="M679" t="str">
        <x:v>Variable</x:v>
      </x:c>
      <x:c r="N679" t="str">
        <x:v>Approx. Non-MCC Pool</x:v>
      </x:c>
      <x:c r="O679" t="str">
        <x:v>Large non-MCC pool; quota split varies by state</x:v>
      </x:c>
      <x:c r="P679"/>
      <x:c r="Q679"/>
      <x:c r="R679"/>
      <x:c r="S679"/>
      <x:c r="T679"/>
      <x:c r="U679" t="str">
        <x:v>Pending state Round-1 allotment/cutoff data</x:v>
      </x:c>
    </x:row>
    <x:row r="680">
      <x:c r="A680" t="str">
        <x:v>Telangana</x:v>
      </x:c>
      <x:c r="B680" t="str">
        <x:v>New Establishment</x:v>
      </x:c>
      <x:c r="C680" t="str">
        <x:v>RAJA RAJESHWARI INSTITUTE OF MEDICAL SCIENCES-GIRLS</x:v>
      </x:c>
      <x:c r="D680" t="str">
        <x:v>Private</x:v>
      </x:c>
      <x:c r="E680" t="n">
        <x:v>0</x:v>
      </x:c>
      <x:c r="F680" t="n">
        <x:v>150</x:v>
      </x:c>
      <x:c r="G680" t="n">
        <x:v>150</x:v>
      </x:c>
      <x:c r="H680" t="str">
        <x:v>904744</x:v>
      </x:c>
      <x:c r="I680" t="n">
        <x:v>15</x:v>
      </x:c>
      <x:c r="J680" t="n">
        <x:v>15</x:v>
      </x:c>
      <x:c r="K680" t="n">
        <x:v>135</x:v>
      </x:c>
      <x:c r="L680" s="20" t="n">
        <x:v>0.9</x:v>
      </x:c>
      <x:c r="M680" t="str">
        <x:v>Variable</x:v>
      </x:c>
      <x:c r="N680" t="str">
        <x:v>Approx. Non-MCC Pool</x:v>
      </x:c>
      <x:c r="O680" t="str">
        <x:v>Expanded 2026 capacity; state/management split to verify</x:v>
      </x:c>
      <x:c r="P680" t="n">
        <x:v>19127</x:v>
      </x:c>
      <x:c r="Q680" t="n">
        <x:v>22142</x:v>
      </x:c>
      <x:c r="R680" t="n">
        <x:v>21393</x:v>
      </x:c>
      <x:c r="S680" t="n">
        <x:v>82876</x:v>
      </x:c>
      <x:c r="T680" t="n">
        <x:v>72645</x:v>
      </x:c>
      <x:c r="U680" t="str">
        <x:v>Pending state Round-1 allotment/cutoff data</x:v>
      </x:c>
    </x:row>
    <x:row r="681">
      <x:c r="A681" t="str">
        <x:v>Telangana</x:v>
      </x:c>
      <x:c r="B681" t="str">
        <x:v>TS/010/P/3</x:v>
      </x:c>
      <x:c r="C681" t="str">
        <x:v>Dr. VRK Womens Medical College, Aziznagar</x:v>
      </x:c>
      <x:c r="D681" t="str">
        <x:v>Private</x:v>
      </x:c>
      <x:c r="E681" t="n">
        <x:v>100</x:v>
      </x:c>
      <x:c r="F681" t="n">
        <x:v>0</x:v>
      </x:c>
      <x:c r="G681" t="n">
        <x:v>100</x:v>
      </x:c>
      <x:c r="H681"/>
      <x:c r="I681" t="n">
        <x:v>0</x:v>
      </x:c>
      <x:c r="J681" t="n">
        <x:v>0</x:v>
      </x:c>
      <x:c r="K681" t="n">
        <x:v>100</x:v>
      </x:c>
      <x:c r="L681" s="20" t="n">
        <x:v>1</x:v>
      </x:c>
      <x:c r="M681" t="str">
        <x:v>Variable</x:v>
      </x:c>
      <x:c r="N681" t="str">
        <x:v>Approx. Non-MCC Pool</x:v>
      </x:c>
      <x:c r="O681" t="str">
        <x:v>State/management/NRI split must be verified</x:v>
      </x:c>
      <x:c r="P681"/>
      <x:c r="Q681"/>
      <x:c r="R681"/>
      <x:c r="S681"/>
      <x:c r="T681"/>
      <x:c r="U681" t="str">
        <x:v>Pending state Round-1 allotment/cutoff data</x:v>
      </x:c>
    </x:row>
    <x:row r="682">
      <x:c r="A682" t="str">
        <x:v>Telangana</x:v>
      </x:c>
      <x:c r="B682" t="str">
        <x:v>TS/049/P/4</x:v>
      </x:c>
      <x:c r="C682" t="str">
        <x:v>Malla Reddy Institute of Medical Sciences, Hyderabad</x:v>
      </x:c>
      <x:c r="D682" t="str">
        <x:v>Private</x:v>
      </x:c>
      <x:c r="E682" t="n">
        <x:v>200</x:v>
      </x:c>
      <x:c r="F682" t="n">
        <x:v>50</x:v>
      </x:c>
      <x:c r="G682" t="n">
        <x:v>250</x:v>
      </x:c>
      <x:c r="H682" t="str">
        <x:v>902856</x:v>
      </x:c>
      <x:c r="I682" t="n">
        <x:v>250</x:v>
      </x:c>
      <x:c r="J682" t="n">
        <x:v>213</x:v>
      </x:c>
      <x:c r="K682" t="n">
        <x:v>0</x:v>
      </x:c>
      <x:c r="L682" s="20" t="n">
        <x:v>0</x:v>
      </x:c>
      <x:c r="M682" t="str">
        <x:v>Variable</x:v>
      </x:c>
      <x:c r="N682" t="str">
        <x:v>Approx. Non-MCC Pool</x:v>
      </x:c>
      <x:c r="O682" t="str">
        <x:v>Expanded 2026 capacity; state/management split to verify</x:v>
      </x:c>
      <x:c r="P682" t="n">
        <x:v>394040</x:v>
      </x:c>
      <x:c r="Q682"/>
      <x:c r="R682"/>
      <x:c r="S682"/>
      <x:c r="T682"/>
      <x:c r="U682" t="str">
        <x:v>Pending state Round-1 allotment/cutoff data</x:v>
      </x:c>
    </x:row>
    <x:row r="683">
      <x:c r="A683" t="str">
        <x:v>Telangana</x:v>
      </x:c>
      <x:c r="B683" t="str">
        <x:v>TS/050/P/4</x:v>
      </x:c>
      <x:c r="C683" t="str">
        <x:v>Mallareddy Medical College for Women, Hyderabad</x:v>
      </x:c>
      <x:c r="D683" t="str">
        <x:v>Private</x:v>
      </x:c>
      <x:c r="E683" t="n">
        <x:v>200</x:v>
      </x:c>
      <x:c r="F683" t="n">
        <x:v>50</x:v>
      </x:c>
      <x:c r="G683" t="n">
        <x:v>250</x:v>
      </x:c>
      <x:c r="H683" t="str">
        <x:v>902855</x:v>
      </x:c>
      <x:c r="I683" t="n">
        <x:v>250</x:v>
      </x:c>
      <x:c r="J683" t="n">
        <x:v>226</x:v>
      </x:c>
      <x:c r="K683" t="n">
        <x:v>0</x:v>
      </x:c>
      <x:c r="L683" s="20" t="n">
        <x:v>0</x:v>
      </x:c>
      <x:c r="M683" t="str">
        <x:v>Variable</x:v>
      </x:c>
      <x:c r="N683" t="str">
        <x:v>Approx. Non-MCC Pool</x:v>
      </x:c>
      <x:c r="O683" t="str">
        <x:v>Expanded 2026 capacity; state/management split to verify</x:v>
      </x:c>
      <x:c r="P683" t="n">
        <x:v>461219</x:v>
      </x:c>
      <x:c r="Q683"/>
      <x:c r="R683"/>
      <x:c r="S683"/>
      <x:c r="T683"/>
      <x:c r="U683" t="str">
        <x:v>Pending state Round-1 allotment/cutoff data</x:v>
      </x:c>
    </x:row>
    <x:row r="684">
      <x:c r="A684" t="str">
        <x:v>Tripura</x:v>
      </x:c>
      <x:c r="B684" t="str">
        <x:v>TR/001/G/1</x:v>
      </x:c>
      <x:c r="C684" t="str">
        <x:v>Agartala Government Medical College,Agartala</x:v>
      </x:c>
      <x:c r="D684" t="str">
        <x:v>Government</x:v>
      </x:c>
      <x:c r="E684" t="n">
        <x:v>150</x:v>
      </x:c>
      <x:c r="F684" t="n">
        <x:v>50</x:v>
      </x:c>
      <x:c r="G684" t="n">
        <x:v>200</x:v>
      </x:c>
      <x:c r="H684" t="str">
        <x:v>200285</x:v>
      </x:c>
      <x:c r="I684" t="n">
        <x:v>30</x:v>
      </x:c>
      <x:c r="J684" t="n">
        <x:v>28</x:v>
      </x:c>
      <x:c r="K684" t="n">
        <x:v>170</x:v>
      </x:c>
      <x:c r="L684" s="20" t="n">
        <x:v>0.85</x:v>
      </x:c>
      <x:c r="M684" t="str">
        <x:v>High</x:v>
      </x:c>
      <x:c r="N684" t="str">
        <x:v>Approx. State/Non-MCC Pool</x:v>
      </x:c>
      <x:c r="O684" t="str">
        <x:v>Expanded 2026 capacity + substantial state pool</x:v>
      </x:c>
      <x:c r="P684" t="n">
        <x:v>15885</x:v>
      </x:c>
      <x:c r="Q684" t="n">
        <x:v>20980</x:v>
      </x:c>
      <x:c r="R684" t="n">
        <x:v>23989</x:v>
      </x:c>
      <x:c r="S684" t="n">
        <x:v>74494</x:v>
      </x:c>
      <x:c r="T684" t="n">
        <x:v>42507</x:v>
      </x:c>
      <x:c r="U684" t="str">
        <x:v>Pending state Round-1 allotment/cutoff data</x:v>
      </x:c>
    </x:row>
    <x:row r="685">
      <x:c r="A685" t="str">
        <x:v>Tripura</x:v>
      </x:c>
      <x:c r="B685" t="str">
        <x:v>TR/002/P/4</x:v>
      </x:c>
      <x:c r="C685" t="str">
        <x:v>Tripura Medical College and Dr. B R A M Teaching Hospital, Agartala</x:v>
      </x:c>
      <x:c r="D685" t="str">
        <x:v>Private</x:v>
      </x:c>
      <x:c r="E685" t="n">
        <x:v>150</x:v>
      </x:c>
      <x:c r="F685" t="n">
        <x:v>0</x:v>
      </x:c>
      <x:c r="G685" t="n">
        <x:v>150</x:v>
      </x:c>
      <x:c r="H685"/>
      <x:c r="I685" t="n">
        <x:v>0</x:v>
      </x:c>
      <x:c r="J685" t="n">
        <x:v>0</x:v>
      </x:c>
      <x:c r="K685" t="n">
        <x:v>150</x:v>
      </x:c>
      <x:c r="L685" s="20" t="n">
        <x:v>1</x:v>
      </x:c>
      <x:c r="M685" t="str">
        <x:v>Variable</x:v>
      </x:c>
      <x:c r="N685" t="str">
        <x:v>Approx. Non-MCC Pool</x:v>
      </x:c>
      <x:c r="O685" t="str">
        <x:v>Large non-MCC pool; quota split varies by state</x:v>
      </x:c>
      <x:c r="P685"/>
      <x:c r="Q685"/>
      <x:c r="R685"/>
      <x:c r="S685"/>
      <x:c r="T685"/>
      <x:c r="U685" t="str">
        <x:v>Pending state Round-1 allotment/cutoff data</x:v>
      </x:c>
    </x:row>
    <x:row r="686">
      <x:c r="A686" t="str">
        <x:v>Tripura</x:v>
      </x:c>
      <x:c r="B686" t="str">
        <x:v>TR/003/P/3</x:v>
      </x:c>
      <x:c r="C686" t="str">
        <x:v>Tripura Santiniketan Medical College, Dist- West Tripura</x:v>
      </x:c>
      <x:c r="D686" t="str">
        <x:v>Private</x:v>
      </x:c>
      <x:c r="E686" t="n">
        <x:v>150</x:v>
      </x:c>
      <x:c r="F686" t="n">
        <x:v>0</x:v>
      </x:c>
      <x:c r="G686" t="n">
        <x:v>150</x:v>
      </x:c>
      <x:c r="H686"/>
      <x:c r="I686" t="n">
        <x:v>0</x:v>
      </x:c>
      <x:c r="J686" t="n">
        <x:v>0</x:v>
      </x:c>
      <x:c r="K686" t="n">
        <x:v>150</x:v>
      </x:c>
      <x:c r="L686" s="20" t="n">
        <x:v>1</x:v>
      </x:c>
      <x:c r="M686" t="str">
        <x:v>Variable</x:v>
      </x:c>
      <x:c r="N686" t="str">
        <x:v>Approx. Non-MCC Pool</x:v>
      </x:c>
      <x:c r="O686" t="str">
        <x:v>Large non-MCC pool; quota split varies by state</x:v>
      </x:c>
      <x:c r="P686"/>
      <x:c r="Q686"/>
      <x:c r="R686"/>
      <x:c r="S686"/>
      <x:c r="T686"/>
      <x:c r="U686" t="str">
        <x:v>Pending state Round-1 allotment/cutoff data</x:v>
      </x:c>
    </x:row>
    <x:row r="687">
      <x:c r="A687" t="str">
        <x:v>Uttar Pradesh</x:v>
      </x:c>
      <x:c r="B687" t="str">
        <x:v>UP/039/G/1</x:v>
      </x:c>
      <x:c r="C687" t="str">
        <x:v>GSVM Medical College, Kanpur</x:v>
      </x:c>
      <x:c r="D687" t="str">
        <x:v>Government</x:v>
      </x:c>
      <x:c r="E687" t="n">
        <x:v>250</x:v>
      </x:c>
      <x:c r="F687" t="n">
        <x:v>0</x:v>
      </x:c>
      <x:c r="G687" t="n">
        <x:v>250</x:v>
      </x:c>
      <x:c r="H687" t="str">
        <x:v>200289</x:v>
      </x:c>
      <x:c r="I687" t="n">
        <x:v>37</x:v>
      </x:c>
      <x:c r="J687" t="n">
        <x:v>37</x:v>
      </x:c>
      <x:c r="K687" t="n">
        <x:v>213</x:v>
      </x:c>
      <x:c r="L687" s="20" t="n">
        <x:v>0.852</x:v>
      </x:c>
      <x:c r="M687" t="str">
        <x:v>High</x:v>
      </x:c>
      <x:c r="N687" t="str">
        <x:v>Approx. State/Non-MCC Pool</x:v>
      </x:c>
      <x:c r="O687" t="str">
        <x:v>Large state-counselling pool</x:v>
      </x:c>
      <x:c r="P687" t="n">
        <x:v>3748</x:v>
      </x:c>
      <x:c r="Q687" t="n">
        <x:v>5167</x:v>
      </x:c>
      <x:c r="R687" t="n">
        <x:v>4730</x:v>
      </x:c>
      <x:c r="S687" t="n">
        <x:v>38597</x:v>
      </x:c>
      <x:c r="T687" t="n">
        <x:v>50676</x:v>
      </x:c>
      <x:c r="U687" t="str">
        <x:v>Pending state Round-1 allotment/cutoff data</x:v>
      </x:c>
    </x:row>
    <x:row r="688">
      <x:c r="A688" t="str">
        <x:v>Uttar Pradesh</x:v>
      </x:c>
      <x:c r="B688" t="str">
        <x:v>UP/048/G/1</x:v>
      </x:c>
      <x:c r="C688" t="str">
        <x:v>King George Medical University, Lucknow</x:v>
      </x:c>
      <x:c r="D688" t="str">
        <x:v>Government</x:v>
      </x:c>
      <x:c r="E688" t="n">
        <x:v>250</x:v>
      </x:c>
      <x:c r="F688" t="n">
        <x:v>0</x:v>
      </x:c>
      <x:c r="G688" t="n">
        <x:v>250</x:v>
      </x:c>
      <x:c r="H688" t="str">
        <x:v>200296</x:v>
      </x:c>
      <x:c r="I688" t="n">
        <x:v>37</x:v>
      </x:c>
      <x:c r="J688" t="n">
        <x:v>37</x:v>
      </x:c>
      <x:c r="K688" t="n">
        <x:v>213</x:v>
      </x:c>
      <x:c r="L688" s="20" t="n">
        <x:v>0.852</x:v>
      </x:c>
      <x:c r="M688" t="str">
        <x:v>High</x:v>
      </x:c>
      <x:c r="N688" t="str">
        <x:v>Approx. State/Non-MCC Pool</x:v>
      </x:c>
      <x:c r="O688" t="str">
        <x:v>Large state-counselling pool</x:v>
      </x:c>
      <x:c r="P688" t="n">
        <x:v>1194</x:v>
      </x:c>
      <x:c r="Q688" t="n">
        <x:v>1955</x:v>
      </x:c>
      <x:c r="R688" t="n">
        <x:v>2448</x:v>
      </x:c>
      <x:c r="S688" t="n">
        <x:v>16102</x:v>
      </x:c>
      <x:c r="T688" t="n">
        <x:v>19692</x:v>
      </x:c>
      <x:c r="U688" t="str">
        <x:v>Pending state Round-1 allotment/cutoff data</x:v>
      </x:c>
    </x:row>
    <x:row r="689">
      <x:c r="A689" t="str">
        <x:v>Uttar Pradesh</x:v>
      </x:c>
      <x:c r="B689" t="str">
        <x:v>UP/024/G/1</x:v>
      </x:c>
      <x:c r="C689" t="str">
        <x:v>Dr. Ram Manohar Lohia Institute of Medical Sciences,Lucknow</x:v>
      </x:c>
      <x:c r="D689" t="str">
        <x:v>Government</x:v>
      </x:c>
      <x:c r="E689" t="n">
        <x:v>200</x:v>
      </x:c>
      <x:c r="F689" t="n">
        <x:v>0</x:v>
      </x:c>
      <x:c r="G689" t="n">
        <x:v>200</x:v>
      </x:c>
      <x:c r="H689" t="str">
        <x:v>200287</x:v>
      </x:c>
      <x:c r="I689" t="n">
        <x:v>30</x:v>
      </x:c>
      <x:c r="J689" t="n">
        <x:v>30</x:v>
      </x:c>
      <x:c r="K689" t="n">
        <x:v>170</x:v>
      </x:c>
      <x:c r="L689" s="20" t="n">
        <x:v>0.85</x:v>
      </x:c>
      <x:c r="M689" t="str">
        <x:v>High</x:v>
      </x:c>
      <x:c r="N689" t="str">
        <x:v>Approx. State/Non-MCC Pool</x:v>
      </x:c>
      <x:c r="O689" t="str">
        <x:v>Large state-counselling pool</x:v>
      </x:c>
      <x:c r="P689" t="n">
        <x:v>2408</x:v>
      </x:c>
      <x:c r="Q689" t="n">
        <x:v>3115</x:v>
      </x:c>
      <x:c r="R689" t="n">
        <x:v>3458</x:v>
      </x:c>
      <x:c r="S689" t="n">
        <x:v>24700</x:v>
      </x:c>
      <x:c r="T689" t="n">
        <x:v>52819</x:v>
      </x:c>
      <x:c r="U689" t="str">
        <x:v>Pending state Round-1 allotment/cutoff data</x:v>
      </x:c>
    </x:row>
    <x:row r="690">
      <x:c r="A690" t="str">
        <x:v>Uttar Pradesh</x:v>
      </x:c>
      <x:c r="B690" t="str">
        <x:v>UP/057/G/1</x:v>
      </x:c>
      <x:c r="C690" t="str">
        <x:v>Moti Lal Nehru Medical College, Allahabad</x:v>
      </x:c>
      <x:c r="D690" t="str">
        <x:v>Government</x:v>
      </x:c>
      <x:c r="E690" t="n">
        <x:v>200</x:v>
      </x:c>
      <x:c r="F690" t="n">
        <x:v>0</x:v>
      </x:c>
      <x:c r="G690" t="n">
        <x:v>200</x:v>
      </x:c>
      <x:c r="H690" t="str">
        <x:v>200299</x:v>
      </x:c>
      <x:c r="I690" t="n">
        <x:v>30</x:v>
      </x:c>
      <x:c r="J690" t="n">
        <x:v>30</x:v>
      </x:c>
      <x:c r="K690" t="n">
        <x:v>170</x:v>
      </x:c>
      <x:c r="L690" s="20" t="n">
        <x:v>0.85</x:v>
      </x:c>
      <x:c r="M690" t="str">
        <x:v>High</x:v>
      </x:c>
      <x:c r="N690" t="str">
        <x:v>Approx. State/Non-MCC Pool</x:v>
      </x:c>
      <x:c r="O690" t="str">
        <x:v>Large state-counselling pool</x:v>
      </x:c>
      <x:c r="P690" t="n">
        <x:v>5258</x:v>
      </x:c>
      <x:c r="Q690" t="n">
        <x:v>6432</x:v>
      </x:c>
      <x:c r="R690" t="n">
        <x:v>6969</x:v>
      </x:c>
      <x:c r="S690" t="n">
        <x:v>28497</x:v>
      </x:c>
      <x:c r="T690" t="n">
        <x:v>62365</x:v>
      </x:c>
      <x:c r="U690" t="str">
        <x:v>Pending state Round-1 allotment/cutoff data</x:v>
      </x:c>
    </x:row>
    <x:row r="691">
      <x:c r="A691" t="str">
        <x:v>Uttar Pradesh</x:v>
      </x:c>
      <x:c r="B691" t="str">
        <x:v>UP/069/G/1</x:v>
      </x:c>
      <x:c r="C691" t="str">
        <x:v>S N Medical College, Agra</x:v>
      </x:c>
      <x:c r="D691" t="str">
        <x:v>Government</x:v>
      </x:c>
      <x:c r="E691" t="n">
        <x:v>200</x:v>
      </x:c>
      <x:c r="F691" t="n">
        <x:v>0</x:v>
      </x:c>
      <x:c r="G691" t="n">
        <x:v>200</x:v>
      </x:c>
      <x:c r="H691" t="str">
        <x:v>200302</x:v>
      </x:c>
      <x:c r="I691" t="n">
        <x:v>30</x:v>
      </x:c>
      <x:c r="J691" t="n">
        <x:v>30</x:v>
      </x:c>
      <x:c r="K691" t="n">
        <x:v>170</x:v>
      </x:c>
      <x:c r="L691" s="20" t="n">
        <x:v>0.85</x:v>
      </x:c>
      <x:c r="M691" t="str">
        <x:v>High</x:v>
      </x:c>
      <x:c r="N691" t="str">
        <x:v>Approx. State/Non-MCC Pool</x:v>
      </x:c>
      <x:c r="O691" t="str">
        <x:v>Large state-counselling pool</x:v>
      </x:c>
      <x:c r="P691" t="n">
        <x:v>5276</x:v>
      </x:c>
      <x:c r="Q691" t="n">
        <x:v>6176</x:v>
      </x:c>
      <x:c r="R691" t="n">
        <x:v>7088</x:v>
      </x:c>
      <x:c r="S691" t="n">
        <x:v>34338</x:v>
      </x:c>
      <x:c r="T691" t="n">
        <x:v>49712</x:v>
      </x:c>
      <x:c r="U691" t="str">
        <x:v>Pending state Round-1 allotment/cutoff data</x:v>
      </x:c>
    </x:row>
    <x:row r="692">
      <x:c r="A692" t="str">
        <x:v>Uttar Pradesh</x:v>
      </x:c>
      <x:c r="B692" t="str">
        <x:v>UP/084/G/1</x:v>
      </x:c>
      <x:c r="C692" t="str">
        <x:v>Uttar Pradesh University of Medical Sciences, (Prev. UP Rural Inst.of Med.Sc&amp;R) Etawah</x:v>
      </x:c>
      <x:c r="D692" t="str">
        <x:v>Government</x:v>
      </x:c>
      <x:c r="E692" t="n">
        <x:v>200</x:v>
      </x:c>
      <x:c r="F692" t="n">
        <x:v>0</x:v>
      </x:c>
      <x:c r="G692" t="n">
        <x:v>200</x:v>
      </x:c>
      <x:c r="H692" t="str">
        <x:v>200301</x:v>
      </x:c>
      <x:c r="I692" t="n">
        <x:v>30</x:v>
      </x:c>
      <x:c r="J692" t="n">
        <x:v>30</x:v>
      </x:c>
      <x:c r="K692" t="n">
        <x:v>170</x:v>
      </x:c>
      <x:c r="L692" s="20" t="n">
        <x:v>0.85</x:v>
      </x:c>
      <x:c r="M692" t="str">
        <x:v>High</x:v>
      </x:c>
      <x:c r="N692" t="str">
        <x:v>Approx. State/Non-MCC Pool</x:v>
      </x:c>
      <x:c r="O692" t="str">
        <x:v>Large state-counselling pool</x:v>
      </x:c>
      <x:c r="P692" t="n">
        <x:v>7228</x:v>
      </x:c>
      <x:c r="Q692" t="n">
        <x:v>8566</x:v>
      </x:c>
      <x:c r="R692" t="n">
        <x:v>9287</x:v>
      </x:c>
      <x:c r="S692" t="n">
        <x:v>52868</x:v>
      </x:c>
      <x:c r="T692" t="n">
        <x:v>76807</x:v>
      </x:c>
      <x:c r="U692" t="str">
        <x:v>Pending state Round-1 allotment/cutoff data</x:v>
      </x:c>
    </x:row>
    <x:row r="693">
      <x:c r="A693" t="str">
        <x:v>Uttar Pradesh</x:v>
      </x:c>
      <x:c r="B693" t="str">
        <x:v>UP/021/G/1</x:v>
      </x:c>
      <x:c r="C693" t="str">
        <x:v>BRD Medical College, Gorakhpur</x:v>
      </x:c>
      <x:c r="D693" t="str">
        <x:v>Government</x:v>
      </x:c>
      <x:c r="E693" t="n">
        <x:v>150</x:v>
      </x:c>
      <x:c r="F693" t="n">
        <x:v>0</x:v>
      </x:c>
      <x:c r="G693" t="n">
        <x:v>150</x:v>
      </x:c>
      <x:c r="H693" t="str">
        <x:v>200286</x:v>
      </x:c>
      <x:c r="I693" t="n">
        <x:v>22</x:v>
      </x:c>
      <x:c r="J693" t="n">
        <x:v>22</x:v>
      </x:c>
      <x:c r="K693" t="n">
        <x:v>128</x:v>
      </x:c>
      <x:c r="L693" s="20" t="n">
        <x:v>0.8533333333333334</x:v>
      </x:c>
      <x:c r="M693" t="str">
        <x:v>High</x:v>
      </x:c>
      <x:c r="N693" t="str">
        <x:v>Approx. State/Non-MCC Pool</x:v>
      </x:c>
      <x:c r="O693" t="str">
        <x:v>Moderate state-counselling pool</x:v>
      </x:c>
      <x:c r="P693" t="n">
        <x:v>5786</x:v>
      </x:c>
      <x:c r="Q693" t="n">
        <x:v>6934</x:v>
      </x:c>
      <x:c r="R693" t="n">
        <x:v>8667</x:v>
      </x:c>
      <x:c r="S693" t="n">
        <x:v>42561</x:v>
      </x:c>
      <x:c r="T693" t="n">
        <x:v>68082</x:v>
      </x:c>
      <x:c r="U693" t="str">
        <x:v>Pending state Round-1 allotment/cutoff data</x:v>
      </x:c>
    </x:row>
    <x:row r="694">
      <x:c r="A694" t="str">
        <x:v>Uttar Pradesh</x:v>
      </x:c>
      <x:c r="B694" t="str">
        <x:v>UP/051/G/1</x:v>
      </x:c>
      <x:c r="C694" t="str">
        <x:v>LLRM Medical College, Meerut</x:v>
      </x:c>
      <x:c r="D694" t="str">
        <x:v>Government</x:v>
      </x:c>
      <x:c r="E694" t="n">
        <x:v>150</x:v>
      </x:c>
      <x:c r="F694" t="n">
        <x:v>0</x:v>
      </x:c>
      <x:c r="G694" t="n">
        <x:v>150</x:v>
      </x:c>
      <x:c r="H694" t="str">
        <x:v>200297</x:v>
      </x:c>
      <x:c r="I694" t="n">
        <x:v>22</x:v>
      </x:c>
      <x:c r="J694" t="n">
        <x:v>22</x:v>
      </x:c>
      <x:c r="K694" t="n">
        <x:v>128</x:v>
      </x:c>
      <x:c r="L694" s="20" t="n">
        <x:v>0.8533333333333334</x:v>
      </x:c>
      <x:c r="M694" t="str">
        <x:v>High</x:v>
      </x:c>
      <x:c r="N694" t="str">
        <x:v>Approx. State/Non-MCC Pool</x:v>
      </x:c>
      <x:c r="O694" t="str">
        <x:v>Moderate state-counselling pool</x:v>
      </x:c>
      <x:c r="P694" t="n">
        <x:v>4080</x:v>
      </x:c>
      <x:c r="Q694" t="n">
        <x:v>6022</x:v>
      </x:c>
      <x:c r="R694" t="n">
        <x:v>5934</x:v>
      </x:c>
      <x:c r="S694" t="n">
        <x:v>38290</x:v>
      </x:c>
      <x:c r="T694" t="n">
        <x:v>50793</x:v>
      </x:c>
      <x:c r="U694" t="str">
        <x:v>Pending state Round-1 allotment/cutoff data</x:v>
      </x:c>
    </x:row>
    <x:row r="695">
      <x:c r="A695" t="str">
        <x:v>Uttar Pradesh</x:v>
      </x:c>
      <x:c r="B695" t="str">
        <x:v>UP/053/G/1</x:v>
      </x:c>
      <x:c r="C695" t="str">
        <x:v>Maharani Laxmi Bai Medical College, Jhansi</x:v>
      </x:c>
      <x:c r="D695" t="str">
        <x:v>Government</x:v>
      </x:c>
      <x:c r="E695" t="n">
        <x:v>150</x:v>
      </x:c>
      <x:c r="F695" t="n">
        <x:v>0</x:v>
      </x:c>
      <x:c r="G695" t="n">
        <x:v>150</x:v>
      </x:c>
      <x:c r="H695" t="str">
        <x:v>200298</x:v>
      </x:c>
      <x:c r="I695" t="n">
        <x:v>23</x:v>
      </x:c>
      <x:c r="J695" t="n">
        <x:v>23</x:v>
      </x:c>
      <x:c r="K695" t="n">
        <x:v>127</x:v>
      </x:c>
      <x:c r="L695" s="20" t="n">
        <x:v>0.8466666666666667</x:v>
      </x:c>
      <x:c r="M695" t="str">
        <x:v>High</x:v>
      </x:c>
      <x:c r="N695" t="str">
        <x:v>Approx. State/Non-MCC Pool</x:v>
      </x:c>
      <x:c r="O695" t="str">
        <x:v>Moderate state-counselling pool</x:v>
      </x:c>
      <x:c r="P695" t="n">
        <x:v>6520</x:v>
      </x:c>
      <x:c r="Q695" t="n">
        <x:v>8066</x:v>
      </x:c>
      <x:c r="R695" t="n">
        <x:v>8543</x:v>
      </x:c>
      <x:c r="S695" t="n">
        <x:v>46465</x:v>
      </x:c>
      <x:c r="T695" t="n">
        <x:v>67438</x:v>
      </x:c>
      <x:c r="U695" t="str">
        <x:v>Pending state Round-1 allotment/cutoff data</x:v>
      </x:c>
    </x:row>
    <x:row r="696">
      <x:c r="A696" t="str">
        <x:v>Uttar Pradesh</x:v>
      </x:c>
      <x:c r="B696" t="str">
        <x:v>UP/007/G/5</x:v>
      </x:c>
      <x:c r="C696" t="str">
        <x:v>Autonomous State Medical College and Hospital Lakhimpuri kheri</x:v>
      </x:c>
      <x:c r="D696" t="str">
        <x:v>Government</x:v>
      </x:c>
      <x:c r="E696" t="n">
        <x:v>100</x:v>
      </x:c>
      <x:c r="F696" t="n">
        <x:v>0</x:v>
      </x:c>
      <x:c r="G696" t="n">
        <x:v>100</x:v>
      </x:c>
      <x:c r="H696"/>
      <x:c r="I696" t="n">
        <x:v>0</x:v>
      </x:c>
      <x:c r="J696" t="n">
        <x:v>0</x:v>
      </x:c>
      <x:c r="K696" t="n">
        <x:v>100</x:v>
      </x:c>
      <x:c r="L696" s="20" t="n">
        <x:v>1</x:v>
      </x:c>
      <x:c r="M696" t="str">
        <x:v>High</x:v>
      </x:c>
      <x:c r="N696" t="str">
        <x:v>Approx. State/Non-MCC Pool</x:v>
      </x:c>
      <x:c r="O696" t="str">
        <x:v>Moderate state-counselling pool</x:v>
      </x:c>
      <x:c r="P696"/>
      <x:c r="Q696"/>
      <x:c r="R696"/>
      <x:c r="S696"/>
      <x:c r="T696"/>
      <x:c r="U696" t="str">
        <x:v>Pending state Round-1 allotment/cutoff data</x:v>
      </x:c>
    </x:row>
    <x:row r="697">
      <x:c r="A697" t="str">
        <x:v>Uttar Pradesh</x:v>
      </x:c>
      <x:c r="B697" t="str">
        <x:v>UP/008/G/5</x:v>
      </x:c>
      <x:c r="C697" t="str">
        <x:v>Autonomous State Medical College Kushinagar</x:v>
      </x:c>
      <x:c r="D697" t="str">
        <x:v>Government</x:v>
      </x:c>
      <x:c r="E697" t="n">
        <x:v>100</x:v>
      </x:c>
      <x:c r="F697" t="n">
        <x:v>0</x:v>
      </x:c>
      <x:c r="G697" t="n">
        <x:v>100</x:v>
      </x:c>
      <x:c r="H697" t="str">
        <x:v>902822</x:v>
      </x:c>
      <x:c r="I697" t="n">
        <x:v>15</x:v>
      </x:c>
      <x:c r="J697" t="n">
        <x:v>15</x:v>
      </x:c>
      <x:c r="K697" t="n">
        <x:v>85</x:v>
      </x:c>
      <x:c r="L697" s="20" t="n">
        <x:v>0.85</x:v>
      </x:c>
      <x:c r="M697" t="str">
        <x:v>High</x:v>
      </x:c>
      <x:c r="N697" t="str">
        <x:v>Approx. State/Non-MCC Pool</x:v>
      </x:c>
      <x:c r="O697" t="str">
        <x:v>Moderate state-counselling pool</x:v>
      </x:c>
      <x:c r="P697" t="n">
        <x:v>15278</x:v>
      </x:c>
      <x:c r="Q697" t="n">
        <x:v>16702</x:v>
      </x:c>
      <x:c r="R697" t="n">
        <x:v>18880</x:v>
      </x:c>
      <x:c r="S697" t="n">
        <x:v>82805</x:v>
      </x:c>
      <x:c r="T697" t="n">
        <x:v>105980</x:v>
      </x:c>
      <x:c r="U697" t="str">
        <x:v>Pending state Round-1 allotment/cutoff data</x:v>
      </x:c>
    </x:row>
    <x:row r="698">
      <x:c r="A698" t="str">
        <x:v>Uttar Pradesh</x:v>
      </x:c>
      <x:c r="B698" t="str">
        <x:v>UP/009/G/1</x:v>
      </x:c>
      <x:c r="C698" t="str">
        <x:v>Autonomous State Medical College Lalitpur</x:v>
      </x:c>
      <x:c r="D698" t="str">
        <x:v>Government</x:v>
      </x:c>
      <x:c r="E698" t="n">
        <x:v>100</x:v>
      </x:c>
      <x:c r="F698" t="n">
        <x:v>0</x:v>
      </x:c>
      <x:c r="G698" t="n">
        <x:v>100</x:v>
      </x:c>
      <x:c r="H698" t="str">
        <x:v>902824</x:v>
      </x:c>
      <x:c r="I698" t="n">
        <x:v>15</x:v>
      </x:c>
      <x:c r="J698" t="n">
        <x:v>15</x:v>
      </x:c>
      <x:c r="K698" t="n">
        <x:v>85</x:v>
      </x:c>
      <x:c r="L698" s="20" t="n">
        <x:v>0.85</x:v>
      </x:c>
      <x:c r="M698" t="str">
        <x:v>High</x:v>
      </x:c>
      <x:c r="N698" t="str">
        <x:v>Approx. State/Non-MCC Pool</x:v>
      </x:c>
      <x:c r="O698" t="str">
        <x:v>Moderate state-counselling pool</x:v>
      </x:c>
      <x:c r="P698" t="n">
        <x:v>16659</x:v>
      </x:c>
      <x:c r="Q698" t="n">
        <x:v>17042</x:v>
      </x:c>
      <x:c r="R698" t="n">
        <x:v>17215</x:v>
      </x:c>
      <x:c r="S698" t="n">
        <x:v>72568</x:v>
      </x:c>
      <x:c r="T698" t="n">
        <x:v>97870</x:v>
      </x:c>
      <x:c r="U698" t="str">
        <x:v>Pending state Round-1 allotment/cutoff data</x:v>
      </x:c>
    </x:row>
    <x:row r="699">
      <x:c r="A699" t="str">
        <x:v>Uttar Pradesh</x:v>
      </x:c>
      <x:c r="B699" t="str">
        <x:v>UP/010/G/1</x:v>
      </x:c>
      <x:c r="C699" t="str">
        <x:v>Autonomous State Medical College Pilibhit</x:v>
      </x:c>
      <x:c r="D699" t="str">
        <x:v>Government</x:v>
      </x:c>
      <x:c r="E699" t="n">
        <x:v>100</x:v>
      </x:c>
      <x:c r="F699" t="n">
        <x:v>0</x:v>
      </x:c>
      <x:c r="G699" t="n">
        <x:v>100</x:v>
      </x:c>
      <x:c r="H699" t="str">
        <x:v>902813</x:v>
      </x:c>
      <x:c r="I699" t="n">
        <x:v>15</x:v>
      </x:c>
      <x:c r="J699" t="n">
        <x:v>15</x:v>
      </x:c>
      <x:c r="K699" t="n">
        <x:v>85</x:v>
      </x:c>
      <x:c r="L699" s="20" t="n">
        <x:v>0.85</x:v>
      </x:c>
      <x:c r="M699" t="str">
        <x:v>High</x:v>
      </x:c>
      <x:c r="N699" t="str">
        <x:v>Approx. State/Non-MCC Pool</x:v>
      </x:c>
      <x:c r="O699" t="str">
        <x:v>Moderate state-counselling pool</x:v>
      </x:c>
      <x:c r="P699" t="n">
        <x:v>14724</x:v>
      </x:c>
      <x:c r="Q699" t="n">
        <x:v>16594</x:v>
      </x:c>
      <x:c r="R699" t="n">
        <x:v>16940</x:v>
      </x:c>
      <x:c r="S699" t="n">
        <x:v>84374</x:v>
      </x:c>
      <x:c r="T699" t="n">
        <x:v>103777</x:v>
      </x:c>
      <x:c r="U699" t="str">
        <x:v>Pending state Round-1 allotment/cutoff data</x:v>
      </x:c>
    </x:row>
    <x:row r="700">
      <x:c r="A700" t="str">
        <x:v>Uttar Pradesh</x:v>
      </x:c>
      <x:c r="B700" t="str">
        <x:v>UP/011/G/1</x:v>
      </x:c>
      <x:c r="C700" t="str">
        <x:v>Autonomous State Medical College Pratapgarh</x:v>
      </x:c>
      <x:c r="D700" t="str">
        <x:v>Government</x:v>
      </x:c>
      <x:c r="E700" t="n">
        <x:v>100</x:v>
      </x:c>
      <x:c r="F700" t="n">
        <x:v>0</x:v>
      </x:c>
      <x:c r="G700" t="n">
        <x:v>100</x:v>
      </x:c>
      <x:c r="H700" t="str">
        <x:v>200554</x:v>
      </x:c>
      <x:c r="I700" t="n">
        <x:v>15</x:v>
      </x:c>
      <x:c r="J700" t="n">
        <x:v>15</x:v>
      </x:c>
      <x:c r="K700" t="n">
        <x:v>85</x:v>
      </x:c>
      <x:c r="L700" s="20" t="n">
        <x:v>0.85</x:v>
      </x:c>
      <x:c r="M700" t="str">
        <x:v>High</x:v>
      </x:c>
      <x:c r="N700" t="str">
        <x:v>Approx. State/Non-MCC Pool</x:v>
      </x:c>
      <x:c r="O700" t="str">
        <x:v>Moderate state-counselling pool</x:v>
      </x:c>
      <x:c r="P700" t="n">
        <x:v>13287</x:v>
      </x:c>
      <x:c r="Q700" t="n">
        <x:v>15234</x:v>
      </x:c>
      <x:c r="R700" t="n">
        <x:v>16395</x:v>
      </x:c>
      <x:c r="S700" t="n">
        <x:v>82521</x:v>
      </x:c>
      <x:c r="T700" t="n">
        <x:v>100339</x:v>
      </x:c>
      <x:c r="U700" t="str">
        <x:v>Pending state Round-1 allotment/cutoff data</x:v>
      </x:c>
    </x:row>
    <x:row r="701">
      <x:c r="A701" t="str">
        <x:v>Uttar Pradesh</x:v>
      </x:c>
      <x:c r="B701" t="str">
        <x:v>UP/012/G/1</x:v>
      </x:c>
      <x:c r="C701" t="str">
        <x:v>Autonomous State Medical College Society Ghazipur</x:v>
      </x:c>
      <x:c r="D701" t="str">
        <x:v>Government</x:v>
      </x:c>
      <x:c r="E701" t="n">
        <x:v>100</x:v>
      </x:c>
      <x:c r="F701" t="n">
        <x:v>0</x:v>
      </x:c>
      <x:c r="G701" t="n">
        <x:v>100</x:v>
      </x:c>
      <x:c r="H701" t="str">
        <x:v>200556</x:v>
      </x:c>
      <x:c r="I701" t="n">
        <x:v>15</x:v>
      </x:c>
      <x:c r="J701" t="n">
        <x:v>15</x:v>
      </x:c>
      <x:c r="K701" t="n">
        <x:v>85</x:v>
      </x:c>
      <x:c r="L701" s="20" t="n">
        <x:v>0.85</x:v>
      </x:c>
      <x:c r="M701" t="str">
        <x:v>High</x:v>
      </x:c>
      <x:c r="N701" t="str">
        <x:v>Approx. State/Non-MCC Pool</x:v>
      </x:c>
      <x:c r="O701" t="str">
        <x:v>Moderate state-counselling pool</x:v>
      </x:c>
      <x:c r="P701" t="n">
        <x:v>15948</x:v>
      </x:c>
      <x:c r="Q701" t="n">
        <x:v>16456</x:v>
      </x:c>
      <x:c r="R701" t="n">
        <x:v>17980</x:v>
      </x:c>
      <x:c r="S701" t="n">
        <x:v>83436</x:v>
      </x:c>
      <x:c r="T701"/>
      <x:c r="U701" t="str">
        <x:v>Pending state Round-1 allotment/cutoff data</x:v>
      </x:c>
    </x:row>
    <x:row r="702">
      <x:c r="A702" t="str">
        <x:v>Uttar Pradesh</x:v>
      </x:c>
      <x:c r="B702" t="str">
        <x:v>UP/013/G/1</x:v>
      </x:c>
      <x:c r="C702" t="str">
        <x:v>Autonomous State Medical College Society, Etah, Uttar Pradesh</x:v>
      </x:c>
      <x:c r="D702" t="str">
        <x:v>Government</x:v>
      </x:c>
      <x:c r="E702" t="n">
        <x:v>100</x:v>
      </x:c>
      <x:c r="F702" t="n">
        <x:v>0</x:v>
      </x:c>
      <x:c r="G702" t="n">
        <x:v>100</x:v>
      </x:c>
      <x:c r="H702" t="str">
        <x:v>200552</x:v>
      </x:c>
      <x:c r="I702" t="n">
        <x:v>15</x:v>
      </x:c>
      <x:c r="J702" t="n">
        <x:v>15</x:v>
      </x:c>
      <x:c r="K702" t="n">
        <x:v>85</x:v>
      </x:c>
      <x:c r="L702" s="20" t="n">
        <x:v>0.85</x:v>
      </x:c>
      <x:c r="M702" t="str">
        <x:v>High</x:v>
      </x:c>
      <x:c r="N702" t="str">
        <x:v>Approx. State/Non-MCC Pool</x:v>
      </x:c>
      <x:c r="O702" t="str">
        <x:v>Moderate state-counselling pool</x:v>
      </x:c>
      <x:c r="P702" t="n">
        <x:v>11650</x:v>
      </x:c>
      <x:c r="Q702" t="n">
        <x:v>13143</x:v>
      </x:c>
      <x:c r="R702" t="n">
        <x:v>12976</x:v>
      </x:c>
      <x:c r="S702" t="n">
        <x:v>55674</x:v>
      </x:c>
      <x:c r="T702" t="n">
        <x:v>91109</x:v>
      </x:c>
      <x:c r="U702" t="str">
        <x:v>Pending state Round-1 allotment/cutoff data</x:v>
      </x:c>
    </x:row>
    <x:row r="703">
      <x:c r="A703" t="str">
        <x:v>Uttar Pradesh</x:v>
      </x:c>
      <x:c r="B703" t="str">
        <x:v>UP/014/G/1</x:v>
      </x:c>
      <x:c r="C703" t="str">
        <x:v>Autonomous State Medical College Society, Fatehpur</x:v>
      </x:c>
      <x:c r="D703" t="str">
        <x:v>Government</x:v>
      </x:c>
      <x:c r="E703" t="n">
        <x:v>100</x:v>
      </x:c>
      <x:c r="F703" t="n">
        <x:v>0</x:v>
      </x:c>
      <x:c r="G703" t="n">
        <x:v>100</x:v>
      </x:c>
      <x:c r="H703" t="str">
        <x:v>200563</x:v>
      </x:c>
      <x:c r="I703" t="n">
        <x:v>15</x:v>
      </x:c>
      <x:c r="J703" t="n">
        <x:v>15</x:v>
      </x:c>
      <x:c r="K703" t="n">
        <x:v>85</x:v>
      </x:c>
      <x:c r="L703" s="20" t="n">
        <x:v>0.85</x:v>
      </x:c>
      <x:c r="M703" t="str">
        <x:v>High</x:v>
      </x:c>
      <x:c r="N703" t="str">
        <x:v>Approx. State/Non-MCC Pool</x:v>
      </x:c>
      <x:c r="O703" t="str">
        <x:v>Moderate state-counselling pool</x:v>
      </x:c>
      <x:c r="P703" t="n">
        <x:v>12951</x:v>
      </x:c>
      <x:c r="Q703" t="n">
        <x:v>15693</x:v>
      </x:c>
      <x:c r="R703" t="n">
        <x:v>15645</x:v>
      </x:c>
      <x:c r="S703" t="n">
        <x:v>73875</x:v>
      </x:c>
      <x:c r="T703" t="n">
        <x:v>77759</x:v>
      </x:c>
      <x:c r="U703" t="str">
        <x:v>Pending state Round-1 allotment/cutoff data</x:v>
      </x:c>
    </x:row>
    <x:row r="704">
      <x:c r="A704" t="str">
        <x:v>Uttar Pradesh</x:v>
      </x:c>
      <x:c r="B704" t="str">
        <x:v>UP/015/G/1</x:v>
      </x:c>
      <x:c r="C704" t="str">
        <x:v>Autonomous State Medical College Society, Hardoi</x:v>
      </x:c>
      <x:c r="D704" t="str">
        <x:v>Government</x:v>
      </x:c>
      <x:c r="E704" t="n">
        <x:v>100</x:v>
      </x:c>
      <x:c r="F704" t="n">
        <x:v>0</x:v>
      </x:c>
      <x:c r="G704" t="n">
        <x:v>100</x:v>
      </x:c>
      <x:c r="H704" t="str">
        <x:v>200570</x:v>
      </x:c>
      <x:c r="I704" t="n">
        <x:v>15</x:v>
      </x:c>
      <x:c r="J704" t="n">
        <x:v>15</x:v>
      </x:c>
      <x:c r="K704" t="n">
        <x:v>85</x:v>
      </x:c>
      <x:c r="L704" s="20" t="n">
        <x:v>0.85</x:v>
      </x:c>
      <x:c r="M704" t="str">
        <x:v>High</x:v>
      </x:c>
      <x:c r="N704" t="str">
        <x:v>Approx. State/Non-MCC Pool</x:v>
      </x:c>
      <x:c r="O704" t="str">
        <x:v>Moderate state-counselling pool</x:v>
      </x:c>
      <x:c r="P704" t="n">
        <x:v>14169</x:v>
      </x:c>
      <x:c r="Q704" t="n">
        <x:v>15429</x:v>
      </x:c>
      <x:c r="R704" t="n">
        <x:v>14727</x:v>
      </x:c>
      <x:c r="S704" t="n">
        <x:v>68806</x:v>
      </x:c>
      <x:c r="T704" t="n">
        <x:v>99245</x:v>
      </x:c>
      <x:c r="U704" t="str">
        <x:v>Pending state Round-1 allotment/cutoff data</x:v>
      </x:c>
    </x:row>
    <x:row r="705">
      <x:c r="A705" t="str">
        <x:v>Uttar Pradesh</x:v>
      </x:c>
      <x:c r="B705" t="str">
        <x:v>UP/002/G/1</x:v>
      </x:c>
      <x:c r="C705" t="str">
        <x:v>Autonomous State Medical College Sultanpur</x:v>
      </x:c>
      <x:c r="D705" t="str">
        <x:v>Government</x:v>
      </x:c>
      <x:c r="E705" t="n">
        <x:v>100</x:v>
      </x:c>
      <x:c r="F705" t="n">
        <x:v>0</x:v>
      </x:c>
      <x:c r="G705" t="n">
        <x:v>100</x:v>
      </x:c>
      <x:c r="H705" t="str">
        <x:v>902823</x:v>
      </x:c>
      <x:c r="I705" t="n">
        <x:v>15</x:v>
      </x:c>
      <x:c r="J705" t="n">
        <x:v>15</x:v>
      </x:c>
      <x:c r="K705" t="n">
        <x:v>85</x:v>
      </x:c>
      <x:c r="L705" s="20" t="n">
        <x:v>0.85</x:v>
      </x:c>
      <x:c r="M705" t="str">
        <x:v>High</x:v>
      </x:c>
      <x:c r="N705" t="str">
        <x:v>Approx. State/Non-MCC Pool</x:v>
      </x:c>
      <x:c r="O705" t="str">
        <x:v>Moderate state-counselling pool</x:v>
      </x:c>
      <x:c r="P705" t="n">
        <x:v>14320</x:v>
      </x:c>
      <x:c r="Q705" t="n">
        <x:v>15190</x:v>
      </x:c>
      <x:c r="R705" t="n">
        <x:v>17726</x:v>
      </x:c>
      <x:c r="S705" t="n">
        <x:v>79758</x:v>
      </x:c>
      <x:c r="T705" t="n">
        <x:v>105459</x:v>
      </x:c>
      <x:c r="U705" t="str">
        <x:v>Pending state Round-1 allotment/cutoff data</x:v>
      </x:c>
    </x:row>
    <x:row r="706">
      <x:c r="A706" t="str">
        <x:v>Uttar Pradesh</x:v>
      </x:c>
      <x:c r="B706" t="str">
        <x:v>UP/005/G/5</x:v>
      </x:c>
      <x:c r="C706" t="str">
        <x:v>Autonomous State Medical College and Hospital Gonda</x:v>
      </x:c>
      <x:c r="D706" t="str">
        <x:v>Government</x:v>
      </x:c>
      <x:c r="E706" t="n">
        <x:v>100</x:v>
      </x:c>
      <x:c r="F706" t="n">
        <x:v>0</x:v>
      </x:c>
      <x:c r="G706" t="n">
        <x:v>100</x:v>
      </x:c>
      <x:c r="H706" t="str">
        <x:v>902861</x:v>
      </x:c>
      <x:c r="I706" t="n">
        <x:v>15</x:v>
      </x:c>
      <x:c r="J706" t="n">
        <x:v>15</x:v>
      </x:c>
      <x:c r="K706" t="n">
        <x:v>85</x:v>
      </x:c>
      <x:c r="L706" s="20" t="n">
        <x:v>0.85</x:v>
      </x:c>
      <x:c r="M706" t="str">
        <x:v>High</x:v>
      </x:c>
      <x:c r="N706" t="str">
        <x:v>Approx. State/Non-MCC Pool</x:v>
      </x:c>
      <x:c r="O706" t="str">
        <x:v>Moderate state-counselling pool</x:v>
      </x:c>
      <x:c r="P706" t="n">
        <x:v>15946</x:v>
      </x:c>
      <x:c r="Q706" t="n">
        <x:v>16808</x:v>
      </x:c>
      <x:c r="R706" t="n">
        <x:v>17895</x:v>
      </x:c>
      <x:c r="S706" t="n">
        <x:v>84168</x:v>
      </x:c>
      <x:c r="T706" t="n">
        <x:v>107840</x:v>
      </x:c>
      <x:c r="U706" t="str">
        <x:v>Pending state Round-1 allotment/cutoff data</x:v>
      </x:c>
    </x:row>
    <x:row r="707">
      <x:c r="A707" t="str">
        <x:v>Uttar Pradesh</x:v>
      </x:c>
      <x:c r="B707" t="str">
        <x:v>UP/006/G/1</x:v>
      </x:c>
      <x:c r="C707" t="str">
        <x:v>Autonomous State Medical College and Hospital Kaushambi</x:v>
      </x:c>
      <x:c r="D707" t="str">
        <x:v>Government</x:v>
      </x:c>
      <x:c r="E707" t="n">
        <x:v>100</x:v>
      </x:c>
      <x:c r="F707" t="n">
        <x:v>0</x:v>
      </x:c>
      <x:c r="G707" t="n">
        <x:v>100</x:v>
      </x:c>
      <x:c r="H707" t="str">
        <x:v>902859</x:v>
      </x:c>
      <x:c r="I707" t="n">
        <x:v>15</x:v>
      </x:c>
      <x:c r="J707" t="n">
        <x:v>15</x:v>
      </x:c>
      <x:c r="K707" t="n">
        <x:v>85</x:v>
      </x:c>
      <x:c r="L707" s="20" t="n">
        <x:v>0.85</x:v>
      </x:c>
      <x:c r="M707" t="str">
        <x:v>High</x:v>
      </x:c>
      <x:c r="N707" t="str">
        <x:v>Approx. State/Non-MCC Pool</x:v>
      </x:c>
      <x:c r="O707" t="str">
        <x:v>Moderate state-counselling pool</x:v>
      </x:c>
      <x:c r="P707" t="n">
        <x:v>15129</x:v>
      </x:c>
      <x:c r="Q707" t="n">
        <x:v>17101</x:v>
      </x:c>
      <x:c r="R707" t="n">
        <x:v>18345</x:v>
      </x:c>
      <x:c r="S707" t="n">
        <x:v>81736</x:v>
      </x:c>
      <x:c r="T707" t="n">
        <x:v>108029</x:v>
      </x:c>
      <x:c r="U707" t="str">
        <x:v>Pending state Round-1 allotment/cutoff data</x:v>
      </x:c>
    </x:row>
    <x:row r="708">
      <x:c r="A708" t="str">
        <x:v>Uttar Pradesh</x:v>
      </x:c>
      <x:c r="B708" t="str">
        <x:v>UP/016/G/1</x:v>
      </x:c>
      <x:c r="C708" t="str">
        <x:v>Autonomous State Medical College, Akbarpur, Kanpur</x:v>
      </x:c>
      <x:c r="D708" t="str">
        <x:v>Government</x:v>
      </x:c>
      <x:c r="E708" t="n">
        <x:v>100</x:v>
      </x:c>
      <x:c r="F708" t="n">
        <x:v>0</x:v>
      </x:c>
      <x:c r="G708" t="n">
        <x:v>100</x:v>
      </x:c>
      <x:c r="H708" t="str">
        <x:v>902816</x:v>
      </x:c>
      <x:c r="I708" t="n">
        <x:v>15</x:v>
      </x:c>
      <x:c r="J708" t="n">
        <x:v>15</x:v>
      </x:c>
      <x:c r="K708" t="n">
        <x:v>85</x:v>
      </x:c>
      <x:c r="L708" s="20" t="n">
        <x:v>0.85</x:v>
      </x:c>
      <x:c r="M708" t="str">
        <x:v>High</x:v>
      </x:c>
      <x:c r="N708" t="str">
        <x:v>Approx. State/Non-MCC Pool</x:v>
      </x:c>
      <x:c r="O708" t="str">
        <x:v>Moderate state-counselling pool</x:v>
      </x:c>
      <x:c r="P708" t="n">
        <x:v>10360</x:v>
      </x:c>
      <x:c r="Q708" t="n">
        <x:v>14060</x:v>
      </x:c>
      <x:c r="R708" t="n">
        <x:v>11396</x:v>
      </x:c>
      <x:c r="S708" t="n">
        <x:v>56266</x:v>
      </x:c>
      <x:c r="T708" t="n">
        <x:v>103013</x:v>
      </x:c>
      <x:c r="U708" t="str">
        <x:v>Pending state Round-1 allotment/cutoff data</x:v>
      </x:c>
    </x:row>
    <x:row r="709">
      <x:c r="A709" t="str">
        <x:v>Uttar Pradesh</x:v>
      </x:c>
      <x:c r="B709" t="str">
        <x:v>UP/017/G/1</x:v>
      </x:c>
      <x:c r="C709" t="str">
        <x:v>Autonomous State Medical College, Siddharthnagar</x:v>
      </x:c>
      <x:c r="D709" t="str">
        <x:v>Government</x:v>
      </x:c>
      <x:c r="E709" t="n">
        <x:v>100</x:v>
      </x:c>
      <x:c r="F709" t="n">
        <x:v>0</x:v>
      </x:c>
      <x:c r="G709" t="n">
        <x:v>100</x:v>
      </x:c>
      <x:c r="H709" t="str">
        <x:v>200553</x:v>
      </x:c>
      <x:c r="I709" t="n">
        <x:v>15</x:v>
      </x:c>
      <x:c r="J709" t="n">
        <x:v>15</x:v>
      </x:c>
      <x:c r="K709" t="n">
        <x:v>85</x:v>
      </x:c>
      <x:c r="L709" s="20" t="n">
        <x:v>0.85</x:v>
      </x:c>
      <x:c r="M709" t="str">
        <x:v>High</x:v>
      </x:c>
      <x:c r="N709" t="str">
        <x:v>Approx. State/Non-MCC Pool</x:v>
      </x:c>
      <x:c r="O709" t="str">
        <x:v>Moderate state-counselling pool</x:v>
      </x:c>
      <x:c r="P709" t="n">
        <x:v>13788</x:v>
      </x:c>
      <x:c r="Q709" t="n">
        <x:v>15700</x:v>
      </x:c>
      <x:c r="R709" t="n">
        <x:v>17271</x:v>
      </x:c>
      <x:c r="S709" t="n">
        <x:v>72964</x:v>
      </x:c>
      <x:c r="T709" t="n">
        <x:v>105728</x:v>
      </x:c>
      <x:c r="U709" t="str">
        <x:v>Pending state Round-1 allotment/cutoff data</x:v>
      </x:c>
    </x:row>
    <x:row r="710">
      <x:c r="A710" t="str">
        <x:v>Uttar Pradesh</x:v>
      </x:c>
      <x:c r="B710" t="str">
        <x:v>UP/018/G/1</x:v>
      </x:c>
      <x:c r="C710" t="str">
        <x:v>Autonomous State Medical College, Sonebhadra</x:v>
      </x:c>
      <x:c r="D710" t="str">
        <x:v>Government</x:v>
      </x:c>
      <x:c r="E710" t="n">
        <x:v>100</x:v>
      </x:c>
      <x:c r="F710" t="n">
        <x:v>0</x:v>
      </x:c>
      <x:c r="G710" t="n">
        <x:v>100</x:v>
      </x:c>
      <x:c r="H710" t="str">
        <x:v>903362</x:v>
      </x:c>
      <x:c r="I710" t="n">
        <x:v>15</x:v>
      </x:c>
      <x:c r="J710" t="n">
        <x:v>15</x:v>
      </x:c>
      <x:c r="K710" t="n">
        <x:v>85</x:v>
      </x:c>
      <x:c r="L710" s="20" t="n">
        <x:v>0.85</x:v>
      </x:c>
      <x:c r="M710" t="str">
        <x:v>High</x:v>
      </x:c>
      <x:c r="N710" t="str">
        <x:v>Approx. State/Non-MCC Pool</x:v>
      </x:c>
      <x:c r="O710" t="str">
        <x:v>Moderate state-counselling pool</x:v>
      </x:c>
      <x:c r="P710" t="n">
        <x:v>17186</x:v>
      </x:c>
      <x:c r="Q710" t="n">
        <x:v>17501</x:v>
      </x:c>
      <x:c r="R710" t="n">
        <x:v>17626</x:v>
      </x:c>
      <x:c r="S710" t="n">
        <x:v>87896</x:v>
      </x:c>
      <x:c r="T710" t="n">
        <x:v>113337</x:v>
      </x:c>
      <x:c r="U710" t="str">
        <x:v>Pending state Round-1 allotment/cutoff data</x:v>
      </x:c>
    </x:row>
    <x:row r="711">
      <x:c r="A711" t="str">
        <x:v>Uttar Pradesh</x:v>
      </x:c>
      <x:c r="B711" t="str">
        <x:v>UP/019/G/1</x:v>
      </x:c>
      <x:c r="C711" t="str">
        <x:v>Autonomous State Society Medical College Mirzapur</x:v>
      </x:c>
      <x:c r="D711" t="str">
        <x:v>Government</x:v>
      </x:c>
      <x:c r="E711" t="n">
        <x:v>100</x:v>
      </x:c>
      <x:c r="F711" t="n">
        <x:v>0</x:v>
      </x:c>
      <x:c r="G711" t="n">
        <x:v>100</x:v>
      </x:c>
      <x:c r="H711" t="str">
        <x:v>200574</x:v>
      </x:c>
      <x:c r="I711" t="n">
        <x:v>15</x:v>
      </x:c>
      <x:c r="J711" t="n">
        <x:v>15</x:v>
      </x:c>
      <x:c r="K711" t="n">
        <x:v>85</x:v>
      </x:c>
      <x:c r="L711" s="20" t="n">
        <x:v>0.85</x:v>
      </x:c>
      <x:c r="M711" t="str">
        <x:v>High</x:v>
      </x:c>
      <x:c r="N711" t="str">
        <x:v>Approx. State/Non-MCC Pool</x:v>
      </x:c>
      <x:c r="O711" t="str">
        <x:v>Moderate state-counselling pool</x:v>
      </x:c>
      <x:c r="P711" t="n">
        <x:v>15291</x:v>
      </x:c>
      <x:c r="Q711" t="n">
        <x:v>16176</x:v>
      </x:c>
      <x:c r="R711" t="n">
        <x:v>17530</x:v>
      </x:c>
      <x:c r="S711" t="n">
        <x:v>82108</x:v>
      </x:c>
      <x:c r="T711" t="n">
        <x:v>105322</x:v>
      </x:c>
      <x:c r="U711" t="str">
        <x:v>Pending state Round-1 allotment/cutoff data</x:v>
      </x:c>
    </x:row>
    <x:row r="712">
      <x:c r="A712" t="str">
        <x:v>Uttar Pradesh</x:v>
      </x:c>
      <x:c r="B712" t="str">
        <x:v>UP/003/G/5</x:v>
      </x:c>
      <x:c r="C712" t="str">
        <x:v>Autonomous state medical college Amethi</x:v>
      </x:c>
      <x:c r="D712" t="str">
        <x:v>Government</x:v>
      </x:c>
      <x:c r="E712" t="n">
        <x:v>100</x:v>
      </x:c>
      <x:c r="F712" t="n">
        <x:v>0</x:v>
      </x:c>
      <x:c r="G712" t="n">
        <x:v>100</x:v>
      </x:c>
      <x:c r="H712" t="str">
        <x:v>904370</x:v>
      </x:c>
      <x:c r="I712" t="n">
        <x:v>15</x:v>
      </x:c>
      <x:c r="J712" t="n">
        <x:v>15</x:v>
      </x:c>
      <x:c r="K712" t="n">
        <x:v>85</x:v>
      </x:c>
      <x:c r="L712" s="20" t="n">
        <x:v>0.85</x:v>
      </x:c>
      <x:c r="M712" t="str">
        <x:v>High</x:v>
      </x:c>
      <x:c r="N712" t="str">
        <x:v>Approx. State/Non-MCC Pool</x:v>
      </x:c>
      <x:c r="O712" t="str">
        <x:v>Moderate state-counselling pool</x:v>
      </x:c>
      <x:c r="P712" t="n">
        <x:v>14032</x:v>
      </x:c>
      <x:c r="Q712" t="n">
        <x:v>16470</x:v>
      </x:c>
      <x:c r="R712" t="n">
        <x:v>17340</x:v>
      </x:c>
      <x:c r="S712" t="n">
        <x:v>74160</x:v>
      </x:c>
      <x:c r="T712" t="n">
        <x:v>102178</x:v>
      </x:c>
      <x:c r="U712" t="str">
        <x:v>Pending state Round-1 allotment/cutoff data</x:v>
      </x:c>
    </x:row>
    <x:row r="713">
      <x:c r="A713" t="str">
        <x:v>Uttar Pradesh</x:v>
      </x:c>
      <x:c r="B713" t="str">
        <x:v>UP/020/G/1</x:v>
      </x:c>
      <x:c r="C713" t="str">
        <x:v>Baba Kina Ram Autonomous State Medical College and Hospital Chandauli</x:v>
      </x:c>
      <x:c r="D713" t="str">
        <x:v>Government</x:v>
      </x:c>
      <x:c r="E713" t="n">
        <x:v>100</x:v>
      </x:c>
      <x:c r="F713" t="n">
        <x:v>0</x:v>
      </x:c>
      <x:c r="G713" t="n">
        <x:v>100</x:v>
      </x:c>
      <x:c r="H713" t="str">
        <x:v>902863</x:v>
      </x:c>
      <x:c r="I713" t="n">
        <x:v>15</x:v>
      </x:c>
      <x:c r="J713" t="n">
        <x:v>14</x:v>
      </x:c>
      <x:c r="K713" t="n">
        <x:v>85</x:v>
      </x:c>
      <x:c r="L713" s="20" t="n">
        <x:v>0.85</x:v>
      </x:c>
      <x:c r="M713" t="str">
        <x:v>High</x:v>
      </x:c>
      <x:c r="N713" t="str">
        <x:v>Approx. State/Non-MCC Pool</x:v>
      </x:c>
      <x:c r="O713" t="str">
        <x:v>Moderate state-counselling pool</x:v>
      </x:c>
      <x:c r="P713" t="n">
        <x:v>14490</x:v>
      </x:c>
      <x:c r="Q713" t="n">
        <x:v>17460</x:v>
      </x:c>
      <x:c r="R713" t="n">
        <x:v>17105</x:v>
      </x:c>
      <x:c r="S713" t="n">
        <x:v>77993</x:v>
      </x:c>
      <x:c r="T713" t="n">
        <x:v>108539</x:v>
      </x:c>
      <x:c r="U713" t="str">
        <x:v>Pending state Round-1 allotment/cutoff data</x:v>
      </x:c>
    </x:row>
    <x:row r="714">
      <x:c r="A714" t="str">
        <x:v>Uttar Pradesh</x:v>
      </x:c>
      <x:c r="B714" t="str">
        <x:v>UP/036/G/1</x:v>
      </x:c>
      <x:c r="C714" t="str">
        <x:v>Dr. Bhimrao Ramji Ambedkar Government Medical College, Kannauj ,Uttar Pradesh</x:v>
      </x:c>
      <x:c r="D714" t="str">
        <x:v>Government</x:v>
      </x:c>
      <x:c r="E714" t="n">
        <x:v>100</x:v>
      </x:c>
      <x:c r="F714" t="n">
        <x:v>0</x:v>
      </x:c>
      <x:c r="G714" t="n">
        <x:v>100</x:v>
      </x:c>
      <x:c r="H714" t="str">
        <x:v>200293</x:v>
      </x:c>
      <x:c r="I714" t="n">
        <x:v>15</x:v>
      </x:c>
      <x:c r="J714" t="n">
        <x:v>15</x:v>
      </x:c>
      <x:c r="K714" t="n">
        <x:v>85</x:v>
      </x:c>
      <x:c r="L714" s="20" t="n">
        <x:v>0.85</x:v>
      </x:c>
      <x:c r="M714" t="str">
        <x:v>High</x:v>
      </x:c>
      <x:c r="N714" t="str">
        <x:v>Approx. State/Non-MCC Pool</x:v>
      </x:c>
      <x:c r="O714" t="str">
        <x:v>Moderate state-counselling pool</x:v>
      </x:c>
      <x:c r="P714" t="n">
        <x:v>8205</x:v>
      </x:c>
      <x:c r="Q714" t="n">
        <x:v>9190</x:v>
      </x:c>
      <x:c r="R714" t="n">
        <x:v>9351</x:v>
      </x:c>
      <x:c r="S714" t="n">
        <x:v>64225</x:v>
      </x:c>
      <x:c r="T714" t="n">
        <x:v>75352</x:v>
      </x:c>
      <x:c r="U714" t="str">
        <x:v>Pending state Round-1 allotment/cutoff data</x:v>
      </x:c>
    </x:row>
    <x:row r="715">
      <x:c r="A715" t="str">
        <x:v>Uttar Pradesh</x:v>
      </x:c>
      <x:c r="B715" t="str">
        <x:v>UP/030/G/1</x:v>
      </x:c>
      <x:c r="C715" t="str">
        <x:v>Government Allopathic Medical College, Banda, UP</x:v>
      </x:c>
      <x:c r="D715" t="str">
        <x:v>Government</x:v>
      </x:c>
      <x:c r="E715" t="n">
        <x:v>100</x:v>
      </x:c>
      <x:c r="F715" t="n">
        <x:v>0</x:v>
      </x:c>
      <x:c r="G715" t="n">
        <x:v>100</x:v>
      </x:c>
      <x:c r="H715" t="str">
        <x:v>200292</x:v>
      </x:c>
      <x:c r="I715" t="n">
        <x:v>15</x:v>
      </x:c>
      <x:c r="J715" t="n">
        <x:v>15</x:v>
      </x:c>
      <x:c r="K715" t="n">
        <x:v>85</x:v>
      </x:c>
      <x:c r="L715" s="20" t="n">
        <x:v>0.85</x:v>
      </x:c>
      <x:c r="M715" t="str">
        <x:v>High</x:v>
      </x:c>
      <x:c r="N715" t="str">
        <x:v>Approx. State/Non-MCC Pool</x:v>
      </x:c>
      <x:c r="O715" t="str">
        <x:v>Moderate state-counselling pool</x:v>
      </x:c>
      <x:c r="P715" t="n">
        <x:v>10997</x:v>
      </x:c>
      <x:c r="Q715" t="n">
        <x:v>12161</x:v>
      </x:c>
      <x:c r="R715" t="n">
        <x:v>14202</x:v>
      </x:c>
      <x:c r="S715" t="n">
        <x:v>65676</x:v>
      </x:c>
      <x:c r="T715" t="n">
        <x:v>95643</x:v>
      </x:c>
      <x:c r="U715" t="str">
        <x:v>Pending state Round-1 allotment/cutoff data</x:v>
      </x:c>
    </x:row>
    <x:row r="716">
      <x:c r="A716" t="str">
        <x:v>Uttar Pradesh</x:v>
      </x:c>
      <x:c r="B716" t="str">
        <x:v>UP/031/G/1</x:v>
      </x:c>
      <x:c r="C716" t="str">
        <x:v>Government Institute of Medical Sciences, Kasna, Greater Noida</x:v>
      </x:c>
      <x:c r="D716" t="str">
        <x:v>Government</x:v>
      </x:c>
      <x:c r="E716" t="n">
        <x:v>100</x:v>
      </x:c>
      <x:c r="F716" t="n">
        <x:v>0</x:v>
      </x:c>
      <x:c r="G716" t="n">
        <x:v>100</x:v>
      </x:c>
      <x:c r="H716" t="str">
        <x:v>200486</x:v>
      </x:c>
      <x:c r="I716" t="n">
        <x:v>15</x:v>
      </x:c>
      <x:c r="J716" t="n">
        <x:v>15</x:v>
      </x:c>
      <x:c r="K716" t="n">
        <x:v>85</x:v>
      </x:c>
      <x:c r="L716" s="20" t="n">
        <x:v>0.85</x:v>
      </x:c>
      <x:c r="M716" t="str">
        <x:v>High</x:v>
      </x:c>
      <x:c r="N716" t="str">
        <x:v>Approx. State/Non-MCC Pool</x:v>
      </x:c>
      <x:c r="O716" t="str">
        <x:v>Moderate state-counselling pool</x:v>
      </x:c>
      <x:c r="P716" t="n">
        <x:v>4258</x:v>
      </x:c>
      <x:c r="Q716" t="n">
        <x:v>5303</x:v>
      </x:c>
      <x:c r="R716" t="n">
        <x:v>5420</x:v>
      </x:c>
      <x:c r="S716" t="n">
        <x:v>30064</x:v>
      </x:c>
      <x:c r="T716" t="n">
        <x:v>52810</x:v>
      </x:c>
      <x:c r="U716" t="str">
        <x:v>Pending state Round-1 allotment/cutoff data</x:v>
      </x:c>
    </x:row>
    <x:row r="717">
      <x:c r="A717" t="str">
        <x:v>Uttar Pradesh</x:v>
      </x:c>
      <x:c r="B717" t="str">
        <x:v>UP/032/G/1</x:v>
      </x:c>
      <x:c r="C717" t="str">
        <x:v>Government Medical College &amp; Super facility Hospital, Azamgarh</x:v>
      </x:c>
      <x:c r="D717" t="str">
        <x:v>Government</x:v>
      </x:c>
      <x:c r="E717" t="n">
        <x:v>100</x:v>
      </x:c>
      <x:c r="F717" t="n">
        <x:v>0</x:v>
      </x:c>
      <x:c r="G717" t="n">
        <x:v>100</x:v>
      </x:c>
      <x:c r="H717" t="str">
        <x:v>200290</x:v>
      </x:c>
      <x:c r="I717" t="n">
        <x:v>15</x:v>
      </x:c>
      <x:c r="J717" t="n">
        <x:v>15</x:v>
      </x:c>
      <x:c r="K717" t="n">
        <x:v>85</x:v>
      </x:c>
      <x:c r="L717" s="20" t="n">
        <x:v>0.85</x:v>
      </x:c>
      <x:c r="M717" t="str">
        <x:v>High</x:v>
      </x:c>
      <x:c r="N717" t="str">
        <x:v>Approx. State/Non-MCC Pool</x:v>
      </x:c>
      <x:c r="O717" t="str">
        <x:v>Moderate state-counselling pool</x:v>
      </x:c>
      <x:c r="P717" t="n">
        <x:v>9074</x:v>
      </x:c>
      <x:c r="Q717" t="n">
        <x:v>9982</x:v>
      </x:c>
      <x:c r="R717" t="n">
        <x:v>13130</x:v>
      </x:c>
      <x:c r="S717" t="n">
        <x:v>64982</x:v>
      </x:c>
      <x:c r="T717" t="n">
        <x:v>70175</x:v>
      </x:c>
      <x:c r="U717" t="str">
        <x:v>Pending state Round-1 allotment/cutoff data</x:v>
      </x:c>
    </x:row>
    <x:row r="718">
      <x:c r="A718" t="str">
        <x:v>Uttar Pradesh</x:v>
      </x:c>
      <x:c r="B718" t="str">
        <x:v>UP/033/G/1</x:v>
      </x:c>
      <x:c r="C718" t="str">
        <x:v>Government Medical College, Badaun, U.P.</x:v>
      </x:c>
      <x:c r="D718" t="str">
        <x:v>Government</x:v>
      </x:c>
      <x:c r="E718" t="n">
        <x:v>100</x:v>
      </x:c>
      <x:c r="F718" t="n">
        <x:v>0</x:v>
      </x:c>
      <x:c r="G718" t="n">
        <x:v>100</x:v>
      </x:c>
      <x:c r="H718" t="str">
        <x:v>200493</x:v>
      </x:c>
      <x:c r="I718" t="n">
        <x:v>15</x:v>
      </x:c>
      <x:c r="J718" t="n">
        <x:v>15</x:v>
      </x:c>
      <x:c r="K718" t="n">
        <x:v>85</x:v>
      </x:c>
      <x:c r="L718" s="20" t="n">
        <x:v>0.85</x:v>
      </x:c>
      <x:c r="M718" t="str">
        <x:v>High</x:v>
      </x:c>
      <x:c r="N718" t="str">
        <x:v>Approx. State/Non-MCC Pool</x:v>
      </x:c>
      <x:c r="O718" t="str">
        <x:v>Moderate state-counselling pool</x:v>
      </x:c>
      <x:c r="P718" t="n">
        <x:v>10040</x:v>
      </x:c>
      <x:c r="Q718" t="n">
        <x:v>12310</x:v>
      </x:c>
      <x:c r="R718" t="n">
        <x:v>12904</x:v>
      </x:c>
      <x:c r="S718" t="n">
        <x:v>62347</x:v>
      </x:c>
      <x:c r="T718" t="n">
        <x:v>97262</x:v>
      </x:c>
      <x:c r="U718" t="str">
        <x:v>Pending state Round-1 allotment/cutoff data</x:v>
      </x:c>
    </x:row>
    <x:row r="719">
      <x:c r="A719" t="str">
        <x:v>Uttar Pradesh</x:v>
      </x:c>
      <x:c r="B719" t="str">
        <x:v>UP/034/G/1</x:v>
      </x:c>
      <x:c r="C719" t="str">
        <x:v>Government Medical College, Faizabad</x:v>
      </x:c>
      <x:c r="D719" t="str">
        <x:v>Government</x:v>
      </x:c>
      <x:c r="E719" t="n">
        <x:v>100</x:v>
      </x:c>
      <x:c r="F719" t="n">
        <x:v>0</x:v>
      </x:c>
      <x:c r="G719" t="n">
        <x:v>100</x:v>
      </x:c>
      <x:c r="H719" t="str">
        <x:v>200489</x:v>
      </x:c>
      <x:c r="I719" t="n">
        <x:v>15</x:v>
      </x:c>
      <x:c r="J719" t="n">
        <x:v>15</x:v>
      </x:c>
      <x:c r="K719" t="n">
        <x:v>85</x:v>
      </x:c>
      <x:c r="L719" s="20" t="n">
        <x:v>0.85</x:v>
      </x:c>
      <x:c r="M719" t="str">
        <x:v>High</x:v>
      </x:c>
      <x:c r="N719" t="str">
        <x:v>Approx. State/Non-MCC Pool</x:v>
      </x:c>
      <x:c r="O719" t="str">
        <x:v>Moderate state-counselling pool</x:v>
      </x:c>
      <x:c r="P719" t="n">
        <x:v>10269</x:v>
      </x:c>
      <x:c r="Q719" t="n">
        <x:v>11204</x:v>
      </x:c>
      <x:c r="R719" t="n">
        <x:v>13429</x:v>
      </x:c>
      <x:c r="S719" t="n">
        <x:v>65930</x:v>
      </x:c>
      <x:c r="T719" t="n">
        <x:v>76589</x:v>
      </x:c>
      <x:c r="U719" t="str">
        <x:v>Pending state Round-1 allotment/cutoff data</x:v>
      </x:c>
    </x:row>
    <x:row r="720">
      <x:c r="A720" t="str">
        <x:v>Uttar Pradesh</x:v>
      </x:c>
      <x:c r="B720" t="str">
        <x:v>UP/035/G/1</x:v>
      </x:c>
      <x:c r="C720" t="str">
        <x:v>Government Medical College, Firozabad</x:v>
      </x:c>
      <x:c r="D720" t="str">
        <x:v>Government</x:v>
      </x:c>
      <x:c r="E720" t="n">
        <x:v>100</x:v>
      </x:c>
      <x:c r="F720" t="n">
        <x:v>0</x:v>
      </x:c>
      <x:c r="G720" t="n">
        <x:v>100</x:v>
      </x:c>
      <x:c r="H720" t="str">
        <x:v>200473</x:v>
      </x:c>
      <x:c r="I720" t="n">
        <x:v>15</x:v>
      </x:c>
      <x:c r="J720" t="n">
        <x:v>15</x:v>
      </x:c>
      <x:c r="K720" t="n">
        <x:v>85</x:v>
      </x:c>
      <x:c r="L720" s="20" t="n">
        <x:v>0.85</x:v>
      </x:c>
      <x:c r="M720" t="str">
        <x:v>High</x:v>
      </x:c>
      <x:c r="N720" t="str">
        <x:v>Approx. State/Non-MCC Pool</x:v>
      </x:c>
      <x:c r="O720" t="str">
        <x:v>Moderate state-counselling pool</x:v>
      </x:c>
      <x:c r="P720" t="n">
        <x:v>11272</x:v>
      </x:c>
      <x:c r="Q720" t="n">
        <x:v>12022</x:v>
      </x:c>
      <x:c r="R720" t="n">
        <x:v>13352</x:v>
      </x:c>
      <x:c r="S720" t="n">
        <x:v>57374</x:v>
      </x:c>
      <x:c r="T720" t="n">
        <x:v>66841</x:v>
      </x:c>
      <x:c r="U720" t="str">
        <x:v>Pending state Round-1 allotment/cutoff data</x:v>
      </x:c>
    </x:row>
    <x:row r="721">
      <x:c r="A721" t="str">
        <x:v>Uttar Pradesh</x:v>
      </x:c>
      <x:c r="B721" t="str">
        <x:v>UP/037/G/1</x:v>
      </x:c>
      <x:c r="C721" t="str">
        <x:v>Government Medical College, Rampur, Basti</x:v>
      </x:c>
      <x:c r="D721" t="str">
        <x:v>Government</x:v>
      </x:c>
      <x:c r="E721" t="n">
        <x:v>100</x:v>
      </x:c>
      <x:c r="F721" t="n">
        <x:v>0</x:v>
      </x:c>
      <x:c r="G721" t="n">
        <x:v>100</x:v>
      </x:c>
      <x:c r="H721" t="str">
        <x:v>200490</x:v>
      </x:c>
      <x:c r="I721" t="n">
        <x:v>15</x:v>
      </x:c>
      <x:c r="J721" t="n">
        <x:v>15</x:v>
      </x:c>
      <x:c r="K721" t="n">
        <x:v>85</x:v>
      </x:c>
      <x:c r="L721" s="20" t="n">
        <x:v>0.85</x:v>
      </x:c>
      <x:c r="M721" t="str">
        <x:v>High</x:v>
      </x:c>
      <x:c r="N721" t="str">
        <x:v>Approx. State/Non-MCC Pool</x:v>
      </x:c>
      <x:c r="O721" t="str">
        <x:v>Moderate state-counselling pool</x:v>
      </x:c>
      <x:c r="P721" t="n">
        <x:v>12198</x:v>
      </x:c>
      <x:c r="Q721" t="n">
        <x:v>13410</x:v>
      </x:c>
      <x:c r="R721" t="n">
        <x:v>15867</x:v>
      </x:c>
      <x:c r="S721" t="n">
        <x:v>68235</x:v>
      </x:c>
      <x:c r="T721" t="n">
        <x:v>77305</x:v>
      </x:c>
      <x:c r="U721" t="str">
        <x:v>Pending state Round-1 allotment/cutoff data</x:v>
      </x:c>
    </x:row>
    <x:row r="722">
      <x:c r="A722" t="str">
        <x:v>Uttar Pradesh</x:v>
      </x:c>
      <x:c r="B722" t="str">
        <x:v>UP/038/G/1</x:v>
      </x:c>
      <x:c r="C722" t="str">
        <x:v>Government Medical College, Shahjahanpur, UP</x:v>
      </x:c>
      <x:c r="D722" t="str">
        <x:v>Government</x:v>
      </x:c>
      <x:c r="E722" t="n">
        <x:v>100</x:v>
      </x:c>
      <x:c r="F722" t="n">
        <x:v>0</x:v>
      </x:c>
      <x:c r="G722" t="n">
        <x:v>100</x:v>
      </x:c>
      <x:c r="H722" t="str">
        <x:v>200491</x:v>
      </x:c>
      <x:c r="I722" t="n">
        <x:v>15</x:v>
      </x:c>
      <x:c r="J722" t="n">
        <x:v>15</x:v>
      </x:c>
      <x:c r="K722" t="n">
        <x:v>85</x:v>
      </x:c>
      <x:c r="L722" s="20" t="n">
        <x:v>0.85</x:v>
      </x:c>
      <x:c r="M722" t="str">
        <x:v>High</x:v>
      </x:c>
      <x:c r="N722" t="str">
        <x:v>Approx. State/Non-MCC Pool</x:v>
      </x:c>
      <x:c r="O722" t="str">
        <x:v>Moderate state-counselling pool</x:v>
      </x:c>
      <x:c r="P722" t="n">
        <x:v>11794</x:v>
      </x:c>
      <x:c r="Q722" t="n">
        <x:v>12768</x:v>
      </x:c>
      <x:c r="R722" t="n">
        <x:v>14135</x:v>
      </x:c>
      <x:c r="S722" t="n">
        <x:v>67449</x:v>
      </x:c>
      <x:c r="T722" t="n">
        <x:v>98184</x:v>
      </x:c>
      <x:c r="U722" t="str">
        <x:v>Pending state Round-1 allotment/cutoff data</x:v>
      </x:c>
    </x:row>
    <x:row r="723">
      <x:c r="A723" t="str">
        <x:v>Uttar Pradesh</x:v>
      </x:c>
      <x:c r="B723" t="str">
        <x:v>UP/047/G/5</x:v>
      </x:c>
      <x:c r="C723" t="str">
        <x:v>Kalyan Singh Government Medical College</x:v>
      </x:c>
      <x:c r="D723" t="str">
        <x:v>Government</x:v>
      </x:c>
      <x:c r="E723" t="n">
        <x:v>100</x:v>
      </x:c>
      <x:c r="F723" t="n">
        <x:v>0</x:v>
      </x:c>
      <x:c r="G723" t="n">
        <x:v>100</x:v>
      </x:c>
      <x:c r="H723" t="str">
        <x:v>902815</x:v>
      </x:c>
      <x:c r="I723" t="n">
        <x:v>15</x:v>
      </x:c>
      <x:c r="J723" t="n">
        <x:v>14</x:v>
      </x:c>
      <x:c r="K723" t="n">
        <x:v>85</x:v>
      </x:c>
      <x:c r="L723" s="20" t="n">
        <x:v>0.85</x:v>
      </x:c>
      <x:c r="M723" t="str">
        <x:v>High</x:v>
      </x:c>
      <x:c r="N723" t="str">
        <x:v>Approx. State/Non-MCC Pool</x:v>
      </x:c>
      <x:c r="O723" t="str">
        <x:v>Moderate state-counselling pool</x:v>
      </x:c>
      <x:c r="P723" t="n">
        <x:v>9494</x:v>
      </x:c>
      <x:c r="Q723" t="n">
        <x:v>10424</x:v>
      </x:c>
      <x:c r="R723" t="n">
        <x:v>14013</x:v>
      </x:c>
      <x:c r="S723" t="n">
        <x:v>67784</x:v>
      </x:c>
      <x:c r="T723" t="n">
        <x:v>82640</x:v>
      </x:c>
      <x:c r="U723" t="str">
        <x:v>Pending state Round-1 allotment/cutoff data</x:v>
      </x:c>
    </x:row>
    <x:row r="724">
      <x:c r="A724" t="str">
        <x:v>Uttar Pradesh</x:v>
      </x:c>
      <x:c r="B724" t="str">
        <x:v>UP/052/G/1</x:v>
      </x:c>
      <x:c r="C724" t="str">
        <x:v>Mahamaya Rajkiya Allopathic Medical College, Ambedkarnagar</x:v>
      </x:c>
      <x:c r="D724" t="str">
        <x:v>Government</x:v>
      </x:c>
      <x:c r="E724" t="n">
        <x:v>100</x:v>
      </x:c>
      <x:c r="F724" t="n">
        <x:v>0</x:v>
      </x:c>
      <x:c r="G724" t="n">
        <x:v>100</x:v>
      </x:c>
      <x:c r="H724" t="str">
        <x:v>200300</x:v>
      </x:c>
      <x:c r="I724" t="n">
        <x:v>15</x:v>
      </x:c>
      <x:c r="J724" t="n">
        <x:v>15</x:v>
      </x:c>
      <x:c r="K724" t="n">
        <x:v>85</x:v>
      </x:c>
      <x:c r="L724" s="20" t="n">
        <x:v>0.85</x:v>
      </x:c>
      <x:c r="M724" t="str">
        <x:v>High</x:v>
      </x:c>
      <x:c r="N724" t="str">
        <x:v>Approx. State/Non-MCC Pool</x:v>
      </x:c>
      <x:c r="O724" t="str">
        <x:v>Moderate state-counselling pool</x:v>
      </x:c>
      <x:c r="P724" t="n">
        <x:v>9482</x:v>
      </x:c>
      <x:c r="Q724" t="n">
        <x:v>10499</x:v>
      </x:c>
      <x:c r="R724" t="n">
        <x:v>12624</x:v>
      </x:c>
      <x:c r="S724" t="n">
        <x:v>60327</x:v>
      </x:c>
      <x:c r="T724" t="n">
        <x:v>87418</x:v>
      </x:c>
      <x:c r="U724" t="str">
        <x:v>Pending state Round-1 allotment/cutoff data</x:v>
      </x:c>
    </x:row>
    <x:row r="725">
      <x:c r="A725" t="str">
        <x:v>Uttar Pradesh</x:v>
      </x:c>
      <x:c r="B725" t="str">
        <x:v>UP/054/G/1</x:v>
      </x:c>
      <x:c r="C725" t="str">
        <x:v>Maharshi Devraha Baba Autonomous State Medical College, Deoria</x:v>
      </x:c>
      <x:c r="D725" t="str">
        <x:v>Government</x:v>
      </x:c>
      <x:c r="E725" t="n">
        <x:v>100</x:v>
      </x:c>
      <x:c r="F725" t="n">
        <x:v>0</x:v>
      </x:c>
      <x:c r="G725" t="n">
        <x:v>100</x:v>
      </x:c>
      <x:c r="H725" t="str">
        <x:v>200549</x:v>
      </x:c>
      <x:c r="I725" t="n">
        <x:v>15</x:v>
      </x:c>
      <x:c r="J725" t="n">
        <x:v>15</x:v>
      </x:c>
      <x:c r="K725" t="n">
        <x:v>85</x:v>
      </x:c>
      <x:c r="L725" s="20" t="n">
        <x:v>0.85</x:v>
      </x:c>
      <x:c r="M725" t="str">
        <x:v>High</x:v>
      </x:c>
      <x:c r="N725" t="str">
        <x:v>Approx. State/Non-MCC Pool</x:v>
      </x:c>
      <x:c r="O725" t="str">
        <x:v>Moderate state-counselling pool</x:v>
      </x:c>
      <x:c r="P725" t="n">
        <x:v>13086</x:v>
      </x:c>
      <x:c r="Q725" t="n">
        <x:v>14921</x:v>
      </x:c>
      <x:c r="R725" t="n">
        <x:v>13771</x:v>
      </x:c>
      <x:c r="S725" t="n">
        <x:v>73354</x:v>
      </x:c>
      <x:c r="T725" t="n">
        <x:v>103675</x:v>
      </x:c>
      <x:c r="U725" t="str">
        <x:v>Pending state Round-1 allotment/cutoff data</x:v>
      </x:c>
    </x:row>
    <x:row r="726">
      <x:c r="A726" t="str">
        <x:v>Uttar Pradesh</x:v>
      </x:c>
      <x:c r="B726" t="str">
        <x:v>UP/055/G/1</x:v>
      </x:c>
      <x:c r="C726" t="str">
        <x:v>Mahatma Vidur Autonomous State Medical College</x:v>
      </x:c>
      <x:c r="D726" t="str">
        <x:v>Government</x:v>
      </x:c>
      <x:c r="E726" t="n">
        <x:v>100</x:v>
      </x:c>
      <x:c r="F726" t="n">
        <x:v>0</x:v>
      </x:c>
      <x:c r="G726" t="n">
        <x:v>100</x:v>
      </x:c>
      <x:c r="H726" t="str">
        <x:v>902814</x:v>
      </x:c>
      <x:c r="I726" t="n">
        <x:v>15</x:v>
      </x:c>
      <x:c r="J726" t="n">
        <x:v>15</x:v>
      </x:c>
      <x:c r="K726" t="n">
        <x:v>85</x:v>
      </x:c>
      <x:c r="L726" s="20" t="n">
        <x:v>0.85</x:v>
      </x:c>
      <x:c r="M726" t="str">
        <x:v>High</x:v>
      </x:c>
      <x:c r="N726" t="str">
        <x:v>Approx. State/Non-MCC Pool</x:v>
      </x:c>
      <x:c r="O726" t="str">
        <x:v>Moderate state-counselling pool</x:v>
      </x:c>
      <x:c r="P726" t="n">
        <x:v>13856</x:v>
      </x:c>
      <x:c r="Q726" t="n">
        <x:v>14738</x:v>
      </x:c>
      <x:c r="R726" t="n">
        <x:v>16083</x:v>
      </x:c>
      <x:c r="S726" t="n">
        <x:v>78530</x:v>
      </x:c>
      <x:c r="T726" t="n">
        <x:v>106157</x:v>
      </x:c>
      <x:c r="U726" t="str">
        <x:v>Pending state Round-1 allotment/cutoff data</x:v>
      </x:c>
    </x:row>
    <x:row r="727">
      <x:c r="A727" t="str">
        <x:v>Uttar Pradesh</x:v>
      </x:c>
      <x:c r="B727" t="str">
        <x:v>UP/004/G/5</x:v>
      </x:c>
      <x:c r="C727" t="str">
        <x:v>Punyashloka Lokmata Devi Ahilyabai Holkar Autonomous State Medical College, Auraiya (U.P.)</x:v>
      </x:c>
      <x:c r="D727" t="str">
        <x:v>Government</x:v>
      </x:c>
      <x:c r="E727" t="n">
        <x:v>100</x:v>
      </x:c>
      <x:c r="F727" t="n">
        <x:v>0</x:v>
      </x:c>
      <x:c r="G727" t="n">
        <x:v>100</x:v>
      </x:c>
      <x:c r="H727" t="str">
        <x:v>902860</x:v>
      </x:c>
      <x:c r="I727" t="n">
        <x:v>15</x:v>
      </x:c>
      <x:c r="J727" t="n">
        <x:v>15</x:v>
      </x:c>
      <x:c r="K727" t="n">
        <x:v>85</x:v>
      </x:c>
      <x:c r="L727" s="20" t="n">
        <x:v>0.85</x:v>
      </x:c>
      <x:c r="M727" t="str">
        <x:v>High</x:v>
      </x:c>
      <x:c r="N727" t="str">
        <x:v>Approx. State/Non-MCC Pool</x:v>
      </x:c>
      <x:c r="O727" t="str">
        <x:v>Moderate state-counselling pool</x:v>
      </x:c>
      <x:c r="P727" t="n">
        <x:v>16456</x:v>
      </x:c>
      <x:c r="Q727" t="n">
        <x:v>17443</x:v>
      </x:c>
      <x:c r="R727" t="n">
        <x:v>17738</x:v>
      </x:c>
      <x:c r="S727" t="n">
        <x:v>82669</x:v>
      </x:c>
      <x:c r="T727" t="n">
        <x:v>111415</x:v>
      </x:c>
      <x:c r="U727" t="str">
        <x:v>Pending state Round-1 allotment/cutoff data</x:v>
      </x:c>
    </x:row>
    <x:row r="728">
      <x:c r="A728" t="str">
        <x:v>Uttar Pradesh</x:v>
      </x:c>
      <x:c r="B728" t="str">
        <x:v>UP/063/G/1</x:v>
      </x:c>
      <x:c r="C728" t="str">
        <x:v>Rajkiya Allopathic Medical College, Bahraich, UP</x:v>
      </x:c>
      <x:c r="D728" t="str">
        <x:v>Government</x:v>
      </x:c>
      <x:c r="E728" t="n">
        <x:v>100</x:v>
      </x:c>
      <x:c r="F728" t="n">
        <x:v>0</x:v>
      </x:c>
      <x:c r="G728" t="n">
        <x:v>100</x:v>
      </x:c>
      <x:c r="H728" t="str">
        <x:v>200492</x:v>
      </x:c>
      <x:c r="I728" t="n">
        <x:v>15</x:v>
      </x:c>
      <x:c r="J728" t="n">
        <x:v>15</x:v>
      </x:c>
      <x:c r="K728" t="n">
        <x:v>85</x:v>
      </x:c>
      <x:c r="L728" s="20" t="n">
        <x:v>0.85</x:v>
      </x:c>
      <x:c r="M728" t="str">
        <x:v>High</x:v>
      </x:c>
      <x:c r="N728" t="str">
        <x:v>Approx. State/Non-MCC Pool</x:v>
      </x:c>
      <x:c r="O728" t="str">
        <x:v>Moderate state-counselling pool</x:v>
      </x:c>
      <x:c r="P728" t="n">
        <x:v>11358</x:v>
      </x:c>
      <x:c r="Q728" t="n">
        <x:v>12553</x:v>
      </x:c>
      <x:c r="R728" t="n">
        <x:v>14344</x:v>
      </x:c>
      <x:c r="S728" t="n">
        <x:v>75164</x:v>
      </x:c>
      <x:c r="T728" t="n">
        <x:v>95069</x:v>
      </x:c>
      <x:c r="U728" t="str">
        <x:v>Pending state Round-1 allotment/cutoff data</x:v>
      </x:c>
    </x:row>
    <x:row r="729">
      <x:c r="A729" t="str">
        <x:v>Uttar Pradesh</x:v>
      </x:c>
      <x:c r="B729" t="str">
        <x:v>UP/064/G/1</x:v>
      </x:c>
      <x:c r="C729" t="str">
        <x:v>Rajkiya Medical College Jalaun, Orai, Uttar Pradesh</x:v>
      </x:c>
      <x:c r="D729" t="str">
        <x:v>Government</x:v>
      </x:c>
      <x:c r="E729" t="n">
        <x:v>100</x:v>
      </x:c>
      <x:c r="F729" t="n">
        <x:v>0</x:v>
      </x:c>
      <x:c r="G729" t="n">
        <x:v>100</x:v>
      </x:c>
      <x:c r="H729" t="str">
        <x:v>200291</x:v>
      </x:c>
      <x:c r="I729" t="n">
        <x:v>15</x:v>
      </x:c>
      <x:c r="J729" t="n">
        <x:v>15</x:v>
      </x:c>
      <x:c r="K729" t="n">
        <x:v>85</x:v>
      </x:c>
      <x:c r="L729" s="20" t="n">
        <x:v>0.85</x:v>
      </x:c>
      <x:c r="M729" t="str">
        <x:v>High</x:v>
      </x:c>
      <x:c r="N729" t="str">
        <x:v>Approx. State/Non-MCC Pool</x:v>
      </x:c>
      <x:c r="O729" t="str">
        <x:v>Moderate state-counselling pool</x:v>
      </x:c>
      <x:c r="P729" t="n">
        <x:v>10700</x:v>
      </x:c>
      <x:c r="Q729" t="n">
        <x:v>11849</x:v>
      </x:c>
      <x:c r="R729" t="n">
        <x:v>13184</x:v>
      </x:c>
      <x:c r="S729" t="n">
        <x:v>58636</x:v>
      </x:c>
      <x:c r="T729" t="n">
        <x:v>93248</x:v>
      </x:c>
      <x:c r="U729" t="str">
        <x:v>Pending state Round-1 allotment/cutoff data</x:v>
      </x:c>
    </x:row>
    <x:row r="730">
      <x:c r="A730" t="str">
        <x:v>Uttar Pradesh</x:v>
      </x:c>
      <x:c r="B730" t="str">
        <x:v>UP/074/G/1</x:v>
      </x:c>
      <x:c r="C730" t="str">
        <x:v>Shaikh-UL-Hind Maulana Mahmood Hasan Medical College, Saharanpur</x:v>
      </x:c>
      <x:c r="D730" t="str">
        <x:v>Government</x:v>
      </x:c>
      <x:c r="E730" t="n">
        <x:v>100</x:v>
      </x:c>
      <x:c r="F730" t="n">
        <x:v>0</x:v>
      </x:c>
      <x:c r="G730" t="n">
        <x:v>100</x:v>
      </x:c>
      <x:c r="H730" t="str">
        <x:v>200303</x:v>
      </x:c>
      <x:c r="I730" t="n">
        <x:v>15</x:v>
      </x:c>
      <x:c r="J730" t="n">
        <x:v>15</x:v>
      </x:c>
      <x:c r="K730" t="n">
        <x:v>85</x:v>
      </x:c>
      <x:c r="L730" s="20" t="n">
        <x:v>0.85</x:v>
      </x:c>
      <x:c r="M730" t="str">
        <x:v>High</x:v>
      </x:c>
      <x:c r="N730" t="str">
        <x:v>Approx. State/Non-MCC Pool</x:v>
      </x:c>
      <x:c r="O730" t="str">
        <x:v>Moderate state-counselling pool</x:v>
      </x:c>
      <x:c r="P730" t="n">
        <x:v>8350</x:v>
      </x:c>
      <x:c r="Q730" t="n">
        <x:v>9759</x:v>
      </x:c>
      <x:c r="R730" t="n">
        <x:v>11046</x:v>
      </x:c>
      <x:c r="S730" t="n">
        <x:v>64355</x:v>
      </x:c>
      <x:c r="T730" t="n">
        <x:v>87624</x:v>
      </x:c>
      <x:c r="U730" t="str">
        <x:v>Pending state Round-1 allotment/cutoff data</x:v>
      </x:c>
    </x:row>
    <x:row r="731">
      <x:c r="A731" t="str">
        <x:v>Uttar Pradesh</x:v>
      </x:c>
      <x:c r="B731" t="str">
        <x:v>UP/082/G/1</x:v>
      </x:c>
      <x:c r="C731" t="str">
        <x:v>Uma Nath Singh Autonomous State Medical College Society Jaunpur</x:v>
      </x:c>
      <x:c r="D731" t="str">
        <x:v>Government</x:v>
      </x:c>
      <x:c r="E731" t="n">
        <x:v>100</x:v>
      </x:c>
      <x:c r="F731" t="n">
        <x:v>0</x:v>
      </x:c>
      <x:c r="G731" t="n">
        <x:v>100</x:v>
      </x:c>
      <x:c r="H731" t="str">
        <x:v>200550</x:v>
      </x:c>
      <x:c r="I731" t="n">
        <x:v>15</x:v>
      </x:c>
      <x:c r="J731" t="n">
        <x:v>15</x:v>
      </x:c>
      <x:c r="K731" t="n">
        <x:v>85</x:v>
      </x:c>
      <x:c r="L731" s="20" t="n">
        <x:v>0.85</x:v>
      </x:c>
      <x:c r="M731" t="str">
        <x:v>High</x:v>
      </x:c>
      <x:c r="N731" t="str">
        <x:v>Approx. State/Non-MCC Pool</x:v>
      </x:c>
      <x:c r="O731" t="str">
        <x:v>Moderate state-counselling pool</x:v>
      </x:c>
      <x:c r="P731" t="n">
        <x:v>14638</x:v>
      </x:c>
      <x:c r="Q731" t="n">
        <x:v>16314</x:v>
      </x:c>
      <x:c r="R731" t="n">
        <x:v>16296</x:v>
      </x:c>
      <x:c r="S731" t="n">
        <x:v>86689</x:v>
      </x:c>
      <x:c r="T731" t="n">
        <x:v>106133</x:v>
      </x:c>
      <x:c r="U731" t="str">
        <x:v>Pending state Round-1 allotment/cutoff data</x:v>
      </x:c>
    </x:row>
    <x:row r="732">
      <x:c r="A732" t="str">
        <x:v>Uttar Pradesh</x:v>
      </x:c>
      <x:c r="B732" t="str">
        <x:v>UP/026/G/1</x:v>
      </x:c>
      <x:c r="C732" t="str">
        <x:v>ESIC MEDICAL COLLEGE AND HOSPITAL, NOIDA</x:v>
      </x:c>
      <x:c r="D732" t="str">
        <x:v>Government</x:v>
      </x:c>
      <x:c r="E732" t="n">
        <x:v>50</x:v>
      </x:c>
      <x:c r="F732" t="n">
        <x:v>0</x:v>
      </x:c>
      <x:c r="G732" t="n">
        <x:v>50</x:v>
      </x:c>
      <x:c r="H732" t="str">
        <x:v>904362</x:v>
      </x:c>
      <x:c r="I732" t="n">
        <x:v>32</x:v>
      </x:c>
      <x:c r="J732" t="n">
        <x:v>31</x:v>
      </x:c>
      <x:c r="K732" t="n">
        <x:v>18</x:v>
      </x:c>
      <x:c r="L732" s="20" t="n">
        <x:v>0.36</x:v>
      </x:c>
      <x:c r="M732" t="str">
        <x:v>High</x:v>
      </x:c>
      <x:c r="N732" t="str">
        <x:v>Approx. State/Non-MCC Pool</x:v>
      </x:c>
      <x:c r="O732" t="str">
        <x:v>Smaller state-counselling pool</x:v>
      </x:c>
      <x:c r="P732" t="n">
        <x:v>14603</x:v>
      </x:c>
      <x:c r="Q732" t="n">
        <x:v>17827</x:v>
      </x:c>
      <x:c r="R732" t="n">
        <x:v>19078</x:v>
      </x:c>
      <x:c r="S732" t="n">
        <x:v>108636</x:v>
      </x:c>
      <x:c r="T732" t="n">
        <x:v>189719</x:v>
      </x:c>
      <x:c r="U732" t="str">
        <x:v>Pending state Round-1 allotment/cutoff data</x:v>
      </x:c>
    </x:row>
    <x:row r="733">
      <x:c r="A733" t="str">
        <x:v>Uttar Pradesh</x:v>
      </x:c>
      <x:c r="B733" t="str">
        <x:v>UP/027/G/1</x:v>
      </x:c>
      <x:c r="C733" t="str">
        <x:v>ESIC Medical College and Hospital, VARANASI</x:v>
      </x:c>
      <x:c r="D733" t="str">
        <x:v>Government</x:v>
      </x:c>
      <x:c r="E733" t="n">
        <x:v>50</x:v>
      </x:c>
      <x:c r="F733" t="n">
        <x:v>0</x:v>
      </x:c>
      <x:c r="G733" t="n">
        <x:v>50</x:v>
      </x:c>
      <x:c r="H733" t="str">
        <x:v>904551</x:v>
      </x:c>
      <x:c r="I733" t="n">
        <x:v>32</x:v>
      </x:c>
      <x:c r="J733" t="n">
        <x:v>32</x:v>
      </x:c>
      <x:c r="K733" t="n">
        <x:v>18</x:v>
      </x:c>
      <x:c r="L733" s="20" t="n">
        <x:v>0.36</x:v>
      </x:c>
      <x:c r="M733" t="str">
        <x:v>High</x:v>
      </x:c>
      <x:c r="N733" t="str">
        <x:v>Approx. State/Non-MCC Pool</x:v>
      </x:c>
      <x:c r="O733" t="str">
        <x:v>Smaller state-counselling pool</x:v>
      </x:c>
      <x:c r="P733" t="n">
        <x:v>19901</x:v>
      </x:c>
      <x:c r="Q733" t="n">
        <x:v>25947</x:v>
      </x:c>
      <x:c r="R733" t="n">
        <x:v>29673</x:v>
      </x:c>
      <x:c r="S733" t="n">
        <x:v>150841</x:v>
      </x:c>
      <x:c r="T733" t="n">
        <x:v>207222</x:v>
      </x:c>
      <x:c r="U733" t="str">
        <x:v>Pending state Round-1 allotment/cutoff data</x:v>
      </x:c>
    </x:row>
    <x:row r="734">
      <x:c r="A734" t="str">
        <x:v>Uttar Pradesh</x:v>
      </x:c>
      <x:c r="B734" t="str">
        <x:v>UP/043/G/1</x:v>
      </x:c>
      <x:c r="C734" t="str">
        <x:v>Institute of Medical Sciences, BHU, Varansi</x:v>
      </x:c>
      <x:c r="D734" t="str">
        <x:v>Government</x:v>
      </x:c>
      <x:c r="E734" t="n">
        <x:v>100</x:v>
      </x:c>
      <x:c r="F734" t="n">
        <x:v>0</x:v>
      </x:c>
      <x:c r="G734" t="n">
        <x:v>100</x:v>
      </x:c>
      <x:c r="H734" t="str">
        <x:v>200405</x:v>
      </x:c>
      <x:c r="I734" t="n">
        <x:v>100</x:v>
      </x:c>
      <x:c r="J734" t="n">
        <x:v>100</x:v>
      </x:c>
      <x:c r="K734" t="n">
        <x:v>0</x:v>
      </x:c>
      <x:c r="L734" s="20" t="n">
        <x:v>0</x:v>
      </x:c>
      <x:c r="M734" t="str">
        <x:v>High</x:v>
      </x:c>
      <x:c r="N734" t="str">
        <x:v>Approx. State/Non-MCC Pool</x:v>
      </x:c>
      <x:c r="O734" t="str">
        <x:v>Smaller state-counselling pool</x:v>
      </x:c>
      <x:c r="P734" t="n">
        <x:v>845</x:v>
      </x:c>
      <x:c r="Q734" t="n">
        <x:v>1467</x:v>
      </x:c>
      <x:c r="R734" t="n">
        <x:v>1616</x:v>
      </x:c>
      <x:c r="S734" t="n">
        <x:v>11626</x:v>
      </x:c>
      <x:c r="T734" t="n">
        <x:v>17122</x:v>
      </x:c>
      <x:c r="U734" t="str">
        <x:v>Pending state Round-1 allotment/cutoff data</x:v>
      </x:c>
    </x:row>
    <x:row r="735">
      <x:c r="A735" t="str">
        <x:v>Uttar Pradesh</x:v>
      </x:c>
      <x:c r="B735" t="str">
        <x:v>UP/045/G/1</x:v>
      </x:c>
      <x:c r="C735" t="str">
        <x:v>Jawaharlal Nehru Medical College, Aligarh</x:v>
      </x:c>
      <x:c r="D735" t="str">
        <x:v>Government</x:v>
      </x:c>
      <x:c r="E735" t="n">
        <x:v>150</x:v>
      </x:c>
      <x:c r="F735" t="n">
        <x:v>0</x:v>
      </x:c>
      <x:c r="G735" t="n">
        <x:v>150</x:v>
      </x:c>
      <x:c r="H735" t="str">
        <x:v>200406</x:v>
      </x:c>
      <x:c r="I735" t="n">
        <x:v>150</x:v>
      </x:c>
      <x:c r="J735" t="n">
        <x:v>150</x:v>
      </x:c>
      <x:c r="K735" t="n">
        <x:v>0</x:v>
      </x:c>
      <x:c r="L735" s="20" t="n">
        <x:v>0</x:v>
      </x:c>
      <x:c r="M735" t="str">
        <x:v>High</x:v>
      </x:c>
      <x:c r="N735" t="str">
        <x:v>Approx. State/Non-MCC Pool</x:v>
      </x:c>
      <x:c r="O735" t="str">
        <x:v>Smaller state-counselling pool</x:v>
      </x:c>
      <x:c r="P735" t="n">
        <x:v>10489</x:v>
      </x:c>
      <x:c r="Q735"/>
      <x:c r="R735"/>
      <x:c r="S735"/>
      <x:c r="T735"/>
      <x:c r="U735" t="str">
        <x:v>Pending state Round-1 allotment/cutoff data</x:v>
      </x:c>
    </x:row>
    <x:row r="736">
      <x:c r="A736" t="str">
        <x:v>Uttar Pradesh</x:v>
      </x:c>
      <x:c r="B736" t="str">
        <x:v>UP/001/P/4</x:v>
      </x:c>
      <x:c r="C736" t="str">
        <x:v>Ajay Sangaal Institute of Medical Sciences and Ayushman Hospital Shamli (UP)</x:v>
      </x:c>
      <x:c r="D736" t="str">
        <x:v>Private</x:v>
      </x:c>
      <x:c r="E736" t="n">
        <x:v>200</x:v>
      </x:c>
      <x:c r="F736" t="n">
        <x:v>50</x:v>
      </x:c>
      <x:c r="G736" t="n">
        <x:v>250</x:v>
      </x:c>
      <x:c r="H736"/>
      <x:c r="I736" t="n">
        <x:v>0</x:v>
      </x:c>
      <x:c r="J736" t="n">
        <x:v>0</x:v>
      </x:c>
      <x:c r="K736" t="n">
        <x:v>250</x:v>
      </x:c>
      <x:c r="L736" s="20" t="n">
        <x:v>1</x:v>
      </x:c>
      <x:c r="M736" t="str">
        <x:v>Variable</x:v>
      </x:c>
      <x:c r="N736" t="str">
        <x:v>Approx. Non-MCC Pool</x:v>
      </x:c>
      <x:c r="O736" t="str">
        <x:v>Expanded 2026 capacity; state/management split to verify</x:v>
      </x:c>
      <x:c r="P736"/>
      <x:c r="Q736"/>
      <x:c r="R736"/>
      <x:c r="S736"/>
      <x:c r="T736"/>
      <x:c r="U736" t="str">
        <x:v>Pending state Round-1 allotment/cutoff data</x:v>
      </x:c>
    </x:row>
    <x:row r="737">
      <x:c r="A737" t="str">
        <x:v>Uttar Pradesh</x:v>
      </x:c>
      <x:c r="B737" t="str">
        <x:v>UP/056/P/3</x:v>
      </x:c>
      <x:c r="C737" t="str">
        <x:v>Dr. KNS Memorial Institute of Medical Sciences ( Formerly Known as Mayo Institute of Medical Sciences), Lucknow-Ayodhya Road</x:v>
      </x:c>
      <x:c r="D737" t="str">
        <x:v>Private</x:v>
      </x:c>
      <x:c r="E737" t="n">
        <x:v>250</x:v>
      </x:c>
      <x:c r="F737" t="n">
        <x:v>0</x:v>
      </x:c>
      <x:c r="G737" t="n">
        <x:v>250</x:v>
      </x:c>
      <x:c r="H737"/>
      <x:c r="I737" t="n">
        <x:v>0</x:v>
      </x:c>
      <x:c r="J737" t="n">
        <x:v>0</x:v>
      </x:c>
      <x:c r="K737" t="n">
        <x:v>250</x:v>
      </x:c>
      <x:c r="L737" s="20" t="n">
        <x:v>1</x:v>
      </x:c>
      <x:c r="M737" t="str">
        <x:v>Variable</x:v>
      </x:c>
      <x:c r="N737" t="str">
        <x:v>Approx. Non-MCC Pool</x:v>
      </x:c>
      <x:c r="O737" t="str">
        <x:v>Large non-MCC pool; quota split varies by state</x:v>
      </x:c>
      <x:c r="P737"/>
      <x:c r="Q737"/>
      <x:c r="R737"/>
      <x:c r="S737"/>
      <x:c r="T737"/>
      <x:c r="U737" t="str">
        <x:v>Pending state Round-1 allotment/cutoff data</x:v>
      </x:c>
    </x:row>
    <x:row r="738">
      <x:c r="A738" t="str">
        <x:v>Uttar Pradesh</x:v>
      </x:c>
      <x:c r="B738" t="str">
        <x:v>UP/025/P/3</x:v>
      </x:c>
      <x:c r="C738" t="str">
        <x:v>Era Lucknow Medical College , Lucknow</x:v>
      </x:c>
      <x:c r="D738" t="str">
        <x:v>Private</x:v>
      </x:c>
      <x:c r="E738" t="n">
        <x:v>250</x:v>
      </x:c>
      <x:c r="F738" t="n">
        <x:v>0</x:v>
      </x:c>
      <x:c r="G738" t="n">
        <x:v>250</x:v>
      </x:c>
      <x:c r="H738"/>
      <x:c r="I738" t="n">
        <x:v>0</x:v>
      </x:c>
      <x:c r="J738" t="n">
        <x:v>0</x:v>
      </x:c>
      <x:c r="K738" t="n">
        <x:v>250</x:v>
      </x:c>
      <x:c r="L738" s="20" t="n">
        <x:v>1</x:v>
      </x:c>
      <x:c r="M738" t="str">
        <x:v>Variable</x:v>
      </x:c>
      <x:c r="N738" t="str">
        <x:v>Approx. Non-MCC Pool</x:v>
      </x:c>
      <x:c r="O738" t="str">
        <x:v>Large non-MCC pool; quota split varies by state</x:v>
      </x:c>
      <x:c r="P738"/>
      <x:c r="Q738"/>
      <x:c r="R738"/>
      <x:c r="S738"/>
      <x:c r="T738"/>
      <x:c r="U738" t="str">
        <x:v>Pending state Round-1 allotment/cutoff data</x:v>
      </x:c>
    </x:row>
    <x:row r="739">
      <x:c r="A739" t="str">
        <x:v>Uttar Pradesh</x:v>
      </x:c>
      <x:c r="B739" t="str">
        <x:v>UP/028/P/4</x:v>
      </x:c>
      <x:c r="C739" t="str">
        <x:v>F.H. Medical College &amp; Hospital, Etamdapur, Agra</x:v>
      </x:c>
      <x:c r="D739" t="str">
        <x:v>Private</x:v>
      </x:c>
      <x:c r="E739" t="n">
        <x:v>250</x:v>
      </x:c>
      <x:c r="F739" t="n">
        <x:v>0</x:v>
      </x:c>
      <x:c r="G739" t="n">
        <x:v>250</x:v>
      </x:c>
      <x:c r="H739"/>
      <x:c r="I739" t="n">
        <x:v>0</x:v>
      </x:c>
      <x:c r="J739" t="n">
        <x:v>0</x:v>
      </x:c>
      <x:c r="K739" t="n">
        <x:v>250</x:v>
      </x:c>
      <x:c r="L739" s="20" t="n">
        <x:v>1</x:v>
      </x:c>
      <x:c r="M739" t="str">
        <x:v>Variable</x:v>
      </x:c>
      <x:c r="N739" t="str">
        <x:v>Approx. Non-MCC Pool</x:v>
      </x:c>
      <x:c r="O739" t="str">
        <x:v>Large non-MCC pool; quota split varies by state</x:v>
      </x:c>
      <x:c r="P739"/>
      <x:c r="Q739"/>
      <x:c r="R739"/>
      <x:c r="S739"/>
      <x:c r="T739"/>
      <x:c r="U739" t="str">
        <x:v>Pending state Round-1 allotment/cutoff data</x:v>
      </x:c>
    </x:row>
    <x:row r="740">
      <x:c r="A740" t="str">
        <x:v>Uttar Pradesh</x:v>
      </x:c>
      <x:c r="B740" t="str">
        <x:v>UP/029/P/3</x:v>
      </x:c>
      <x:c r="C740" t="str">
        <x:v>G.S. Medical College &amp; Hospital, Hapur, UP</x:v>
      </x:c>
      <x:c r="D740" t="str">
        <x:v>Private</x:v>
      </x:c>
      <x:c r="E740" t="n">
        <x:v>250</x:v>
      </x:c>
      <x:c r="F740" t="n">
        <x:v>0</x:v>
      </x:c>
      <x:c r="G740" t="n">
        <x:v>250</x:v>
      </x:c>
      <x:c r="H740"/>
      <x:c r="I740" t="n">
        <x:v>0</x:v>
      </x:c>
      <x:c r="J740" t="n">
        <x:v>0</x:v>
      </x:c>
      <x:c r="K740" t="n">
        <x:v>250</x:v>
      </x:c>
      <x:c r="L740" s="20" t="n">
        <x:v>1</x:v>
      </x:c>
      <x:c r="M740" t="str">
        <x:v>Variable</x:v>
      </x:c>
      <x:c r="N740" t="str">
        <x:v>Approx. Non-MCC Pool</x:v>
      </x:c>
      <x:c r="O740" t="str">
        <x:v>Large non-MCC pool; quota split varies by state</x:v>
      </x:c>
      <x:c r="P740"/>
      <x:c r="Q740"/>
      <x:c r="R740"/>
      <x:c r="S740"/>
      <x:c r="T740"/>
      <x:c r="U740" t="str">
        <x:v>Pending state Round-1 allotment/cutoff data</x:v>
      </x:c>
    </x:row>
    <x:row r="741">
      <x:c r="A741" t="str">
        <x:v>Uttar Pradesh</x:v>
      </x:c>
      <x:c r="B741" t="str">
        <x:v>UP/040/P/5</x:v>
      </x:c>
      <x:c r="C741" t="str">
        <x:v>Heritage Institute of Medical Sciences, Varanasi</x:v>
      </x:c>
      <x:c r="D741" t="str">
        <x:v>Private</x:v>
      </x:c>
      <x:c r="E741" t="n">
        <x:v>200</x:v>
      </x:c>
      <x:c r="F741" t="n">
        <x:v>50</x:v>
      </x:c>
      <x:c r="G741" t="n">
        <x:v>250</x:v>
      </x:c>
      <x:c r="H741"/>
      <x:c r="I741" t="n">
        <x:v>0</x:v>
      </x:c>
      <x:c r="J741" t="n">
        <x:v>0</x:v>
      </x:c>
      <x:c r="K741" t="n">
        <x:v>250</x:v>
      </x:c>
      <x:c r="L741" s="20" t="n">
        <x:v>1</x:v>
      </x:c>
      <x:c r="M741" t="str">
        <x:v>Variable</x:v>
      </x:c>
      <x:c r="N741" t="str">
        <x:v>Approx. Non-MCC Pool</x:v>
      </x:c>
      <x:c r="O741" t="str">
        <x:v>Expanded 2026 capacity; state/management split to verify</x:v>
      </x:c>
      <x:c r="P741"/>
      <x:c r="Q741"/>
      <x:c r="R741"/>
      <x:c r="S741"/>
      <x:c r="T741"/>
      <x:c r="U741" t="str">
        <x:v>Pending state Round-1 allotment/cutoff data</x:v>
      </x:c>
    </x:row>
    <x:row r="742">
      <x:c r="A742" t="str">
        <x:v>Uttar Pradesh</x:v>
      </x:c>
      <x:c r="B742" t="str">
        <x:v>UP/044/P/4</x:v>
      </x:c>
      <x:c r="C742" t="str">
        <x:v>Integral Institute of Medical Sciences &amp; Research, Lucknow</x:v>
      </x:c>
      <x:c r="D742" t="str">
        <x:v>Private</x:v>
      </x:c>
      <x:c r="E742" t="n">
        <x:v>200</x:v>
      </x:c>
      <x:c r="F742" t="n">
        <x:v>50</x:v>
      </x:c>
      <x:c r="G742" t="n">
        <x:v>250</x:v>
      </x:c>
      <x:c r="H742"/>
      <x:c r="I742" t="n">
        <x:v>0</x:v>
      </x:c>
      <x:c r="J742" t="n">
        <x:v>0</x:v>
      </x:c>
      <x:c r="K742" t="n">
        <x:v>250</x:v>
      </x:c>
      <x:c r="L742" s="20" t="n">
        <x:v>1</x:v>
      </x:c>
      <x:c r="M742" t="str">
        <x:v>Variable</x:v>
      </x:c>
      <x:c r="N742" t="str">
        <x:v>Approx. Non-MCC Pool</x:v>
      </x:c>
      <x:c r="O742" t="str">
        <x:v>Expanded 2026 capacity; state/management split to verify</x:v>
      </x:c>
      <x:c r="P742"/>
      <x:c r="Q742"/>
      <x:c r="R742"/>
      <x:c r="S742"/>
      <x:c r="T742"/>
      <x:c r="U742" t="str">
        <x:v>Pending state Round-1 allotment/cutoff data</x:v>
      </x:c>
    </x:row>
    <x:row r="743">
      <x:c r="A743" t="str">
        <x:v>Uttar Pradesh</x:v>
      </x:c>
      <x:c r="B743" t="str">
        <x:v>UP/046/P/3</x:v>
      </x:c>
      <x:c r="C743" t="str">
        <x:v>K.D. Medical College Hospital &amp; Research Centre, Mathura</x:v>
      </x:c>
      <x:c r="D743" t="str">
        <x:v>Private</x:v>
      </x:c>
      <x:c r="E743" t="n">
        <x:v>250</x:v>
      </x:c>
      <x:c r="F743" t="n">
        <x:v>0</x:v>
      </x:c>
      <x:c r="G743" t="n">
        <x:v>250</x:v>
      </x:c>
      <x:c r="H743"/>
      <x:c r="I743" t="n">
        <x:v>0</x:v>
      </x:c>
      <x:c r="J743" t="n">
        <x:v>0</x:v>
      </x:c>
      <x:c r="K743" t="n">
        <x:v>250</x:v>
      </x:c>
      <x:c r="L743" s="20" t="n">
        <x:v>1</x:v>
      </x:c>
      <x:c r="M743" t="str">
        <x:v>Variable</x:v>
      </x:c>
      <x:c r="N743" t="str">
        <x:v>Approx. Non-MCC Pool</x:v>
      </x:c>
      <x:c r="O743" t="str">
        <x:v>Large non-MCC pool; quota split varies by state</x:v>
      </x:c>
      <x:c r="P743"/>
      <x:c r="Q743"/>
      <x:c r="R743"/>
      <x:c r="S743"/>
      <x:c r="T743"/>
      <x:c r="U743" t="str">
        <x:v>Pending state Round-1 allotment/cutoff data</x:v>
      </x:c>
    </x:row>
    <x:row r="744">
      <x:c r="A744" t="str">
        <x:v>Uttar Pradesh</x:v>
      </x:c>
      <x:c r="B744" t="str">
        <x:v>UP/049/P/6</x:v>
      </x:c>
      <x:c r="C744" t="str">
        <x:v>KMC Medical College &amp; Hospital, Maharajganj, Uttar Pradesh</x:v>
      </x:c>
      <x:c r="D744" t="str">
        <x:v>Private</x:v>
      </x:c>
      <x:c r="E744" t="n">
        <x:v>200</x:v>
      </x:c>
      <x:c r="F744" t="n">
        <x:v>50</x:v>
      </x:c>
      <x:c r="G744" t="n">
        <x:v>250</x:v>
      </x:c>
      <x:c r="H744"/>
      <x:c r="I744" t="n">
        <x:v>0</x:v>
      </x:c>
      <x:c r="J744" t="n">
        <x:v>0</x:v>
      </x:c>
      <x:c r="K744" t="n">
        <x:v>250</x:v>
      </x:c>
      <x:c r="L744" s="20" t="n">
        <x:v>1</x:v>
      </x:c>
      <x:c r="M744" t="str">
        <x:v>Variable</x:v>
      </x:c>
      <x:c r="N744" t="str">
        <x:v>Approx. Non-MCC Pool</x:v>
      </x:c>
      <x:c r="O744" t="str">
        <x:v>Expanded 2026 capacity; state/management split to verify</x:v>
      </x:c>
      <x:c r="P744"/>
      <x:c r="Q744"/>
      <x:c r="R744"/>
      <x:c r="S744"/>
      <x:c r="T744"/>
      <x:c r="U744" t="str">
        <x:v>Pending state Round-1 allotment/cutoff data</x:v>
      </x:c>
    </x:row>
    <x:row r="745">
      <x:c r="A745" t="str">
        <x:v>Uttar Pradesh</x:v>
      </x:c>
      <x:c r="B745" t="str">
        <x:v>UP/050/P/3</x:v>
      </x:c>
      <x:c r="C745" t="str">
        <x:v>Krishna Mohan Medical College &amp; Hospital, Mathura</x:v>
      </x:c>
      <x:c r="D745" t="str">
        <x:v>Private</x:v>
      </x:c>
      <x:c r="E745" t="n">
        <x:v>200</x:v>
      </x:c>
      <x:c r="F745" t="n">
        <x:v>50</x:v>
      </x:c>
      <x:c r="G745" t="n">
        <x:v>250</x:v>
      </x:c>
      <x:c r="H745"/>
      <x:c r="I745" t="n">
        <x:v>0</x:v>
      </x:c>
      <x:c r="J745" t="n">
        <x:v>0</x:v>
      </x:c>
      <x:c r="K745" t="n">
        <x:v>250</x:v>
      </x:c>
      <x:c r="L745" s="20" t="n">
        <x:v>1</x:v>
      </x:c>
      <x:c r="M745" t="str">
        <x:v>Variable</x:v>
      </x:c>
      <x:c r="N745" t="str">
        <x:v>Approx. Non-MCC Pool</x:v>
      </x:c>
      <x:c r="O745" t="str">
        <x:v>Expanded 2026 capacity; state/management split to verify</x:v>
      </x:c>
      <x:c r="P745"/>
      <x:c r="Q745"/>
      <x:c r="R745"/>
      <x:c r="S745"/>
      <x:c r="T745"/>
      <x:c r="U745" t="str">
        <x:v>Pending state Round-1 allotment/cutoff data</x:v>
      </x:c>
    </x:row>
    <x:row r="746">
      <x:c r="A746" t="str">
        <x:v>Uttar Pradesh</x:v>
      </x:c>
      <x:c r="B746" t="str">
        <x:v>UP/058/P/3</x:v>
      </x:c>
      <x:c r="C746" t="str">
        <x:v>Muzaffarnagar Medical College, Muzaffarnagar</x:v>
      </x:c>
      <x:c r="D746" t="str">
        <x:v>Private</x:v>
      </x:c>
      <x:c r="E746" t="n">
        <x:v>200</x:v>
      </x:c>
      <x:c r="F746" t="n">
        <x:v>50</x:v>
      </x:c>
      <x:c r="G746" t="n">
        <x:v>250</x:v>
      </x:c>
      <x:c r="H746"/>
      <x:c r="I746" t="n">
        <x:v>0</x:v>
      </x:c>
      <x:c r="J746" t="n">
        <x:v>0</x:v>
      </x:c>
      <x:c r="K746" t="n">
        <x:v>250</x:v>
      </x:c>
      <x:c r="L746" s="20" t="n">
        <x:v>1</x:v>
      </x:c>
      <x:c r="M746" t="str">
        <x:v>Variable</x:v>
      </x:c>
      <x:c r="N746" t="str">
        <x:v>Approx. Non-MCC Pool</x:v>
      </x:c>
      <x:c r="O746" t="str">
        <x:v>Expanded 2026 capacity; state/management split to verify</x:v>
      </x:c>
      <x:c r="P746"/>
      <x:c r="Q746"/>
      <x:c r="R746"/>
      <x:c r="S746"/>
      <x:c r="T746"/>
      <x:c r="U746" t="str">
        <x:v>Pending state Round-1 allotment/cutoff data</x:v>
      </x:c>
    </x:row>
    <x:row r="747">
      <x:c r="A747" t="str">
        <x:v>Uttar Pradesh</x:v>
      </x:c>
      <x:c r="B747" t="str">
        <x:v>UP/059/P/4</x:v>
      </x:c>
      <x:c r="C747" t="str">
        <x:v>Naraina Medical College &amp; Research Centre</x:v>
      </x:c>
      <x:c r="D747" t="str">
        <x:v>Private</x:v>
      </x:c>
      <x:c r="E747" t="n">
        <x:v>250</x:v>
      </x:c>
      <x:c r="F747" t="n">
        <x:v>0</x:v>
      </x:c>
      <x:c r="G747" t="n">
        <x:v>250</x:v>
      </x:c>
      <x:c r="H747"/>
      <x:c r="I747" t="n">
        <x:v>0</x:v>
      </x:c>
      <x:c r="J747" t="n">
        <x:v>0</x:v>
      </x:c>
      <x:c r="K747" t="n">
        <x:v>250</x:v>
      </x:c>
      <x:c r="L747" s="20" t="n">
        <x:v>1</x:v>
      </x:c>
      <x:c r="M747" t="str">
        <x:v>Variable</x:v>
      </x:c>
      <x:c r="N747" t="str">
        <x:v>Approx. Non-MCC Pool</x:v>
      </x:c>
      <x:c r="O747" t="str">
        <x:v>Large non-MCC pool; quota split varies by state</x:v>
      </x:c>
      <x:c r="P747"/>
      <x:c r="Q747"/>
      <x:c r="R747"/>
      <x:c r="S747"/>
      <x:c r="T747"/>
      <x:c r="U747" t="str">
        <x:v>Pending state Round-1 allotment/cutoff data</x:v>
      </x:c>
    </x:row>
    <x:row r="748">
      <x:c r="A748" t="str">
        <x:v>Uttar Pradesh</x:v>
      </x:c>
      <x:c r="B748" t="str">
        <x:v>UP/065/P/3</x:v>
      </x:c>
      <x:c r="C748" t="str">
        <x:v>Rajshree Medical Research Institute, Bareilly</x:v>
      </x:c>
      <x:c r="D748" t="str">
        <x:v>Private</x:v>
      </x:c>
      <x:c r="E748" t="n">
        <x:v>250</x:v>
      </x:c>
      <x:c r="F748" t="n">
        <x:v>0</x:v>
      </x:c>
      <x:c r="G748" t="n">
        <x:v>250</x:v>
      </x:c>
      <x:c r="H748"/>
      <x:c r="I748" t="n">
        <x:v>0</x:v>
      </x:c>
      <x:c r="J748" t="n">
        <x:v>0</x:v>
      </x:c>
      <x:c r="K748" t="n">
        <x:v>250</x:v>
      </x:c>
      <x:c r="L748" s="20" t="n">
        <x:v>1</x:v>
      </x:c>
      <x:c r="M748" t="str">
        <x:v>Variable</x:v>
      </x:c>
      <x:c r="N748" t="str">
        <x:v>Approx. Non-MCC Pool</x:v>
      </x:c>
      <x:c r="O748" t="str">
        <x:v>Large non-MCC pool; quota split varies by state</x:v>
      </x:c>
      <x:c r="P748"/>
      <x:c r="Q748"/>
      <x:c r="R748"/>
      <x:c r="S748"/>
      <x:c r="T748"/>
      <x:c r="U748" t="str">
        <x:v>Pending state Round-1 allotment/cutoff data</x:v>
      </x:c>
    </x:row>
    <x:row r="749">
      <x:c r="A749" t="str">
        <x:v>Uttar Pradesh</x:v>
      </x:c>
      <x:c r="B749" t="str">
        <x:v>UP/066/P/4</x:v>
      </x:c>
      <x:c r="C749" t="str">
        <x:v>Rama Medical College Hospital &amp; Research Centre, Kanpur</x:v>
      </x:c>
      <x:c r="D749" t="str">
        <x:v>Private</x:v>
      </x:c>
      <x:c r="E749" t="n">
        <x:v>150</x:v>
      </x:c>
      <x:c r="F749" t="n">
        <x:v>100</x:v>
      </x:c>
      <x:c r="G749" t="n">
        <x:v>250</x:v>
      </x:c>
      <x:c r="H749"/>
      <x:c r="I749" t="n">
        <x:v>0</x:v>
      </x:c>
      <x:c r="J749" t="n">
        <x:v>0</x:v>
      </x:c>
      <x:c r="K749" t="n">
        <x:v>250</x:v>
      </x:c>
      <x:c r="L749" s="20" t="n">
        <x:v>1</x:v>
      </x:c>
      <x:c r="M749" t="str">
        <x:v>Variable</x:v>
      </x:c>
      <x:c r="N749" t="str">
        <x:v>Approx. Non-MCC Pool</x:v>
      </x:c>
      <x:c r="O749" t="str">
        <x:v>Expanded 2026 capacity; state/management split to verify</x:v>
      </x:c>
      <x:c r="P749"/>
      <x:c r="Q749"/>
      <x:c r="R749"/>
      <x:c r="S749"/>
      <x:c r="T749"/>
      <x:c r="U749" t="str">
        <x:v>Pending state Round-1 allotment/cutoff data</x:v>
      </x:c>
    </x:row>
    <x:row r="750">
      <x:c r="A750" t="str">
        <x:v>Uttar Pradesh</x:v>
      </x:c>
      <x:c r="B750" t="str">
        <x:v>UP/067/P/4</x:v>
      </x:c>
      <x:c r="C750" t="str">
        <x:v>Rama Medical College Hospital and Research Centre, Hapur</x:v>
      </x:c>
      <x:c r="D750" t="str">
        <x:v>Private</x:v>
      </x:c>
      <x:c r="E750" t="n">
        <x:v>250</x:v>
      </x:c>
      <x:c r="F750" t="n">
        <x:v>0</x:v>
      </x:c>
      <x:c r="G750" t="n">
        <x:v>250</x:v>
      </x:c>
      <x:c r="H750"/>
      <x:c r="I750" t="n">
        <x:v>0</x:v>
      </x:c>
      <x:c r="J750" t="n">
        <x:v>0</x:v>
      </x:c>
      <x:c r="K750" t="n">
        <x:v>250</x:v>
      </x:c>
      <x:c r="L750" s="20" t="n">
        <x:v>1</x:v>
      </x:c>
      <x:c r="M750" t="str">
        <x:v>Variable</x:v>
      </x:c>
      <x:c r="N750" t="str">
        <x:v>Approx. Non-MCC Pool</x:v>
      </x:c>
      <x:c r="O750" t="str">
        <x:v>Large non-MCC pool; quota split varies by state</x:v>
      </x:c>
      <x:c r="P750"/>
      <x:c r="Q750"/>
      <x:c r="R750"/>
      <x:c r="S750"/>
      <x:c r="T750"/>
      <x:c r="U750" t="str">
        <x:v>Pending state Round-1 allotment/cutoff data</x:v>
      </x:c>
    </x:row>
    <x:row r="751">
      <x:c r="A751" t="str">
        <x:v>Uttar Pradesh</x:v>
      </x:c>
      <x:c r="B751" t="str">
        <x:v>UP/068/P/3</x:v>
      </x:c>
      <x:c r="C751" t="str">
        <x:v>Rohilkhand Medical College &amp; Hospital, Bareilly</x:v>
      </x:c>
      <x:c r="D751" t="str">
        <x:v>Private</x:v>
      </x:c>
      <x:c r="E751" t="n">
        <x:v>250</x:v>
      </x:c>
      <x:c r="F751" t="n">
        <x:v>0</x:v>
      </x:c>
      <x:c r="G751" t="n">
        <x:v>250</x:v>
      </x:c>
      <x:c r="H751"/>
      <x:c r="I751" t="n">
        <x:v>0</x:v>
      </x:c>
      <x:c r="J751" t="n">
        <x:v>0</x:v>
      </x:c>
      <x:c r="K751" t="n">
        <x:v>250</x:v>
      </x:c>
      <x:c r="L751" s="20" t="n">
        <x:v>1</x:v>
      </x:c>
      <x:c r="M751" t="str">
        <x:v>Variable</x:v>
      </x:c>
      <x:c r="N751" t="str">
        <x:v>Approx. Non-MCC Pool</x:v>
      </x:c>
      <x:c r="O751" t="str">
        <x:v>Large non-MCC pool; quota split varies by state</x:v>
      </x:c>
      <x:c r="P751"/>
      <x:c r="Q751"/>
      <x:c r="R751"/>
      <x:c r="S751"/>
      <x:c r="T751"/>
      <x:c r="U751" t="str">
        <x:v>Pending state Round-1 allotment/cutoff data</x:v>
      </x:c>
    </x:row>
    <x:row r="752">
      <x:c r="A752" t="str">
        <x:v>Uttar Pradesh</x:v>
      </x:c>
      <x:c r="B752" t="str">
        <x:v>UP/071/P/3</x:v>
      </x:c>
      <x:c r="C752" t="str">
        <x:v>Saraswati Institute of Medical Sciences, Hapur</x:v>
      </x:c>
      <x:c r="D752" t="str">
        <x:v>Private</x:v>
      </x:c>
      <x:c r="E752" t="n">
        <x:v>250</x:v>
      </x:c>
      <x:c r="F752" t="n">
        <x:v>0</x:v>
      </x:c>
      <x:c r="G752" t="n">
        <x:v>250</x:v>
      </x:c>
      <x:c r="H752"/>
      <x:c r="I752" t="n">
        <x:v>0</x:v>
      </x:c>
      <x:c r="J752" t="n">
        <x:v>0</x:v>
      </x:c>
      <x:c r="K752" t="n">
        <x:v>250</x:v>
      </x:c>
      <x:c r="L752" s="20" t="n">
        <x:v>1</x:v>
      </x:c>
      <x:c r="M752" t="str">
        <x:v>Variable</x:v>
      </x:c>
      <x:c r="N752" t="str">
        <x:v>Approx. Non-MCC Pool</x:v>
      </x:c>
      <x:c r="O752" t="str">
        <x:v>Large non-MCC pool; quota split varies by state</x:v>
      </x:c>
      <x:c r="P752"/>
      <x:c r="Q752"/>
      <x:c r="R752"/>
      <x:c r="S752"/>
      <x:c r="T752"/>
      <x:c r="U752" t="str">
        <x:v>Pending state Round-1 allotment/cutoff data</x:v>
      </x:c>
    </x:row>
    <x:row r="753">
      <x:c r="A753" t="str">
        <x:v>Uttar Pradesh</x:v>
      </x:c>
      <x:c r="B753" t="str">
        <x:v>UP/073/P/3</x:v>
      </x:c>
      <x:c r="C753" t="str">
        <x:v>Sharda School of Medical Sciences &amp; Research ( previously School of Medical Sciences &amp; Research,Greater Noida)</x:v>
      </x:c>
      <x:c r="D753" t="str">
        <x:v>Private</x:v>
      </x:c>
      <x:c r="E753" t="n">
        <x:v>250</x:v>
      </x:c>
      <x:c r="F753" t="n">
        <x:v>0</x:v>
      </x:c>
      <x:c r="G753" t="n">
        <x:v>250</x:v>
      </x:c>
      <x:c r="H753"/>
      <x:c r="I753" t="n">
        <x:v>0</x:v>
      </x:c>
      <x:c r="J753" t="n">
        <x:v>0</x:v>
      </x:c>
      <x:c r="K753" t="n">
        <x:v>250</x:v>
      </x:c>
      <x:c r="L753" s="20" t="n">
        <x:v>1</x:v>
      </x:c>
      <x:c r="M753" t="str">
        <x:v>Variable</x:v>
      </x:c>
      <x:c r="N753" t="str">
        <x:v>Approx. Non-MCC Pool</x:v>
      </x:c>
      <x:c r="O753" t="str">
        <x:v>Large non-MCC pool; quota split varies by state</x:v>
      </x:c>
      <x:c r="P753"/>
      <x:c r="Q753"/>
      <x:c r="R753"/>
      <x:c r="S753"/>
      <x:c r="T753"/>
      <x:c r="U753" t="str">
        <x:v>Pending state Round-1 allotment/cutoff data</x:v>
      </x:c>
    </x:row>
    <x:row r="754">
      <x:c r="A754" t="str">
        <x:v>Uttar Pradesh</x:v>
      </x:c>
      <x:c r="B754" t="str">
        <x:v>UP/080/P/5</x:v>
      </x:c>
      <x:c r="C754" t="str">
        <x:v>T S Misra Medical College &amp; Hospital, Amusi, Lucknow</x:v>
      </x:c>
      <x:c r="D754" t="str">
        <x:v>Private</x:v>
      </x:c>
      <x:c r="E754" t="n">
        <x:v>250</x:v>
      </x:c>
      <x:c r="F754" t="n">
        <x:v>0</x:v>
      </x:c>
      <x:c r="G754" t="n">
        <x:v>250</x:v>
      </x:c>
      <x:c r="H754"/>
      <x:c r="I754" t="n">
        <x:v>0</x:v>
      </x:c>
      <x:c r="J754" t="n">
        <x:v>0</x:v>
      </x:c>
      <x:c r="K754" t="n">
        <x:v>250</x:v>
      </x:c>
      <x:c r="L754" s="20" t="n">
        <x:v>1</x:v>
      </x:c>
      <x:c r="M754" t="str">
        <x:v>Variable</x:v>
      </x:c>
      <x:c r="N754" t="str">
        <x:v>Approx. Non-MCC Pool</x:v>
      </x:c>
      <x:c r="O754" t="str">
        <x:v>Large non-MCC pool; quota split varies by state</x:v>
      </x:c>
      <x:c r="P754"/>
      <x:c r="Q754"/>
      <x:c r="R754"/>
      <x:c r="S754"/>
      <x:c r="T754"/>
      <x:c r="U754" t="str">
        <x:v>Pending state Round-1 allotment/cutoff data</x:v>
      </x:c>
    </x:row>
    <x:row r="755">
      <x:c r="A755" t="str">
        <x:v>Uttar Pradesh</x:v>
      </x:c>
      <x:c r="B755" t="str">
        <x:v>UP/081/P/4</x:v>
      </x:c>
      <x:c r="C755" t="str">
        <x:v>Teerthanker Mahaveer Medical College, Moradabad</x:v>
      </x:c>
      <x:c r="D755" t="str">
        <x:v>Private</x:v>
      </x:c>
      <x:c r="E755" t="n">
        <x:v>250</x:v>
      </x:c>
      <x:c r="F755" t="n">
        <x:v>0</x:v>
      </x:c>
      <x:c r="G755" t="n">
        <x:v>250</x:v>
      </x:c>
      <x:c r="H755"/>
      <x:c r="I755" t="n">
        <x:v>0</x:v>
      </x:c>
      <x:c r="J755" t="n">
        <x:v>0</x:v>
      </x:c>
      <x:c r="K755" t="n">
        <x:v>250</x:v>
      </x:c>
      <x:c r="L755" s="20" t="n">
        <x:v>1</x:v>
      </x:c>
      <x:c r="M755" t="str">
        <x:v>Variable</x:v>
      </x:c>
      <x:c r="N755" t="str">
        <x:v>Approx. Non-MCC Pool</x:v>
      </x:c>
      <x:c r="O755" t="str">
        <x:v>Large non-MCC pool; quota split varies by state</x:v>
      </x:c>
      <x:c r="P755"/>
      <x:c r="Q755"/>
      <x:c r="R755"/>
      <x:c r="S755"/>
      <x:c r="T755"/>
      <x:c r="U755" t="str">
        <x:v>Pending state Round-1 allotment/cutoff data</x:v>
      </x:c>
    </x:row>
    <x:row r="756">
      <x:c r="A756" t="str">
        <x:v>Uttar Pradesh</x:v>
      </x:c>
      <x:c r="B756" t="str">
        <x:v>UP/083/P/4</x:v>
      </x:c>
      <x:c r="C756" t="str">
        <x:v>United Institute of Medical Sciences, Allahabad</x:v>
      </x:c>
      <x:c r="D756" t="str">
        <x:v>Private</x:v>
      </x:c>
      <x:c r="E756" t="n">
        <x:v>150</x:v>
      </x:c>
      <x:c r="F756" t="n">
        <x:v>100</x:v>
      </x:c>
      <x:c r="G756" t="n">
        <x:v>250</x:v>
      </x:c>
      <x:c r="H756"/>
      <x:c r="I756" t="n">
        <x:v>0</x:v>
      </x:c>
      <x:c r="J756" t="n">
        <x:v>0</x:v>
      </x:c>
      <x:c r="K756" t="n">
        <x:v>250</x:v>
      </x:c>
      <x:c r="L756" s="20" t="n">
        <x:v>1</x:v>
      </x:c>
      <x:c r="M756" t="str">
        <x:v>Variable</x:v>
      </x:c>
      <x:c r="N756" t="str">
        <x:v>Approx. Non-MCC Pool</x:v>
      </x:c>
      <x:c r="O756" t="str">
        <x:v>Expanded 2026 capacity; state/management split to verify</x:v>
      </x:c>
      <x:c r="P756"/>
      <x:c r="Q756"/>
      <x:c r="R756"/>
      <x:c r="S756"/>
      <x:c r="T756"/>
      <x:c r="U756" t="str">
        <x:v>Pending state Round-1 allotment/cutoff data</x:v>
      </x:c>
    </x:row>
    <x:row r="757">
      <x:c r="A757" t="str">
        <x:v>Uttar Pradesh</x:v>
      </x:c>
      <x:c r="B757" t="str">
        <x:v>UP/085/P/3</x:v>
      </x:c>
      <x:c r="C757" t="str">
        <x:v>Varun Arjun Medical College, Banthra, Shahjahanpur</x:v>
      </x:c>
      <x:c r="D757" t="str">
        <x:v>Private</x:v>
      </x:c>
      <x:c r="E757" t="n">
        <x:v>250</x:v>
      </x:c>
      <x:c r="F757" t="n">
        <x:v>0</x:v>
      </x:c>
      <x:c r="G757" t="n">
        <x:v>250</x:v>
      </x:c>
      <x:c r="H757"/>
      <x:c r="I757" t="n">
        <x:v>0</x:v>
      </x:c>
      <x:c r="J757" t="n">
        <x:v>0</x:v>
      </x:c>
      <x:c r="K757" t="n">
        <x:v>250</x:v>
      </x:c>
      <x:c r="L757" s="20" t="n">
        <x:v>1</x:v>
      </x:c>
      <x:c r="M757" t="str">
        <x:v>Variable</x:v>
      </x:c>
      <x:c r="N757" t="str">
        <x:v>Approx. Non-MCC Pool</x:v>
      </x:c>
      <x:c r="O757" t="str">
        <x:v>Large non-MCC pool; quota split varies by state</x:v>
      </x:c>
      <x:c r="P757"/>
      <x:c r="Q757"/>
      <x:c r="R757"/>
      <x:c r="S757"/>
      <x:c r="T757"/>
      <x:c r="U757" t="str">
        <x:v>Pending state Round-1 allotment/cutoff data</x:v>
      </x:c>
    </x:row>
    <x:row r="758">
      <x:c r="A758" t="str">
        <x:v>Uttar Pradesh</x:v>
      </x:c>
      <x:c r="B758" t="str">
        <x:v>UP/086/P/3</x:v>
      </x:c>
      <x:c r="C758" t="str">
        <x:v>Venkateshwara Institute of Medical Sciences, Gajraula</x:v>
      </x:c>
      <x:c r="D758" t="str">
        <x:v>Private</x:v>
      </x:c>
      <x:c r="E758" t="n">
        <x:v>250</x:v>
      </x:c>
      <x:c r="F758" t="n">
        <x:v>0</x:v>
      </x:c>
      <x:c r="G758" t="n">
        <x:v>250</x:v>
      </x:c>
      <x:c r="H758"/>
      <x:c r="I758" t="n">
        <x:v>0</x:v>
      </x:c>
      <x:c r="J758" t="n">
        <x:v>0</x:v>
      </x:c>
      <x:c r="K758" t="n">
        <x:v>250</x:v>
      </x:c>
      <x:c r="L758" s="20" t="n">
        <x:v>1</x:v>
      </x:c>
      <x:c r="M758" t="str">
        <x:v>Variable</x:v>
      </x:c>
      <x:c r="N758" t="str">
        <x:v>Approx. Non-MCC Pool</x:v>
      </x:c>
      <x:c r="O758" t="str">
        <x:v>Large non-MCC pool; quota split varies by state</x:v>
      </x:c>
      <x:c r="P758"/>
      <x:c r="Q758"/>
      <x:c r="R758"/>
      <x:c r="S758"/>
      <x:c r="T758"/>
      <x:c r="U758" t="str">
        <x:v>Pending state Round-1 allotment/cutoff data</x:v>
      </x:c>
    </x:row>
    <x:row r="759">
      <x:c r="A759" t="str">
        <x:v>Uttar Pradesh</x:v>
      </x:c>
      <x:c r="B759" t="str">
        <x:v>UP/060/P/3</x:v>
      </x:c>
      <x:c r="C759" t="str">
        <x:v>National Capital Region Institute of Medical Sciences, Meerut</x:v>
      </x:c>
      <x:c r="D759" t="str">
        <x:v>Private</x:v>
      </x:c>
      <x:c r="E759" t="n">
        <x:v>200</x:v>
      </x:c>
      <x:c r="F759" t="n">
        <x:v>0</x:v>
      </x:c>
      <x:c r="G759" t="n">
        <x:v>200</x:v>
      </x:c>
      <x:c r="H759"/>
      <x:c r="I759" t="n">
        <x:v>0</x:v>
      </x:c>
      <x:c r="J759" t="n">
        <x:v>0</x:v>
      </x:c>
      <x:c r="K759" t="n">
        <x:v>200</x:v>
      </x:c>
      <x:c r="L759" s="20" t="n">
        <x:v>1</x:v>
      </x:c>
      <x:c r="M759" t="str">
        <x:v>Variable</x:v>
      </x:c>
      <x:c r="N759" t="str">
        <x:v>Approx. Non-MCC Pool</x:v>
      </x:c>
      <x:c r="O759" t="str">
        <x:v>Large non-MCC pool; quota split varies by state</x:v>
      </x:c>
      <x:c r="P759"/>
      <x:c r="Q759"/>
      <x:c r="R759"/>
      <x:c r="S759"/>
      <x:c r="T759"/>
      <x:c r="U759" t="str">
        <x:v>Pending state Round-1 allotment/cutoff data</x:v>
      </x:c>
    </x:row>
    <x:row r="760">
      <x:c r="A760" t="str">
        <x:v>Uttar Pradesh</x:v>
      </x:c>
      <x:c r="B760" t="str">
        <x:v>UP/061/P/3</x:v>
      </x:c>
      <x:c r="C760" t="str">
        <x:v>Noida International Institute Of Medical Sciences</x:v>
      </x:c>
      <x:c r="D760" t="str">
        <x:v>Private</x:v>
      </x:c>
      <x:c r="E760" t="n">
        <x:v>150</x:v>
      </x:c>
      <x:c r="F760" t="n">
        <x:v>50</x:v>
      </x:c>
      <x:c r="G760" t="n">
        <x:v>200</x:v>
      </x:c>
      <x:c r="H760"/>
      <x:c r="I760" t="n">
        <x:v>0</x:v>
      </x:c>
      <x:c r="J760" t="n">
        <x:v>0</x:v>
      </x:c>
      <x:c r="K760" t="n">
        <x:v>200</x:v>
      </x:c>
      <x:c r="L760" s="20" t="n">
        <x:v>1</x:v>
      </x:c>
      <x:c r="M760" t="str">
        <x:v>Variable</x:v>
      </x:c>
      <x:c r="N760" t="str">
        <x:v>Approx. Non-MCC Pool</x:v>
      </x:c>
      <x:c r="O760" t="str">
        <x:v>Expanded 2026 capacity; state/management split to verify</x:v>
      </x:c>
      <x:c r="P760"/>
      <x:c r="Q760"/>
      <x:c r="R760"/>
      <x:c r="S760"/>
      <x:c r="T760"/>
      <x:c r="U760" t="str">
        <x:v>Pending state Round-1 allotment/cutoff data</x:v>
      </x:c>
    </x:row>
    <x:row r="761">
      <x:c r="A761" t="str">
        <x:v>Uttar Pradesh</x:v>
      </x:c>
      <x:c r="B761" t="str">
        <x:v>UP/062/P/3</x:v>
      </x:c>
      <x:c r="C761" t="str">
        <x:v>Prasad Institute of Medical Sciences, Lucknow</x:v>
      </x:c>
      <x:c r="D761" t="str">
        <x:v>Private</x:v>
      </x:c>
      <x:c r="E761" t="n">
        <x:v>150</x:v>
      </x:c>
      <x:c r="F761" t="n">
        <x:v>50</x:v>
      </x:c>
      <x:c r="G761" t="n">
        <x:v>200</x:v>
      </x:c>
      <x:c r="H761"/>
      <x:c r="I761" t="n">
        <x:v>0</x:v>
      </x:c>
      <x:c r="J761" t="n">
        <x:v>0</x:v>
      </x:c>
      <x:c r="K761" t="n">
        <x:v>200</x:v>
      </x:c>
      <x:c r="L761" s="20" t="n">
        <x:v>1</x:v>
      </x:c>
      <x:c r="M761" t="str">
        <x:v>Variable</x:v>
      </x:c>
      <x:c r="N761" t="str">
        <x:v>Approx. Non-MCC Pool</x:v>
      </x:c>
      <x:c r="O761" t="str">
        <x:v>Expanded 2026 capacity; state/management split to verify</x:v>
      </x:c>
      <x:c r="P761"/>
      <x:c r="Q761"/>
      <x:c r="R761"/>
      <x:c r="S761"/>
      <x:c r="T761"/>
      <x:c r="U761" t="str">
        <x:v>Pending state Round-1 allotment/cutoff data</x:v>
      </x:c>
    </x:row>
    <x:row r="762">
      <x:c r="A762" t="str">
        <x:v>Uttar Pradesh</x:v>
      </x:c>
      <x:c r="B762" t="str">
        <x:v>UP/078/P/4</x:v>
      </x:c>
      <x:c r="C762" t="str">
        <x:v>SKS Hospital Medical College &amp; Research Centre</x:v>
      </x:c>
      <x:c r="D762" t="str">
        <x:v>Private</x:v>
      </x:c>
      <x:c r="E762" t="n">
        <x:v>200</x:v>
      </x:c>
      <x:c r="F762" t="n">
        <x:v>0</x:v>
      </x:c>
      <x:c r="G762" t="n">
        <x:v>200</x:v>
      </x:c>
      <x:c r="H762"/>
      <x:c r="I762" t="n">
        <x:v>0</x:v>
      </x:c>
      <x:c r="J762" t="n">
        <x:v>0</x:v>
      </x:c>
      <x:c r="K762" t="n">
        <x:v>200</x:v>
      </x:c>
      <x:c r="L762" s="20" t="n">
        <x:v>1</x:v>
      </x:c>
      <x:c r="M762" t="str">
        <x:v>Variable</x:v>
      </x:c>
      <x:c r="N762" t="str">
        <x:v>Approx. Non-MCC Pool</x:v>
      </x:c>
      <x:c r="O762" t="str">
        <x:v>Large non-MCC pool; quota split varies by state</x:v>
      </x:c>
      <x:c r="P762"/>
      <x:c r="Q762"/>
      <x:c r="R762"/>
      <x:c r="S762"/>
      <x:c r="T762"/>
      <x:c r="U762" t="str">
        <x:v>Pending state Round-1 allotment/cutoff data</x:v>
      </x:c>
    </x:row>
    <x:row r="763">
      <x:c r="A763" t="str">
        <x:v>Uttar Pradesh</x:v>
      </x:c>
      <x:c r="B763" t="str">
        <x:v>UP/076/P/3</x:v>
      </x:c>
      <x:c r="C763" t="str">
        <x:v>Shri Ram Murti Smarak Institute of Medical Sciences, Bareilly</x:v>
      </x:c>
      <x:c r="D763" t="str">
        <x:v>Private</x:v>
      </x:c>
      <x:c r="E763" t="n">
        <x:v>200</x:v>
      </x:c>
      <x:c r="F763" t="n">
        <x:v>0</x:v>
      </x:c>
      <x:c r="G763" t="n">
        <x:v>200</x:v>
      </x:c>
      <x:c r="H763"/>
      <x:c r="I763" t="n">
        <x:v>0</x:v>
      </x:c>
      <x:c r="J763" t="n">
        <x:v>0</x:v>
      </x:c>
      <x:c r="K763" t="n">
        <x:v>200</x:v>
      </x:c>
      <x:c r="L763" s="20" t="n">
        <x:v>1</x:v>
      </x:c>
      <x:c r="M763" t="str">
        <x:v>Variable</x:v>
      </x:c>
      <x:c r="N763" t="str">
        <x:v>Approx. Non-MCC Pool</x:v>
      </x:c>
      <x:c r="O763" t="str">
        <x:v>Large non-MCC pool; quota split varies by state</x:v>
      </x:c>
      <x:c r="P763"/>
      <x:c r="Q763"/>
      <x:c r="R763"/>
      <x:c r="S763"/>
      <x:c r="T763"/>
      <x:c r="U763" t="str">
        <x:v>Pending state Round-1 allotment/cutoff data</x:v>
      </x:c>
    </x:row>
    <x:row r="764">
      <x:c r="A764" t="str">
        <x:v>Uttar Pradesh</x:v>
      </x:c>
      <x:c r="B764" t="str">
        <x:v>UP/077/P/3</x:v>
      </x:c>
      <x:c r="C764" t="str">
        <x:v>Shri Siddhi Vinayak Medical College &amp; Hospital Sambhal (UP) 244302</x:v>
      </x:c>
      <x:c r="D764" t="str">
        <x:v>Private</x:v>
      </x:c>
      <x:c r="E764" t="n">
        <x:v>150</x:v>
      </x:c>
      <x:c r="F764" t="n">
        <x:v>50</x:v>
      </x:c>
      <x:c r="G764" t="n">
        <x:v>200</x:v>
      </x:c>
      <x:c r="H764"/>
      <x:c r="I764" t="n">
        <x:v>0</x:v>
      </x:c>
      <x:c r="J764" t="n">
        <x:v>0</x:v>
      </x:c>
      <x:c r="K764" t="n">
        <x:v>200</x:v>
      </x:c>
      <x:c r="L764" s="20" t="n">
        <x:v>1</x:v>
      </x:c>
      <x:c r="M764" t="str">
        <x:v>Variable</x:v>
      </x:c>
      <x:c r="N764" t="str">
        <x:v>Approx. Non-MCC Pool</x:v>
      </x:c>
      <x:c r="O764" t="str">
        <x:v>Expanded 2026 capacity; state/management split to verify</x:v>
      </x:c>
      <x:c r="P764"/>
      <x:c r="Q764"/>
      <x:c r="R764"/>
      <x:c r="S764"/>
      <x:c r="T764"/>
      <x:c r="U764" t="str">
        <x:v>Pending state Round-1 allotment/cutoff data</x:v>
      </x:c>
    </x:row>
    <x:row r="765">
      <x:c r="A765" t="str">
        <x:v>Uttar Pradesh</x:v>
      </x:c>
      <x:c r="B765" t="str">
        <x:v>UP/079/P/3</x:v>
      </x:c>
      <x:c r="C765" t="str">
        <x:v>Subharti Medical College, Meerut</x:v>
      </x:c>
      <x:c r="D765" t="str">
        <x:v>Private</x:v>
      </x:c>
      <x:c r="E765" t="n">
        <x:v>200</x:v>
      </x:c>
      <x:c r="F765" t="n">
        <x:v>0</x:v>
      </x:c>
      <x:c r="G765" t="n">
        <x:v>200</x:v>
      </x:c>
      <x:c r="H765"/>
      <x:c r="I765" t="n">
        <x:v>0</x:v>
      </x:c>
      <x:c r="J765" t="n">
        <x:v>0</x:v>
      </x:c>
      <x:c r="K765" t="n">
        <x:v>200</x:v>
      </x:c>
      <x:c r="L765" s="20" t="n">
        <x:v>1</x:v>
      </x:c>
      <x:c r="M765" t="str">
        <x:v>Variable</x:v>
      </x:c>
      <x:c r="N765" t="str">
        <x:v>Approx. Non-MCC Pool</x:v>
      </x:c>
      <x:c r="O765" t="str">
        <x:v>Large non-MCC pool; quota split varies by state</x:v>
      </x:c>
      <x:c r="P765"/>
      <x:c r="Q765"/>
      <x:c r="R765"/>
      <x:c r="S765"/>
      <x:c r="T765"/>
      <x:c r="U765" t="str">
        <x:v>Pending state Round-1 allotment/cutoff data</x:v>
      </x:c>
    </x:row>
    <x:row r="766">
      <x:c r="A766" t="str">
        <x:v>Uttar Pradesh</x:v>
      </x:c>
      <x:c r="B766" t="str">
        <x:v>UP/022/P/3</x:v>
      </x:c>
      <x:c r="C766" t="str">
        <x:v>Career Instt. Of Medical Sciences &amp; Hospital, Lucknow</x:v>
      </x:c>
      <x:c r="D766" t="str">
        <x:v>Private</x:v>
      </x:c>
      <x:c r="E766" t="n">
        <x:v>150</x:v>
      </x:c>
      <x:c r="F766" t="n">
        <x:v>0</x:v>
      </x:c>
      <x:c r="G766" t="n">
        <x:v>150</x:v>
      </x:c>
      <x:c r="H766"/>
      <x:c r="I766" t="n">
        <x:v>0</x:v>
      </x:c>
      <x:c r="J766" t="n">
        <x:v>0</x:v>
      </x:c>
      <x:c r="K766" t="n">
        <x:v>150</x:v>
      </x:c>
      <x:c r="L766" s="20" t="n">
        <x:v>1</x:v>
      </x:c>
      <x:c r="M766" t="str">
        <x:v>Variable</x:v>
      </x:c>
      <x:c r="N766" t="str">
        <x:v>Approx. Non-MCC Pool</x:v>
      </x:c>
      <x:c r="O766" t="str">
        <x:v>Large non-MCC pool; quota split varies by state</x:v>
      </x:c>
      <x:c r="P766"/>
      <x:c r="Q766"/>
      <x:c r="R766"/>
      <x:c r="S766"/>
      <x:c r="T766"/>
      <x:c r="U766" t="str">
        <x:v>Pending state Round-1 allotment/cutoff data</x:v>
      </x:c>
    </x:row>
    <x:row r="767">
      <x:c r="A767" t="str">
        <x:v>Uttar Pradesh</x:v>
      </x:c>
      <x:c r="B767" t="str">
        <x:v>UP/023/P/4</x:v>
      </x:c>
      <x:c r="C767" t="str">
        <x:v>Dr. B.S. Kushwah Medical College, Kanpur</x:v>
      </x:c>
      <x:c r="D767" t="str">
        <x:v>Private</x:v>
      </x:c>
      <x:c r="E767" t="n">
        <x:v>150</x:v>
      </x:c>
      <x:c r="F767" t="n">
        <x:v>0</x:v>
      </x:c>
      <x:c r="G767" t="n">
        <x:v>150</x:v>
      </x:c>
      <x:c r="H767"/>
      <x:c r="I767" t="n">
        <x:v>0</x:v>
      </x:c>
      <x:c r="J767" t="n">
        <x:v>0</x:v>
      </x:c>
      <x:c r="K767" t="n">
        <x:v>150</x:v>
      </x:c>
      <x:c r="L767" s="20" t="n">
        <x:v>1</x:v>
      </x:c>
      <x:c r="M767" t="str">
        <x:v>Variable</x:v>
      </x:c>
      <x:c r="N767" t="str">
        <x:v>Approx. Non-MCC Pool</x:v>
      </x:c>
      <x:c r="O767" t="str">
        <x:v>Large non-MCC pool; quota split varies by state</x:v>
      </x:c>
      <x:c r="P767"/>
      <x:c r="Q767"/>
      <x:c r="R767"/>
      <x:c r="S767"/>
      <x:c r="T767"/>
      <x:c r="U767" t="str">
        <x:v>Pending state Round-1 allotment/cutoff data</x:v>
      </x:c>
    </x:row>
    <x:row r="768">
      <x:c r="A768" t="str">
        <x:v>Uttar Pradesh</x:v>
      </x:c>
      <x:c r="B768" t="str">
        <x:v>UP/042/P/3</x:v>
      </x:c>
      <x:c r="C768" t="str">
        <x:v>Hind Institute of Medical Sciences, Sitapur</x:v>
      </x:c>
      <x:c r="D768" t="str">
        <x:v>Private</x:v>
      </x:c>
      <x:c r="E768" t="n">
        <x:v>150</x:v>
      </x:c>
      <x:c r="F768" t="n">
        <x:v>0</x:v>
      </x:c>
      <x:c r="G768" t="n">
        <x:v>150</x:v>
      </x:c>
      <x:c r="H768"/>
      <x:c r="I768" t="n">
        <x:v>0</x:v>
      </x:c>
      <x:c r="J768" t="n">
        <x:v>0</x:v>
      </x:c>
      <x:c r="K768" t="n">
        <x:v>150</x:v>
      </x:c>
      <x:c r="L768" s="20" t="n">
        <x:v>1</x:v>
      </x:c>
      <x:c r="M768" t="str">
        <x:v>Variable</x:v>
      </x:c>
      <x:c r="N768" t="str">
        <x:v>Approx. Non-MCC Pool</x:v>
      </x:c>
      <x:c r="O768" t="str">
        <x:v>Large non-MCC pool; quota split varies by state</x:v>
      </x:c>
      <x:c r="P768"/>
      <x:c r="Q768"/>
      <x:c r="R768"/>
      <x:c r="S768"/>
      <x:c r="T768"/>
      <x:c r="U768" t="str">
        <x:v>Pending state Round-1 allotment/cutoff data</x:v>
      </x:c>
    </x:row>
    <x:row r="769">
      <x:c r="A769" t="str">
        <x:v>Uttar Pradesh</x:v>
      </x:c>
      <x:c r="B769" t="str">
        <x:v>UP/072/P/3</x:v>
      </x:c>
      <x:c r="C769" t="str">
        <x:v>Saraswati Medical College, Unnao, U.P.</x:v>
      </x:c>
      <x:c r="D769" t="str">
        <x:v>Private</x:v>
      </x:c>
      <x:c r="E769" t="n">
        <x:v>150</x:v>
      </x:c>
      <x:c r="F769" t="n">
        <x:v>0</x:v>
      </x:c>
      <x:c r="G769" t="n">
        <x:v>150</x:v>
      </x:c>
      <x:c r="H769"/>
      <x:c r="I769" t="n">
        <x:v>0</x:v>
      </x:c>
      <x:c r="J769" t="n">
        <x:v>0</x:v>
      </x:c>
      <x:c r="K769" t="n">
        <x:v>150</x:v>
      </x:c>
      <x:c r="L769" s="20" t="n">
        <x:v>1</x:v>
      </x:c>
      <x:c r="M769" t="str">
        <x:v>Variable</x:v>
      </x:c>
      <x:c r="N769" t="str">
        <x:v>Approx. Non-MCC Pool</x:v>
      </x:c>
      <x:c r="O769" t="str">
        <x:v>Large non-MCC pool; quota split varies by state</x:v>
      </x:c>
      <x:c r="P769"/>
      <x:c r="Q769"/>
      <x:c r="R769"/>
      <x:c r="S769"/>
      <x:c r="T769"/>
      <x:c r="U769" t="str">
        <x:v>Pending state Round-1 allotment/cutoff data</x:v>
      </x:c>
    </x:row>
    <x:row r="770">
      <x:c r="A770" t="str">
        <x:v>Uttar Pradesh</x:v>
      </x:c>
      <x:c r="B770" t="str">
        <x:v>UP/075/P/4</x:v>
      </x:c>
      <x:c r="C770" t="str">
        <x:v>Shri Gorakshnath Medical College Hospital &amp; Arogya Dham Gorakhpur (UP)</x:v>
      </x:c>
      <x:c r="D770" t="str">
        <x:v>Private</x:v>
      </x:c>
      <x:c r="E770" t="n">
        <x:v>150</x:v>
      </x:c>
      <x:c r="F770" t="n">
        <x:v>0</x:v>
      </x:c>
      <x:c r="G770" t="n">
        <x:v>150</x:v>
      </x:c>
      <x:c r="H770"/>
      <x:c r="I770" t="n">
        <x:v>0</x:v>
      </x:c>
      <x:c r="J770" t="n">
        <x:v>0</x:v>
      </x:c>
      <x:c r="K770" t="n">
        <x:v>150</x:v>
      </x:c>
      <x:c r="L770" s="20" t="n">
        <x:v>1</x:v>
      </x:c>
      <x:c r="M770" t="str">
        <x:v>Variable</x:v>
      </x:c>
      <x:c r="N770" t="str">
        <x:v>Approx. Non-MCC Pool</x:v>
      </x:c>
      <x:c r="O770" t="str">
        <x:v>Large non-MCC pool; quota split varies by state</x:v>
      </x:c>
      <x:c r="P770"/>
      <x:c r="Q770"/>
      <x:c r="R770"/>
      <x:c r="S770"/>
      <x:c r="T770"/>
      <x:c r="U770" t="str">
        <x:v>Pending state Round-1 allotment/cutoff data</x:v>
      </x:c>
    </x:row>
    <x:row r="771">
      <x:c r="A771" t="str">
        <x:v>Uttar Pradesh</x:v>
      </x:c>
      <x:c r="B771" t="str">
        <x:v>UP/041/P/3</x:v>
      </x:c>
      <x:c r="C771" t="str">
        <x:v>Hind Institute of Medical Sciences , Barabanki</x:v>
      </x:c>
      <x:c r="D771" t="str">
        <x:v>Private</x:v>
      </x:c>
      <x:c r="E771" t="n">
        <x:v>100</x:v>
      </x:c>
      <x:c r="F771" t="n">
        <x:v>0</x:v>
      </x:c>
      <x:c r="G771" t="n">
        <x:v>100</x:v>
      </x:c>
      <x:c r="H771"/>
      <x:c r="I771" t="n">
        <x:v>0</x:v>
      </x:c>
      <x:c r="J771" t="n">
        <x:v>0</x:v>
      </x:c>
      <x:c r="K771" t="n">
        <x:v>100</x:v>
      </x:c>
      <x:c r="L771" s="20" t="n">
        <x:v>1</x:v>
      </x:c>
      <x:c r="M771" t="str">
        <x:v>Variable</x:v>
      </x:c>
      <x:c r="N771" t="str">
        <x:v>Approx. Non-MCC Pool</x:v>
      </x:c>
      <x:c r="O771" t="str">
        <x:v>State/management/NRI split must be verified</x:v>
      </x:c>
      <x:c r="P771"/>
      <x:c r="Q771"/>
      <x:c r="R771"/>
      <x:c r="S771"/>
      <x:c r="T771"/>
      <x:c r="U771" t="str">
        <x:v>Pending state Round-1 allotment/cutoff data</x:v>
      </x:c>
    </x:row>
    <x:row r="772">
      <x:c r="A772" t="str">
        <x:v>Uttar Pradesh</x:v>
      </x:c>
      <x:c r="B772" t="str">
        <x:v>New Establishment</x:v>
      </x:c>
      <x:c r="C772" t="str">
        <x:v>FULAN SINGH MEDICAL COLLEGE, FS UNIVERSITY</x:v>
      </x:c>
      <x:c r="D772" t="str">
        <x:v>Private</x:v>
      </x:c>
      <x:c r="E772" t="n">
        <x:v>0</x:v>
      </x:c>
      <x:c r="F772" t="n">
        <x:v>100</x:v>
      </x:c>
      <x:c r="G772" t="n">
        <x:v>100</x:v>
      </x:c>
      <x:c r="H772" t="str">
        <x:v>904744</x:v>
      </x:c>
      <x:c r="I772" t="n">
        <x:v>15</x:v>
      </x:c>
      <x:c r="J772" t="n">
        <x:v>15</x:v>
      </x:c>
      <x:c r="K772" t="n">
        <x:v>85</x:v>
      </x:c>
      <x:c r="L772" s="20" t="n">
        <x:v>0.85</x:v>
      </x:c>
      <x:c r="M772" t="str">
        <x:v>Variable</x:v>
      </x:c>
      <x:c r="N772" t="str">
        <x:v>Approx. Non-MCC Pool</x:v>
      </x:c>
      <x:c r="O772" t="str">
        <x:v>Expanded 2026 capacity; state/management split to verify</x:v>
      </x:c>
      <x:c r="P772" t="n">
        <x:v>19127</x:v>
      </x:c>
      <x:c r="Q772" t="n">
        <x:v>22142</x:v>
      </x:c>
      <x:c r="R772" t="n">
        <x:v>21393</x:v>
      </x:c>
      <x:c r="S772" t="n">
        <x:v>82876</x:v>
      </x:c>
      <x:c r="T772" t="n">
        <x:v>72645</x:v>
      </x:c>
      <x:c r="U772" t="str">
        <x:v>Pending state Round-1 allotment/cutoff data</x:v>
      </x:c>
    </x:row>
    <x:row r="773">
      <x:c r="A773" t="str">
        <x:v>Uttar Pradesh</x:v>
      </x:c>
      <x:c r="B773" t="str">
        <x:v>New Establishment</x:v>
      </x:c>
      <x:c r="C773" t="str">
        <x:v>sardar Patel Institute of medical education and health sciences</x:v>
      </x:c>
      <x:c r="D773" t="str">
        <x:v>Private</x:v>
      </x:c>
      <x:c r="E773" t="n">
        <x:v>0</x:v>
      </x:c>
      <x:c r="F773" t="n">
        <x:v>50</x:v>
      </x:c>
      <x:c r="G773" t="n">
        <x:v>50</x:v>
      </x:c>
      <x:c r="H773" t="str">
        <x:v>904744</x:v>
      </x:c>
      <x:c r="I773" t="n">
        <x:v>15</x:v>
      </x:c>
      <x:c r="J773" t="n">
        <x:v>15</x:v>
      </x:c>
      <x:c r="K773" t="n">
        <x:v>35</x:v>
      </x:c>
      <x:c r="L773" s="20" t="n">
        <x:v>0.7</x:v>
      </x:c>
      <x:c r="M773" t="str">
        <x:v>Variable</x:v>
      </x:c>
      <x:c r="N773" t="str">
        <x:v>Approx. Non-MCC Pool</x:v>
      </x:c>
      <x:c r="O773" t="str">
        <x:v>Expanded 2026 capacity; state/management split to verify</x:v>
      </x:c>
      <x:c r="P773" t="n">
        <x:v>19127</x:v>
      </x:c>
      <x:c r="Q773" t="n">
        <x:v>22142</x:v>
      </x:c>
      <x:c r="R773" t="n">
        <x:v>21393</x:v>
      </x:c>
      <x:c r="S773" t="n">
        <x:v>82876</x:v>
      </x:c>
      <x:c r="T773" t="n">
        <x:v>72645</x:v>
      </x:c>
      <x:c r="U773" t="str">
        <x:v>Pending state Round-1 allotment/cutoff data</x:v>
      </x:c>
    </x:row>
    <x:row r="774">
      <x:c r="A774" t="str">
        <x:v>Uttar Pradesh</x:v>
      </x:c>
      <x:c r="B774" t="str">
        <x:v>UP/070/P/3</x:v>
      </x:c>
      <x:c r="C774" t="str">
        <x:v>Santosh Medical College, Ghaziabad</x:v>
      </x:c>
      <x:c r="D774" t="str">
        <x:v>Private</x:v>
      </x:c>
      <x:c r="E774" t="n">
        <x:v>150</x:v>
      </x:c>
      <x:c r="F774" t="n">
        <x:v>0</x:v>
      </x:c>
      <x:c r="G774" t="n">
        <x:v>150</x:v>
      </x:c>
      <x:c r="H774" t="str">
        <x:v>200408</x:v>
      </x:c>
      <x:c r="I774" t="n">
        <x:v>150</x:v>
      </x:c>
      <x:c r="J774" t="n">
        <x:v>132</x:v>
      </x:c>
      <x:c r="K774" t="n">
        <x:v>0</x:v>
      </x:c>
      <x:c r="L774" s="20" t="n">
        <x:v>0</x:v>
      </x:c>
      <x:c r="M774" t="str">
        <x:v>Variable</x:v>
      </x:c>
      <x:c r="N774" t="str">
        <x:v>Approx. Non-MCC Pool</x:v>
      </x:c>
      <x:c r="O774" t="str">
        <x:v>State/management/NRI split must be verified</x:v>
      </x:c>
      <x:c r="P774" t="n">
        <x:v>526990</x:v>
      </x:c>
      <x:c r="Q774"/>
      <x:c r="R774"/>
      <x:c r="S774"/>
      <x:c r="T774"/>
      <x:c r="U774" t="str">
        <x:v>Pending state Round-1 allotment/cutoff data</x:v>
      </x:c>
    </x:row>
    <x:row r="775">
      <x:c r="A775" t="str">
        <x:v>Uttarakhand</x:v>
      </x:c>
      <x:c r="B775" t="str">
        <x:v>UK/001/G/1</x:v>
      </x:c>
      <x:c r="C775" t="str">
        <x:v>Doon Medical College, Dehradun, Uttarakhand</x:v>
      </x:c>
      <x:c r="D775" t="str">
        <x:v>Government</x:v>
      </x:c>
      <x:c r="E775" t="n">
        <x:v>150</x:v>
      </x:c>
      <x:c r="F775" t="n">
        <x:v>0</x:v>
      </x:c>
      <x:c r="G775" t="n">
        <x:v>150</x:v>
      </x:c>
      <x:c r="H775" t="str">
        <x:v>200305</x:v>
      </x:c>
      <x:c r="I775" t="n">
        <x:v>23</x:v>
      </x:c>
      <x:c r="J775" t="n">
        <x:v>23</x:v>
      </x:c>
      <x:c r="K775" t="n">
        <x:v>127</x:v>
      </x:c>
      <x:c r="L775" s="20" t="n">
        <x:v>0.8466666666666667</x:v>
      </x:c>
      <x:c r="M775" t="str">
        <x:v>High</x:v>
      </x:c>
      <x:c r="N775" t="str">
        <x:v>Approx. State/Non-MCC Pool</x:v>
      </x:c>
      <x:c r="O775" t="str">
        <x:v>Moderate state-counselling pool</x:v>
      </x:c>
      <x:c r="P775" t="n">
        <x:v>5236</x:v>
      </x:c>
      <x:c r="Q775" t="n">
        <x:v>7534</x:v>
      </x:c>
      <x:c r="R775" t="n">
        <x:v>8228</x:v>
      </x:c>
      <x:c r="S775" t="n">
        <x:v>30618</x:v>
      </x:c>
      <x:c r="T775" t="n">
        <x:v>45804</x:v>
      </x:c>
      <x:c r="U775" t="str">
        <x:v>Pending state Round-1 allotment/cutoff data</x:v>
      </x:c>
    </x:row>
    <x:row r="776">
      <x:c r="A776" t="str">
        <x:v>Uttarakhand</x:v>
      </x:c>
      <x:c r="B776" t="str">
        <x:v>UK/009/G/1</x:v>
      </x:c>
      <x:c r="C776" t="str">
        <x:v>Veer Chandra Singh Garhwali Govt. Medical Sc. &amp; Research Instt, Srinagar, Pauri Garhwal</x:v>
      </x:c>
      <x:c r="D776" t="str">
        <x:v>Government</x:v>
      </x:c>
      <x:c r="E776" t="n">
        <x:v>150</x:v>
      </x:c>
      <x:c r="F776" t="n">
        <x:v>0</x:v>
      </x:c>
      <x:c r="G776" t="n">
        <x:v>150</x:v>
      </x:c>
      <x:c r="H776" t="str">
        <x:v>200304</x:v>
      </x:c>
      <x:c r="I776" t="n">
        <x:v>23</x:v>
      </x:c>
      <x:c r="J776" t="n">
        <x:v>23</x:v>
      </x:c>
      <x:c r="K776" t="n">
        <x:v>127</x:v>
      </x:c>
      <x:c r="L776" s="20" t="n">
        <x:v>0.8466666666666667</x:v>
      </x:c>
      <x:c r="M776" t="str">
        <x:v>High</x:v>
      </x:c>
      <x:c r="N776" t="str">
        <x:v>Approx. State/Non-MCC Pool</x:v>
      </x:c>
      <x:c r="O776" t="str">
        <x:v>Moderate state-counselling pool</x:v>
      </x:c>
      <x:c r="P776" t="n">
        <x:v>8322</x:v>
      </x:c>
      <x:c r="Q776" t="n">
        <x:v>12184</x:v>
      </x:c>
      <x:c r="R776" t="n">
        <x:v>13072</x:v>
      </x:c>
      <x:c r="S776" t="n">
        <x:v>59627</x:v>
      </x:c>
      <x:c r="T776" t="n">
        <x:v>85214</x:v>
      </x:c>
      <x:c r="U776" t="str">
        <x:v>Pending state Round-1 allotment/cutoff data</x:v>
      </x:c>
    </x:row>
    <x:row r="777">
      <x:c r="A777" t="str">
        <x:v>Uttarakhand</x:v>
      </x:c>
      <x:c r="B777" t="str">
        <x:v>UK/003/G/1</x:v>
      </x:c>
      <x:c r="C777" t="str">
        <x:v>Government Medical College (Prev.Uttarakhand Forest Hospital Trust Med.Col.), Haldwani</x:v>
      </x:c>
      <x:c r="D777" t="str">
        <x:v>Government</x:v>
      </x:c>
      <x:c r="E777" t="n">
        <x:v>125</x:v>
      </x:c>
      <x:c r="F777" t="n">
        <x:v>0</x:v>
      </x:c>
      <x:c r="G777" t="n">
        <x:v>125</x:v>
      </x:c>
      <x:c r="H777" t="str">
        <x:v>200306</x:v>
      </x:c>
      <x:c r="I777" t="n">
        <x:v>19</x:v>
      </x:c>
      <x:c r="J777" t="n">
        <x:v>19</x:v>
      </x:c>
      <x:c r="K777" t="n">
        <x:v>106</x:v>
      </x:c>
      <x:c r="L777" s="20" t="n">
        <x:v>0.848</x:v>
      </x:c>
      <x:c r="M777" t="str">
        <x:v>High</x:v>
      </x:c>
      <x:c r="N777" t="str">
        <x:v>Approx. State/Non-MCC Pool</x:v>
      </x:c>
      <x:c r="O777" t="str">
        <x:v>Moderate state-counselling pool</x:v>
      </x:c>
      <x:c r="P777" t="n">
        <x:v>5864</x:v>
      </x:c>
      <x:c r="Q777" t="n">
        <x:v>8836</x:v>
      </x:c>
      <x:c r="R777" t="n">
        <x:v>9960</x:v>
      </x:c>
      <x:c r="S777" t="n">
        <x:v>50889</x:v>
      </x:c>
      <x:c r="T777" t="n">
        <x:v>74786</x:v>
      </x:c>
      <x:c r="U777" t="str">
        <x:v>Pending state Round-1 allotment/cutoff data</x:v>
      </x:c>
    </x:row>
    <x:row r="778">
      <x:c r="A778" t="str">
        <x:v>Uttarakhand</x:v>
      </x:c>
      <x:c r="B778" t="str">
        <x:v>UK/004/G/1</x:v>
      </x:c>
      <x:c r="C778" t="str">
        <x:v>Government Medical College, Haridwar</x:v>
      </x:c>
      <x:c r="D778" t="str">
        <x:v>Government</x:v>
      </x:c>
      <x:c r="E778" t="n">
        <x:v>100</x:v>
      </x:c>
      <x:c r="F778" t="n">
        <x:v>0</x:v>
      </x:c>
      <x:c r="G778" t="n">
        <x:v>100</x:v>
      </x:c>
      <x:c r="H778" t="str">
        <x:v>903365</x:v>
      </x:c>
      <x:c r="I778" t="n">
        <x:v>15</x:v>
      </x:c>
      <x:c r="J778" t="n">
        <x:v>15</x:v>
      </x:c>
      <x:c r="K778" t="n">
        <x:v>85</x:v>
      </x:c>
      <x:c r="L778" s="20" t="n">
        <x:v>0.85</x:v>
      </x:c>
      <x:c r="M778" t="str">
        <x:v>High</x:v>
      </x:c>
      <x:c r="N778" t="str">
        <x:v>Approx. State/Non-MCC Pool</x:v>
      </x:c>
      <x:c r="O778" t="str">
        <x:v>Moderate state-counselling pool</x:v>
      </x:c>
      <x:c r="P778" t="n">
        <x:v>7721</x:v>
      </x:c>
      <x:c r="Q778" t="n">
        <x:v>10530</x:v>
      </x:c>
      <x:c r="R778" t="n">
        <x:v>11504</x:v>
      </x:c>
      <x:c r="S778" t="n">
        <x:v>57642</x:v>
      </x:c>
      <x:c r="T778" t="n">
        <x:v>64880</x:v>
      </x:c>
      <x:c r="U778" t="str">
        <x:v>Pending state Round-1 allotment/cutoff data</x:v>
      </x:c>
    </x:row>
    <x:row r="779">
      <x:c r="A779" t="str">
        <x:v>Uttarakhand</x:v>
      </x:c>
      <x:c r="B779" t="str">
        <x:v>UK/008/G/1</x:v>
      </x:c>
      <x:c r="C779" t="str">
        <x:v>Soban Singh jeena Government institute of Medical science &amp; Research, Almora</x:v>
      </x:c>
      <x:c r="D779" t="str">
        <x:v>Government</x:v>
      </x:c>
      <x:c r="E779" t="n">
        <x:v>100</x:v>
      </x:c>
      <x:c r="F779" t="n">
        <x:v>0</x:v>
      </x:c>
      <x:c r="G779" t="n">
        <x:v>100</x:v>
      </x:c>
      <x:c r="H779" t="str">
        <x:v>200582</x:v>
      </x:c>
      <x:c r="I779" t="n">
        <x:v>15</x:v>
      </x:c>
      <x:c r="J779" t="n">
        <x:v>15</x:v>
      </x:c>
      <x:c r="K779" t="n">
        <x:v>85</x:v>
      </x:c>
      <x:c r="L779" s="20" t="n">
        <x:v>0.85</x:v>
      </x:c>
      <x:c r="M779" t="str">
        <x:v>High</x:v>
      </x:c>
      <x:c r="N779" t="str">
        <x:v>Approx. State/Non-MCC Pool</x:v>
      </x:c>
      <x:c r="O779" t="str">
        <x:v>Moderate state-counselling pool</x:v>
      </x:c>
      <x:c r="P779" t="n">
        <x:v>11354</x:v>
      </x:c>
      <x:c r="Q779" t="n">
        <x:v>13466</x:v>
      </x:c>
      <x:c r="R779" t="n">
        <x:v>13823</x:v>
      </x:c>
      <x:c r="S779" t="n">
        <x:v>69031</x:v>
      </x:c>
      <x:c r="T779" t="n">
        <x:v>86684</x:v>
      </x:c>
      <x:c r="U779" t="str">
        <x:v>Pending state Round-1 allotment/cutoff data</x:v>
      </x:c>
    </x:row>
    <x:row r="780">
      <x:c r="A780" t="str">
        <x:v>Uttarakhand</x:v>
      </x:c>
      <x:c r="B780" t="str">
        <x:v>UK/006/P/4</x:v>
      </x:c>
      <x:c r="C780" t="str">
        <x:v>Himalayan Institute of Medical Sciences, Dehradun</x:v>
      </x:c>
      <x:c r="D780" t="str">
        <x:v>Private</x:v>
      </x:c>
      <x:c r="E780" t="n">
        <x:v>150</x:v>
      </x:c>
      <x:c r="F780" t="n">
        <x:v>100</x:v>
      </x:c>
      <x:c r="G780" t="n">
        <x:v>250</x:v>
      </x:c>
      <x:c r="H780"/>
      <x:c r="I780" t="n">
        <x:v>0</x:v>
      </x:c>
      <x:c r="J780" t="n">
        <x:v>0</x:v>
      </x:c>
      <x:c r="K780" t="n">
        <x:v>250</x:v>
      </x:c>
      <x:c r="L780" s="20" t="n">
        <x:v>1</x:v>
      </x:c>
      <x:c r="M780" t="str">
        <x:v>Variable</x:v>
      </x:c>
      <x:c r="N780" t="str">
        <x:v>Approx. Non-MCC Pool</x:v>
      </x:c>
      <x:c r="O780" t="str">
        <x:v>Expanded 2026 capacity; state/management split to verify</x:v>
      </x:c>
      <x:c r="P780"/>
      <x:c r="Q780"/>
      <x:c r="R780"/>
      <x:c r="S780"/>
      <x:c r="T780"/>
      <x:c r="U780" t="str">
        <x:v>Pending state Round-1 allotment/cutoff data</x:v>
      </x:c>
    </x:row>
    <x:row r="781">
      <x:c r="A781" t="str">
        <x:v>Uttarakhand</x:v>
      </x:c>
      <x:c r="B781" t="str">
        <x:v>UK/007/P/4</x:v>
      </x:c>
      <x:c r="C781" t="str">
        <x:v>Shri Guru Ram Rai Institute of Medical &amp; Health Sciences, Dehradun</x:v>
      </x:c>
      <x:c r="D781" t="str">
        <x:v>Private</x:v>
      </x:c>
      <x:c r="E781" t="n">
        <x:v>250</x:v>
      </x:c>
      <x:c r="F781" t="n">
        <x:v>0</x:v>
      </x:c>
      <x:c r="G781" t="n">
        <x:v>250</x:v>
      </x:c>
      <x:c r="H781"/>
      <x:c r="I781" t="n">
        <x:v>0</x:v>
      </x:c>
      <x:c r="J781" t="n">
        <x:v>0</x:v>
      </x:c>
      <x:c r="K781" t="n">
        <x:v>250</x:v>
      </x:c>
      <x:c r="L781" s="20" t="n">
        <x:v>1</x:v>
      </x:c>
      <x:c r="M781" t="str">
        <x:v>Variable</x:v>
      </x:c>
      <x:c r="N781" t="str">
        <x:v>Approx. Non-MCC Pool</x:v>
      </x:c>
      <x:c r="O781" t="str">
        <x:v>Large non-MCC pool; quota split varies by state</x:v>
      </x:c>
      <x:c r="P781"/>
      <x:c r="Q781"/>
      <x:c r="R781"/>
      <x:c r="S781"/>
      <x:c r="T781"/>
      <x:c r="U781" t="str">
        <x:v>Pending state Round-1 allotment/cutoff data</x:v>
      </x:c>
    </x:row>
    <x:row r="782">
      <x:c r="A782" t="str">
        <x:v>Uttarakhand</x:v>
      </x:c>
      <x:c r="B782" t="str">
        <x:v>UK/002/P/3</x:v>
      </x:c>
      <x:c r="C782" t="str">
        <x:v>Gautam Buddha Chikitsa Mahavidyalaya, Dehradum</x:v>
      </x:c>
      <x:c r="D782" t="str">
        <x:v>Private</x:v>
      </x:c>
      <x:c r="E782" t="n">
        <x:v>150</x:v>
      </x:c>
      <x:c r="F782" t="n">
        <x:v>0</x:v>
      </x:c>
      <x:c r="G782" t="n">
        <x:v>150</x:v>
      </x:c>
      <x:c r="H782"/>
      <x:c r="I782" t="n">
        <x:v>0</x:v>
      </x:c>
      <x:c r="J782" t="n">
        <x:v>0</x:v>
      </x:c>
      <x:c r="K782" t="n">
        <x:v>150</x:v>
      </x:c>
      <x:c r="L782" s="20" t="n">
        <x:v>1</x:v>
      </x:c>
      <x:c r="M782" t="str">
        <x:v>Variable</x:v>
      </x:c>
      <x:c r="N782" t="str">
        <x:v>Approx. Non-MCC Pool</x:v>
      </x:c>
      <x:c r="O782" t="str">
        <x:v>Large non-MCC pool; quota split varies by state</x:v>
      </x:c>
      <x:c r="P782"/>
      <x:c r="Q782"/>
      <x:c r="R782"/>
      <x:c r="S782"/>
      <x:c r="T782"/>
      <x:c r="U782" t="str">
        <x:v>Pending state Round-1 allotment/cutoff data</x:v>
      </x:c>
    </x:row>
    <x:row r="783">
      <x:c r="A783" t="str">
        <x:v>Uttarakhand</x:v>
      </x:c>
      <x:c r="B783" t="str">
        <x:v>UK/005/P/4</x:v>
      </x:c>
      <x:c r="C783" t="str">
        <x:v>Graphic Era Institute of Medical Sciences Dehradun, Uttrakhand</x:v>
      </x:c>
      <x:c r="D783" t="str">
        <x:v>Private</x:v>
      </x:c>
      <x:c r="E783" t="n">
        <x:v>150</x:v>
      </x:c>
      <x:c r="F783" t="n">
        <x:v>50</x:v>
      </x:c>
      <x:c r="G783" t="n">
        <x:v>200</x:v>
      </x:c>
      <x:c r="H783" t="str">
        <x:v>902812</x:v>
      </x:c>
      <x:c r="I783" t="n">
        <x:v>200</x:v>
      </x:c>
      <x:c r="J783" t="n">
        <x:v>170</x:v>
      </x:c>
      <x:c r="K783" t="n">
        <x:v>0</x:v>
      </x:c>
      <x:c r="L783" s="20" t="n">
        <x:v>0</x:v>
      </x:c>
      <x:c r="M783" t="str">
        <x:v>Variable</x:v>
      </x:c>
      <x:c r="N783" t="str">
        <x:v>Approx. Non-MCC Pool</x:v>
      </x:c>
      <x:c r="O783" t="str">
        <x:v>Expanded 2026 capacity; state/management split to verify</x:v>
      </x:c>
      <x:c r="P783" t="n">
        <x:v>479276</x:v>
      </x:c>
      <x:c r="Q783"/>
      <x:c r="R783"/>
      <x:c r="S783"/>
      <x:c r="T783"/>
      <x:c r="U783" t="str">
        <x:v>Pending state Round-1 allotment/cutoff data</x:v>
      </x:c>
    </x:row>
    <x:row r="784">
      <x:c r="A784" t="str">
        <x:v>West Bengal</x:v>
      </x:c>
      <x:c r="B784" t="str">
        <x:v>WB/004/G/1</x:v>
      </x:c>
      <x:c r="C784" t="str">
        <x:v>Calcutta National Medical College, Kolkata</x:v>
      </x:c>
      <x:c r="D784" t="str">
        <x:v>Government</x:v>
      </x:c>
      <x:c r="E784" t="n">
        <x:v>250</x:v>
      </x:c>
      <x:c r="F784" t="n">
        <x:v>0</x:v>
      </x:c>
      <x:c r="G784" t="n">
        <x:v>250</x:v>
      </x:c>
      <x:c r="H784"/>
      <x:c r="I784" t="n">
        <x:v>0</x:v>
      </x:c>
      <x:c r="J784" t="n">
        <x:v>0</x:v>
      </x:c>
      <x:c r="K784" t="n">
        <x:v>250</x:v>
      </x:c>
      <x:c r="L784" s="20" t="n">
        <x:v>1</x:v>
      </x:c>
      <x:c r="M784" t="str">
        <x:v>High</x:v>
      </x:c>
      <x:c r="N784" t="str">
        <x:v>Approx. State/Non-MCC Pool</x:v>
      </x:c>
      <x:c r="O784" t="str">
        <x:v>Large state-counselling pool</x:v>
      </x:c>
      <x:c r="P784"/>
      <x:c r="Q784"/>
      <x:c r="R784"/>
      <x:c r="S784"/>
      <x:c r="T784"/>
      <x:c r="U784" t="str">
        <x:v>Pending state Round-1 allotment/cutoff data</x:v>
      </x:c>
    </x:row>
    <x:row r="785">
      <x:c r="A785" t="str">
        <x:v>West Bengal</x:v>
      </x:c>
      <x:c r="B785" t="str">
        <x:v>WB/028/G/1</x:v>
      </x:c>
      <x:c r="C785" t="str">
        <x:v>Nilratan Sircar Medical College, Kolkata</x:v>
      </x:c>
      <x:c r="D785" t="str">
        <x:v>Government</x:v>
      </x:c>
      <x:c r="E785" t="n">
        <x:v>250</x:v>
      </x:c>
      <x:c r="F785" t="n">
        <x:v>0</x:v>
      </x:c>
      <x:c r="G785" t="n">
        <x:v>250</x:v>
      </x:c>
      <x:c r="H785"/>
      <x:c r="I785" t="n">
        <x:v>0</x:v>
      </x:c>
      <x:c r="J785" t="n">
        <x:v>0</x:v>
      </x:c>
      <x:c r="K785" t="n">
        <x:v>250</x:v>
      </x:c>
      <x:c r="L785" s="20" t="n">
        <x:v>1</x:v>
      </x:c>
      <x:c r="M785" t="str">
        <x:v>High</x:v>
      </x:c>
      <x:c r="N785" t="str">
        <x:v>Approx. State/Non-MCC Pool</x:v>
      </x:c>
      <x:c r="O785" t="str">
        <x:v>Large state-counselling pool</x:v>
      </x:c>
      <x:c r="P785"/>
      <x:c r="Q785"/>
      <x:c r="R785"/>
      <x:c r="S785"/>
      <x:c r="T785"/>
      <x:c r="U785" t="str">
        <x:v>Pending state Round-1 allotment/cutoff data</x:v>
      </x:c>
    </x:row>
    <x:row r="786">
      <x:c r="A786" t="str">
        <x:v>West Bengal</x:v>
      </x:c>
      <x:c r="B786" t="str">
        <x:v>WB/036/G/1</x:v>
      </x:c>
      <x:c r="C786" t="str">
        <x:v>RG Kar Medical College, Kolkata</x:v>
      </x:c>
      <x:c r="D786" t="str">
        <x:v>Government</x:v>
      </x:c>
      <x:c r="E786" t="n">
        <x:v>250</x:v>
      </x:c>
      <x:c r="F786" t="n">
        <x:v>0</x:v>
      </x:c>
      <x:c r="G786" t="n">
        <x:v>250</x:v>
      </x:c>
      <x:c r="H786"/>
      <x:c r="I786" t="n">
        <x:v>0</x:v>
      </x:c>
      <x:c r="J786" t="n">
        <x:v>0</x:v>
      </x:c>
      <x:c r="K786" t="n">
        <x:v>250</x:v>
      </x:c>
      <x:c r="L786" s="20" t="n">
        <x:v>1</x:v>
      </x:c>
      <x:c r="M786" t="str">
        <x:v>High</x:v>
      </x:c>
      <x:c r="N786" t="str">
        <x:v>Approx. State/Non-MCC Pool</x:v>
      </x:c>
      <x:c r="O786" t="str">
        <x:v>Large state-counselling pool</x:v>
      </x:c>
      <x:c r="P786"/>
      <x:c r="Q786"/>
      <x:c r="R786"/>
      <x:c r="S786"/>
      <x:c r="T786"/>
      <x:c r="U786" t="str">
        <x:v>Pending state Round-1 allotment/cutoff data</x:v>
      </x:c>
    </x:row>
    <x:row r="787">
      <x:c r="A787" t="str">
        <x:v>West Bengal</x:v>
      </x:c>
      <x:c r="B787" t="str">
        <x:v>WB/012/G/1</x:v>
      </x:c>
      <x:c r="C787" t="str">
        <x:v>Govt. Medical College, Kolkata</x:v>
      </x:c>
      <x:c r="D787" t="str">
        <x:v>Government</x:v>
      </x:c>
      <x:c r="E787" t="n">
        <x:v>250</x:v>
      </x:c>
      <x:c r="F787" t="n">
        <x:v>0</x:v>
      </x:c>
      <x:c r="G787" t="n">
        <x:v>250</x:v>
      </x:c>
      <x:c r="H787" t="str">
        <x:v>200322</x:v>
      </x:c>
      <x:c r="I787" t="n">
        <x:v>38</x:v>
      </x:c>
      <x:c r="J787" t="n">
        <x:v>38</x:v>
      </x:c>
      <x:c r="K787" t="n">
        <x:v>212</x:v>
      </x:c>
      <x:c r="L787" s="20" t="n">
        <x:v>0.848</x:v>
      </x:c>
      <x:c r="M787" t="str">
        <x:v>High</x:v>
      </x:c>
      <x:c r="N787" t="str">
        <x:v>Approx. State/Non-MCC Pool</x:v>
      </x:c>
      <x:c r="O787" t="str">
        <x:v>Large state-counselling pool</x:v>
      </x:c>
      <x:c r="P787" t="n">
        <x:v>6450</x:v>
      </x:c>
      <x:c r="Q787" t="n">
        <x:v>8854</x:v>
      </x:c>
      <x:c r="R787" t="n">
        <x:v>9069</x:v>
      </x:c>
      <x:c r="S787" t="n">
        <x:v>36514</x:v>
      </x:c>
      <x:c r="T787" t="n">
        <x:v>73647</x:v>
      </x:c>
      <x:c r="U787" t="str">
        <x:v>Pending state Round-1 allotment/cutoff data</x:v>
      </x:c>
    </x:row>
    <x:row r="788">
      <x:c r="A788" t="str">
        <x:v>West Bengal</x:v>
      </x:c>
      <x:c r="B788" t="str">
        <x:v>WB/014/G/1</x:v>
      </x:c>
      <x:c r="C788" t="str">
        <x:v>Institute of Postgraduate Medical Education &amp; Research, Kolkata</x:v>
      </x:c>
      <x:c r="D788" t="str">
        <x:v>Government</x:v>
      </x:c>
      <x:c r="E788" t="n">
        <x:v>200</x:v>
      </x:c>
      <x:c r="F788" t="n">
        <x:v>50</x:v>
      </x:c>
      <x:c r="G788" t="n">
        <x:v>250</x:v>
      </x:c>
      <x:c r="H788" t="str">
        <x:v>200314</x:v>
      </x:c>
      <x:c r="I788" t="n">
        <x:v>38</x:v>
      </x:c>
      <x:c r="J788" t="n">
        <x:v>38</x:v>
      </x:c>
      <x:c r="K788" t="n">
        <x:v>212</x:v>
      </x:c>
      <x:c r="L788" s="20" t="n">
        <x:v>0.848</x:v>
      </x:c>
      <x:c r="M788" t="str">
        <x:v>High</x:v>
      </x:c>
      <x:c r="N788" t="str">
        <x:v>Approx. State/Non-MCC Pool</x:v>
      </x:c>
      <x:c r="O788" t="str">
        <x:v>Expanded 2026 capacity + substantial state pool</x:v>
      </x:c>
      <x:c r="P788" t="n">
        <x:v>3022</x:v>
      </x:c>
      <x:c r="Q788" t="n">
        <x:v>4700</x:v>
      </x:c>
      <x:c r="R788" t="n">
        <x:v>4908</x:v>
      </x:c>
      <x:c r="S788" t="n">
        <x:v>26227</x:v>
      </x:c>
      <x:c r="T788" t="n">
        <x:v>51389</x:v>
      </x:c>
      <x:c r="U788" t="str">
        <x:v>Pending state Round-1 allotment/cutoff data</x:v>
      </x:c>
    </x:row>
    <x:row r="789">
      <x:c r="A789" t="str">
        <x:v>West Bengal</x:v>
      </x:c>
      <x:c r="B789" t="str">
        <x:v>WB/001/G/1</x:v>
      </x:c>
      <x:c r="C789" t="str">
        <x:v>Bankura Sammilani Medical College, Bankura</x:v>
      </x:c>
      <x:c r="D789" t="str">
        <x:v>Government</x:v>
      </x:c>
      <x:c r="E789" t="n">
        <x:v>200</x:v>
      </x:c>
      <x:c r="F789" t="n">
        <x:v>0</x:v>
      </x:c>
      <x:c r="G789" t="n">
        <x:v>200</x:v>
      </x:c>
      <x:c r="H789" t="str">
        <x:v>200307</x:v>
      </x:c>
      <x:c r="I789" t="n">
        <x:v>30</x:v>
      </x:c>
      <x:c r="J789" t="n">
        <x:v>30</x:v>
      </x:c>
      <x:c r="K789" t="n">
        <x:v>170</x:v>
      </x:c>
      <x:c r="L789" s="20" t="n">
        <x:v>0.85</x:v>
      </x:c>
      <x:c r="M789" t="str">
        <x:v>High</x:v>
      </x:c>
      <x:c r="N789" t="str">
        <x:v>Approx. State/Non-MCC Pool</x:v>
      </x:c>
      <x:c r="O789" t="str">
        <x:v>Large state-counselling pool</x:v>
      </x:c>
      <x:c r="P789" t="n">
        <x:v>12424</x:v>
      </x:c>
      <x:c r="Q789" t="n">
        <x:v>14792</x:v>
      </x:c>
      <x:c r="R789" t="n">
        <x:v>14708</x:v>
      </x:c>
      <x:c r="S789" t="n">
        <x:v>73980</x:v>
      </x:c>
      <x:c r="T789" t="n">
        <x:v>101416</x:v>
      </x:c>
      <x:c r="U789" t="str">
        <x:v>Pending state Round-1 allotment/cutoff data</x:v>
      </x:c>
    </x:row>
    <x:row r="790">
      <x:c r="A790" t="str">
        <x:v>West Bengal</x:v>
      </x:c>
      <x:c r="B790" t="str">
        <x:v>WB/026/G/1</x:v>
      </x:c>
      <x:c r="C790" t="str">
        <x:v>Midnapore Medical College, Midnapore</x:v>
      </x:c>
      <x:c r="D790" t="str">
        <x:v>Government</x:v>
      </x:c>
      <x:c r="E790" t="n">
        <x:v>200</x:v>
      </x:c>
      <x:c r="F790" t="n">
        <x:v>0</x:v>
      </x:c>
      <x:c r="G790" t="n">
        <x:v>200</x:v>
      </x:c>
      <x:c r="H790" t="str">
        <x:v>200317</x:v>
      </x:c>
      <x:c r="I790" t="n">
        <x:v>30</x:v>
      </x:c>
      <x:c r="J790" t="n">
        <x:v>30</x:v>
      </x:c>
      <x:c r="K790" t="n">
        <x:v>170</x:v>
      </x:c>
      <x:c r="L790" s="20" t="n">
        <x:v>0.85</x:v>
      </x:c>
      <x:c r="M790" t="str">
        <x:v>High</x:v>
      </x:c>
      <x:c r="N790" t="str">
        <x:v>Approx. State/Non-MCC Pool</x:v>
      </x:c>
      <x:c r="O790" t="str">
        <x:v>Large state-counselling pool</x:v>
      </x:c>
      <x:c r="P790" t="n">
        <x:v>13546</x:v>
      </x:c>
      <x:c r="Q790" t="n">
        <x:v>15576</x:v>
      </x:c>
      <x:c r="R790" t="n">
        <x:v>16763</x:v>
      </x:c>
      <x:c r="S790" t="n">
        <x:v>81021</x:v>
      </x:c>
      <x:c r="T790" t="n">
        <x:v>110410</x:v>
      </x:c>
      <x:c r="U790" t="str">
        <x:v>Pending state Round-1 allotment/cutoff data</x:v>
      </x:c>
    </x:row>
    <x:row r="791">
      <x:c r="A791" t="str">
        <x:v>West Bengal</x:v>
      </x:c>
      <x:c r="B791" t="str">
        <x:v>WB/003/G/1</x:v>
      </x:c>
      <x:c r="C791" t="str">
        <x:v>Burdwan Medical College, Burdwan</x:v>
      </x:c>
      <x:c r="D791" t="str">
        <x:v>Government</x:v>
      </x:c>
      <x:c r="E791" t="n">
        <x:v>200</x:v>
      </x:c>
      <x:c r="F791" t="n">
        <x:v>0</x:v>
      </x:c>
      <x:c r="G791" t="n">
        <x:v>200</x:v>
      </x:c>
      <x:c r="H791" t="str">
        <x:v>200309</x:v>
      </x:c>
      <x:c r="I791" t="n">
        <x:v>38</x:v>
      </x:c>
      <x:c r="J791" t="n">
        <x:v>38</x:v>
      </x:c>
      <x:c r="K791" t="n">
        <x:v>162</x:v>
      </x:c>
      <x:c r="L791" s="20" t="n">
        <x:v>0.81</x:v>
      </x:c>
      <x:c r="M791" t="str">
        <x:v>High</x:v>
      </x:c>
      <x:c r="N791" t="str">
        <x:v>Approx. State/Non-MCC Pool</x:v>
      </x:c>
      <x:c r="O791" t="str">
        <x:v>Moderate state-counselling pool</x:v>
      </x:c>
      <x:c r="P791" t="n">
        <x:v>9563</x:v>
      </x:c>
      <x:c r="Q791" t="n">
        <x:v>12040</x:v>
      </x:c>
      <x:c r="R791" t="n">
        <x:v>13894</x:v>
      </x:c>
      <x:c r="S791" t="n">
        <x:v>64016</x:v>
      </x:c>
      <x:c r="T791" t="n">
        <x:v>95138</x:v>
      </x:c>
      <x:c r="U791" t="str">
        <x:v>Pending state Round-1 allotment/cutoff data</x:v>
      </x:c>
    </x:row>
    <x:row r="792">
      <x:c r="A792" t="str">
        <x:v>West Bengal</x:v>
      </x:c>
      <x:c r="B792" t="str">
        <x:v>WB/029/G/1</x:v>
      </x:c>
      <x:c r="C792" t="str">
        <x:v>North Bengal Medical College, Darjeeling</x:v>
      </x:c>
      <x:c r="D792" t="str">
        <x:v>Government</x:v>
      </x:c>
      <x:c r="E792" t="n">
        <x:v>200</x:v>
      </x:c>
      <x:c r="F792" t="n">
        <x:v>0</x:v>
      </x:c>
      <x:c r="G792" t="n">
        <x:v>200</x:v>
      </x:c>
      <x:c r="H792" t="str">
        <x:v>200321</x:v>
      </x:c>
      <x:c r="I792" t="n">
        <x:v>38</x:v>
      </x:c>
      <x:c r="J792" t="n">
        <x:v>38</x:v>
      </x:c>
      <x:c r="K792" t="n">
        <x:v>162</x:v>
      </x:c>
      <x:c r="L792" s="20" t="n">
        <x:v>0.81</x:v>
      </x:c>
      <x:c r="M792" t="str">
        <x:v>High</x:v>
      </x:c>
      <x:c r="N792" t="str">
        <x:v>Approx. State/Non-MCC Pool</x:v>
      </x:c>
      <x:c r="O792" t="str">
        <x:v>Moderate state-counselling pool</x:v>
      </x:c>
      <x:c r="P792" t="n">
        <x:v>10657</x:v>
      </x:c>
      <x:c r="Q792" t="n">
        <x:v>13484</x:v>
      </x:c>
      <x:c r="R792" t="n">
        <x:v>14497</x:v>
      </x:c>
      <x:c r="S792" t="n">
        <x:v>61094</x:v>
      </x:c>
      <x:c r="T792" t="n">
        <x:v>74652</x:v>
      </x:c>
      <x:c r="U792" t="str">
        <x:v>Pending state Round-1 allotment/cutoff data</x:v>
      </x:c>
    </x:row>
    <x:row r="793">
      <x:c r="A793" t="str">
        <x:v>West Bengal</x:v>
      </x:c>
      <x:c r="B793" t="str">
        <x:v>WB/027/G/1</x:v>
      </x:c>
      <x:c r="C793" t="str">
        <x:v>Murshidabad Medical College &amp; Hospitals, Murshidabad</x:v>
      </x:c>
      <x:c r="D793" t="str">
        <x:v>Government</x:v>
      </x:c>
      <x:c r="E793" t="n">
        <x:v>125</x:v>
      </x:c>
      <x:c r="F793" t="n">
        <x:v>25</x:v>
      </x:c>
      <x:c r="G793" t="n">
        <x:v>150</x:v>
      </x:c>
      <x:c r="H793" t="str">
        <x:v>200318</x:v>
      </x:c>
      <x:c r="I793" t="n">
        <x:v>22</x:v>
      </x:c>
      <x:c r="J793" t="n">
        <x:v>20</x:v>
      </x:c>
      <x:c r="K793" t="n">
        <x:v>128</x:v>
      </x:c>
      <x:c r="L793" s="20" t="n">
        <x:v>0.8533333333333334</x:v>
      </x:c>
      <x:c r="M793" t="str">
        <x:v>High</x:v>
      </x:c>
      <x:c r="N793" t="str">
        <x:v>Approx. State/Non-MCC Pool</x:v>
      </x:c>
      <x:c r="O793" t="str">
        <x:v>Expanded 2026 capacity + substantial state pool</x:v>
      </x:c>
      <x:c r="P793" t="n">
        <x:v>15434</x:v>
      </x:c>
      <x:c r="Q793" t="n">
        <x:v>18025</x:v>
      </x:c>
      <x:c r="R793" t="n">
        <x:v>17160</x:v>
      </x:c>
      <x:c r="S793" t="n">
        <x:v>77366</x:v>
      </x:c>
      <x:c r="T793" t="n">
        <x:v>117048</x:v>
      </x:c>
      <x:c r="U793" t="str">
        <x:v>Pending state Round-1 allotment/cutoff data</x:v>
      </x:c>
    </x:row>
    <x:row r="794">
      <x:c r="A794" t="str">
        <x:v>West Bengal</x:v>
      </x:c>
      <x:c r="B794" t="str">
        <x:v>WB/031/G/1</x:v>
      </x:c>
      <x:c r="C794" t="str">
        <x:v>Prafulla Chandra Sen Government Medical College &amp; Hospital</x:v>
      </x:c>
      <x:c r="D794" t="str">
        <x:v>Government</x:v>
      </x:c>
      <x:c r="E794" t="n">
        <x:v>100</x:v>
      </x:c>
      <x:c r="F794" t="n">
        <x:v>50</x:v>
      </x:c>
      <x:c r="G794" t="n">
        <x:v>150</x:v>
      </x:c>
      <x:c r="H794" t="str">
        <x:v>200618</x:v>
      </x:c>
      <x:c r="I794" t="n">
        <x:v>22</x:v>
      </x:c>
      <x:c r="J794" t="n">
        <x:v>22</x:v>
      </x:c>
      <x:c r="K794" t="n">
        <x:v>128</x:v>
      </x:c>
      <x:c r="L794" s="20" t="n">
        <x:v>0.8533333333333334</x:v>
      </x:c>
      <x:c r="M794" t="str">
        <x:v>High</x:v>
      </x:c>
      <x:c r="N794" t="str">
        <x:v>Approx. State/Non-MCC Pool</x:v>
      </x:c>
      <x:c r="O794" t="str">
        <x:v>Expanded 2026 capacity + substantial state pool</x:v>
      </x:c>
      <x:c r="P794" t="n">
        <x:v>18183</x:v>
      </x:c>
      <x:c r="Q794" t="n">
        <x:v>19784</x:v>
      </x:c>
      <x:c r="R794" t="n">
        <x:v>21194</x:v>
      </x:c>
      <x:c r="S794" t="n">
        <x:v>98240</x:v>
      </x:c>
      <x:c r="T794" t="n">
        <x:v>124143</x:v>
      </x:c>
      <x:c r="U794" t="str">
        <x:v>Pending state Round-1 allotment/cutoff data</x:v>
      </x:c>
    </x:row>
    <x:row r="795">
      <x:c r="A795" t="str">
        <x:v>West Bengal</x:v>
      </x:c>
      <x:c r="B795" t="str">
        <x:v>WB/032/G/1</x:v>
      </x:c>
      <x:c r="C795" t="str">
        <x:v>Purulia Government Medical College &amp; Hospital</x:v>
      </x:c>
      <x:c r="D795" t="str">
        <x:v>Government</x:v>
      </x:c>
      <x:c r="E795" t="n">
        <x:v>150</x:v>
      </x:c>
      <x:c r="F795" t="n">
        <x:v>0</x:v>
      </x:c>
      <x:c r="G795" t="n">
        <x:v>150</x:v>
      </x:c>
      <x:c r="H795" t="str">
        <x:v>200531</x:v>
      </x:c>
      <x:c r="I795" t="n">
        <x:v>22</x:v>
      </x:c>
      <x:c r="J795" t="n">
        <x:v>22</x:v>
      </x:c>
      <x:c r="K795" t="n">
        <x:v>128</x:v>
      </x:c>
      <x:c r="L795" s="20" t="n">
        <x:v>0.8533333333333334</x:v>
      </x:c>
      <x:c r="M795" t="str">
        <x:v>High</x:v>
      </x:c>
      <x:c r="N795" t="str">
        <x:v>Approx. State/Non-MCC Pool</x:v>
      </x:c>
      <x:c r="O795" t="str">
        <x:v>Moderate state-counselling pool</x:v>
      </x:c>
      <x:c r="P795" t="n">
        <x:v>18036</x:v>
      </x:c>
      <x:c r="Q795" t="n">
        <x:v>19638</x:v>
      </x:c>
      <x:c r="R795" t="n">
        <x:v>21854</x:v>
      </x:c>
      <x:c r="S795" t="n">
        <x:v>72963</x:v>
      </x:c>
      <x:c r="T795" t="n">
        <x:v>121102</x:v>
      </x:c>
      <x:c r="U795" t="str">
        <x:v>Pending state Round-1 allotment/cutoff data</x:v>
      </x:c>
    </x:row>
    <x:row r="796">
      <x:c r="A796" t="str">
        <x:v>West Bengal</x:v>
      </x:c>
      <x:c r="B796" t="str">
        <x:v>WB/034/G/1</x:v>
      </x:c>
      <x:c r="C796" t="str">
        <x:v>Rampurhat Government Medical College &amp; Hospital, Rampurhat</x:v>
      </x:c>
      <x:c r="D796" t="str">
        <x:v>Government</x:v>
      </x:c>
      <x:c r="E796" t="n">
        <x:v>150</x:v>
      </x:c>
      <x:c r="F796" t="n">
        <x:v>0</x:v>
      </x:c>
      <x:c r="G796" t="n">
        <x:v>150</x:v>
      </x:c>
      <x:c r="H796" t="str">
        <x:v>200551</x:v>
      </x:c>
      <x:c r="I796" t="n">
        <x:v>22</x:v>
      </x:c>
      <x:c r="J796" t="n">
        <x:v>22</x:v>
      </x:c>
      <x:c r="K796" t="n">
        <x:v>128</x:v>
      </x:c>
      <x:c r="L796" s="20" t="n">
        <x:v>0.8533333333333334</x:v>
      </x:c>
      <x:c r="M796" t="str">
        <x:v>High</x:v>
      </x:c>
      <x:c r="N796" t="str">
        <x:v>Approx. State/Non-MCC Pool</x:v>
      </x:c>
      <x:c r="O796" t="str">
        <x:v>Moderate state-counselling pool</x:v>
      </x:c>
      <x:c r="P796" t="n">
        <x:v>17775</x:v>
      </x:c>
      <x:c r="Q796" t="n">
        <x:v>18784</x:v>
      </x:c>
      <x:c r="R796" t="n">
        <x:v>21019</x:v>
      </x:c>
      <x:c r="S796" t="n">
        <x:v>97268</x:v>
      </x:c>
      <x:c r="T796" t="n">
        <x:v>117386</x:v>
      </x:c>
      <x:c r="U796" t="str">
        <x:v>Pending state Round-1 allotment/cutoff data</x:v>
      </x:c>
    </x:row>
    <x:row r="797">
      <x:c r="A797" t="str">
        <x:v>West Bengal</x:v>
      </x:c>
      <x:c r="B797" t="str">
        <x:v>WB/005/G/1</x:v>
      </x:c>
      <x:c r="C797" t="str">
        <x:v>College of Medicine and JNM Hospital, Kalyani, Nadia</x:v>
      </x:c>
      <x:c r="D797" t="str">
        <x:v>Government</x:v>
      </x:c>
      <x:c r="E797" t="n">
        <x:v>150</x:v>
      </x:c>
      <x:c r="F797" t="n">
        <x:v>0</x:v>
      </x:c>
      <x:c r="G797" t="n">
        <x:v>150</x:v>
      </x:c>
      <x:c r="H797" t="str">
        <x:v>200467</x:v>
      </x:c>
      <x:c r="I797" t="n">
        <x:v>23</x:v>
      </x:c>
      <x:c r="J797" t="n">
        <x:v>23</x:v>
      </x:c>
      <x:c r="K797" t="n">
        <x:v>127</x:v>
      </x:c>
      <x:c r="L797" s="20" t="n">
        <x:v>0.8466666666666667</x:v>
      </x:c>
      <x:c r="M797" t="str">
        <x:v>High</x:v>
      </x:c>
      <x:c r="N797" t="str">
        <x:v>Approx. State/Non-MCC Pool</x:v>
      </x:c>
      <x:c r="O797" t="str">
        <x:v>Moderate state-counselling pool</x:v>
      </x:c>
      <x:c r="P797" t="n">
        <x:v>9959</x:v>
      </x:c>
      <x:c r="Q797" t="n">
        <x:v>13518</x:v>
      </x:c>
      <x:c r="R797" t="n">
        <x:v>14479</x:v>
      </x:c>
      <x:c r="S797" t="n">
        <x:v>69589</x:v>
      </x:c>
      <x:c r="T797" t="n">
        <x:v>103836</x:v>
      </x:c>
      <x:c r="U797" t="str">
        <x:v>Pending state Round-1 allotment/cutoff data</x:v>
      </x:c>
    </x:row>
    <x:row r="798">
      <x:c r="A798" t="str">
        <x:v>West Bengal</x:v>
      </x:c>
      <x:c r="B798" t="str">
        <x:v>WB/006/G/1</x:v>
      </x:c>
      <x:c r="C798" t="str">
        <x:v>College of Medicine and Sagore Dutta Hospital, Kolkata</x:v>
      </x:c>
      <x:c r="D798" t="str">
        <x:v>Government</x:v>
      </x:c>
      <x:c r="E798" t="n">
        <x:v>125</x:v>
      </x:c>
      <x:c r="F798" t="n">
        <x:v>25</x:v>
      </x:c>
      <x:c r="G798" t="n">
        <x:v>150</x:v>
      </x:c>
      <x:c r="H798" t="str">
        <x:v>200323</x:v>
      </x:c>
      <x:c r="I798" t="n">
        <x:v>23</x:v>
      </x:c>
      <x:c r="J798" t="n">
        <x:v>22</x:v>
      </x:c>
      <x:c r="K798" t="n">
        <x:v>127</x:v>
      </x:c>
      <x:c r="L798" s="20" t="n">
        <x:v>0.8466666666666667</x:v>
      </x:c>
      <x:c r="M798" t="str">
        <x:v>High</x:v>
      </x:c>
      <x:c r="N798" t="str">
        <x:v>Approx. State/Non-MCC Pool</x:v>
      </x:c>
      <x:c r="O798" t="str">
        <x:v>Expanded 2026 capacity + substantial state pool</x:v>
      </x:c>
      <x:c r="P798" t="n">
        <x:v>8080</x:v>
      </x:c>
      <x:c r="Q798" t="n">
        <x:v>10088</x:v>
      </x:c>
      <x:c r="R798" t="n">
        <x:v>10517</x:v>
      </x:c>
      <x:c r="S798" t="n">
        <x:v>54151</x:v>
      </x:c>
      <x:c r="T798" t="n">
        <x:v>87101</x:v>
      </x:c>
      <x:c r="U798" t="str">
        <x:v>Pending state Round-1 allotment/cutoff data</x:v>
      </x:c>
    </x:row>
    <x:row r="799">
      <x:c r="A799" t="str">
        <x:v>West Bengal</x:v>
      </x:c>
      <x:c r="B799" t="str">
        <x:v>WB/007/G/1</x:v>
      </x:c>
      <x:c r="C799" t="str">
        <x:v>Coochbehar Government Medical College &amp; Hospital, Coochbehar, WB</x:v>
      </x:c>
      <x:c r="D799" t="str">
        <x:v>Government</x:v>
      </x:c>
      <x:c r="E799" t="n">
        <x:v>150</x:v>
      </x:c>
      <x:c r="F799" t="n">
        <x:v>0</x:v>
      </x:c>
      <x:c r="G799" t="n">
        <x:v>150</x:v>
      </x:c>
      <x:c r="H799" t="str">
        <x:v>200466</x:v>
      </x:c>
      <x:c r="I799" t="n">
        <x:v>23</x:v>
      </x:c>
      <x:c r="J799" t="n">
        <x:v>23</x:v>
      </x:c>
      <x:c r="K799" t="n">
        <x:v>127</x:v>
      </x:c>
      <x:c r="L799" s="20" t="n">
        <x:v>0.8466666666666667</x:v>
      </x:c>
      <x:c r="M799" t="str">
        <x:v>High</x:v>
      </x:c>
      <x:c r="N799" t="str">
        <x:v>Approx. State/Non-MCC Pool</x:v>
      </x:c>
      <x:c r="O799" t="str">
        <x:v>Moderate state-counselling pool</x:v>
      </x:c>
      <x:c r="P799" t="n">
        <x:v>17693</x:v>
      </x:c>
      <x:c r="Q799" t="n">
        <x:v>19412</x:v>
      </x:c>
      <x:c r="R799" t="n">
        <x:v>20096</x:v>
      </x:c>
      <x:c r="S799" t="n">
        <x:v>89144</x:v>
      </x:c>
      <x:c r="T799" t="n">
        <x:v>114805</x:v>
      </x:c>
      <x:c r="U799" t="str">
        <x:v>Pending state Round-1 allotment/cutoff data</x:v>
      </x:c>
    </x:row>
    <x:row r="800">
      <x:c r="A800" t="str">
        <x:v>West Bengal</x:v>
      </x:c>
      <x:c r="B800" t="str">
        <x:v>WB/008/G/1</x:v>
      </x:c>
      <x:c r="C800" t="str">
        <x:v>Diamond Harbour Government Medical College and Hospital, West Bengal</x:v>
      </x:c>
      <x:c r="D800" t="str">
        <x:v>Government</x:v>
      </x:c>
      <x:c r="E800" t="n">
        <x:v>150</x:v>
      </x:c>
      <x:c r="F800" t="n">
        <x:v>0</x:v>
      </x:c>
      <x:c r="G800" t="n">
        <x:v>150</x:v>
      </x:c>
      <x:c r="H800" t="str">
        <x:v>200474</x:v>
      </x:c>
      <x:c r="I800" t="n">
        <x:v>23</x:v>
      </x:c>
      <x:c r="J800" t="n">
        <x:v>23</x:v>
      </x:c>
      <x:c r="K800" t="n">
        <x:v>127</x:v>
      </x:c>
      <x:c r="L800" s="20" t="n">
        <x:v>0.8466666666666667</x:v>
      </x:c>
      <x:c r="M800" t="str">
        <x:v>High</x:v>
      </x:c>
      <x:c r="N800" t="str">
        <x:v>Approx. State/Non-MCC Pool</x:v>
      </x:c>
      <x:c r="O800" t="str">
        <x:v>Moderate state-counselling pool</x:v>
      </x:c>
      <x:c r="P800" t="n">
        <x:v>11401</x:v>
      </x:c>
      <x:c r="Q800" t="n">
        <x:v>14652</x:v>
      </x:c>
      <x:c r="R800" t="n">
        <x:v>15950</x:v>
      </x:c>
      <x:c r="S800" t="n">
        <x:v>73798</x:v>
      </x:c>
      <x:c r="T800" t="n">
        <x:v>106685</x:v>
      </x:c>
      <x:c r="U800" t="str">
        <x:v>Pending state Round-1 allotment/cutoff data</x:v>
      </x:c>
    </x:row>
    <x:row r="801">
      <x:c r="A801" t="str">
        <x:v>West Bengal</x:v>
      </x:c>
      <x:c r="B801" t="str">
        <x:v>WB/020/G/1</x:v>
      </x:c>
      <x:c r="C801" t="str">
        <x:v>Jhargram Government Medical College &amp; Hospital, Jhargram</x:v>
      </x:c>
      <x:c r="D801" t="str">
        <x:v>Government</x:v>
      </x:c>
      <x:c r="E801" t="n">
        <x:v>100</x:v>
      </x:c>
      <x:c r="F801" t="n">
        <x:v>50</x:v>
      </x:c>
      <x:c r="G801" t="n">
        <x:v>150</x:v>
      </x:c>
      <x:c r="H801" t="str">
        <x:v>200641</x:v>
      </x:c>
      <x:c r="I801" t="n">
        <x:v>23</x:v>
      </x:c>
      <x:c r="J801" t="n">
        <x:v>23</x:v>
      </x:c>
      <x:c r="K801" t="n">
        <x:v>127</x:v>
      </x:c>
      <x:c r="L801" s="20" t="n">
        <x:v>0.8466666666666667</x:v>
      </x:c>
      <x:c r="M801" t="str">
        <x:v>High</x:v>
      </x:c>
      <x:c r="N801" t="str">
        <x:v>Approx. State/Non-MCC Pool</x:v>
      </x:c>
      <x:c r="O801" t="str">
        <x:v>Expanded 2026 capacity + substantial state pool</x:v>
      </x:c>
      <x:c r="P801" t="n">
        <x:v>18979</x:v>
      </x:c>
      <x:c r="Q801" t="n">
        <x:v>20814</x:v>
      </x:c>
      <x:c r="R801" t="n">
        <x:v>22502</x:v>
      </x:c>
      <x:c r="S801" t="n">
        <x:v>100480</x:v>
      </x:c>
      <x:c r="T801" t="n">
        <x:v>119021</x:v>
      </x:c>
      <x:c r="U801" t="str">
        <x:v>Pending state Round-1 allotment/cutoff data</x:v>
      </x:c>
    </x:row>
    <x:row r="802">
      <x:c r="A802" t="str">
        <x:v>West Bengal</x:v>
      </x:c>
      <x:c r="B802" t="str">
        <x:v>WB/025/G/1</x:v>
      </x:c>
      <x:c r="C802" t="str">
        <x:v>Malda Medical College &amp; Hospital, Malda</x:v>
      </x:c>
      <x:c r="D802" t="str">
        <x:v>Government</x:v>
      </x:c>
      <x:c r="E802" t="n">
        <x:v>125</x:v>
      </x:c>
      <x:c r="F802" t="n">
        <x:v>25</x:v>
      </x:c>
      <x:c r="G802" t="n">
        <x:v>150</x:v>
      </x:c>
      <x:c r="H802" t="str">
        <x:v>200315</x:v>
      </x:c>
      <x:c r="I802" t="n">
        <x:v>23</x:v>
      </x:c>
      <x:c r="J802" t="n">
        <x:v>23</x:v>
      </x:c>
      <x:c r="K802" t="n">
        <x:v>127</x:v>
      </x:c>
      <x:c r="L802" s="20" t="n">
        <x:v>0.8466666666666667</x:v>
      </x:c>
      <x:c r="M802" t="str">
        <x:v>High</x:v>
      </x:c>
      <x:c r="N802" t="str">
        <x:v>Approx. State/Non-MCC Pool</x:v>
      </x:c>
      <x:c r="O802" t="str">
        <x:v>Expanded 2026 capacity + substantial state pool</x:v>
      </x:c>
      <x:c r="P802" t="n">
        <x:v>14605</x:v>
      </x:c>
      <x:c r="Q802" t="n">
        <x:v>17020</x:v>
      </x:c>
      <x:c r="R802" t="n">
        <x:v>16872</x:v>
      </x:c>
      <x:c r="S802" t="n">
        <x:v>88094</x:v>
      </x:c>
      <x:c r="T802" t="n">
        <x:v>110828</x:v>
      </x:c>
      <x:c r="U802" t="str">
        <x:v>Pending state Round-1 allotment/cutoff data</x:v>
      </x:c>
    </x:row>
    <x:row r="803">
      <x:c r="A803" t="str">
        <x:v>West Bengal</x:v>
      </x:c>
      <x:c r="B803" t="str">
        <x:v>WB/033/G/1</x:v>
      </x:c>
      <x:c r="C803" t="str">
        <x:v>Raiganj Government Medical College &amp; Hospital, Raiganj</x:v>
      </x:c>
      <x:c r="D803" t="str">
        <x:v>Government</x:v>
      </x:c>
      <x:c r="E803" t="n">
        <x:v>150</x:v>
      </x:c>
      <x:c r="F803" t="n">
        <x:v>0</x:v>
      </x:c>
      <x:c r="G803" t="n">
        <x:v>150</x:v>
      </x:c>
      <x:c r="H803" t="str">
        <x:v>200475</x:v>
      </x:c>
      <x:c r="I803" t="n">
        <x:v>23</x:v>
      </x:c>
      <x:c r="J803" t="n">
        <x:v>23</x:v>
      </x:c>
      <x:c r="K803" t="n">
        <x:v>127</x:v>
      </x:c>
      <x:c r="L803" s="20" t="n">
        <x:v>0.8466666666666667</x:v>
      </x:c>
      <x:c r="M803" t="str">
        <x:v>High</x:v>
      </x:c>
      <x:c r="N803" t="str">
        <x:v>Approx. State/Non-MCC Pool</x:v>
      </x:c>
      <x:c r="O803" t="str">
        <x:v>Moderate state-counselling pool</x:v>
      </x:c>
      <x:c r="P803" t="n">
        <x:v>18131</x:v>
      </x:c>
      <x:c r="Q803" t="n">
        <x:v>19315</x:v>
      </x:c>
      <x:c r="R803" t="n">
        <x:v>20815</x:v>
      </x:c>
      <x:c r="S803" t="n">
        <x:v>96558</x:v>
      </x:c>
      <x:c r="T803" t="n">
        <x:v>108084</x:v>
      </x:c>
      <x:c r="U803" t="str">
        <x:v>Pending state Round-1 allotment/cutoff data</x:v>
      </x:c>
    </x:row>
    <x:row r="804">
      <x:c r="A804" t="str">
        <x:v>West Bengal</x:v>
      </x:c>
      <x:c r="B804" t="str">
        <x:v>WB/038/G/1</x:v>
      </x:c>
      <x:c r="C804" t="str">
        <x:v>Sarat Chandra Chattopadhyay Government Medical College &amp; Hospital,</x:v>
      </x:c>
      <x:c r="D804" t="str">
        <x:v>Government</x:v>
      </x:c>
      <x:c r="E804" t="n">
        <x:v>100</x:v>
      </x:c>
      <x:c r="F804" t="n">
        <x:v>50</x:v>
      </x:c>
      <x:c r="G804" t="n">
        <x:v>150</x:v>
      </x:c>
      <x:c r="H804" t="str">
        <x:v>200620</x:v>
      </x:c>
      <x:c r="I804" t="n">
        <x:v>23</x:v>
      </x:c>
      <x:c r="J804" t="n">
        <x:v>23</x:v>
      </x:c>
      <x:c r="K804" t="n">
        <x:v>127</x:v>
      </x:c>
      <x:c r="L804" s="20" t="n">
        <x:v>0.8466666666666667</x:v>
      </x:c>
      <x:c r="M804" t="str">
        <x:v>High</x:v>
      </x:c>
      <x:c r="N804" t="str">
        <x:v>Approx. State/Non-MCC Pool</x:v>
      </x:c>
      <x:c r="O804" t="str">
        <x:v>Expanded 2026 capacity + substantial state pool</x:v>
      </x:c>
      <x:c r="P804" t="n">
        <x:v>14224</x:v>
      </x:c>
      <x:c r="Q804" t="n">
        <x:v>19150</x:v>
      </x:c>
      <x:c r="R804" t="n">
        <x:v>20974</x:v>
      </x:c>
      <x:c r="S804" t="n">
        <x:v>92027</x:v>
      </x:c>
      <x:c r="T804" t="n">
        <x:v>119763</x:v>
      </x:c>
      <x:c r="U804" t="str">
        <x:v>Pending state Round-1 allotment/cutoff data</x:v>
      </x:c>
    </x:row>
    <x:row r="805">
      <x:c r="A805" t="str">
        <x:v>West Bengal</x:v>
      </x:c>
      <x:c r="B805" t="str">
        <x:v>WB/040/G/1</x:v>
      </x:c>
      <x:c r="C805" t="str">
        <x:v>Tamralipto Government Medical College &amp; Hospital</x:v>
      </x:c>
      <x:c r="D805" t="str">
        <x:v>Government</x:v>
      </x:c>
      <x:c r="E805" t="n">
        <x:v>100</x:v>
      </x:c>
      <x:c r="F805" t="n">
        <x:v>50</x:v>
      </x:c>
      <x:c r="G805" t="n">
        <x:v>150</x:v>
      </x:c>
      <x:c r="H805" t="str">
        <x:v>200604</x:v>
      </x:c>
      <x:c r="I805" t="n">
        <x:v>23</x:v>
      </x:c>
      <x:c r="J805" t="n">
        <x:v>23</x:v>
      </x:c>
      <x:c r="K805" t="n">
        <x:v>127</x:v>
      </x:c>
      <x:c r="L805" s="20" t="n">
        <x:v>0.8466666666666667</x:v>
      </x:c>
      <x:c r="M805" t="str">
        <x:v>High</x:v>
      </x:c>
      <x:c r="N805" t="str">
        <x:v>Approx. State/Non-MCC Pool</x:v>
      </x:c>
      <x:c r="O805" t="str">
        <x:v>Expanded 2026 capacity + substantial state pool</x:v>
      </x:c>
      <x:c r="P805" t="n">
        <x:v>19307</x:v>
      </x:c>
      <x:c r="Q805" t="n">
        <x:v>20446</x:v>
      </x:c>
      <x:c r="R805" t="n">
        <x:v>22863</x:v>
      </x:c>
      <x:c r="S805" t="n">
        <x:v>100240</x:v>
      </x:c>
      <x:c r="T805" t="n">
        <x:v>119397</x:v>
      </x:c>
      <x:c r="U805" t="str">
        <x:v>Pending state Round-1 allotment/cutoff data</x:v>
      </x:c>
    </x:row>
    <x:row r="806">
      <x:c r="A806" t="str">
        <x:v>West Bengal</x:v>
      </x:c>
      <x:c r="B806" t="str">
        <x:v>WB/002/G/1</x:v>
      </x:c>
      <x:c r="C806" t="str">
        <x:v>Barasat Government Medical College &amp; Hospital</x:v>
      </x:c>
      <x:c r="D806" t="str">
        <x:v>Government</x:v>
      </x:c>
      <x:c r="E806" t="n">
        <x:v>100</x:v>
      </x:c>
      <x:c r="F806" t="n">
        <x:v>0</x:v>
      </x:c>
      <x:c r="G806" t="n">
        <x:v>100</x:v>
      </x:c>
      <x:c r="H806" t="str">
        <x:v>200613</x:v>
      </x:c>
      <x:c r="I806" t="n">
        <x:v>15</x:v>
      </x:c>
      <x:c r="J806" t="n">
        <x:v>15</x:v>
      </x:c>
      <x:c r="K806" t="n">
        <x:v>85</x:v>
      </x:c>
      <x:c r="L806" s="20" t="n">
        <x:v>0.85</x:v>
      </x:c>
      <x:c r="M806" t="str">
        <x:v>High</x:v>
      </x:c>
      <x:c r="N806" t="str">
        <x:v>Approx. State/Non-MCC Pool</x:v>
      </x:c>
      <x:c r="O806" t="str">
        <x:v>Moderate state-counselling pool</x:v>
      </x:c>
      <x:c r="P806" t="n">
        <x:v>11236</x:v>
      </x:c>
      <x:c r="Q806" t="n">
        <x:v>15598</x:v>
      </x:c>
      <x:c r="R806" t="n">
        <x:v>18644</x:v>
      </x:c>
      <x:c r="S806" t="n">
        <x:v>87044</x:v>
      </x:c>
      <x:c r="T806" t="n">
        <x:v>67896</x:v>
      </x:c>
      <x:c r="U806" t="str">
        <x:v>Pending state Round-1 allotment/cutoff data</x:v>
      </x:c>
    </x:row>
    <x:row r="807">
      <x:c r="A807" t="str">
        <x:v>West Bengal</x:v>
      </x:c>
      <x:c r="B807" t="str">
        <x:v>WB/019/G/1</x:v>
      </x:c>
      <x:c r="C807" t="str">
        <x:v>Jalpaiguri Government Medical College</x:v>
      </x:c>
      <x:c r="D807" t="str">
        <x:v>Government</x:v>
      </x:c>
      <x:c r="E807" t="n">
        <x:v>100</x:v>
      </x:c>
      <x:c r="F807" t="n">
        <x:v>0</x:v>
      </x:c>
      <x:c r="G807" t="n">
        <x:v>100</x:v>
      </x:c>
      <x:c r="H807" t="str">
        <x:v>200605</x:v>
      </x:c>
      <x:c r="I807" t="n">
        <x:v>23</x:v>
      </x:c>
      <x:c r="J807" t="n">
        <x:v>23</x:v>
      </x:c>
      <x:c r="K807" t="n">
        <x:v>77</x:v>
      </x:c>
      <x:c r="L807" s="20" t="n">
        <x:v>0.77</x:v>
      </x:c>
      <x:c r="M807" t="str">
        <x:v>High</x:v>
      </x:c>
      <x:c r="N807" t="str">
        <x:v>Approx. State/Non-MCC Pool</x:v>
      </x:c>
      <x:c r="O807" t="str">
        <x:v>Smaller state-counselling pool</x:v>
      </x:c>
      <x:c r="P807" t="n">
        <x:v>17218</x:v>
      </x:c>
      <x:c r="Q807" t="n">
        <x:v>19111</x:v>
      </x:c>
      <x:c r="R807" t="n">
        <x:v>22119</x:v>
      </x:c>
      <x:c r="S807" t="n">
        <x:v>86562</x:v>
      </x:c>
      <x:c r="T807" t="n">
        <x:v>113981</x:v>
      </x:c>
      <x:c r="U807" t="str">
        <x:v>Pending state Round-1 allotment/cutoff data</x:v>
      </x:c>
    </x:row>
    <x:row r="808">
      <x:c r="A808" t="str">
        <x:v>West Bengal</x:v>
      </x:c>
      <x:c r="B808" t="str">
        <x:v>WB/010/G/1</x:v>
      </x:c>
      <x:c r="C808" t="str">
        <x:v>Employees State Insurance Corporation Medical College, Joka, Kolkata</x:v>
      </x:c>
      <x:c r="D808" t="str">
        <x:v>Government</x:v>
      </x:c>
      <x:c r="E808" t="n">
        <x:v>150</x:v>
      </x:c>
      <x:c r="F808" t="n">
        <x:v>0</x:v>
      </x:c>
      <x:c r="G808" t="n">
        <x:v>150</x:v>
      </x:c>
      <x:c r="H808" t="str">
        <x:v>200313</x:v>
      </x:c>
      <x:c r="I808" t="n">
        <x:v>100</x:v>
      </x:c>
      <x:c r="J808" t="n">
        <x:v>97</x:v>
      </x:c>
      <x:c r="K808" t="n">
        <x:v>50</x:v>
      </x:c>
      <x:c r="L808" s="20" t="n">
        <x:v>0.3333333333333333</x:v>
      </x:c>
      <x:c r="M808" t="str">
        <x:v>High</x:v>
      </x:c>
      <x:c r="N808" t="str">
        <x:v>Approx. State/Non-MCC Pool</x:v>
      </x:c>
      <x:c r="O808" t="str">
        <x:v>Smaller state-counselling pool</x:v>
      </x:c>
      <x:c r="P808" t="n">
        <x:v>33938</x:v>
      </x:c>
      <x:c r="Q808" t="n">
        <x:v>41542</x:v>
      </x:c>
      <x:c r="R808" t="n">
        <x:v>40355</x:v>
      </x:c>
      <x:c r="S808" t="n">
        <x:v>149177</x:v>
      </x:c>
      <x:c r="T808" t="n">
        <x:v>303039</x:v>
      </x:c>
      <x:c r="U808" t="str">
        <x:v>Pending state Round-1 allotment/cutoff data</x:v>
      </x:c>
    </x:row>
    <x:row r="809">
      <x:c r="A809" t="str">
        <x:v>West Bengal</x:v>
      </x:c>
      <x:c r="B809" t="str">
        <x:v>WB/015/P/4</x:v>
      </x:c>
      <x:c r="C809" t="str">
        <x:v>IQ-City Medical College, Burdwan</x:v>
      </x:c>
      <x:c r="D809" t="str">
        <x:v>Private</x:v>
      </x:c>
      <x:c r="E809" t="n">
        <x:v>250</x:v>
      </x:c>
      <x:c r="F809" t="n">
        <x:v>0</x:v>
      </x:c>
      <x:c r="G809" t="n">
        <x:v>250</x:v>
      </x:c>
      <x:c r="H809"/>
      <x:c r="I809" t="n">
        <x:v>0</x:v>
      </x:c>
      <x:c r="J809" t="n">
        <x:v>0</x:v>
      </x:c>
      <x:c r="K809" t="n">
        <x:v>250</x:v>
      </x:c>
      <x:c r="L809" s="20" t="n">
        <x:v>1</x:v>
      </x:c>
      <x:c r="M809" t="str">
        <x:v>Variable</x:v>
      </x:c>
      <x:c r="N809" t="str">
        <x:v>Approx. Non-MCC Pool</x:v>
      </x:c>
      <x:c r="O809" t="str">
        <x:v>Large non-MCC pool; quota split varies by state</x:v>
      </x:c>
      <x:c r="P809"/>
      <x:c r="Q809"/>
      <x:c r="R809"/>
      <x:c r="S809"/>
      <x:c r="T809"/>
      <x:c r="U809" t="str">
        <x:v>Pending state Round-1 allotment/cutoff data</x:v>
      </x:c>
    </x:row>
    <x:row r="810">
      <x:c r="A810" t="str">
        <x:v>West Bengal</x:v>
      </x:c>
      <x:c r="B810" t="str">
        <x:v>WB/016/P/3</x:v>
      </x:c>
      <x:c r="C810" t="str">
        <x:v>Jagannath Gupta Institute of Medical Sciences &amp; Hospital, Kolkata</x:v>
      </x:c>
      <x:c r="D810" t="str">
        <x:v>Private</x:v>
      </x:c>
      <x:c r="E810" t="n">
        <x:v>250</x:v>
      </x:c>
      <x:c r="F810" t="n">
        <x:v>0</x:v>
      </x:c>
      <x:c r="G810" t="n">
        <x:v>250</x:v>
      </x:c>
      <x:c r="H810"/>
      <x:c r="I810" t="n">
        <x:v>0</x:v>
      </x:c>
      <x:c r="J810" t="n">
        <x:v>0</x:v>
      </x:c>
      <x:c r="K810" t="n">
        <x:v>250</x:v>
      </x:c>
      <x:c r="L810" s="20" t="n">
        <x:v>1</x:v>
      </x:c>
      <x:c r="M810" t="str">
        <x:v>Variable</x:v>
      </x:c>
      <x:c r="N810" t="str">
        <x:v>Approx. Non-MCC Pool</x:v>
      </x:c>
      <x:c r="O810" t="str">
        <x:v>Large non-MCC pool; quota split varies by state</x:v>
      </x:c>
      <x:c r="P810"/>
      <x:c r="Q810"/>
      <x:c r="R810"/>
      <x:c r="S810"/>
      <x:c r="T810"/>
      <x:c r="U810" t="str">
        <x:v>Pending state Round-1 allotment/cutoff data</x:v>
      </x:c>
    </x:row>
    <x:row r="811">
      <x:c r="A811" t="str">
        <x:v>West Bengal</x:v>
      </x:c>
      <x:c r="B811" t="str">
        <x:v>WB/024/P/5</x:v>
      </x:c>
      <x:c r="C811" t="str">
        <x:v>Krishnanagar Institute of Medical Sciences Pvt. Ltd Krishnanagar, Nadia (WB)</x:v>
      </x:c>
      <x:c r="D811" t="str">
        <x:v>Private</x:v>
      </x:c>
      <x:c r="E811" t="n">
        <x:v>150</x:v>
      </x:c>
      <x:c r="F811" t="n">
        <x:v>100</x:v>
      </x:c>
      <x:c r="G811" t="n">
        <x:v>250</x:v>
      </x:c>
      <x:c r="H811"/>
      <x:c r="I811" t="n">
        <x:v>0</x:v>
      </x:c>
      <x:c r="J811" t="n">
        <x:v>0</x:v>
      </x:c>
      <x:c r="K811" t="n">
        <x:v>250</x:v>
      </x:c>
      <x:c r="L811" s="20" t="n">
        <x:v>1</x:v>
      </x:c>
      <x:c r="M811" t="str">
        <x:v>Variable</x:v>
      </x:c>
      <x:c r="N811" t="str">
        <x:v>Approx. Non-MCC Pool</x:v>
      </x:c>
      <x:c r="O811" t="str">
        <x:v>Expanded 2026 capacity; state/management split to verify</x:v>
      </x:c>
      <x:c r="P811"/>
      <x:c r="Q811"/>
      <x:c r="R811"/>
      <x:c r="S811"/>
      <x:c r="T811"/>
      <x:c r="U811" t="str">
        <x:v>Pending state Round-1 allotment/cutoff data</x:v>
      </x:c>
    </x:row>
    <x:row r="812">
      <x:c r="A812" t="str">
        <x:v>West Bengal</x:v>
      </x:c>
      <x:c r="B812" t="str">
        <x:v>WB/039/P/3</x:v>
      </x:c>
      <x:c r="C812" t="str">
        <x:v>Shri Ramkrishna Institute of Medical Sciences &amp; Sanaka Hospitals, Durgapur</x:v>
      </x:c>
      <x:c r="D812" t="str">
        <x:v>Private</x:v>
      </x:c>
      <x:c r="E812" t="n">
        <x:v>250</x:v>
      </x:c>
      <x:c r="F812" t="n">
        <x:v>0</x:v>
      </x:c>
      <x:c r="G812" t="n">
        <x:v>250</x:v>
      </x:c>
      <x:c r="H812"/>
      <x:c r="I812" t="n">
        <x:v>0</x:v>
      </x:c>
      <x:c r="J812" t="n">
        <x:v>0</x:v>
      </x:c>
      <x:c r="K812" t="n">
        <x:v>250</x:v>
      </x:c>
      <x:c r="L812" s="20" t="n">
        <x:v>1</x:v>
      </x:c>
      <x:c r="M812" t="str">
        <x:v>Variable</x:v>
      </x:c>
      <x:c r="N812" t="str">
        <x:v>Approx. Non-MCC Pool</x:v>
      </x:c>
      <x:c r="O812" t="str">
        <x:v>Large non-MCC pool; quota split varies by state</x:v>
      </x:c>
      <x:c r="P812"/>
      <x:c r="Q812"/>
      <x:c r="R812"/>
      <x:c r="S812"/>
      <x:c r="T812"/>
      <x:c r="U812" t="str">
        <x:v>Pending state Round-1 allotment/cutoff data</x:v>
      </x:c>
    </x:row>
    <x:row r="813">
      <x:c r="A813" t="str">
        <x:v>West Bengal</x:v>
      </x:c>
      <x:c r="B813" t="str">
        <x:v>WB/011/P/4</x:v>
      </x:c>
      <x:c r="C813" t="str">
        <x:v>Gouri Devi Institute of Medical Sciences and Hospital, Durgapur</x:v>
      </x:c>
      <x:c r="D813" t="str">
        <x:v>Private</x:v>
      </x:c>
      <x:c r="E813" t="n">
        <x:v>200</x:v>
      </x:c>
      <x:c r="F813" t="n">
        <x:v>0</x:v>
      </x:c>
      <x:c r="G813" t="n">
        <x:v>200</x:v>
      </x:c>
      <x:c r="H813"/>
      <x:c r="I813" t="n">
        <x:v>0</x:v>
      </x:c>
      <x:c r="J813" t="n">
        <x:v>0</x:v>
      </x:c>
      <x:c r="K813" t="n">
        <x:v>200</x:v>
      </x:c>
      <x:c r="L813" s="20" t="n">
        <x:v>1</x:v>
      </x:c>
      <x:c r="M813" t="str">
        <x:v>Variable</x:v>
      </x:c>
      <x:c r="N813" t="str">
        <x:v>Approx. Non-MCC Pool</x:v>
      </x:c>
      <x:c r="O813" t="str">
        <x:v>Large non-MCC pool; quota split varies by state</x:v>
      </x:c>
      <x:c r="P813"/>
      <x:c r="Q813"/>
      <x:c r="R813"/>
      <x:c r="S813"/>
      <x:c r="T813"/>
      <x:c r="U813" t="str">
        <x:v>Pending state Round-1 allotment/cutoff data</x:v>
      </x:c>
    </x:row>
    <x:row r="814">
      <x:c r="A814" t="str">
        <x:v>West Bengal</x:v>
      </x:c>
      <x:c r="B814" t="str">
        <x:v>WB/013/P/3</x:v>
      </x:c>
      <x:c r="C814" t="str">
        <x:v>ICARE Institute of Medical Sciences &amp; Research, Haldia, Purba Midanpore</x:v>
      </x:c>
      <x:c r="D814" t="str">
        <x:v>Private</x:v>
      </x:c>
      <x:c r="E814" t="n">
        <x:v>150</x:v>
      </x:c>
      <x:c r="F814" t="n">
        <x:v>50</x:v>
      </x:c>
      <x:c r="G814" t="n">
        <x:v>200</x:v>
      </x:c>
      <x:c r="H814"/>
      <x:c r="I814" t="n">
        <x:v>0</x:v>
      </x:c>
      <x:c r="J814" t="n">
        <x:v>0</x:v>
      </x:c>
      <x:c r="K814" t="n">
        <x:v>200</x:v>
      </x:c>
      <x:c r="L814" s="20" t="n">
        <x:v>1</x:v>
      </x:c>
      <x:c r="M814" t="str">
        <x:v>Variable</x:v>
      </x:c>
      <x:c r="N814" t="str">
        <x:v>Approx. Non-MCC Pool</x:v>
      </x:c>
      <x:c r="O814" t="str">
        <x:v>Expanded 2026 capacity; state/management split to verify</x:v>
      </x:c>
      <x:c r="P814"/>
      <x:c r="Q814"/>
      <x:c r="R814"/>
      <x:c r="S814"/>
      <x:c r="T814"/>
      <x:c r="U814" t="str">
        <x:v>Pending state Round-1 allotment/cutoff data</x:v>
      </x:c>
    </x:row>
    <x:row r="815">
      <x:c r="A815" t="str">
        <x:v>West Bengal</x:v>
      </x:c>
      <x:c r="B815" t="str">
        <x:v>WB/023/P/3</x:v>
      </x:c>
      <x:c r="C815" t="str">
        <x:v>KPC Medical College, Jadavpur, Kolkata</x:v>
      </x:c>
      <x:c r="D815" t="str">
        <x:v>Private</x:v>
      </x:c>
      <x:c r="E815" t="n">
        <x:v>200</x:v>
      </x:c>
      <x:c r="F815" t="n">
        <x:v>0</x:v>
      </x:c>
      <x:c r="G815" t="n">
        <x:v>200</x:v>
      </x:c>
      <x:c r="H815"/>
      <x:c r="I815" t="n">
        <x:v>0</x:v>
      </x:c>
      <x:c r="J815" t="n">
        <x:v>0</x:v>
      </x:c>
      <x:c r="K815" t="n">
        <x:v>200</x:v>
      </x:c>
      <x:c r="L815" s="20" t="n">
        <x:v>1</x:v>
      </x:c>
      <x:c r="M815" t="str">
        <x:v>Variable</x:v>
      </x:c>
      <x:c r="N815" t="str">
        <x:v>Approx. Non-MCC Pool</x:v>
      </x:c>
      <x:c r="O815" t="str">
        <x:v>Large non-MCC pool; quota split varies by state</x:v>
      </x:c>
      <x:c r="P815"/>
      <x:c r="Q815"/>
      <x:c r="R815"/>
      <x:c r="S815"/>
      <x:c r="T815"/>
      <x:c r="U815" t="str">
        <x:v>Pending state Round-1 allotment/cutoff data</x:v>
      </x:c>
    </x:row>
    <x:row r="816">
      <x:c r="A816" t="str">
        <x:v>West Bengal</x:v>
      </x:c>
      <x:c r="B816" t="str">
        <x:v>WB/035/P/3</x:v>
      </x:c>
      <x:c r="C816" t="str">
        <x:v>RANIGANJ INSTITUTE OF MEDICAL SCIENCE</x:v>
      </x:c>
      <x:c r="D816" t="str">
        <x:v>Private</x:v>
      </x:c>
      <x:c r="E816" t="n">
        <x:v>100</x:v>
      </x:c>
      <x:c r="F816" t="n">
        <x:v>100</x:v>
      </x:c>
      <x:c r="G816" t="n">
        <x:v>200</x:v>
      </x:c>
      <x:c r="H816"/>
      <x:c r="I816" t="n">
        <x:v>0</x:v>
      </x:c>
      <x:c r="J816" t="n">
        <x:v>0</x:v>
      </x:c>
      <x:c r="K816" t="n">
        <x:v>200</x:v>
      </x:c>
      <x:c r="L816" s="20" t="n">
        <x:v>1</x:v>
      </x:c>
      <x:c r="M816" t="str">
        <x:v>Variable</x:v>
      </x:c>
      <x:c r="N816" t="str">
        <x:v>Approx. Non-MCC Pool</x:v>
      </x:c>
      <x:c r="O816" t="str">
        <x:v>Expanded 2026 capacity; state/management split to verify</x:v>
      </x:c>
      <x:c r="P816"/>
      <x:c r="Q816"/>
      <x:c r="R816"/>
      <x:c r="S816"/>
      <x:c r="T816"/>
      <x:c r="U816" t="str">
        <x:v>Pending state Round-1 allotment/cutoff data</x:v>
      </x:c>
    </x:row>
    <x:row r="817">
      <x:c r="A817" t="str">
        <x:v>West Bengal</x:v>
      </x:c>
      <x:c r="B817" t="str">
        <x:v>WB/021/P/3</x:v>
      </x:c>
      <x:c r="C817" t="str">
        <x:v>JIS School of Medical Science &amp; Research, Howrah</x:v>
      </x:c>
      <x:c r="D817" t="str">
        <x:v>Private</x:v>
      </x:c>
      <x:c r="E817" t="n">
        <x:v>150</x:v>
      </x:c>
      <x:c r="F817" t="n">
        <x:v>0</x:v>
      </x:c>
      <x:c r="G817" t="n">
        <x:v>150</x:v>
      </x:c>
      <x:c r="H817"/>
      <x:c r="I817" t="n">
        <x:v>0</x:v>
      </x:c>
      <x:c r="J817" t="n">
        <x:v>0</x:v>
      </x:c>
      <x:c r="K817" t="n">
        <x:v>150</x:v>
      </x:c>
      <x:c r="L817" s="20" t="n">
        <x:v>1</x:v>
      </x:c>
      <x:c r="M817" t="str">
        <x:v>Variable</x:v>
      </x:c>
      <x:c r="N817" t="str">
        <x:v>Approx. Non-MCC Pool</x:v>
      </x:c>
      <x:c r="O817" t="str">
        <x:v>Large non-MCC pool; quota split varies by state</x:v>
      </x:c>
      <x:c r="P817"/>
      <x:c r="Q817"/>
      <x:c r="R817"/>
      <x:c r="S817"/>
      <x:c r="T817"/>
      <x:c r="U817" t="str">
        <x:v>Pending state Round-1 allotment/cutoff data</x:v>
      </x:c>
    </x:row>
    <x:row r="818">
      <x:c r="A818" t="str">
        <x:v>West Bengal</x:v>
      </x:c>
      <x:c r="B818" t="str">
        <x:v>WB/022/P/3</x:v>
      </x:c>
      <x:c r="C818" t="str">
        <x:v>JMN Medical College, Nadia</x:v>
      </x:c>
      <x:c r="D818" t="str">
        <x:v>Private</x:v>
      </x:c>
      <x:c r="E818" t="n">
        <x:v>150</x:v>
      </x:c>
      <x:c r="F818" t="n">
        <x:v>0</x:v>
      </x:c>
      <x:c r="G818" t="n">
        <x:v>150</x:v>
      </x:c>
      <x:c r="H818"/>
      <x:c r="I818" t="n">
        <x:v>0</x:v>
      </x:c>
      <x:c r="J818" t="n">
        <x:v>0</x:v>
      </x:c>
      <x:c r="K818" t="n">
        <x:v>150</x:v>
      </x:c>
      <x:c r="L818" s="20" t="n">
        <x:v>1</x:v>
      </x:c>
      <x:c r="M818" t="str">
        <x:v>Variable</x:v>
      </x:c>
      <x:c r="N818" t="str">
        <x:v>Approx. Non-MCC Pool</x:v>
      </x:c>
      <x:c r="O818" t="str">
        <x:v>Large non-MCC pool; quota split varies by state</x:v>
      </x:c>
      <x:c r="P818"/>
      <x:c r="Q818"/>
      <x:c r="R818"/>
      <x:c r="S818"/>
      <x:c r="T818"/>
      <x:c r="U818" t="str">
        <x:v>Pending state Round-1 allotment/cutoff data</x:v>
      </x:c>
    </x:row>
    <x:row r="819">
      <x:c r="A819" t="str">
        <x:v>West Bengal</x:v>
      </x:c>
      <x:c r="B819" t="str">
        <x:v>WB/017/P/3</x:v>
      </x:c>
      <x:c r="C819" t="str">
        <x:v>Jagannath Gupta Institute of Medical Sciences and Hospital</x:v>
      </x:c>
      <x:c r="D819" t="str">
        <x:v>Private</x:v>
      </x:c>
      <x:c r="E819" t="n">
        <x:v>100</x:v>
      </x:c>
      <x:c r="F819" t="n">
        <x:v>50</x:v>
      </x:c>
      <x:c r="G819" t="n">
        <x:v>150</x:v>
      </x:c>
      <x:c r="H819"/>
      <x:c r="I819" t="n">
        <x:v>0</x:v>
      </x:c>
      <x:c r="J819" t="n">
        <x:v>0</x:v>
      </x:c>
      <x:c r="K819" t="n">
        <x:v>150</x:v>
      </x:c>
      <x:c r="L819" s="20" t="n">
        <x:v>1</x:v>
      </x:c>
      <x:c r="M819" t="str">
        <x:v>Variable</x:v>
      </x:c>
      <x:c r="N819" t="str">
        <x:v>Approx. Non-MCC Pool</x:v>
      </x:c>
      <x:c r="O819" t="str">
        <x:v>Expanded 2026 capacity; state/management split to verify</x:v>
      </x:c>
      <x:c r="P819"/>
      <x:c r="Q819"/>
      <x:c r="R819"/>
      <x:c r="S819"/>
      <x:c r="T819"/>
      <x:c r="U819" t="str">
        <x:v>Pending state Round-1 allotment/cutoff data</x:v>
      </x:c>
    </x:row>
    <x:row r="820">
      <x:c r="A820" t="str">
        <x:v>West Bengal</x:v>
      </x:c>
      <x:c r="B820" t="str">
        <x:v>WB/037/P/3</x:v>
      </x:c>
      <x:c r="C820" t="str">
        <x:v>Santiniketan Medical College, Bolpur, West Bengal</x:v>
      </x:c>
      <x:c r="D820" t="str">
        <x:v>Private</x:v>
      </x:c>
      <x:c r="E820" t="n">
        <x:v>150</x:v>
      </x:c>
      <x:c r="F820" t="n">
        <x:v>0</x:v>
      </x:c>
      <x:c r="G820" t="n">
        <x:v>150</x:v>
      </x:c>
      <x:c r="H820"/>
      <x:c r="I820" t="n">
        <x:v>0</x:v>
      </x:c>
      <x:c r="J820" t="n">
        <x:v>0</x:v>
      </x:c>
      <x:c r="K820" t="n">
        <x:v>150</x:v>
      </x:c>
      <x:c r="L820" s="20" t="n">
        <x:v>1</x:v>
      </x:c>
      <x:c r="M820" t="str">
        <x:v>Variable</x:v>
      </x:c>
      <x:c r="N820" t="str">
        <x:v>Approx. Non-MCC Pool</x:v>
      </x:c>
      <x:c r="O820" t="str">
        <x:v>Large non-MCC pool; quota split varies by state</x:v>
      </x:c>
      <x:c r="P820"/>
      <x:c r="Q820"/>
      <x:c r="R820"/>
      <x:c r="S820"/>
      <x:c r="T820"/>
      <x:c r="U820" t="str">
        <x:v>Pending state Round-1 allotment/cutoff data</x:v>
      </x:c>
    </x:row>
    <x:row r="821">
      <x:c r="A821" t="str">
        <x:v>West Bengal</x:v>
      </x:c>
      <x:c r="B821" t="str">
        <x:v>New Establishment</x:v>
      </x:c>
      <x:c r="C821" t="str">
        <x:v>SKS MEDICAL COLLEGE</x:v>
      </x:c>
      <x:c r="D821" t="str">
        <x:v>Private</x:v>
      </x:c>
      <x:c r="E821" t="n">
        <x:v>0</x:v>
      </x:c>
      <x:c r="F821" t="n">
        <x:v>150</x:v>
      </x:c>
      <x:c r="G821" t="n">
        <x:v>150</x:v>
      </x:c>
      <x:c r="H821" t="str">
        <x:v>904744</x:v>
      </x:c>
      <x:c r="I821" t="n">
        <x:v>15</x:v>
      </x:c>
      <x:c r="J821" t="n">
        <x:v>15</x:v>
      </x:c>
      <x:c r="K821" t="n">
        <x:v>135</x:v>
      </x:c>
      <x:c r="L821" s="20" t="n">
        <x:v>0.9</x:v>
      </x:c>
      <x:c r="M821" t="str">
        <x:v>Variable</x:v>
      </x:c>
      <x:c r="N821" t="str">
        <x:v>Approx. Non-MCC Pool</x:v>
      </x:c>
      <x:c r="O821" t="str">
        <x:v>Expanded 2026 capacity; state/management split to verify</x:v>
      </x:c>
      <x:c r="P821" t="n">
        <x:v>19127</x:v>
      </x:c>
      <x:c r="Q821" t="n">
        <x:v>22142</x:v>
      </x:c>
      <x:c r="R821" t="n">
        <x:v>21393</x:v>
      </x:c>
      <x:c r="S821" t="n">
        <x:v>82876</x:v>
      </x:c>
      <x:c r="T821" t="n">
        <x:v>72645</x:v>
      </x:c>
      <x:c r="U821" t="str">
        <x:v>Pending state Round-1 allotment/cutoff data</x:v>
      </x:c>
    </x:row>
    <x:row r="822">
      <x:c r="A822" t="str">
        <x:v>West Bengal</x:v>
      </x:c>
      <x:c r="B822" t="str">
        <x:v>WB/009/P/4</x:v>
      </x:c>
      <x:c r="C822" t="str">
        <x:v>East West Institute of Medical Sciences and Research, Burdwan</x:v>
      </x:c>
      <x:c r="D822" t="str">
        <x:v>Private</x:v>
      </x:c>
      <x:c r="E822" t="n">
        <x:v>100</x:v>
      </x:c>
      <x:c r="F822" t="n">
        <x:v>0</x:v>
      </x:c>
      <x:c r="G822" t="n">
        <x:v>100</x:v>
      </x:c>
      <x:c r="H822"/>
      <x:c r="I822" t="n">
        <x:v>0</x:v>
      </x:c>
      <x:c r="J822" t="n">
        <x:v>0</x:v>
      </x:c>
      <x:c r="K822" t="n">
        <x:v>100</x:v>
      </x:c>
      <x:c r="L822" s="20" t="n">
        <x:v>1</x:v>
      </x:c>
      <x:c r="M822" t="str">
        <x:v>Variable</x:v>
      </x:c>
      <x:c r="N822" t="str">
        <x:v>Approx. Non-MCC Pool</x:v>
      </x:c>
      <x:c r="O822" t="str">
        <x:v>State/management/NRI split must be verified</x:v>
      </x:c>
      <x:c r="P822"/>
      <x:c r="Q822"/>
      <x:c r="R822"/>
      <x:c r="S822"/>
      <x:c r="T822"/>
      <x:c r="U822" t="str">
        <x:v>Pending state Round-1 allotment/cutoff data</x:v>
      </x:c>
    </x:row>
    <x:row r="823">
      <x:c r="A823" t="str">
        <x:v>West Bengal</x:v>
      </x:c>
      <x:c r="B823" t="str">
        <x:v>WB/018/P/3</x:v>
      </x:c>
      <x:c r="C823" t="str">
        <x:v>Jakir Hossain Medical College, Burdwan</x:v>
      </x:c>
      <x:c r="D823" t="str">
        <x:v>Private</x:v>
      </x:c>
      <x:c r="E823" t="n">
        <x:v>100</x:v>
      </x:c>
      <x:c r="F823" t="n">
        <x:v>0</x:v>
      </x:c>
      <x:c r="G823" t="n">
        <x:v>100</x:v>
      </x:c>
      <x:c r="H823"/>
      <x:c r="I823" t="n">
        <x:v>0</x:v>
      </x:c>
      <x:c r="J823" t="n">
        <x:v>0</x:v>
      </x:c>
      <x:c r="K823" t="n">
        <x:v>100</x:v>
      </x:c>
      <x:c r="L823" s="20" t="n">
        <x:v>1</x:v>
      </x:c>
      <x:c r="M823" t="str">
        <x:v>Variable</x:v>
      </x:c>
      <x:c r="N823" t="str">
        <x:v>Approx. Non-MCC Pool</x:v>
      </x:c>
      <x:c r="O823" t="str">
        <x:v>State/management/NRI split must be verified</x:v>
      </x:c>
      <x:c r="P823"/>
      <x:c r="Q823"/>
      <x:c r="R823"/>
      <x:c r="S823"/>
      <x:c r="T823"/>
      <x:c r="U823" t="str">
        <x:v>Pending state Round-1 allotment/cutoff data</x:v>
      </x:c>
    </x:row>
    <x:row r="824">
      <x:c r="A824" t="str">
        <x:v>West Bengal</x:v>
      </x:c>
      <x:c r="B824" t="str">
        <x:v>WB/030/P/3</x:v>
      </x:c>
      <x:c r="C824" t="str">
        <x:v>PKG Medical College &amp; Hospital</x:v>
      </x:c>
      <x:c r="D824" t="str">
        <x:v>Private</x:v>
      </x:c>
      <x:c r="E824" t="n">
        <x:v>50</x:v>
      </x:c>
      <x:c r="F824" t="n">
        <x:v>50</x:v>
      </x:c>
      <x:c r="G824" t="n">
        <x:v>100</x:v>
      </x:c>
      <x:c r="H824"/>
      <x:c r="I824" t="n">
        <x:v>0</x:v>
      </x:c>
      <x:c r="J824" t="n">
        <x:v>0</x:v>
      </x:c>
      <x:c r="K824" t="n">
        <x:v>100</x:v>
      </x:c>
      <x:c r="L824" s="20" t="n">
        <x:v>1</x:v>
      </x:c>
      <x:c r="M824" t="str">
        <x:v>Variable</x:v>
      </x:c>
      <x:c r="N824" t="str">
        <x:v>Approx. Non-MCC Pool</x:v>
      </x:c>
      <x:c r="O824" t="str">
        <x:v>Expanded 2026 capacity; state/management split to verify</x:v>
      </x:c>
      <x:c r="P824"/>
      <x:c r="Q824"/>
      <x:c r="R824"/>
      <x:c r="S824"/>
      <x:c r="T824"/>
      <x:c r="U824" t="str">
        <x:v>Pending state Round-1 allotment/cutoff data</x:v>
      </x:c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 s="20"/>
      <x:c r="M825"/>
      <x:c r="N825"/>
      <x:c r="O825"/>
      <x:c r="P825"/>
      <x:c r="Q825"/>
      <x:c r="R825"/>
      <x:c r="S825"/>
      <x:c r="T825"/>
      <x:c r="U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 s="20"/>
      <x:c r="M826"/>
      <x:c r="N826"/>
      <x:c r="O826"/>
      <x:c r="P826"/>
      <x:c r="Q826"/>
      <x:c r="R826"/>
      <x:c r="S826"/>
      <x:c r="T826"/>
      <x:c r="U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 s="20"/>
      <x:c r="M827"/>
      <x:c r="N827"/>
      <x:c r="O827"/>
      <x:c r="P827"/>
      <x:c r="Q827"/>
      <x:c r="R827"/>
      <x:c r="S827"/>
      <x:c r="T827"/>
      <x:c r="U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 s="20"/>
      <x:c r="M828"/>
      <x:c r="N828"/>
      <x:c r="O828"/>
      <x:c r="P828"/>
      <x:c r="Q828"/>
      <x:c r="R828"/>
      <x:c r="S828"/>
      <x:c r="T828"/>
      <x:c r="U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 s="20"/>
      <x:c r="M829"/>
      <x:c r="N829"/>
      <x:c r="O829"/>
      <x:c r="P829"/>
      <x:c r="Q829"/>
      <x:c r="R829"/>
      <x:c r="S829"/>
      <x:c r="T829"/>
      <x:c r="U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 s="20"/>
      <x:c r="M830"/>
      <x:c r="N830"/>
      <x:c r="O830"/>
      <x:c r="P830"/>
      <x:c r="Q830"/>
      <x:c r="R830"/>
      <x:c r="S830"/>
      <x:c r="T830"/>
      <x:c r="U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 s="20"/>
      <x:c r="M831"/>
      <x:c r="N831"/>
      <x:c r="O831"/>
      <x:c r="P831"/>
      <x:c r="Q831"/>
      <x:c r="R831"/>
      <x:c r="S831"/>
      <x:c r="T831"/>
      <x:c r="U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 s="20"/>
      <x:c r="M832"/>
      <x:c r="N832"/>
      <x:c r="O832"/>
      <x:c r="P832"/>
      <x:c r="Q832"/>
      <x:c r="R832"/>
      <x:c r="S832"/>
      <x:c r="T832"/>
      <x:c r="U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 s="20"/>
      <x:c r="M833"/>
      <x:c r="N833"/>
      <x:c r="O833"/>
      <x:c r="P833"/>
      <x:c r="Q833"/>
      <x:c r="R833"/>
      <x:c r="S833"/>
      <x:c r="T833"/>
      <x:c r="U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 s="20"/>
      <x:c r="M834"/>
      <x:c r="N834"/>
      <x:c r="O834"/>
      <x:c r="P834"/>
      <x:c r="Q834"/>
      <x:c r="R834"/>
      <x:c r="S834"/>
      <x:c r="T834"/>
      <x:c r="U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 s="20"/>
      <x:c r="M835"/>
      <x:c r="N835"/>
      <x:c r="O835"/>
      <x:c r="P835"/>
      <x:c r="Q835"/>
      <x:c r="R835"/>
      <x:c r="S835"/>
      <x:c r="T835"/>
      <x:c r="U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 s="20"/>
      <x:c r="M836"/>
      <x:c r="N836"/>
      <x:c r="O836"/>
      <x:c r="P836"/>
      <x:c r="Q836"/>
      <x:c r="R836"/>
      <x:c r="S836"/>
      <x:c r="T836"/>
      <x:c r="U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 s="20"/>
      <x:c r="M837"/>
      <x:c r="N837"/>
      <x:c r="O837"/>
      <x:c r="P837"/>
      <x:c r="Q837"/>
      <x:c r="R837"/>
      <x:c r="S837"/>
      <x:c r="T837"/>
      <x:c r="U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 s="20"/>
      <x:c r="M838"/>
      <x:c r="N838"/>
      <x:c r="O838"/>
      <x:c r="P838"/>
      <x:c r="Q838"/>
      <x:c r="R838"/>
      <x:c r="S838"/>
      <x:c r="T838"/>
      <x:c r="U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 s="20"/>
      <x:c r="M839"/>
      <x:c r="N839"/>
      <x:c r="O839"/>
      <x:c r="P839"/>
      <x:c r="Q839"/>
      <x:c r="R839"/>
      <x:c r="S839"/>
      <x:c r="T839"/>
      <x:c r="U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 s="20"/>
      <x:c r="M840"/>
      <x:c r="N840"/>
      <x:c r="O840"/>
      <x:c r="P840"/>
      <x:c r="Q840"/>
      <x:c r="R840"/>
      <x:c r="S840"/>
      <x:c r="T840"/>
      <x:c r="U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 s="20"/>
      <x:c r="M841"/>
      <x:c r="N841"/>
      <x:c r="O841"/>
      <x:c r="P841"/>
      <x:c r="Q841"/>
      <x:c r="R841"/>
      <x:c r="S841"/>
      <x:c r="T841"/>
      <x:c r="U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 s="20"/>
      <x:c r="M842"/>
      <x:c r="N842"/>
      <x:c r="O842"/>
      <x:c r="P842"/>
      <x:c r="Q842"/>
      <x:c r="R842"/>
      <x:c r="S842"/>
      <x:c r="T842"/>
      <x:c r="U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 s="20"/>
      <x:c r="M843"/>
      <x:c r="N843"/>
      <x:c r="O843"/>
      <x:c r="P843"/>
      <x:c r="Q843"/>
      <x:c r="R843"/>
      <x:c r="S843"/>
      <x:c r="T843"/>
      <x:c r="U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 s="20"/>
      <x:c r="M844"/>
      <x:c r="N844"/>
      <x:c r="O844"/>
      <x:c r="P844"/>
      <x:c r="Q844"/>
      <x:c r="R844"/>
      <x:c r="S844"/>
      <x:c r="T844"/>
      <x:c r="U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 s="20"/>
      <x:c r="M845"/>
      <x:c r="N845"/>
      <x:c r="O845"/>
      <x:c r="P845"/>
      <x:c r="Q845"/>
      <x:c r="R845"/>
      <x:c r="S845"/>
      <x:c r="T845"/>
      <x:c r="U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 s="20"/>
      <x:c r="M846"/>
      <x:c r="N846"/>
      <x:c r="O846"/>
      <x:c r="P846"/>
      <x:c r="Q846"/>
      <x:c r="R846"/>
      <x:c r="S846"/>
      <x:c r="T846"/>
      <x:c r="U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 s="20"/>
      <x:c r="M847"/>
      <x:c r="N847"/>
      <x:c r="O847"/>
      <x:c r="P847"/>
      <x:c r="Q847"/>
      <x:c r="R847"/>
      <x:c r="S847"/>
      <x:c r="T847"/>
      <x:c r="U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 s="20"/>
      <x:c r="M848"/>
      <x:c r="N848"/>
      <x:c r="O848"/>
      <x:c r="P848"/>
      <x:c r="Q848"/>
      <x:c r="R848"/>
      <x:c r="S848"/>
      <x:c r="T848"/>
      <x:c r="U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 s="20"/>
      <x:c r="M849"/>
      <x:c r="N849"/>
      <x:c r="O849"/>
      <x:c r="P849"/>
      <x:c r="Q849"/>
      <x:c r="R849"/>
      <x:c r="S849"/>
      <x:c r="T849"/>
      <x:c r="U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 s="20"/>
      <x:c r="M850"/>
      <x:c r="N850"/>
      <x:c r="O850"/>
      <x:c r="P850"/>
      <x:c r="Q850"/>
      <x:c r="R850"/>
      <x:c r="S850"/>
      <x:c r="T850"/>
      <x:c r="U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 s="20"/>
      <x:c r="M851"/>
      <x:c r="N851"/>
      <x:c r="O851"/>
      <x:c r="P851"/>
      <x:c r="Q851"/>
      <x:c r="R851"/>
      <x:c r="S851"/>
      <x:c r="T851"/>
      <x:c r="U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 s="20"/>
      <x:c r="M852"/>
      <x:c r="N852"/>
      <x:c r="O852"/>
      <x:c r="P852"/>
      <x:c r="Q852"/>
      <x:c r="R852"/>
      <x:c r="S852"/>
      <x:c r="T852"/>
      <x:c r="U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 s="20"/>
      <x:c r="M853"/>
      <x:c r="N853"/>
      <x:c r="O853"/>
      <x:c r="P853"/>
      <x:c r="Q853"/>
      <x:c r="R853"/>
      <x:c r="S853"/>
      <x:c r="T853"/>
      <x:c r="U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 s="20"/>
      <x:c r="M854"/>
      <x:c r="N854"/>
      <x:c r="O854"/>
      <x:c r="P854"/>
      <x:c r="Q854"/>
      <x:c r="R854"/>
      <x:c r="S854"/>
      <x:c r="T854"/>
      <x:c r="U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 s="20"/>
      <x:c r="M855"/>
      <x:c r="N855"/>
      <x:c r="O855"/>
      <x:c r="P855"/>
      <x:c r="Q855"/>
      <x:c r="R855"/>
      <x:c r="S855"/>
      <x:c r="T855"/>
      <x:c r="U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 s="20"/>
      <x:c r="M856"/>
      <x:c r="N856"/>
      <x:c r="O856"/>
      <x:c r="P856"/>
      <x:c r="Q856"/>
      <x:c r="R856"/>
      <x:c r="S856"/>
      <x:c r="T856"/>
      <x:c r="U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 s="20"/>
      <x:c r="M857"/>
      <x:c r="N857"/>
      <x:c r="O857"/>
      <x:c r="P857"/>
      <x:c r="Q857"/>
      <x:c r="R857"/>
      <x:c r="S857"/>
      <x:c r="T857"/>
      <x:c r="U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 s="20"/>
      <x:c r="M858"/>
      <x:c r="N858"/>
      <x:c r="O858"/>
      <x:c r="P858"/>
      <x:c r="Q858"/>
      <x:c r="R858"/>
      <x:c r="S858"/>
      <x:c r="T858"/>
      <x:c r="U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 s="20"/>
      <x:c r="M859"/>
      <x:c r="N859"/>
      <x:c r="O859"/>
      <x:c r="P859"/>
      <x:c r="Q859"/>
      <x:c r="R859"/>
      <x:c r="S859"/>
      <x:c r="T859"/>
      <x:c r="U859"/>
    </x:row>
  </x:sheetData>
  <x:conditionalFormatting sqref="K2:K859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{AE9049BC-33E2-10DE-8EA4-F6824B6BEEE9}</x14:id>
        </x:ext>
      </x:extLst>
    </x:cfRule>
  </x:conditionalFormatting>
  <x:conditionalFormatting sqref="F2:F859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{8580E178-74C5-D09D-B794-D3BA9D27D223}</x14:id>
        </x:ext>
      </x:extLst>
    </x:cfRule>
  </x:conditionalFormatting>
  <x:conditionalFormatting sqref="K2:K824">
    <x:cfRule type="dataBar" priority="3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{3FE4F00E-628E-C38A-4A5C-51D0AEEE8311}</x14:id>
        </x:ext>
      </x:extLst>
    </x:cfRule>
  </x:conditionalFormatting>
  <x:conditionalFormatting sqref="F2:F824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{1E416FBE-DA88-5667-34CC-C9E155F33E9E}</x14:id>
        </x:ext>
      </x:extLst>
    </x:cfRule>
  </x:conditionalFormatting>
  <x:pageMargins left="0.7" right="0.7" top="0.75" bottom="0.75" header="0.3" footer="0.3"/>
  <x:tableParts count="2">
    <x:tablePart xmlns:r="http://schemas.openxmlformats.org/officeDocument/2006/relationships" r:id="R9dd5e2ef1d254ed8"/>
    <x:tablePart xmlns:r="http://schemas.openxmlformats.org/officeDocument/2006/relationships" r:id="R0810a48a19194fd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E9049BC-33E2-10DE-8EA4-F6824B6BEEE9}">
            <x14:dataBar gradient="1">
              <x14:cfvo type="min"/>
              <x14:cfvo type="max"/>
              <x14:fillColor rgb="FFA02B93"/>
            </x14:dataBar>
          </x14:cfRule>
          <xm:sqref>K2:K859</xm:sqref>
        </x14:conditionalFormatting>
        <x14:conditionalFormatting>
          <x14:cfRule type="dataBar" priority="2" id="{8580E178-74C5-D09D-B794-D3BA9D27D223}">
            <x14:dataBar gradient="1">
              <x14:cfvo type="min"/>
              <x14:cfvo type="max"/>
              <x14:fillColor rgb="FFA02B93"/>
            </x14:dataBar>
          </x14:cfRule>
          <xm:sqref>F2:F859</xm:sqref>
        </x14:conditionalFormatting>
        <x14:conditionalFormatting>
          <x14:cfRule type="dataBar" priority="3" id="{3FE4F00E-628E-C38A-4A5C-51D0AEEE8311}">
            <x14:dataBar gradient="1">
              <x14:cfvo type="min"/>
              <x14:cfvo type="max"/>
              <x14:fillColor rgb="FFA02B93"/>
            </x14:dataBar>
          </x14:cfRule>
          <xm:sqref>K2:K824</xm:sqref>
        </x14:conditionalFormatting>
        <x14:conditionalFormatting>
          <x14:cfRule type="dataBar" priority="4" id="{1E416FBE-DA88-5667-34CC-C9E155F33E9E}">
            <x14:dataBar gradient="1">
              <x14:cfvo type="min"/>
              <x14:cfvo type="max"/>
              <x14:fillColor rgb="FFA02B93"/>
            </x14:dataBar>
          </x14:cfRule>
          <xm:sqref>F2:F824</xm:sqref>
        </x14:conditionalFormatting>
      </x14:conditionalFormattings>
    </x:ext>
  </x:extLst>
</x:worksheet>
</file>